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wyatt_arnold_water_ca_gov1/Documents/CalSim Synthetic Hydroclimate/calsim3-stochastic-input-generation/mod_hydrology/rim_inflow/reference/"/>
    </mc:Choice>
  </mc:AlternateContent>
  <xr:revisionPtr revIDLastSave="17" documentId="8_{97BB0102-455C-415C-BD21-53C5C1F25213}" xr6:coauthVersionLast="47" xr6:coauthVersionMax="47" xr10:uidLastSave="{402EEA25-D5B7-463A-B2CE-1CE021579501}"/>
  <bookViews>
    <workbookView xWindow="-110" yWindow="-110" windowWidth="38620" windowHeight="21100" xr2:uid="{5B713AB5-D01D-4BF8-AAA2-F574591C3C17}"/>
  </bookViews>
  <sheets>
    <sheet name="Sheet1" sheetId="1" r:id="rId1"/>
    <sheet name="RimInflowAnch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" i="2" l="1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C3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<sst xmlns="http://schemas.openxmlformats.org/spreadsheetml/2006/main" count="565" uniqueCount="224">
  <si>
    <t>CS3_Qmap_Anchor</t>
  </si>
  <si>
    <t>UNIMP_FOLS</t>
  </si>
  <si>
    <t>UNIMP_OROV</t>
  </si>
  <si>
    <t>UNIMP_SRBB</t>
  </si>
  <si>
    <t>UNIMP_YUBA</t>
  </si>
  <si>
    <t>UNIMP_ST</t>
  </si>
  <si>
    <t>UNIMP_TU</t>
  </si>
  <si>
    <t>Calsim_ID</t>
  </si>
  <si>
    <t>CDEC_Watershed</t>
  </si>
  <si>
    <t>VIC_Qmap_Anchor</t>
  </si>
  <si>
    <t>Anchors</t>
  </si>
  <si>
    <t>I_ALD002</t>
  </si>
  <si>
    <t>FOLS</t>
  </si>
  <si>
    <t>OROV</t>
  </si>
  <si>
    <t>SRBB</t>
  </si>
  <si>
    <t>YUBA</t>
  </si>
  <si>
    <t>SHAS</t>
  </si>
  <si>
    <t>TRIN</t>
  </si>
  <si>
    <t>ST</t>
  </si>
  <si>
    <t>TU</t>
  </si>
  <si>
    <t>ME</t>
  </si>
  <si>
    <t>SJ</t>
  </si>
  <si>
    <t>I_ALD004</t>
  </si>
  <si>
    <t>I_ALMNR</t>
  </si>
  <si>
    <t>I_ALOHA</t>
  </si>
  <si>
    <t>I_ANT011</t>
  </si>
  <si>
    <t>N/A</t>
  </si>
  <si>
    <t>I_ANTLP</t>
  </si>
  <si>
    <t>I_BCC014</t>
  </si>
  <si>
    <t>I_BCN010</t>
  </si>
  <si>
    <t>I_BLKBT</t>
  </si>
  <si>
    <t>I_BOWMN</t>
  </si>
  <si>
    <t>I_BRC003</t>
  </si>
  <si>
    <t>I_BRR023</t>
  </si>
  <si>
    <t>I_PTH070</t>
  </si>
  <si>
    <t>I_BSH003</t>
  </si>
  <si>
    <t>I_BTC048</t>
  </si>
  <si>
    <t>I_BTL006</t>
  </si>
  <si>
    <t>I_BTVLY</t>
  </si>
  <si>
    <t>I_BUCKS</t>
  </si>
  <si>
    <t>I_CAPLS</t>
  </si>
  <si>
    <t>I_CCH053</t>
  </si>
  <si>
    <t>I_CLR011</t>
  </si>
  <si>
    <t>I_CLRLK</t>
  </si>
  <si>
    <t>I_CMBIE</t>
  </si>
  <si>
    <t>I_CMPFW</t>
  </si>
  <si>
    <t>I_COW014</t>
  </si>
  <si>
    <t>I_CWD018</t>
  </si>
  <si>
    <t>I_CYN009</t>
  </si>
  <si>
    <t>I_DAVIS</t>
  </si>
  <si>
    <t>I_DCC010</t>
  </si>
  <si>
    <t>I_DER001</t>
  </si>
  <si>
    <t>I_DER004</t>
  </si>
  <si>
    <t>I_DHC021</t>
  </si>
  <si>
    <t>I_DRC012</t>
  </si>
  <si>
    <t>I_EBF001</t>
  </si>
  <si>
    <t>I_ECHOL</t>
  </si>
  <si>
    <t>I_ELD027</t>
  </si>
  <si>
    <t>I_ENGLB</t>
  </si>
  <si>
    <t>I_EPARK</t>
  </si>
  <si>
    <t>I_FOLSM</t>
  </si>
  <si>
    <t>I_FRDYC</t>
  </si>
  <si>
    <t>I_FRMAN</t>
  </si>
  <si>
    <t>I_FRMDW</t>
  </si>
  <si>
    <t>I_FRNCH</t>
  </si>
  <si>
    <t>I_GERLE</t>
  </si>
  <si>
    <t>I_GZL009</t>
  </si>
  <si>
    <t>I_HHOLE</t>
  </si>
  <si>
    <t>I_HON021</t>
  </si>
  <si>
    <t>I_ICEHS</t>
  </si>
  <si>
    <t>I_INDVL</t>
  </si>
  <si>
    <t>I_JKSMD</t>
  </si>
  <si>
    <t>I_LCBRF</t>
  </si>
  <si>
    <t>I_LCC038</t>
  </si>
  <si>
    <t>I_LDC029</t>
  </si>
  <si>
    <t>I_LGRSV</t>
  </si>
  <si>
    <t>I_LKVLY</t>
  </si>
  <si>
    <t>I_LNG012</t>
  </si>
  <si>
    <t>I_LOONL</t>
  </si>
  <si>
    <t>I_LRB004</t>
  </si>
  <si>
    <t>I_LWSTN</t>
  </si>
  <si>
    <t>I_MERLC</t>
  </si>
  <si>
    <t>I_MFA001</t>
  </si>
  <si>
    <t>I_MFA023</t>
  </si>
  <si>
    <t>I_MFA025</t>
  </si>
  <si>
    <t>I_MFA036</t>
  </si>
  <si>
    <t>I_MFF019</t>
  </si>
  <si>
    <t>I_MFF087</t>
  </si>
  <si>
    <t>I_MFY013</t>
  </si>
  <si>
    <t>I_MLC006</t>
  </si>
  <si>
    <t>I_MNS000</t>
  </si>
  <si>
    <t>I_MTMDW</t>
  </si>
  <si>
    <t>I_NBLDB</t>
  </si>
  <si>
    <t>I_NFA016</t>
  </si>
  <si>
    <t>I_NFA022</t>
  </si>
  <si>
    <t>I_NFA054</t>
  </si>
  <si>
    <t>I_NFF029</t>
  </si>
  <si>
    <t>I_NFY029</t>
  </si>
  <si>
    <t>I_NLC003</t>
  </si>
  <si>
    <t>I_NMA003</t>
  </si>
  <si>
    <t>I_NNA013</t>
  </si>
  <si>
    <t>I_OGN005</t>
  </si>
  <si>
    <t>I_OROVL</t>
  </si>
  <si>
    <t>I_PLC007</t>
  </si>
  <si>
    <t>I_PLM001</t>
  </si>
  <si>
    <t>I_PYN001</t>
  </si>
  <si>
    <t>I_PYR001</t>
  </si>
  <si>
    <t>I_RCK001</t>
  </si>
  <si>
    <t>I_RLLNS</t>
  </si>
  <si>
    <t>I_RUB002</t>
  </si>
  <si>
    <t>I_RUB047</t>
  </si>
  <si>
    <t>I_RVPHB</t>
  </si>
  <si>
    <t>I_SCOTF</t>
  </si>
  <si>
    <t>I_SCW008</t>
  </si>
  <si>
    <t>I_SFA030</t>
  </si>
  <si>
    <t>I_SFA040</t>
  </si>
  <si>
    <t>I_SFA066</t>
  </si>
  <si>
    <t>I_SFA076</t>
  </si>
  <si>
    <t>I_SFD003</t>
  </si>
  <si>
    <t>I_SFF008</t>
  </si>
  <si>
    <t>I_SFF011</t>
  </si>
  <si>
    <t>I_SFR006</t>
  </si>
  <si>
    <t>I_SFY007</t>
  </si>
  <si>
    <t>I_SFY048</t>
  </si>
  <si>
    <t>I_SGRGE</t>
  </si>
  <si>
    <t>I_SHSTA</t>
  </si>
  <si>
    <t>I_SILVR</t>
  </si>
  <si>
    <t>I_SLC003</t>
  </si>
  <si>
    <t>I_SLF009</t>
  </si>
  <si>
    <t>I_SLT009</t>
  </si>
  <si>
    <t>I_SLV006</t>
  </si>
  <si>
    <t>I_SLV015</t>
  </si>
  <si>
    <t>I_SLYCK</t>
  </si>
  <si>
    <t>I_SPLDG</t>
  </si>
  <si>
    <t>I_STMPY</t>
  </si>
  <si>
    <t>I_THM028</t>
  </si>
  <si>
    <t>I_TRNTY</t>
  </si>
  <si>
    <t>I_UNVLY</t>
  </si>
  <si>
    <t>I_WBF006</t>
  </si>
  <si>
    <t>I_WBF015</t>
  </si>
  <si>
    <t>I_WBF030</t>
  </si>
  <si>
    <t>I_WBR001</t>
  </si>
  <si>
    <t>I_WKYTN</t>
  </si>
  <si>
    <t>I_WLF013</t>
  </si>
  <si>
    <t>I_AMADR</t>
  </si>
  <si>
    <t>I_ANG017</t>
  </si>
  <si>
    <t>I_BANOS</t>
  </si>
  <si>
    <t>I_BCK040</t>
  </si>
  <si>
    <t>I_BEARD</t>
  </si>
  <si>
    <t>I_BUR005</t>
  </si>
  <si>
    <t>I_BVC007</t>
  </si>
  <si>
    <t>I_CAP000</t>
  </si>
  <si>
    <t>I_CFS001</t>
  </si>
  <si>
    <t>I_CHC000</t>
  </si>
  <si>
    <t>I_CHW031</t>
  </si>
  <si>
    <t>I_CLV026</t>
  </si>
  <si>
    <t>I_CMCHE</t>
  </si>
  <si>
    <t>I_CMP001</t>
  </si>
  <si>
    <t>I_CMP014</t>
  </si>
  <si>
    <t>I_COL003</t>
  </si>
  <si>
    <t>I_COT033</t>
  </si>
  <si>
    <t>I_CSM035</t>
  </si>
  <si>
    <t>I_DBC024</t>
  </si>
  <si>
    <t>I_DCM027</t>
  </si>
  <si>
    <t>I_DCT050</t>
  </si>
  <si>
    <t>I_DED044</t>
  </si>
  <si>
    <t>I_DEE023</t>
  </si>
  <si>
    <t>I_DONLL</t>
  </si>
  <si>
    <t>I_DPC008</t>
  </si>
  <si>
    <t>I_DSC035</t>
  </si>
  <si>
    <t>I_ELENR</t>
  </si>
  <si>
    <t>I_ESTMN</t>
  </si>
  <si>
    <t>I_FRS046</t>
  </si>
  <si>
    <t>I_FSL012</t>
  </si>
  <si>
    <t>I_GRZ012</t>
  </si>
  <si>
    <t>I_HNSLY</t>
  </si>
  <si>
    <t>I_HTCHY</t>
  </si>
  <si>
    <t>I_ING008</t>
  </si>
  <si>
    <t>I_JBP006</t>
  </si>
  <si>
    <t>I_JNKSN</t>
  </si>
  <si>
    <t>I_LJC022</t>
  </si>
  <si>
    <t>I_LLOYD</t>
  </si>
  <si>
    <t>I_LOSVQ</t>
  </si>
  <si>
    <t>I_LPC007</t>
  </si>
  <si>
    <t>I_LYONS</t>
  </si>
  <si>
    <t>I_MCD055</t>
  </si>
  <si>
    <t>I_MCLRE</t>
  </si>
  <si>
    <t>I_MFM008</t>
  </si>
  <si>
    <t>I_MFS013</t>
  </si>
  <si>
    <t>I_MFS022</t>
  </si>
  <si>
    <t>I_MFS047</t>
  </si>
  <si>
    <t>I_MIL003</t>
  </si>
  <si>
    <t>I_MLRTN</t>
  </si>
  <si>
    <t>I_MOK079</t>
  </si>
  <si>
    <t>I_MPS038</t>
  </si>
  <si>
    <t>I_MSH015</t>
  </si>
  <si>
    <t>I_NFM010</t>
  </si>
  <si>
    <t>I_NFS005</t>
  </si>
  <si>
    <t>I_NFS009</t>
  </si>
  <si>
    <t>I_NFS033</t>
  </si>
  <si>
    <t>I_NHGAN</t>
  </si>
  <si>
    <t>I_ORG000</t>
  </si>
  <si>
    <t>I_ORT014</t>
  </si>
  <si>
    <t>I_OWN040</t>
  </si>
  <si>
    <t>I_PARDE</t>
  </si>
  <si>
    <t>I_PCRST</t>
  </si>
  <si>
    <t>I_PEDRO</t>
  </si>
  <si>
    <t>I_QNT005</t>
  </si>
  <si>
    <t>I_RLIEF</t>
  </si>
  <si>
    <t>I_SFM005</t>
  </si>
  <si>
    <t>I_SFS030</t>
  </si>
  <si>
    <t>I_SFS033</t>
  </si>
  <si>
    <t>I_SJR258</t>
  </si>
  <si>
    <t>I_SJR265</t>
  </si>
  <si>
    <t>I_SLO007</t>
  </si>
  <si>
    <t>I_SLTSP</t>
  </si>
  <si>
    <t>I_SLUIS</t>
  </si>
  <si>
    <t>I_SPICE</t>
  </si>
  <si>
    <t>I_STS059</t>
  </si>
  <si>
    <t>I_STS072</t>
  </si>
  <si>
    <t>I_TGC003</t>
  </si>
  <si>
    <t>I_TULOC</t>
  </si>
  <si>
    <t>I_TUO054</t>
  </si>
  <si>
    <t>I_UBEAR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</si>
</sst>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 val="0"/>
        <i val="0"/>
        <color theme="1" tint="0.499984740745262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14B2-5AE7-4518-8827-097F435B3B92}">
  <dimension ref="A1:AU7"/>
  <sheetViews>
    <sheetView tabSelected="1" zoomScale="80" zoomScaleNormal="80" workbookViewId="0"/>
  </sheetViews>
  <sheetFormatPr defaultRowHeight="14.5" x14ac:dyDescent="0.35"/>
  <cols>
    <col min="1" max="1" width="19.1796875" customWidth="1"/>
  </cols>
  <sheetData>
    <row r="1" spans="1:47" x14ac:dyDescent="0.35">
      <c r="A1" s="1" t="s">
        <v>0</v>
      </c>
    </row>
    <row r="2" spans="1:47" x14ac:dyDescent="0.35">
      <c r="A2" t="s">
        <v>1</v>
      </c>
      <c r="B2" t="s">
        <v>11</v>
      </c>
      <c r="C2" t="s">
        <v>22</v>
      </c>
      <c r="D2" t="s">
        <v>24</v>
      </c>
      <c r="E2" t="s">
        <v>35</v>
      </c>
      <c r="F2" t="s">
        <v>40</v>
      </c>
      <c r="G2" t="s">
        <v>48</v>
      </c>
      <c r="H2" t="s">
        <v>50</v>
      </c>
      <c r="I2" t="s">
        <v>56</v>
      </c>
      <c r="J2" t="s">
        <v>60</v>
      </c>
      <c r="K2" t="s">
        <v>63</v>
      </c>
      <c r="L2" t="s">
        <v>65</v>
      </c>
      <c r="M2" t="s">
        <v>67</v>
      </c>
      <c r="N2" t="s">
        <v>69</v>
      </c>
      <c r="O2" t="s">
        <v>76</v>
      </c>
      <c r="P2" t="s">
        <v>77</v>
      </c>
      <c r="Q2" t="s">
        <v>78</v>
      </c>
      <c r="R2" t="s">
        <v>79</v>
      </c>
      <c r="S2" t="s">
        <v>82</v>
      </c>
      <c r="T2" t="s">
        <v>83</v>
      </c>
      <c r="U2" t="s">
        <v>84</v>
      </c>
      <c r="V2" t="s">
        <v>85</v>
      </c>
      <c r="W2" t="s">
        <v>93</v>
      </c>
      <c r="X2" t="s">
        <v>94</v>
      </c>
      <c r="Y2" t="s">
        <v>95</v>
      </c>
      <c r="Z2" t="s">
        <v>98</v>
      </c>
      <c r="AA2" t="s">
        <v>99</v>
      </c>
      <c r="AB2" t="s">
        <v>100</v>
      </c>
      <c r="AC2" t="s">
        <v>103</v>
      </c>
      <c r="AD2" t="s">
        <v>104</v>
      </c>
      <c r="AE2" t="s">
        <v>106</v>
      </c>
      <c r="AF2" t="s">
        <v>107</v>
      </c>
      <c r="AG2" t="s">
        <v>109</v>
      </c>
      <c r="AH2" t="s">
        <v>110</v>
      </c>
      <c r="AI2" t="s">
        <v>114</v>
      </c>
      <c r="AJ2" t="s">
        <v>115</v>
      </c>
      <c r="AK2" t="s">
        <v>116</v>
      </c>
      <c r="AL2" t="s">
        <v>117</v>
      </c>
      <c r="AM2" t="s">
        <v>121</v>
      </c>
      <c r="AN2" t="s">
        <v>126</v>
      </c>
      <c r="AO2" t="s">
        <v>127</v>
      </c>
      <c r="AP2" t="s">
        <v>128</v>
      </c>
      <c r="AQ2" t="s">
        <v>130</v>
      </c>
      <c r="AR2" t="s">
        <v>131</v>
      </c>
      <c r="AS2" t="s">
        <v>134</v>
      </c>
      <c r="AT2" t="s">
        <v>137</v>
      </c>
      <c r="AU2" t="s">
        <v>141</v>
      </c>
    </row>
    <row r="3" spans="1:47" x14ac:dyDescent="0.35">
      <c r="A3" t="s">
        <v>2</v>
      </c>
      <c r="B3" t="s">
        <v>23</v>
      </c>
      <c r="C3" t="s">
        <v>27</v>
      </c>
      <c r="D3" t="s">
        <v>38</v>
      </c>
      <c r="E3" t="s">
        <v>39</v>
      </c>
      <c r="F3" t="s">
        <v>49</v>
      </c>
      <c r="G3" t="s">
        <v>55</v>
      </c>
      <c r="H3" t="s">
        <v>62</v>
      </c>
      <c r="I3" t="s">
        <v>66</v>
      </c>
      <c r="J3" t="s">
        <v>75</v>
      </c>
      <c r="K3" t="s">
        <v>86</v>
      </c>
      <c r="L3" t="s">
        <v>87</v>
      </c>
      <c r="M3" t="s">
        <v>91</v>
      </c>
      <c r="N3" t="s">
        <v>96</v>
      </c>
      <c r="O3" t="s">
        <v>102</v>
      </c>
      <c r="P3" t="s">
        <v>111</v>
      </c>
      <c r="Q3" t="s">
        <v>119</v>
      </c>
      <c r="R3" t="s">
        <v>120</v>
      </c>
      <c r="S3" t="s">
        <v>132</v>
      </c>
      <c r="T3" t="s">
        <v>138</v>
      </c>
      <c r="U3" t="s">
        <v>139</v>
      </c>
      <c r="V3" t="s">
        <v>140</v>
      </c>
    </row>
    <row r="4" spans="1:47" x14ac:dyDescent="0.35">
      <c r="A4" t="s">
        <v>3</v>
      </c>
      <c r="B4" t="s">
        <v>29</v>
      </c>
      <c r="C4" t="s">
        <v>37</v>
      </c>
      <c r="D4" t="s">
        <v>42</v>
      </c>
      <c r="E4" t="s">
        <v>46</v>
      </c>
      <c r="F4" t="s">
        <v>47</v>
      </c>
      <c r="G4" t="s">
        <v>113</v>
      </c>
      <c r="H4" t="s">
        <v>142</v>
      </c>
      <c r="I4" t="s">
        <v>125</v>
      </c>
    </row>
    <row r="5" spans="1:47" x14ac:dyDescent="0.35">
      <c r="A5" t="s">
        <v>4</v>
      </c>
      <c r="B5" t="s">
        <v>31</v>
      </c>
      <c r="C5" t="s">
        <v>51</v>
      </c>
      <c r="D5" t="s">
        <v>52</v>
      </c>
      <c r="E5" t="s">
        <v>58</v>
      </c>
      <c r="F5" t="s">
        <v>61</v>
      </c>
      <c r="G5" t="s">
        <v>64</v>
      </c>
      <c r="H5" t="s">
        <v>71</v>
      </c>
      <c r="I5" t="s">
        <v>72</v>
      </c>
      <c r="J5" t="s">
        <v>88</v>
      </c>
      <c r="K5" t="s">
        <v>92</v>
      </c>
      <c r="L5" t="s">
        <v>97</v>
      </c>
      <c r="M5" t="s">
        <v>101</v>
      </c>
      <c r="N5" t="s">
        <v>112</v>
      </c>
      <c r="O5" t="s">
        <v>118</v>
      </c>
      <c r="P5" t="s">
        <v>122</v>
      </c>
      <c r="Q5" t="s">
        <v>123</v>
      </c>
      <c r="R5" t="s">
        <v>129</v>
      </c>
      <c r="S5" t="s">
        <v>133</v>
      </c>
    </row>
    <row r="6" spans="1:47" x14ac:dyDescent="0.35">
      <c r="A6" t="s">
        <v>5</v>
      </c>
      <c r="B6" t="s">
        <v>145</v>
      </c>
      <c r="C6" t="s">
        <v>148</v>
      </c>
      <c r="D6" t="s">
        <v>150</v>
      </c>
      <c r="E6" t="s">
        <v>152</v>
      </c>
      <c r="F6" t="s">
        <v>167</v>
      </c>
      <c r="G6" t="s">
        <v>184</v>
      </c>
      <c r="H6" t="s">
        <v>188</v>
      </c>
      <c r="I6" t="s">
        <v>189</v>
      </c>
      <c r="J6" t="s">
        <v>190</v>
      </c>
      <c r="K6" t="s">
        <v>191</v>
      </c>
      <c r="L6" t="s">
        <v>197</v>
      </c>
      <c r="M6" t="s">
        <v>198</v>
      </c>
      <c r="N6" t="s">
        <v>199</v>
      </c>
      <c r="O6" t="s">
        <v>205</v>
      </c>
      <c r="P6" t="s">
        <v>208</v>
      </c>
      <c r="Q6" t="s">
        <v>210</v>
      </c>
      <c r="R6" t="s">
        <v>211</v>
      </c>
      <c r="S6" t="s">
        <v>217</v>
      </c>
      <c r="T6" t="s">
        <v>219</v>
      </c>
    </row>
    <row r="7" spans="1:47" x14ac:dyDescent="0.35">
      <c r="A7" t="s">
        <v>6</v>
      </c>
      <c r="B7" t="s">
        <v>170</v>
      </c>
      <c r="C7" t="s">
        <v>176</v>
      </c>
      <c r="D7" t="s">
        <v>181</v>
      </c>
      <c r="E7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57F0-5A7C-4FB6-B7F3-6B53AB598073}">
  <dimension ref="A1:Q204"/>
  <sheetViews>
    <sheetView workbookViewId="0">
      <selection activeCell="G45" sqref="G45"/>
    </sheetView>
  </sheetViews>
  <sheetFormatPr defaultColWidth="8.81640625" defaultRowHeight="14.5" x14ac:dyDescent="0.35"/>
  <cols>
    <col min="1" max="1" width="10.453125" style="4" customWidth="1"/>
    <col min="2" max="2" width="16.453125" style="4" customWidth="1"/>
    <col min="3" max="3" width="17.81640625" style="4" customWidth="1"/>
    <col min="5" max="5" width="10" customWidth="1"/>
    <col min="6" max="7" width="10.453125" customWidth="1"/>
  </cols>
  <sheetData>
    <row r="1" spans="1:17" x14ac:dyDescent="0.35">
      <c r="A1" s="3" t="s">
        <v>7</v>
      </c>
      <c r="B1" s="3" t="s">
        <v>8</v>
      </c>
      <c r="C1" s="3" t="s">
        <v>9</v>
      </c>
      <c r="E1" s="1" t="s">
        <v>10</v>
      </c>
      <c r="F1" s="1"/>
      <c r="G1" s="1"/>
      <c r="H1" s="1"/>
      <c r="I1" s="1"/>
      <c r="J1" s="1"/>
      <c r="K1" s="1"/>
      <c r="L1" s="1"/>
      <c r="M1" s="1"/>
      <c r="N1" s="1"/>
      <c r="P1" s="1" t="s">
        <v>10</v>
      </c>
      <c r="Q1" s="1" t="s">
        <v>0</v>
      </c>
    </row>
    <row r="2" spans="1:17" x14ac:dyDescent="0.35">
      <c r="A2" s="4" t="s">
        <v>11</v>
      </c>
      <c r="B2" s="4" t="s">
        <v>12</v>
      </c>
      <c r="C2" s="4" t="str">
        <f>_xlfn.IFNA(VLOOKUP(B2,$P$2:$Q$11,2,FALSE),"N/A")</f>
        <v>UNIMP_FOLS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P2" s="1" t="s">
        <v>12</v>
      </c>
      <c r="Q2" t="s">
        <v>1</v>
      </c>
    </row>
    <row r="3" spans="1:17" x14ac:dyDescent="0.35">
      <c r="A3" s="4" t="s">
        <v>22</v>
      </c>
      <c r="B3" s="4" t="s">
        <v>12</v>
      </c>
      <c r="C3" s="4" t="str">
        <f t="shared" ref="C3:C66" si="0">_xlfn.IFNA(VLOOKUP(B3,$P$2:$Q$11,2,FALSE),"N/A")</f>
        <v>UNIMP_FOLS</v>
      </c>
      <c r="E3" t="str" cm="1">
        <f t="array" ref="E3:E48">_xlfn._xlws.FILTER($A$2:$A$204,$B$2:$B$204=E$2,"")</f>
        <v>I_ALD002</v>
      </c>
      <c r="F3" t="str" cm="1">
        <f t="array" ref="F3:F23">_xlfn._xlws.FILTER($A$2:$A$204,$B$2:$B$204=F$2,"")</f>
        <v>I_ALMNR</v>
      </c>
      <c r="G3" t="str" cm="1">
        <f t="array" ref="G3:G10">_xlfn._xlws.FILTER($A$2:$A$204,$B$2:$B$204=G$2,"")</f>
        <v>I_BCN010</v>
      </c>
      <c r="H3" t="str" cm="1">
        <f t="array" ref="H3:H20">_xlfn._xlws.FILTER($A$2:$A$204,$B$2:$B$204=H$2,"")</f>
        <v>I_BOWMN</v>
      </c>
      <c r="I3" t="str" cm="1">
        <f t="array" ref="I3">_xlfn._xlws.FILTER($A$2:$A$204,$B$2:$B$204=I$2,"")</f>
        <v>I_SHSTA</v>
      </c>
      <c r="J3" t="str" cm="1">
        <f t="array" ref="J3">_xlfn._xlws.FILTER($A$2:$A$204,$B$2:$B$204=J$2,"")</f>
        <v>I_TRNTY</v>
      </c>
      <c r="K3" t="str" cm="1">
        <f t="array" ref="K3:K21">_xlfn._xlws.FILTER($A$2:$A$204,$B$2:$B$204=K$2,"")</f>
        <v>I_ANG017</v>
      </c>
      <c r="L3" t="str" cm="1">
        <f t="array" ref="L3:L6">_xlfn._xlws.FILTER($A$2:$A$204,$B$2:$B$204=L$2,"")</f>
        <v>I_ELENR</v>
      </c>
      <c r="M3" t="str" cm="1">
        <f t="array" ref="M3">_xlfn._xlws.FILTER($A$2:$A$204,$B$2:$B$204=M$2,"")</f>
        <v>I_MCLRE</v>
      </c>
      <c r="N3" t="str" cm="1">
        <f t="array" ref="N3">_xlfn._xlws.FILTER($A$2:$A$204,$B$2:$B$204=N$2,"")</f>
        <v>I_MLRTN</v>
      </c>
      <c r="P3" s="1" t="s">
        <v>13</v>
      </c>
      <c r="Q3" t="s">
        <v>2</v>
      </c>
    </row>
    <row r="4" spans="1:17" x14ac:dyDescent="0.35">
      <c r="A4" s="4" t="s">
        <v>23</v>
      </c>
      <c r="B4" s="4" t="s">
        <v>13</v>
      </c>
      <c r="C4" s="4" t="str">
        <f t="shared" si="0"/>
        <v>UNIMP_OROV</v>
      </c>
      <c r="E4" t="str">
        <v>I_ALD004</v>
      </c>
      <c r="F4" t="str">
        <v>I_ANTLP</v>
      </c>
      <c r="G4" t="str">
        <v>I_BTL006</v>
      </c>
      <c r="H4" t="str">
        <v>I_DER001</v>
      </c>
      <c r="K4" t="str">
        <v>I_BEARD</v>
      </c>
      <c r="L4" t="str">
        <v>I_HTCHY</v>
      </c>
      <c r="P4" s="1" t="s">
        <v>14</v>
      </c>
      <c r="Q4" t="s">
        <v>3</v>
      </c>
    </row>
    <row r="5" spans="1:17" x14ac:dyDescent="0.35">
      <c r="A5" s="4" t="s">
        <v>24</v>
      </c>
      <c r="B5" s="4" t="s">
        <v>12</v>
      </c>
      <c r="C5" s="4" t="str">
        <f t="shared" si="0"/>
        <v>UNIMP_FOLS</v>
      </c>
      <c r="E5" t="str">
        <v>I_ALOHA</v>
      </c>
      <c r="F5" t="str">
        <v>I_BTVLY</v>
      </c>
      <c r="G5" t="str">
        <v>I_CLR011</v>
      </c>
      <c r="H5" t="str">
        <v>I_DER004</v>
      </c>
      <c r="K5" t="str">
        <v>I_BVC007</v>
      </c>
      <c r="L5" t="str">
        <v>I_LLOYD</v>
      </c>
      <c r="P5" s="1" t="s">
        <v>15</v>
      </c>
      <c r="Q5" t="s">
        <v>4</v>
      </c>
    </row>
    <row r="6" spans="1:17" x14ac:dyDescent="0.35">
      <c r="A6" s="4" t="s">
        <v>25</v>
      </c>
      <c r="B6" s="4" t="s">
        <v>26</v>
      </c>
      <c r="C6" s="4" t="str">
        <f t="shared" si="0"/>
        <v>N/A</v>
      </c>
      <c r="E6" t="str">
        <v>I_BSH003</v>
      </c>
      <c r="F6" t="str">
        <v>I_BUCKS</v>
      </c>
      <c r="G6" t="str">
        <v>I_COW014</v>
      </c>
      <c r="H6" t="str">
        <v>I_ENGLB</v>
      </c>
      <c r="K6" t="str">
        <v>I_CFS001</v>
      </c>
      <c r="L6" t="str">
        <v>I_PEDRO</v>
      </c>
      <c r="P6" s="1" t="s">
        <v>16</v>
      </c>
      <c r="Q6" t="s">
        <v>26</v>
      </c>
    </row>
    <row r="7" spans="1:17" x14ac:dyDescent="0.35">
      <c r="A7" s="4" t="s">
        <v>27</v>
      </c>
      <c r="B7" s="4" t="s">
        <v>13</v>
      </c>
      <c r="C7" s="4" t="str">
        <f t="shared" si="0"/>
        <v>UNIMP_OROV</v>
      </c>
      <c r="E7" t="str">
        <v>I_CAPLS</v>
      </c>
      <c r="F7" t="str">
        <v>I_DAVIS</v>
      </c>
      <c r="G7" t="str">
        <v>I_CWD018</v>
      </c>
      <c r="H7" t="str">
        <v>I_FRDYC</v>
      </c>
      <c r="K7" t="str">
        <v>I_DONLL</v>
      </c>
      <c r="P7" s="1" t="s">
        <v>17</v>
      </c>
      <c r="Q7" t="s">
        <v>26</v>
      </c>
    </row>
    <row r="8" spans="1:17" x14ac:dyDescent="0.35">
      <c r="A8" s="4" t="s">
        <v>28</v>
      </c>
      <c r="B8" s="4" t="s">
        <v>26</v>
      </c>
      <c r="C8" s="4" t="str">
        <f t="shared" si="0"/>
        <v>N/A</v>
      </c>
      <c r="E8" t="str">
        <v>I_CYN009</v>
      </c>
      <c r="F8" t="str">
        <v>I_EBF001</v>
      </c>
      <c r="G8" t="str">
        <v>I_SCW008</v>
      </c>
      <c r="H8" t="str">
        <v>I_FRNCH</v>
      </c>
      <c r="K8" t="str">
        <v>I_LYONS</v>
      </c>
      <c r="P8" s="1" t="s">
        <v>18</v>
      </c>
      <c r="Q8" t="s">
        <v>5</v>
      </c>
    </row>
    <row r="9" spans="1:17" x14ac:dyDescent="0.35">
      <c r="A9" s="4" t="s">
        <v>29</v>
      </c>
      <c r="B9" s="4" t="s">
        <v>14</v>
      </c>
      <c r="C9" s="4" t="str">
        <f t="shared" si="0"/>
        <v>UNIMP_SRBB</v>
      </c>
      <c r="E9" t="str">
        <v>I_DCC010</v>
      </c>
      <c r="F9" t="str">
        <v>I_FRMAN</v>
      </c>
      <c r="G9" t="str">
        <v>I_WKYTN</v>
      </c>
      <c r="H9" t="str">
        <v>I_JKSMD</v>
      </c>
      <c r="K9" t="str">
        <v>I_MFS013</v>
      </c>
      <c r="P9" s="1" t="s">
        <v>19</v>
      </c>
      <c r="Q9" t="s">
        <v>6</v>
      </c>
    </row>
    <row r="10" spans="1:17" x14ac:dyDescent="0.35">
      <c r="A10" s="4" t="s">
        <v>30</v>
      </c>
      <c r="B10" s="4" t="s">
        <v>26</v>
      </c>
      <c r="C10" s="4" t="str">
        <f t="shared" si="0"/>
        <v>N/A</v>
      </c>
      <c r="E10" t="str">
        <v>I_ECHOL</v>
      </c>
      <c r="F10" t="str">
        <v>I_GZL009</v>
      </c>
      <c r="G10" s="2" t="str">
        <v>I_SHSTA</v>
      </c>
      <c r="H10" t="str">
        <v>I_LCBRF</v>
      </c>
      <c r="K10" t="str">
        <v>I_MFS022</v>
      </c>
      <c r="P10" s="1" t="s">
        <v>20</v>
      </c>
      <c r="Q10" t="s">
        <v>26</v>
      </c>
    </row>
    <row r="11" spans="1:17" x14ac:dyDescent="0.35">
      <c r="A11" s="4" t="s">
        <v>31</v>
      </c>
      <c r="B11" s="4" t="s">
        <v>15</v>
      </c>
      <c r="C11" s="4" t="str">
        <f t="shared" si="0"/>
        <v>UNIMP_YUBA</v>
      </c>
      <c r="E11" t="str">
        <v>I_FOLSM</v>
      </c>
      <c r="F11" t="str">
        <v>I_LGRSV</v>
      </c>
      <c r="H11" t="str">
        <v>I_MFY013</v>
      </c>
      <c r="K11" t="str">
        <v>I_MFS047</v>
      </c>
      <c r="P11" s="1" t="s">
        <v>21</v>
      </c>
      <c r="Q11" t="s">
        <v>26</v>
      </c>
    </row>
    <row r="12" spans="1:17" x14ac:dyDescent="0.35">
      <c r="A12" s="4" t="s">
        <v>32</v>
      </c>
      <c r="B12" s="4" t="s">
        <v>26</v>
      </c>
      <c r="C12" s="4" t="str">
        <f t="shared" si="0"/>
        <v>N/A</v>
      </c>
      <c r="E12" t="str">
        <v>I_FRMDW</v>
      </c>
      <c r="F12" t="str">
        <v>I_MFF019</v>
      </c>
      <c r="H12" t="str">
        <v>I_NBLDB</v>
      </c>
      <c r="K12" t="str">
        <v>I_MIL003</v>
      </c>
      <c r="Q12" s="1"/>
    </row>
    <row r="13" spans="1:17" x14ac:dyDescent="0.35">
      <c r="A13" s="4" t="s">
        <v>33</v>
      </c>
      <c r="B13" s="4" t="s">
        <v>26</v>
      </c>
      <c r="C13" s="4" t="str">
        <f t="shared" si="0"/>
        <v>N/A</v>
      </c>
      <c r="E13" t="str">
        <v>I_GERLE</v>
      </c>
      <c r="F13" t="str">
        <v>I_MFF087</v>
      </c>
      <c r="H13" t="str">
        <v>I_NFY029</v>
      </c>
      <c r="K13" t="str">
        <v>I_NFS005</v>
      </c>
    </row>
    <row r="14" spans="1:17" x14ac:dyDescent="0.35">
      <c r="A14" s="4" t="s">
        <v>34</v>
      </c>
      <c r="B14" s="4" t="s">
        <v>26</v>
      </c>
      <c r="C14" s="4" t="str">
        <f t="shared" si="0"/>
        <v>N/A</v>
      </c>
      <c r="E14" t="str">
        <v>I_HHOLE</v>
      </c>
      <c r="F14" t="str">
        <v>I_MTMDW</v>
      </c>
      <c r="H14" t="str">
        <v>I_OGN005</v>
      </c>
      <c r="K14" t="str">
        <v>I_NFS009</v>
      </c>
    </row>
    <row r="15" spans="1:17" x14ac:dyDescent="0.35">
      <c r="A15" s="4" t="s">
        <v>35</v>
      </c>
      <c r="B15" s="4" t="s">
        <v>12</v>
      </c>
      <c r="C15" s="4" t="str">
        <f t="shared" si="0"/>
        <v>UNIMP_FOLS</v>
      </c>
      <c r="E15" t="str">
        <v>I_ICEHS</v>
      </c>
      <c r="F15" t="str">
        <v>I_NFF029</v>
      </c>
      <c r="H15" t="str">
        <v>I_SCOTF</v>
      </c>
      <c r="K15" t="str">
        <v>I_NFS033</v>
      </c>
    </row>
    <row r="16" spans="1:17" x14ac:dyDescent="0.35">
      <c r="A16" s="4" t="s">
        <v>36</v>
      </c>
      <c r="B16" s="4" t="s">
        <v>26</v>
      </c>
      <c r="C16" s="4" t="str">
        <f t="shared" si="0"/>
        <v>N/A</v>
      </c>
      <c r="E16" t="str">
        <v>I_LKVLY</v>
      </c>
      <c r="F16" t="str">
        <v>I_OROVL</v>
      </c>
      <c r="H16" t="str">
        <v>I_SFD003</v>
      </c>
      <c r="K16" t="str">
        <v>I_PCRST</v>
      </c>
    </row>
    <row r="17" spans="1:11" x14ac:dyDescent="0.35">
      <c r="A17" s="4" t="s">
        <v>37</v>
      </c>
      <c r="B17" s="4" t="s">
        <v>14</v>
      </c>
      <c r="C17" s="4" t="str">
        <f t="shared" si="0"/>
        <v>UNIMP_SRBB</v>
      </c>
      <c r="E17" t="str">
        <v>I_LNG012</v>
      </c>
      <c r="F17" t="str">
        <v>I_RVPHB</v>
      </c>
      <c r="H17" t="str">
        <v>I_SFY007</v>
      </c>
      <c r="K17" t="str">
        <v>I_RLIEF</v>
      </c>
    </row>
    <row r="18" spans="1:11" x14ac:dyDescent="0.35">
      <c r="A18" s="4" t="s">
        <v>38</v>
      </c>
      <c r="B18" s="4" t="s">
        <v>13</v>
      </c>
      <c r="C18" s="4" t="str">
        <f t="shared" si="0"/>
        <v>UNIMP_OROV</v>
      </c>
      <c r="E18" t="str">
        <v>I_LOONL</v>
      </c>
      <c r="F18" t="str">
        <v>I_SFF008</v>
      </c>
      <c r="H18" t="str">
        <v>I_SFY048</v>
      </c>
      <c r="K18" t="str">
        <v>I_SFS030</v>
      </c>
    </row>
    <row r="19" spans="1:11" x14ac:dyDescent="0.35">
      <c r="A19" s="4" t="s">
        <v>39</v>
      </c>
      <c r="B19" s="4" t="s">
        <v>13</v>
      </c>
      <c r="C19" s="4" t="str">
        <f t="shared" si="0"/>
        <v>UNIMP_OROV</v>
      </c>
      <c r="E19" t="str">
        <v>I_LRB004</v>
      </c>
      <c r="F19" t="str">
        <v>I_SFF011</v>
      </c>
      <c r="H19" t="str">
        <v>I_SLT009</v>
      </c>
      <c r="K19" t="str">
        <v>I_SFS033</v>
      </c>
    </row>
    <row r="20" spans="1:11" x14ac:dyDescent="0.35">
      <c r="A20" s="4" t="s">
        <v>40</v>
      </c>
      <c r="B20" s="4" t="s">
        <v>12</v>
      </c>
      <c r="C20" s="4" t="str">
        <f t="shared" si="0"/>
        <v>UNIMP_FOLS</v>
      </c>
      <c r="E20" t="str">
        <v>I_MFA001</v>
      </c>
      <c r="F20" t="str">
        <v>I_SLYCK</v>
      </c>
      <c r="H20" t="str">
        <v>I_SPLDG</v>
      </c>
      <c r="K20" t="str">
        <v>I_SPICE</v>
      </c>
    </row>
    <row r="21" spans="1:11" x14ac:dyDescent="0.35">
      <c r="A21" s="4" t="s">
        <v>41</v>
      </c>
      <c r="B21" s="4" t="s">
        <v>26</v>
      </c>
      <c r="C21" s="4" t="str">
        <f t="shared" si="0"/>
        <v>N/A</v>
      </c>
      <c r="E21" t="str">
        <v>I_MFA023</v>
      </c>
      <c r="F21" t="str">
        <v>I_WBF006</v>
      </c>
      <c r="K21" t="str">
        <v>I_STS072</v>
      </c>
    </row>
    <row r="22" spans="1:11" x14ac:dyDescent="0.35">
      <c r="A22" s="4" t="s">
        <v>42</v>
      </c>
      <c r="B22" s="4" t="s">
        <v>14</v>
      </c>
      <c r="C22" s="4" t="str">
        <f t="shared" si="0"/>
        <v>UNIMP_SRBB</v>
      </c>
      <c r="E22" t="str">
        <v>I_MFA025</v>
      </c>
      <c r="F22" t="str">
        <v>I_WBF015</v>
      </c>
    </row>
    <row r="23" spans="1:11" x14ac:dyDescent="0.35">
      <c r="A23" s="4" t="s">
        <v>43</v>
      </c>
      <c r="B23" s="4" t="s">
        <v>26</v>
      </c>
      <c r="C23" s="4" t="str">
        <f t="shared" si="0"/>
        <v>N/A</v>
      </c>
      <c r="E23" t="str">
        <v>I_MFA036</v>
      </c>
      <c r="F23" t="str">
        <v>I_WBF030</v>
      </c>
    </row>
    <row r="24" spans="1:11" x14ac:dyDescent="0.35">
      <c r="A24" s="4" t="s">
        <v>44</v>
      </c>
      <c r="B24" s="4" t="s">
        <v>26</v>
      </c>
      <c r="C24" s="4" t="str">
        <f t="shared" si="0"/>
        <v>N/A</v>
      </c>
      <c r="E24" t="str">
        <v>I_NFA016</v>
      </c>
    </row>
    <row r="25" spans="1:11" x14ac:dyDescent="0.35">
      <c r="A25" s="4" t="s">
        <v>45</v>
      </c>
      <c r="B25" s="4" t="s">
        <v>26</v>
      </c>
      <c r="C25" s="4" t="str">
        <f t="shared" si="0"/>
        <v>N/A</v>
      </c>
      <c r="E25" t="str">
        <v>I_NFA022</v>
      </c>
    </row>
    <row r="26" spans="1:11" x14ac:dyDescent="0.35">
      <c r="A26" s="4" t="s">
        <v>46</v>
      </c>
      <c r="B26" s="4" t="s">
        <v>14</v>
      </c>
      <c r="C26" s="4" t="str">
        <f t="shared" si="0"/>
        <v>UNIMP_SRBB</v>
      </c>
      <c r="E26" t="str">
        <v>I_NFA054</v>
      </c>
    </row>
    <row r="27" spans="1:11" x14ac:dyDescent="0.35">
      <c r="A27" s="4" t="s">
        <v>47</v>
      </c>
      <c r="B27" s="4" t="s">
        <v>14</v>
      </c>
      <c r="C27" s="4" t="str">
        <f t="shared" si="0"/>
        <v>UNIMP_SRBB</v>
      </c>
      <c r="E27" t="str">
        <v>I_NLC003</v>
      </c>
    </row>
    <row r="28" spans="1:11" x14ac:dyDescent="0.35">
      <c r="A28" s="4" t="s">
        <v>48</v>
      </c>
      <c r="B28" s="4" t="s">
        <v>12</v>
      </c>
      <c r="C28" s="4" t="str">
        <f t="shared" si="0"/>
        <v>UNIMP_FOLS</v>
      </c>
      <c r="E28" t="str">
        <v>I_NMA003</v>
      </c>
    </row>
    <row r="29" spans="1:11" x14ac:dyDescent="0.35">
      <c r="A29" s="4" t="s">
        <v>49</v>
      </c>
      <c r="B29" s="4" t="s">
        <v>13</v>
      </c>
      <c r="C29" s="4" t="str">
        <f t="shared" si="0"/>
        <v>UNIMP_OROV</v>
      </c>
      <c r="E29" t="str">
        <v>I_NNA013</v>
      </c>
    </row>
    <row r="30" spans="1:11" x14ac:dyDescent="0.35">
      <c r="A30" s="4" t="s">
        <v>50</v>
      </c>
      <c r="B30" s="4" t="s">
        <v>12</v>
      </c>
      <c r="C30" s="4" t="str">
        <f t="shared" si="0"/>
        <v>UNIMP_FOLS</v>
      </c>
      <c r="E30" t="str">
        <v>I_PLC007</v>
      </c>
    </row>
    <row r="31" spans="1:11" x14ac:dyDescent="0.35">
      <c r="A31" s="4" t="s">
        <v>51</v>
      </c>
      <c r="B31" s="4" t="s">
        <v>15</v>
      </c>
      <c r="C31" s="4" t="str">
        <f t="shared" si="0"/>
        <v>UNIMP_YUBA</v>
      </c>
      <c r="E31" t="str">
        <v>I_PLM001</v>
      </c>
    </row>
    <row r="32" spans="1:11" x14ac:dyDescent="0.35">
      <c r="A32" s="4" t="s">
        <v>52</v>
      </c>
      <c r="B32" s="4" t="s">
        <v>15</v>
      </c>
      <c r="C32" s="4" t="str">
        <f t="shared" si="0"/>
        <v>UNIMP_YUBA</v>
      </c>
      <c r="E32" t="str">
        <v>I_PYR001</v>
      </c>
    </row>
    <row r="33" spans="1:5" x14ac:dyDescent="0.35">
      <c r="A33" s="4" t="s">
        <v>53</v>
      </c>
      <c r="B33" s="4" t="s">
        <v>26</v>
      </c>
      <c r="C33" s="4" t="str">
        <f t="shared" si="0"/>
        <v>N/A</v>
      </c>
      <c r="E33" t="str">
        <v>I_RCK001</v>
      </c>
    </row>
    <row r="34" spans="1:5" x14ac:dyDescent="0.35">
      <c r="A34" s="4" t="s">
        <v>54</v>
      </c>
      <c r="B34" s="4" t="s">
        <v>26</v>
      </c>
      <c r="C34" s="4" t="str">
        <f t="shared" si="0"/>
        <v>N/A</v>
      </c>
      <c r="E34" t="str">
        <v>I_RUB002</v>
      </c>
    </row>
    <row r="35" spans="1:5" x14ac:dyDescent="0.35">
      <c r="A35" s="4" t="s">
        <v>55</v>
      </c>
      <c r="B35" s="4" t="s">
        <v>13</v>
      </c>
      <c r="C35" s="4" t="str">
        <f t="shared" si="0"/>
        <v>UNIMP_OROV</v>
      </c>
      <c r="E35" t="str">
        <v>I_RUB047</v>
      </c>
    </row>
    <row r="36" spans="1:5" x14ac:dyDescent="0.35">
      <c r="A36" s="4" t="s">
        <v>56</v>
      </c>
      <c r="B36" s="4" t="s">
        <v>12</v>
      </c>
      <c r="C36" s="4" t="str">
        <f t="shared" si="0"/>
        <v>UNIMP_FOLS</v>
      </c>
      <c r="E36" t="str">
        <v>I_SFA030</v>
      </c>
    </row>
    <row r="37" spans="1:5" x14ac:dyDescent="0.35">
      <c r="A37" s="4" t="s">
        <v>57</v>
      </c>
      <c r="B37" s="4" t="s">
        <v>26</v>
      </c>
      <c r="C37" s="4" t="str">
        <f t="shared" si="0"/>
        <v>N/A</v>
      </c>
      <c r="E37" t="str">
        <v>I_SFA040</v>
      </c>
    </row>
    <row r="38" spans="1:5" x14ac:dyDescent="0.35">
      <c r="A38" s="4" t="s">
        <v>58</v>
      </c>
      <c r="B38" s="4" t="s">
        <v>15</v>
      </c>
      <c r="C38" s="4" t="str">
        <f t="shared" si="0"/>
        <v>UNIMP_YUBA</v>
      </c>
      <c r="E38" t="str">
        <v>I_SFA066</v>
      </c>
    </row>
    <row r="39" spans="1:5" x14ac:dyDescent="0.35">
      <c r="A39" s="4" t="s">
        <v>59</v>
      </c>
      <c r="B39" s="4" t="s">
        <v>26</v>
      </c>
      <c r="C39" s="4" t="str">
        <f t="shared" si="0"/>
        <v>N/A</v>
      </c>
      <c r="E39" t="str">
        <v>I_SFA076</v>
      </c>
    </row>
    <row r="40" spans="1:5" x14ac:dyDescent="0.35">
      <c r="A40" s="4" t="s">
        <v>60</v>
      </c>
      <c r="B40" s="4" t="s">
        <v>12</v>
      </c>
      <c r="C40" s="4" t="str">
        <f t="shared" si="0"/>
        <v>UNIMP_FOLS</v>
      </c>
      <c r="E40" t="str">
        <v>I_SFR006</v>
      </c>
    </row>
    <row r="41" spans="1:5" x14ac:dyDescent="0.35">
      <c r="A41" s="4" t="s">
        <v>61</v>
      </c>
      <c r="B41" s="4" t="s">
        <v>15</v>
      </c>
      <c r="C41" s="4" t="str">
        <f t="shared" si="0"/>
        <v>UNIMP_YUBA</v>
      </c>
      <c r="E41" t="str">
        <v>I_SILVR</v>
      </c>
    </row>
    <row r="42" spans="1:5" x14ac:dyDescent="0.35">
      <c r="A42" s="4" t="s">
        <v>62</v>
      </c>
      <c r="B42" s="4" t="s">
        <v>13</v>
      </c>
      <c r="C42" s="4" t="str">
        <f t="shared" si="0"/>
        <v>UNIMP_OROV</v>
      </c>
      <c r="E42" t="str">
        <v>I_SLC003</v>
      </c>
    </row>
    <row r="43" spans="1:5" x14ac:dyDescent="0.35">
      <c r="A43" s="4" t="s">
        <v>63</v>
      </c>
      <c r="B43" s="4" t="s">
        <v>12</v>
      </c>
      <c r="C43" s="4" t="str">
        <f t="shared" si="0"/>
        <v>UNIMP_FOLS</v>
      </c>
      <c r="E43" t="str">
        <v>I_SLF009</v>
      </c>
    </row>
    <row r="44" spans="1:5" x14ac:dyDescent="0.35">
      <c r="A44" s="4" t="s">
        <v>64</v>
      </c>
      <c r="B44" s="4" t="s">
        <v>15</v>
      </c>
      <c r="C44" s="4" t="str">
        <f t="shared" si="0"/>
        <v>UNIMP_YUBA</v>
      </c>
      <c r="E44" t="str">
        <v>I_SLV006</v>
      </c>
    </row>
    <row r="45" spans="1:5" x14ac:dyDescent="0.35">
      <c r="A45" s="4" t="s">
        <v>65</v>
      </c>
      <c r="B45" s="4" t="s">
        <v>12</v>
      </c>
      <c r="C45" s="4" t="str">
        <f t="shared" si="0"/>
        <v>UNIMP_FOLS</v>
      </c>
      <c r="E45" t="str">
        <v>I_SLV015</v>
      </c>
    </row>
    <row r="46" spans="1:5" x14ac:dyDescent="0.35">
      <c r="A46" s="4" t="s">
        <v>66</v>
      </c>
      <c r="B46" s="4" t="s">
        <v>13</v>
      </c>
      <c r="C46" s="4" t="str">
        <f t="shared" si="0"/>
        <v>UNIMP_OROV</v>
      </c>
      <c r="E46" t="str">
        <v>I_STMPY</v>
      </c>
    </row>
    <row r="47" spans="1:5" x14ac:dyDescent="0.35">
      <c r="A47" s="4" t="s">
        <v>67</v>
      </c>
      <c r="B47" s="4" t="s">
        <v>12</v>
      </c>
      <c r="C47" s="4" t="str">
        <f t="shared" si="0"/>
        <v>UNIMP_FOLS</v>
      </c>
      <c r="E47" t="str">
        <v>I_UNVLY</v>
      </c>
    </row>
    <row r="48" spans="1:5" x14ac:dyDescent="0.35">
      <c r="A48" s="4" t="s">
        <v>68</v>
      </c>
      <c r="B48" s="4" t="s">
        <v>26</v>
      </c>
      <c r="C48" s="4" t="str">
        <f t="shared" si="0"/>
        <v>N/A</v>
      </c>
      <c r="E48" t="str">
        <v>I_WBR001</v>
      </c>
    </row>
    <row r="49" spans="1:3" x14ac:dyDescent="0.35">
      <c r="A49" s="4" t="s">
        <v>69</v>
      </c>
      <c r="B49" s="4" t="s">
        <v>12</v>
      </c>
      <c r="C49" s="4" t="str">
        <f t="shared" si="0"/>
        <v>UNIMP_FOLS</v>
      </c>
    </row>
    <row r="50" spans="1:3" x14ac:dyDescent="0.35">
      <c r="A50" s="4" t="s">
        <v>70</v>
      </c>
      <c r="B50" s="4" t="s">
        <v>26</v>
      </c>
      <c r="C50" s="4" t="str">
        <f t="shared" si="0"/>
        <v>N/A</v>
      </c>
    </row>
    <row r="51" spans="1:3" x14ac:dyDescent="0.35">
      <c r="A51" s="4" t="s">
        <v>71</v>
      </c>
      <c r="B51" s="4" t="s">
        <v>15</v>
      </c>
      <c r="C51" s="4" t="str">
        <f t="shared" si="0"/>
        <v>UNIMP_YUBA</v>
      </c>
    </row>
    <row r="52" spans="1:3" x14ac:dyDescent="0.35">
      <c r="A52" s="4" t="s">
        <v>72</v>
      </c>
      <c r="B52" s="4" t="s">
        <v>15</v>
      </c>
      <c r="C52" s="4" t="str">
        <f t="shared" si="0"/>
        <v>UNIMP_YUBA</v>
      </c>
    </row>
    <row r="53" spans="1:3" x14ac:dyDescent="0.35">
      <c r="A53" s="4" t="s">
        <v>73</v>
      </c>
      <c r="B53" s="4" t="s">
        <v>26</v>
      </c>
      <c r="C53" s="4" t="str">
        <f t="shared" si="0"/>
        <v>N/A</v>
      </c>
    </row>
    <row r="54" spans="1:3" x14ac:dyDescent="0.35">
      <c r="A54" s="4" t="s">
        <v>74</v>
      </c>
      <c r="B54" s="4" t="s">
        <v>26</v>
      </c>
      <c r="C54" s="4" t="str">
        <f t="shared" si="0"/>
        <v>N/A</v>
      </c>
    </row>
    <row r="55" spans="1:3" x14ac:dyDescent="0.35">
      <c r="A55" s="4" t="s">
        <v>75</v>
      </c>
      <c r="B55" s="4" t="s">
        <v>13</v>
      </c>
      <c r="C55" s="4" t="str">
        <f t="shared" si="0"/>
        <v>UNIMP_OROV</v>
      </c>
    </row>
    <row r="56" spans="1:3" x14ac:dyDescent="0.35">
      <c r="A56" s="4" t="s">
        <v>76</v>
      </c>
      <c r="B56" s="4" t="s">
        <v>12</v>
      </c>
      <c r="C56" s="4" t="str">
        <f t="shared" si="0"/>
        <v>UNIMP_FOLS</v>
      </c>
    </row>
    <row r="57" spans="1:3" x14ac:dyDescent="0.35">
      <c r="A57" s="4" t="s">
        <v>77</v>
      </c>
      <c r="B57" s="4" t="s">
        <v>12</v>
      </c>
      <c r="C57" s="4" t="str">
        <f t="shared" si="0"/>
        <v>UNIMP_FOLS</v>
      </c>
    </row>
    <row r="58" spans="1:3" x14ac:dyDescent="0.35">
      <c r="A58" s="4" t="s">
        <v>78</v>
      </c>
      <c r="B58" s="4" t="s">
        <v>12</v>
      </c>
      <c r="C58" s="4" t="str">
        <f t="shared" si="0"/>
        <v>UNIMP_FOLS</v>
      </c>
    </row>
    <row r="59" spans="1:3" x14ac:dyDescent="0.35">
      <c r="A59" s="4" t="s">
        <v>79</v>
      </c>
      <c r="B59" s="4" t="s">
        <v>12</v>
      </c>
      <c r="C59" s="4" t="str">
        <f t="shared" si="0"/>
        <v>UNIMP_FOLS</v>
      </c>
    </row>
    <row r="60" spans="1:3" x14ac:dyDescent="0.35">
      <c r="A60" s="4" t="s">
        <v>80</v>
      </c>
      <c r="B60" s="4" t="s">
        <v>26</v>
      </c>
      <c r="C60" s="4" t="str">
        <f t="shared" si="0"/>
        <v>N/A</v>
      </c>
    </row>
    <row r="61" spans="1:3" x14ac:dyDescent="0.35">
      <c r="A61" s="4" t="s">
        <v>81</v>
      </c>
      <c r="B61" s="4" t="s">
        <v>26</v>
      </c>
      <c r="C61" s="4" t="str">
        <f t="shared" si="0"/>
        <v>N/A</v>
      </c>
    </row>
    <row r="62" spans="1:3" x14ac:dyDescent="0.35">
      <c r="A62" s="4" t="s">
        <v>82</v>
      </c>
      <c r="B62" s="4" t="s">
        <v>12</v>
      </c>
      <c r="C62" s="4" t="str">
        <f t="shared" si="0"/>
        <v>UNIMP_FOLS</v>
      </c>
    </row>
    <row r="63" spans="1:3" x14ac:dyDescent="0.35">
      <c r="A63" s="4" t="s">
        <v>83</v>
      </c>
      <c r="B63" s="4" t="s">
        <v>12</v>
      </c>
      <c r="C63" s="4" t="str">
        <f t="shared" si="0"/>
        <v>UNIMP_FOLS</v>
      </c>
    </row>
    <row r="64" spans="1:3" x14ac:dyDescent="0.35">
      <c r="A64" s="4" t="s">
        <v>84</v>
      </c>
      <c r="B64" s="4" t="s">
        <v>12</v>
      </c>
      <c r="C64" s="4" t="str">
        <f t="shared" si="0"/>
        <v>UNIMP_FOLS</v>
      </c>
    </row>
    <row r="65" spans="1:3" x14ac:dyDescent="0.35">
      <c r="A65" s="4" t="s">
        <v>85</v>
      </c>
      <c r="B65" s="4" t="s">
        <v>12</v>
      </c>
      <c r="C65" s="4" t="str">
        <f t="shared" si="0"/>
        <v>UNIMP_FOLS</v>
      </c>
    </row>
    <row r="66" spans="1:3" x14ac:dyDescent="0.35">
      <c r="A66" s="4" t="s">
        <v>86</v>
      </c>
      <c r="B66" s="4" t="s">
        <v>13</v>
      </c>
      <c r="C66" s="4" t="str">
        <f t="shared" si="0"/>
        <v>UNIMP_OROV</v>
      </c>
    </row>
    <row r="67" spans="1:3" x14ac:dyDescent="0.35">
      <c r="A67" s="4" t="s">
        <v>87</v>
      </c>
      <c r="B67" s="4" t="s">
        <v>13</v>
      </c>
      <c r="C67" s="4" t="str">
        <f t="shared" ref="C67:C130" si="1">_xlfn.IFNA(VLOOKUP(B67,$P$2:$Q$11,2,FALSE),"N/A")</f>
        <v>UNIMP_OROV</v>
      </c>
    </row>
    <row r="68" spans="1:3" x14ac:dyDescent="0.35">
      <c r="A68" s="4" t="s">
        <v>88</v>
      </c>
      <c r="B68" s="4" t="s">
        <v>15</v>
      </c>
      <c r="C68" s="4" t="str">
        <f t="shared" si="1"/>
        <v>UNIMP_YUBA</v>
      </c>
    </row>
    <row r="69" spans="1:3" x14ac:dyDescent="0.35">
      <c r="A69" s="4" t="s">
        <v>89</v>
      </c>
      <c r="B69" s="4" t="s">
        <v>26</v>
      </c>
      <c r="C69" s="4" t="str">
        <f t="shared" si="1"/>
        <v>N/A</v>
      </c>
    </row>
    <row r="70" spans="1:3" x14ac:dyDescent="0.35">
      <c r="A70" s="4" t="s">
        <v>90</v>
      </c>
      <c r="B70" s="4" t="s">
        <v>26</v>
      </c>
      <c r="C70" s="4" t="str">
        <f t="shared" si="1"/>
        <v>N/A</v>
      </c>
    </row>
    <row r="71" spans="1:3" x14ac:dyDescent="0.35">
      <c r="A71" s="4" t="s">
        <v>91</v>
      </c>
      <c r="B71" s="4" t="s">
        <v>13</v>
      </c>
      <c r="C71" s="4" t="str">
        <f t="shared" si="1"/>
        <v>UNIMP_OROV</v>
      </c>
    </row>
    <row r="72" spans="1:3" x14ac:dyDescent="0.35">
      <c r="A72" s="4" t="s">
        <v>92</v>
      </c>
      <c r="B72" s="4" t="s">
        <v>15</v>
      </c>
      <c r="C72" s="4" t="str">
        <f t="shared" si="1"/>
        <v>UNIMP_YUBA</v>
      </c>
    </row>
    <row r="73" spans="1:3" x14ac:dyDescent="0.35">
      <c r="A73" s="4" t="s">
        <v>93</v>
      </c>
      <c r="B73" s="4" t="s">
        <v>12</v>
      </c>
      <c r="C73" s="4" t="str">
        <f t="shared" si="1"/>
        <v>UNIMP_FOLS</v>
      </c>
    </row>
    <row r="74" spans="1:3" x14ac:dyDescent="0.35">
      <c r="A74" s="4" t="s">
        <v>94</v>
      </c>
      <c r="B74" s="4" t="s">
        <v>12</v>
      </c>
      <c r="C74" s="4" t="str">
        <f t="shared" si="1"/>
        <v>UNIMP_FOLS</v>
      </c>
    </row>
    <row r="75" spans="1:3" x14ac:dyDescent="0.35">
      <c r="A75" s="4" t="s">
        <v>95</v>
      </c>
      <c r="B75" s="4" t="s">
        <v>12</v>
      </c>
      <c r="C75" s="4" t="str">
        <f t="shared" si="1"/>
        <v>UNIMP_FOLS</v>
      </c>
    </row>
    <row r="76" spans="1:3" x14ac:dyDescent="0.35">
      <c r="A76" s="4" t="s">
        <v>96</v>
      </c>
      <c r="B76" s="4" t="s">
        <v>13</v>
      </c>
      <c r="C76" s="4" t="str">
        <f t="shared" si="1"/>
        <v>UNIMP_OROV</v>
      </c>
    </row>
    <row r="77" spans="1:3" x14ac:dyDescent="0.35">
      <c r="A77" s="4" t="s">
        <v>97</v>
      </c>
      <c r="B77" s="4" t="s">
        <v>15</v>
      </c>
      <c r="C77" s="4" t="str">
        <f t="shared" si="1"/>
        <v>UNIMP_YUBA</v>
      </c>
    </row>
    <row r="78" spans="1:3" x14ac:dyDescent="0.35">
      <c r="A78" s="4" t="s">
        <v>98</v>
      </c>
      <c r="B78" s="4" t="s">
        <v>12</v>
      </c>
      <c r="C78" s="4" t="str">
        <f t="shared" si="1"/>
        <v>UNIMP_FOLS</v>
      </c>
    </row>
    <row r="79" spans="1:3" x14ac:dyDescent="0.35">
      <c r="A79" s="4" t="s">
        <v>99</v>
      </c>
      <c r="B79" s="4" t="s">
        <v>12</v>
      </c>
      <c r="C79" s="4" t="str">
        <f t="shared" si="1"/>
        <v>UNIMP_FOLS</v>
      </c>
    </row>
    <row r="80" spans="1:3" x14ac:dyDescent="0.35">
      <c r="A80" s="4" t="s">
        <v>100</v>
      </c>
      <c r="B80" s="4" t="s">
        <v>12</v>
      </c>
      <c r="C80" s="4" t="str">
        <f t="shared" si="1"/>
        <v>UNIMP_FOLS</v>
      </c>
    </row>
    <row r="81" spans="1:3" x14ac:dyDescent="0.35">
      <c r="A81" s="4" t="s">
        <v>101</v>
      </c>
      <c r="B81" s="4" t="s">
        <v>15</v>
      </c>
      <c r="C81" s="4" t="str">
        <f t="shared" si="1"/>
        <v>UNIMP_YUBA</v>
      </c>
    </row>
    <row r="82" spans="1:3" x14ac:dyDescent="0.35">
      <c r="A82" s="4" t="s">
        <v>102</v>
      </c>
      <c r="B82" s="4" t="s">
        <v>13</v>
      </c>
      <c r="C82" s="4" t="str">
        <f t="shared" si="1"/>
        <v>UNIMP_OROV</v>
      </c>
    </row>
    <row r="83" spans="1:3" x14ac:dyDescent="0.35">
      <c r="A83" s="4" t="s">
        <v>103</v>
      </c>
      <c r="B83" s="4" t="s">
        <v>12</v>
      </c>
      <c r="C83" s="4" t="str">
        <f t="shared" si="1"/>
        <v>UNIMP_FOLS</v>
      </c>
    </row>
    <row r="84" spans="1:3" x14ac:dyDescent="0.35">
      <c r="A84" s="4" t="s">
        <v>104</v>
      </c>
      <c r="B84" s="4" t="s">
        <v>12</v>
      </c>
      <c r="C84" s="4" t="str">
        <f t="shared" si="1"/>
        <v>UNIMP_FOLS</v>
      </c>
    </row>
    <row r="85" spans="1:3" x14ac:dyDescent="0.35">
      <c r="A85" s="4" t="s">
        <v>105</v>
      </c>
      <c r="B85" s="4" t="s">
        <v>26</v>
      </c>
      <c r="C85" s="4" t="str">
        <f t="shared" si="1"/>
        <v>N/A</v>
      </c>
    </row>
    <row r="86" spans="1:3" x14ac:dyDescent="0.35">
      <c r="A86" s="4" t="s">
        <v>106</v>
      </c>
      <c r="B86" s="4" t="s">
        <v>12</v>
      </c>
      <c r="C86" s="4" t="str">
        <f t="shared" si="1"/>
        <v>UNIMP_FOLS</v>
      </c>
    </row>
    <row r="87" spans="1:3" x14ac:dyDescent="0.35">
      <c r="A87" s="4" t="s">
        <v>107</v>
      </c>
      <c r="B87" s="4" t="s">
        <v>12</v>
      </c>
      <c r="C87" s="4" t="str">
        <f t="shared" si="1"/>
        <v>UNIMP_FOLS</v>
      </c>
    </row>
    <row r="88" spans="1:3" x14ac:dyDescent="0.35">
      <c r="A88" s="4" t="s">
        <v>108</v>
      </c>
      <c r="B88" s="4" t="s">
        <v>26</v>
      </c>
      <c r="C88" s="4" t="str">
        <f t="shared" si="1"/>
        <v>N/A</v>
      </c>
    </row>
    <row r="89" spans="1:3" x14ac:dyDescent="0.35">
      <c r="A89" s="4" t="s">
        <v>109</v>
      </c>
      <c r="B89" s="4" t="s">
        <v>12</v>
      </c>
      <c r="C89" s="4" t="str">
        <f t="shared" si="1"/>
        <v>UNIMP_FOLS</v>
      </c>
    </row>
    <row r="90" spans="1:3" x14ac:dyDescent="0.35">
      <c r="A90" s="4" t="s">
        <v>110</v>
      </c>
      <c r="B90" s="4" t="s">
        <v>12</v>
      </c>
      <c r="C90" s="4" t="str">
        <f t="shared" si="1"/>
        <v>UNIMP_FOLS</v>
      </c>
    </row>
    <row r="91" spans="1:3" x14ac:dyDescent="0.35">
      <c r="A91" s="4" t="s">
        <v>111</v>
      </c>
      <c r="B91" s="4" t="s">
        <v>13</v>
      </c>
      <c r="C91" s="4" t="str">
        <f t="shared" si="1"/>
        <v>UNIMP_OROV</v>
      </c>
    </row>
    <row r="92" spans="1:3" x14ac:dyDescent="0.35">
      <c r="A92" s="4" t="s">
        <v>112</v>
      </c>
      <c r="B92" s="4" t="s">
        <v>15</v>
      </c>
      <c r="C92" s="4" t="str">
        <f t="shared" si="1"/>
        <v>UNIMP_YUBA</v>
      </c>
    </row>
    <row r="93" spans="1:3" x14ac:dyDescent="0.35">
      <c r="A93" s="4" t="s">
        <v>113</v>
      </c>
      <c r="B93" s="4" t="s">
        <v>14</v>
      </c>
      <c r="C93" s="4" t="str">
        <f t="shared" si="1"/>
        <v>UNIMP_SRBB</v>
      </c>
    </row>
    <row r="94" spans="1:3" x14ac:dyDescent="0.35">
      <c r="A94" s="4" t="s">
        <v>114</v>
      </c>
      <c r="B94" s="4" t="s">
        <v>12</v>
      </c>
      <c r="C94" s="4" t="str">
        <f t="shared" si="1"/>
        <v>UNIMP_FOLS</v>
      </c>
    </row>
    <row r="95" spans="1:3" x14ac:dyDescent="0.35">
      <c r="A95" s="4" t="s">
        <v>115</v>
      </c>
      <c r="B95" s="4" t="s">
        <v>12</v>
      </c>
      <c r="C95" s="4" t="str">
        <f t="shared" si="1"/>
        <v>UNIMP_FOLS</v>
      </c>
    </row>
    <row r="96" spans="1:3" x14ac:dyDescent="0.35">
      <c r="A96" s="4" t="s">
        <v>116</v>
      </c>
      <c r="B96" s="4" t="s">
        <v>12</v>
      </c>
      <c r="C96" s="4" t="str">
        <f t="shared" si="1"/>
        <v>UNIMP_FOLS</v>
      </c>
    </row>
    <row r="97" spans="1:3" x14ac:dyDescent="0.35">
      <c r="A97" s="4" t="s">
        <v>117</v>
      </c>
      <c r="B97" s="4" t="s">
        <v>12</v>
      </c>
      <c r="C97" s="4" t="str">
        <f t="shared" si="1"/>
        <v>UNIMP_FOLS</v>
      </c>
    </row>
    <row r="98" spans="1:3" x14ac:dyDescent="0.35">
      <c r="A98" s="4" t="s">
        <v>118</v>
      </c>
      <c r="B98" s="4" t="s">
        <v>15</v>
      </c>
      <c r="C98" s="4" t="str">
        <f t="shared" si="1"/>
        <v>UNIMP_YUBA</v>
      </c>
    </row>
    <row r="99" spans="1:3" x14ac:dyDescent="0.35">
      <c r="A99" s="4" t="s">
        <v>119</v>
      </c>
      <c r="B99" s="4" t="s">
        <v>13</v>
      </c>
      <c r="C99" s="4" t="str">
        <f t="shared" si="1"/>
        <v>UNIMP_OROV</v>
      </c>
    </row>
    <row r="100" spans="1:3" x14ac:dyDescent="0.35">
      <c r="A100" s="4" t="s">
        <v>120</v>
      </c>
      <c r="B100" s="4" t="s">
        <v>13</v>
      </c>
      <c r="C100" s="4" t="str">
        <f t="shared" si="1"/>
        <v>UNIMP_OROV</v>
      </c>
    </row>
    <row r="101" spans="1:3" x14ac:dyDescent="0.35">
      <c r="A101" s="4" t="s">
        <v>121</v>
      </c>
      <c r="B101" s="4" t="s">
        <v>12</v>
      </c>
      <c r="C101" s="4" t="str">
        <f t="shared" si="1"/>
        <v>UNIMP_FOLS</v>
      </c>
    </row>
    <row r="102" spans="1:3" x14ac:dyDescent="0.35">
      <c r="A102" s="4" t="s">
        <v>122</v>
      </c>
      <c r="B102" s="4" t="s">
        <v>15</v>
      </c>
      <c r="C102" s="4" t="str">
        <f t="shared" si="1"/>
        <v>UNIMP_YUBA</v>
      </c>
    </row>
    <row r="103" spans="1:3" x14ac:dyDescent="0.35">
      <c r="A103" s="4" t="s">
        <v>123</v>
      </c>
      <c r="B103" s="4" t="s">
        <v>15</v>
      </c>
      <c r="C103" s="4" t="str">
        <f t="shared" si="1"/>
        <v>UNIMP_YUBA</v>
      </c>
    </row>
    <row r="104" spans="1:3" x14ac:dyDescent="0.35">
      <c r="A104" s="4" t="s">
        <v>124</v>
      </c>
      <c r="B104" s="4" t="s">
        <v>26</v>
      </c>
      <c r="C104" s="4" t="str">
        <f t="shared" si="1"/>
        <v>N/A</v>
      </c>
    </row>
    <row r="105" spans="1:3" x14ac:dyDescent="0.35">
      <c r="A105" s="4" t="s">
        <v>125</v>
      </c>
      <c r="B105" s="4" t="s">
        <v>16</v>
      </c>
      <c r="C105" s="4" t="str">
        <f t="shared" si="1"/>
        <v>N/A</v>
      </c>
    </row>
    <row r="106" spans="1:3" x14ac:dyDescent="0.35">
      <c r="A106" s="4" t="s">
        <v>126</v>
      </c>
      <c r="B106" s="4" t="s">
        <v>12</v>
      </c>
      <c r="C106" s="4" t="str">
        <f t="shared" si="1"/>
        <v>UNIMP_FOLS</v>
      </c>
    </row>
    <row r="107" spans="1:3" x14ac:dyDescent="0.35">
      <c r="A107" s="4" t="s">
        <v>127</v>
      </c>
      <c r="B107" s="4" t="s">
        <v>12</v>
      </c>
      <c r="C107" s="4" t="str">
        <f t="shared" si="1"/>
        <v>UNIMP_FOLS</v>
      </c>
    </row>
    <row r="108" spans="1:3" x14ac:dyDescent="0.35">
      <c r="A108" s="4" t="s">
        <v>128</v>
      </c>
      <c r="B108" s="4" t="s">
        <v>12</v>
      </c>
      <c r="C108" s="4" t="str">
        <f t="shared" si="1"/>
        <v>UNIMP_FOLS</v>
      </c>
    </row>
    <row r="109" spans="1:3" x14ac:dyDescent="0.35">
      <c r="A109" s="4" t="s">
        <v>129</v>
      </c>
      <c r="B109" s="4" t="s">
        <v>15</v>
      </c>
      <c r="C109" s="4" t="str">
        <f t="shared" si="1"/>
        <v>UNIMP_YUBA</v>
      </c>
    </row>
    <row r="110" spans="1:3" x14ac:dyDescent="0.35">
      <c r="A110" s="4" t="s">
        <v>130</v>
      </c>
      <c r="B110" s="4" t="s">
        <v>12</v>
      </c>
      <c r="C110" s="4" t="str">
        <f t="shared" si="1"/>
        <v>UNIMP_FOLS</v>
      </c>
    </row>
    <row r="111" spans="1:3" x14ac:dyDescent="0.35">
      <c r="A111" s="4" t="s">
        <v>131</v>
      </c>
      <c r="B111" s="4" t="s">
        <v>12</v>
      </c>
      <c r="C111" s="4" t="str">
        <f t="shared" si="1"/>
        <v>UNIMP_FOLS</v>
      </c>
    </row>
    <row r="112" spans="1:3" x14ac:dyDescent="0.35">
      <c r="A112" s="4" t="s">
        <v>132</v>
      </c>
      <c r="B112" s="4" t="s">
        <v>13</v>
      </c>
      <c r="C112" s="4" t="str">
        <f t="shared" si="1"/>
        <v>UNIMP_OROV</v>
      </c>
    </row>
    <row r="113" spans="1:3" x14ac:dyDescent="0.35">
      <c r="A113" s="4" t="s">
        <v>133</v>
      </c>
      <c r="B113" s="4" t="s">
        <v>15</v>
      </c>
      <c r="C113" s="4" t="str">
        <f t="shared" si="1"/>
        <v>UNIMP_YUBA</v>
      </c>
    </row>
    <row r="114" spans="1:3" x14ac:dyDescent="0.35">
      <c r="A114" s="4" t="s">
        <v>134</v>
      </c>
      <c r="B114" s="4" t="s">
        <v>12</v>
      </c>
      <c r="C114" s="4" t="str">
        <f t="shared" si="1"/>
        <v>UNIMP_FOLS</v>
      </c>
    </row>
    <row r="115" spans="1:3" x14ac:dyDescent="0.35">
      <c r="A115" s="4" t="s">
        <v>135</v>
      </c>
      <c r="B115" s="4" t="s">
        <v>26</v>
      </c>
      <c r="C115" s="4" t="str">
        <f t="shared" si="1"/>
        <v>N/A</v>
      </c>
    </row>
    <row r="116" spans="1:3" x14ac:dyDescent="0.35">
      <c r="A116" s="4" t="s">
        <v>136</v>
      </c>
      <c r="B116" s="4" t="s">
        <v>17</v>
      </c>
      <c r="C116" s="4" t="str">
        <f t="shared" si="1"/>
        <v>N/A</v>
      </c>
    </row>
    <row r="117" spans="1:3" x14ac:dyDescent="0.35">
      <c r="A117" s="4" t="s">
        <v>137</v>
      </c>
      <c r="B117" s="4" t="s">
        <v>12</v>
      </c>
      <c r="C117" s="4" t="str">
        <f t="shared" si="1"/>
        <v>UNIMP_FOLS</v>
      </c>
    </row>
    <row r="118" spans="1:3" x14ac:dyDescent="0.35">
      <c r="A118" s="4" t="s">
        <v>138</v>
      </c>
      <c r="B118" s="4" t="s">
        <v>13</v>
      </c>
      <c r="C118" s="4" t="str">
        <f t="shared" si="1"/>
        <v>UNIMP_OROV</v>
      </c>
    </row>
    <row r="119" spans="1:3" x14ac:dyDescent="0.35">
      <c r="A119" s="4" t="s">
        <v>139</v>
      </c>
      <c r="B119" s="4" t="s">
        <v>13</v>
      </c>
      <c r="C119" s="4" t="str">
        <f t="shared" si="1"/>
        <v>UNIMP_OROV</v>
      </c>
    </row>
    <row r="120" spans="1:3" x14ac:dyDescent="0.35">
      <c r="A120" s="4" t="s">
        <v>140</v>
      </c>
      <c r="B120" s="4" t="s">
        <v>13</v>
      </c>
      <c r="C120" s="4" t="str">
        <f t="shared" si="1"/>
        <v>UNIMP_OROV</v>
      </c>
    </row>
    <row r="121" spans="1:3" x14ac:dyDescent="0.35">
      <c r="A121" s="4" t="s">
        <v>141</v>
      </c>
      <c r="B121" s="4" t="s">
        <v>12</v>
      </c>
      <c r="C121" s="4" t="str">
        <f t="shared" si="1"/>
        <v>UNIMP_FOLS</v>
      </c>
    </row>
    <row r="122" spans="1:3" x14ac:dyDescent="0.35">
      <c r="A122" s="4" t="s">
        <v>142</v>
      </c>
      <c r="B122" s="4" t="s">
        <v>14</v>
      </c>
      <c r="C122" s="4" t="str">
        <f t="shared" si="1"/>
        <v>UNIMP_SRBB</v>
      </c>
    </row>
    <row r="123" spans="1:3" x14ac:dyDescent="0.35">
      <c r="A123" s="4" t="s">
        <v>143</v>
      </c>
      <c r="B123" s="4" t="s">
        <v>26</v>
      </c>
      <c r="C123" s="4" t="str">
        <f t="shared" si="1"/>
        <v>N/A</v>
      </c>
    </row>
    <row r="124" spans="1:3" x14ac:dyDescent="0.35">
      <c r="A124" s="4" t="s">
        <v>144</v>
      </c>
      <c r="B124" s="4" t="s">
        <v>26</v>
      </c>
      <c r="C124" s="4" t="str">
        <f t="shared" si="1"/>
        <v>N/A</v>
      </c>
    </row>
    <row r="125" spans="1:3" x14ac:dyDescent="0.35">
      <c r="A125" s="4" t="s">
        <v>145</v>
      </c>
      <c r="B125" s="4" t="s">
        <v>18</v>
      </c>
      <c r="C125" s="4" t="str">
        <f t="shared" si="1"/>
        <v>UNIMP_ST</v>
      </c>
    </row>
    <row r="126" spans="1:3" x14ac:dyDescent="0.35">
      <c r="A126" s="4" t="s">
        <v>146</v>
      </c>
      <c r="B126" s="4" t="s">
        <v>26</v>
      </c>
      <c r="C126" s="4" t="str">
        <f t="shared" si="1"/>
        <v>N/A</v>
      </c>
    </row>
    <row r="127" spans="1:3" x14ac:dyDescent="0.35">
      <c r="A127" s="4" t="s">
        <v>147</v>
      </c>
      <c r="B127" s="4" t="s">
        <v>26</v>
      </c>
      <c r="C127" s="4" t="str">
        <f t="shared" si="1"/>
        <v>N/A</v>
      </c>
    </row>
    <row r="128" spans="1:3" x14ac:dyDescent="0.35">
      <c r="A128" s="4" t="s">
        <v>148</v>
      </c>
      <c r="B128" s="4" t="s">
        <v>18</v>
      </c>
      <c r="C128" s="4" t="str">
        <f t="shared" si="1"/>
        <v>UNIMP_ST</v>
      </c>
    </row>
    <row r="129" spans="1:3" x14ac:dyDescent="0.35">
      <c r="A129" s="4" t="s">
        <v>149</v>
      </c>
      <c r="B129" s="4" t="s">
        <v>26</v>
      </c>
      <c r="C129" s="4" t="str">
        <f t="shared" si="1"/>
        <v>N/A</v>
      </c>
    </row>
    <row r="130" spans="1:3" x14ac:dyDescent="0.35">
      <c r="A130" s="4" t="s">
        <v>150</v>
      </c>
      <c r="B130" s="4" t="s">
        <v>18</v>
      </c>
      <c r="C130" s="4" t="str">
        <f t="shared" si="1"/>
        <v>UNIMP_ST</v>
      </c>
    </row>
    <row r="131" spans="1:3" x14ac:dyDescent="0.35">
      <c r="A131" s="4" t="s">
        <v>151</v>
      </c>
      <c r="B131" s="4" t="s">
        <v>26</v>
      </c>
      <c r="C131" s="4" t="str">
        <f t="shared" ref="C131:C194" si="2">_xlfn.IFNA(VLOOKUP(B131,$P$2:$Q$11,2,FALSE),"N/A")</f>
        <v>N/A</v>
      </c>
    </row>
    <row r="132" spans="1:3" x14ac:dyDescent="0.35">
      <c r="A132" s="4" t="s">
        <v>152</v>
      </c>
      <c r="B132" s="4" t="s">
        <v>18</v>
      </c>
      <c r="C132" s="4" t="str">
        <f t="shared" si="2"/>
        <v>UNIMP_ST</v>
      </c>
    </row>
    <row r="133" spans="1:3" x14ac:dyDescent="0.35">
      <c r="A133" s="4" t="s">
        <v>153</v>
      </c>
      <c r="B133" s="4" t="s">
        <v>26</v>
      </c>
      <c r="C133" s="4" t="str">
        <f t="shared" si="2"/>
        <v>N/A</v>
      </c>
    </row>
    <row r="134" spans="1:3" x14ac:dyDescent="0.35">
      <c r="A134" s="4" t="s">
        <v>154</v>
      </c>
      <c r="B134" s="4" t="s">
        <v>26</v>
      </c>
      <c r="C134" s="4" t="str">
        <f t="shared" si="2"/>
        <v>N/A</v>
      </c>
    </row>
    <row r="135" spans="1:3" x14ac:dyDescent="0.35">
      <c r="A135" s="4" t="s">
        <v>155</v>
      </c>
      <c r="B135" s="4" t="s">
        <v>26</v>
      </c>
      <c r="C135" s="4" t="str">
        <f t="shared" si="2"/>
        <v>N/A</v>
      </c>
    </row>
    <row r="136" spans="1:3" x14ac:dyDescent="0.35">
      <c r="A136" s="4" t="s">
        <v>156</v>
      </c>
      <c r="B136" s="4" t="s">
        <v>26</v>
      </c>
      <c r="C136" s="4" t="str">
        <f t="shared" si="2"/>
        <v>N/A</v>
      </c>
    </row>
    <row r="137" spans="1:3" x14ac:dyDescent="0.35">
      <c r="A137" s="4" t="s">
        <v>157</v>
      </c>
      <c r="B137" s="4" t="s">
        <v>26</v>
      </c>
      <c r="C137" s="4" t="str">
        <f t="shared" si="2"/>
        <v>N/A</v>
      </c>
    </row>
    <row r="138" spans="1:3" x14ac:dyDescent="0.35">
      <c r="A138" s="4" t="s">
        <v>158</v>
      </c>
      <c r="B138" s="4" t="s">
        <v>26</v>
      </c>
      <c r="C138" s="4" t="str">
        <f t="shared" si="2"/>
        <v>N/A</v>
      </c>
    </row>
    <row r="139" spans="1:3" x14ac:dyDescent="0.35">
      <c r="A139" s="4" t="s">
        <v>159</v>
      </c>
      <c r="B139" s="4" t="s">
        <v>26</v>
      </c>
      <c r="C139" s="4" t="str">
        <f t="shared" si="2"/>
        <v>N/A</v>
      </c>
    </row>
    <row r="140" spans="1:3" x14ac:dyDescent="0.35">
      <c r="A140" s="4" t="s">
        <v>160</v>
      </c>
      <c r="B140" s="4" t="s">
        <v>26</v>
      </c>
      <c r="C140" s="4" t="str">
        <f t="shared" si="2"/>
        <v>N/A</v>
      </c>
    </row>
    <row r="141" spans="1:3" x14ac:dyDescent="0.35">
      <c r="A141" s="4" t="s">
        <v>161</v>
      </c>
      <c r="B141" s="4" t="s">
        <v>26</v>
      </c>
      <c r="C141" s="4" t="str">
        <f t="shared" si="2"/>
        <v>N/A</v>
      </c>
    </row>
    <row r="142" spans="1:3" x14ac:dyDescent="0.35">
      <c r="A142" s="4" t="s">
        <v>162</v>
      </c>
      <c r="B142" s="4" t="s">
        <v>26</v>
      </c>
      <c r="C142" s="4" t="str">
        <f t="shared" si="2"/>
        <v>N/A</v>
      </c>
    </row>
    <row r="143" spans="1:3" x14ac:dyDescent="0.35">
      <c r="A143" s="4" t="s">
        <v>163</v>
      </c>
      <c r="B143" s="4" t="s">
        <v>26</v>
      </c>
      <c r="C143" s="4" t="str">
        <f t="shared" si="2"/>
        <v>N/A</v>
      </c>
    </row>
    <row r="144" spans="1:3" x14ac:dyDescent="0.35">
      <c r="A144" s="4" t="s">
        <v>164</v>
      </c>
      <c r="B144" s="4" t="s">
        <v>26</v>
      </c>
      <c r="C144" s="4" t="str">
        <f t="shared" si="2"/>
        <v>N/A</v>
      </c>
    </row>
    <row r="145" spans="1:3" x14ac:dyDescent="0.35">
      <c r="A145" s="4" t="s">
        <v>165</v>
      </c>
      <c r="B145" s="4" t="s">
        <v>26</v>
      </c>
      <c r="C145" s="4" t="str">
        <f t="shared" si="2"/>
        <v>N/A</v>
      </c>
    </row>
    <row r="146" spans="1:3" x14ac:dyDescent="0.35">
      <c r="A146" s="4" t="s">
        <v>166</v>
      </c>
      <c r="B146" s="4" t="s">
        <v>26</v>
      </c>
      <c r="C146" s="4" t="str">
        <f t="shared" si="2"/>
        <v>N/A</v>
      </c>
    </row>
    <row r="147" spans="1:3" x14ac:dyDescent="0.35">
      <c r="A147" s="4" t="s">
        <v>167</v>
      </c>
      <c r="B147" s="4" t="s">
        <v>18</v>
      </c>
      <c r="C147" s="4" t="str">
        <f t="shared" si="2"/>
        <v>UNIMP_ST</v>
      </c>
    </row>
    <row r="148" spans="1:3" x14ac:dyDescent="0.35">
      <c r="A148" s="4" t="s">
        <v>168</v>
      </c>
      <c r="B148" s="4" t="s">
        <v>26</v>
      </c>
      <c r="C148" s="4" t="str">
        <f t="shared" si="2"/>
        <v>N/A</v>
      </c>
    </row>
    <row r="149" spans="1:3" x14ac:dyDescent="0.35">
      <c r="A149" s="4" t="s">
        <v>169</v>
      </c>
      <c r="B149" s="4" t="s">
        <v>26</v>
      </c>
      <c r="C149" s="4" t="str">
        <f t="shared" si="2"/>
        <v>N/A</v>
      </c>
    </row>
    <row r="150" spans="1:3" x14ac:dyDescent="0.35">
      <c r="A150" s="4" t="s">
        <v>170</v>
      </c>
      <c r="B150" s="4" t="s">
        <v>19</v>
      </c>
      <c r="C150" s="4" t="str">
        <f t="shared" si="2"/>
        <v>UNIMP_TU</v>
      </c>
    </row>
    <row r="151" spans="1:3" x14ac:dyDescent="0.35">
      <c r="A151" s="4" t="s">
        <v>171</v>
      </c>
      <c r="B151" s="4" t="s">
        <v>26</v>
      </c>
      <c r="C151" s="4" t="str">
        <f t="shared" si="2"/>
        <v>N/A</v>
      </c>
    </row>
    <row r="152" spans="1:3" x14ac:dyDescent="0.35">
      <c r="A152" s="4" t="s">
        <v>172</v>
      </c>
      <c r="B152" s="4" t="s">
        <v>26</v>
      </c>
      <c r="C152" s="4" t="str">
        <f t="shared" si="2"/>
        <v>N/A</v>
      </c>
    </row>
    <row r="153" spans="1:3" x14ac:dyDescent="0.35">
      <c r="A153" s="4" t="s">
        <v>173</v>
      </c>
      <c r="B153" s="4" t="s">
        <v>26</v>
      </c>
      <c r="C153" s="4" t="str">
        <f t="shared" si="2"/>
        <v>N/A</v>
      </c>
    </row>
    <row r="154" spans="1:3" x14ac:dyDescent="0.35">
      <c r="A154" s="4" t="s">
        <v>174</v>
      </c>
      <c r="B154" s="4" t="s">
        <v>26</v>
      </c>
      <c r="C154" s="4" t="str">
        <f t="shared" si="2"/>
        <v>N/A</v>
      </c>
    </row>
    <row r="155" spans="1:3" x14ac:dyDescent="0.35">
      <c r="A155" s="4" t="s">
        <v>175</v>
      </c>
      <c r="B155" s="4" t="s">
        <v>26</v>
      </c>
      <c r="C155" s="4" t="str">
        <f t="shared" si="2"/>
        <v>N/A</v>
      </c>
    </row>
    <row r="156" spans="1:3" x14ac:dyDescent="0.35">
      <c r="A156" s="4" t="s">
        <v>176</v>
      </c>
      <c r="B156" s="4" t="s">
        <v>19</v>
      </c>
      <c r="C156" s="4" t="str">
        <f t="shared" si="2"/>
        <v>UNIMP_TU</v>
      </c>
    </row>
    <row r="157" spans="1:3" x14ac:dyDescent="0.35">
      <c r="A157" s="4" t="s">
        <v>177</v>
      </c>
      <c r="B157" s="4" t="s">
        <v>26</v>
      </c>
      <c r="C157" s="4" t="str">
        <f t="shared" si="2"/>
        <v>N/A</v>
      </c>
    </row>
    <row r="158" spans="1:3" x14ac:dyDescent="0.35">
      <c r="A158" s="4" t="s">
        <v>178</v>
      </c>
      <c r="B158" s="4" t="s">
        <v>26</v>
      </c>
      <c r="C158" s="4" t="str">
        <f t="shared" si="2"/>
        <v>N/A</v>
      </c>
    </row>
    <row r="159" spans="1:3" x14ac:dyDescent="0.35">
      <c r="A159" s="4" t="s">
        <v>179</v>
      </c>
      <c r="B159" s="4" t="s">
        <v>26</v>
      </c>
      <c r="C159" s="4" t="str">
        <f t="shared" si="2"/>
        <v>N/A</v>
      </c>
    </row>
    <row r="160" spans="1:3" x14ac:dyDescent="0.35">
      <c r="A160" s="4" t="s">
        <v>180</v>
      </c>
      <c r="B160" s="4" t="s">
        <v>26</v>
      </c>
      <c r="C160" s="4" t="str">
        <f t="shared" si="2"/>
        <v>N/A</v>
      </c>
    </row>
    <row r="161" spans="1:3" x14ac:dyDescent="0.35">
      <c r="A161" s="4" t="s">
        <v>181</v>
      </c>
      <c r="B161" s="4" t="s">
        <v>19</v>
      </c>
      <c r="C161" s="4" t="str">
        <f t="shared" si="2"/>
        <v>UNIMP_TU</v>
      </c>
    </row>
    <row r="162" spans="1:3" x14ac:dyDescent="0.35">
      <c r="A162" s="4" t="s">
        <v>182</v>
      </c>
      <c r="B162" s="4" t="s">
        <v>26</v>
      </c>
      <c r="C162" s="4" t="str">
        <f t="shared" si="2"/>
        <v>N/A</v>
      </c>
    </row>
    <row r="163" spans="1:3" x14ac:dyDescent="0.35">
      <c r="A163" s="4" t="s">
        <v>183</v>
      </c>
      <c r="B163" s="4" t="s">
        <v>26</v>
      </c>
      <c r="C163" s="4" t="str">
        <f t="shared" si="2"/>
        <v>N/A</v>
      </c>
    </row>
    <row r="164" spans="1:3" x14ac:dyDescent="0.35">
      <c r="A164" s="4" t="s">
        <v>184</v>
      </c>
      <c r="B164" s="4" t="s">
        <v>18</v>
      </c>
      <c r="C164" s="4" t="str">
        <f t="shared" si="2"/>
        <v>UNIMP_ST</v>
      </c>
    </row>
    <row r="165" spans="1:3" x14ac:dyDescent="0.35">
      <c r="A165" s="4" t="s">
        <v>185</v>
      </c>
      <c r="B165" s="4" t="s">
        <v>26</v>
      </c>
      <c r="C165" s="4" t="str">
        <f t="shared" si="2"/>
        <v>N/A</v>
      </c>
    </row>
    <row r="166" spans="1:3" x14ac:dyDescent="0.35">
      <c r="A166" s="4" t="s">
        <v>186</v>
      </c>
      <c r="B166" s="4" t="s">
        <v>20</v>
      </c>
      <c r="C166" s="4" t="str">
        <f t="shared" si="2"/>
        <v>N/A</v>
      </c>
    </row>
    <row r="167" spans="1:3" x14ac:dyDescent="0.35">
      <c r="A167" s="4" t="s">
        <v>187</v>
      </c>
      <c r="B167" s="4" t="s">
        <v>26</v>
      </c>
      <c r="C167" s="4" t="str">
        <f t="shared" si="2"/>
        <v>N/A</v>
      </c>
    </row>
    <row r="168" spans="1:3" x14ac:dyDescent="0.35">
      <c r="A168" s="4" t="s">
        <v>188</v>
      </c>
      <c r="B168" s="4" t="s">
        <v>18</v>
      </c>
      <c r="C168" s="4" t="str">
        <f t="shared" si="2"/>
        <v>UNIMP_ST</v>
      </c>
    </row>
    <row r="169" spans="1:3" x14ac:dyDescent="0.35">
      <c r="A169" s="4" t="s">
        <v>189</v>
      </c>
      <c r="B169" s="4" t="s">
        <v>18</v>
      </c>
      <c r="C169" s="4" t="str">
        <f t="shared" si="2"/>
        <v>UNIMP_ST</v>
      </c>
    </row>
    <row r="170" spans="1:3" x14ac:dyDescent="0.35">
      <c r="A170" s="4" t="s">
        <v>190</v>
      </c>
      <c r="B170" s="4" t="s">
        <v>18</v>
      </c>
      <c r="C170" s="4" t="str">
        <f t="shared" si="2"/>
        <v>UNIMP_ST</v>
      </c>
    </row>
    <row r="171" spans="1:3" x14ac:dyDescent="0.35">
      <c r="A171" s="4" t="s">
        <v>191</v>
      </c>
      <c r="B171" s="4" t="s">
        <v>18</v>
      </c>
      <c r="C171" s="4" t="str">
        <f t="shared" si="2"/>
        <v>UNIMP_ST</v>
      </c>
    </row>
    <row r="172" spans="1:3" x14ac:dyDescent="0.35">
      <c r="A172" s="4" t="s">
        <v>192</v>
      </c>
      <c r="B172" s="4" t="s">
        <v>21</v>
      </c>
      <c r="C172" s="4" t="str">
        <f t="shared" si="2"/>
        <v>N/A</v>
      </c>
    </row>
    <row r="173" spans="1:3" x14ac:dyDescent="0.35">
      <c r="A173" s="4" t="s">
        <v>193</v>
      </c>
      <c r="B173" s="4" t="s">
        <v>26</v>
      </c>
      <c r="C173" s="4" t="str">
        <f t="shared" si="2"/>
        <v>N/A</v>
      </c>
    </row>
    <row r="174" spans="1:3" x14ac:dyDescent="0.35">
      <c r="A174" s="4" t="s">
        <v>194</v>
      </c>
      <c r="B174" s="4" t="s">
        <v>26</v>
      </c>
      <c r="C174" s="4" t="str">
        <f t="shared" si="2"/>
        <v>N/A</v>
      </c>
    </row>
    <row r="175" spans="1:3" x14ac:dyDescent="0.35">
      <c r="A175" s="4" t="s">
        <v>195</v>
      </c>
      <c r="B175" s="4" t="s">
        <v>26</v>
      </c>
      <c r="C175" s="4" t="str">
        <f t="shared" si="2"/>
        <v>N/A</v>
      </c>
    </row>
    <row r="176" spans="1:3" x14ac:dyDescent="0.35">
      <c r="A176" s="4" t="s">
        <v>196</v>
      </c>
      <c r="B176" s="4" t="s">
        <v>26</v>
      </c>
      <c r="C176" s="4" t="str">
        <f t="shared" si="2"/>
        <v>N/A</v>
      </c>
    </row>
    <row r="177" spans="1:3" x14ac:dyDescent="0.35">
      <c r="A177" s="4" t="s">
        <v>197</v>
      </c>
      <c r="B177" s="4" t="s">
        <v>18</v>
      </c>
      <c r="C177" s="4" t="str">
        <f t="shared" si="2"/>
        <v>UNIMP_ST</v>
      </c>
    </row>
    <row r="178" spans="1:3" x14ac:dyDescent="0.35">
      <c r="A178" s="4" t="s">
        <v>198</v>
      </c>
      <c r="B178" s="4" t="s">
        <v>18</v>
      </c>
      <c r="C178" s="4" t="str">
        <f t="shared" si="2"/>
        <v>UNIMP_ST</v>
      </c>
    </row>
    <row r="179" spans="1:3" x14ac:dyDescent="0.35">
      <c r="A179" s="4" t="s">
        <v>199</v>
      </c>
      <c r="B179" s="4" t="s">
        <v>18</v>
      </c>
      <c r="C179" s="4" t="str">
        <f t="shared" si="2"/>
        <v>UNIMP_ST</v>
      </c>
    </row>
    <row r="180" spans="1:3" x14ac:dyDescent="0.35">
      <c r="A180" s="4" t="s">
        <v>200</v>
      </c>
      <c r="B180" s="4" t="s">
        <v>26</v>
      </c>
      <c r="C180" s="4" t="str">
        <f t="shared" si="2"/>
        <v>N/A</v>
      </c>
    </row>
    <row r="181" spans="1:3" x14ac:dyDescent="0.35">
      <c r="A181" s="4" t="s">
        <v>201</v>
      </c>
      <c r="B181" s="4" t="s">
        <v>26</v>
      </c>
      <c r="C181" s="4" t="str">
        <f t="shared" si="2"/>
        <v>N/A</v>
      </c>
    </row>
    <row r="182" spans="1:3" x14ac:dyDescent="0.35">
      <c r="A182" s="4" t="s">
        <v>202</v>
      </c>
      <c r="B182" s="4" t="s">
        <v>26</v>
      </c>
      <c r="C182" s="4" t="str">
        <f t="shared" si="2"/>
        <v>N/A</v>
      </c>
    </row>
    <row r="183" spans="1:3" x14ac:dyDescent="0.35">
      <c r="A183" s="4" t="s">
        <v>203</v>
      </c>
      <c r="B183" s="4" t="s">
        <v>26</v>
      </c>
      <c r="C183" s="4" t="str">
        <f t="shared" si="2"/>
        <v>N/A</v>
      </c>
    </row>
    <row r="184" spans="1:3" x14ac:dyDescent="0.35">
      <c r="A184" s="4" t="s">
        <v>204</v>
      </c>
      <c r="B184" s="4" t="s">
        <v>26</v>
      </c>
      <c r="C184" s="4" t="str">
        <f t="shared" si="2"/>
        <v>N/A</v>
      </c>
    </row>
    <row r="185" spans="1:3" x14ac:dyDescent="0.35">
      <c r="A185" s="4" t="s">
        <v>205</v>
      </c>
      <c r="B185" s="4" t="s">
        <v>18</v>
      </c>
      <c r="C185" s="4" t="str">
        <f t="shared" si="2"/>
        <v>UNIMP_ST</v>
      </c>
    </row>
    <row r="186" spans="1:3" x14ac:dyDescent="0.35">
      <c r="A186" s="4" t="s">
        <v>206</v>
      </c>
      <c r="B186" s="4" t="s">
        <v>19</v>
      </c>
      <c r="C186" s="4" t="str">
        <f t="shared" si="2"/>
        <v>UNIMP_TU</v>
      </c>
    </row>
    <row r="187" spans="1:3" x14ac:dyDescent="0.35">
      <c r="A187" s="4" t="s">
        <v>207</v>
      </c>
      <c r="B187" s="4" t="s">
        <v>26</v>
      </c>
      <c r="C187" s="4" t="str">
        <f t="shared" si="2"/>
        <v>N/A</v>
      </c>
    </row>
    <row r="188" spans="1:3" x14ac:dyDescent="0.35">
      <c r="A188" s="4" t="s">
        <v>208</v>
      </c>
      <c r="B188" s="4" t="s">
        <v>18</v>
      </c>
      <c r="C188" s="4" t="str">
        <f t="shared" si="2"/>
        <v>UNIMP_ST</v>
      </c>
    </row>
    <row r="189" spans="1:3" x14ac:dyDescent="0.35">
      <c r="A189" s="4" t="s">
        <v>209</v>
      </c>
      <c r="B189" s="4" t="s">
        <v>26</v>
      </c>
      <c r="C189" s="4" t="str">
        <f t="shared" si="2"/>
        <v>N/A</v>
      </c>
    </row>
    <row r="190" spans="1:3" x14ac:dyDescent="0.35">
      <c r="A190" s="4" t="s">
        <v>210</v>
      </c>
      <c r="B190" s="4" t="s">
        <v>18</v>
      </c>
      <c r="C190" s="4" t="str">
        <f t="shared" si="2"/>
        <v>UNIMP_ST</v>
      </c>
    </row>
    <row r="191" spans="1:3" x14ac:dyDescent="0.35">
      <c r="A191" s="4" t="s">
        <v>211</v>
      </c>
      <c r="B191" s="4" t="s">
        <v>18</v>
      </c>
      <c r="C191" s="4" t="str">
        <f t="shared" si="2"/>
        <v>UNIMP_ST</v>
      </c>
    </row>
    <row r="192" spans="1:3" x14ac:dyDescent="0.35">
      <c r="A192" s="4" t="s">
        <v>212</v>
      </c>
      <c r="B192" s="4" t="s">
        <v>26</v>
      </c>
      <c r="C192" s="4" t="str">
        <f t="shared" si="2"/>
        <v>N/A</v>
      </c>
    </row>
    <row r="193" spans="1:3" x14ac:dyDescent="0.35">
      <c r="A193" s="4" t="s">
        <v>213</v>
      </c>
      <c r="B193" s="4" t="s">
        <v>26</v>
      </c>
      <c r="C193" s="4" t="str">
        <f t="shared" si="2"/>
        <v>N/A</v>
      </c>
    </row>
    <row r="194" spans="1:3" x14ac:dyDescent="0.35">
      <c r="A194" s="4" t="s">
        <v>214</v>
      </c>
      <c r="B194" s="4" t="s">
        <v>26</v>
      </c>
      <c r="C194" s="4" t="str">
        <f t="shared" si="2"/>
        <v>N/A</v>
      </c>
    </row>
    <row r="195" spans="1:3" x14ac:dyDescent="0.35">
      <c r="A195" s="4" t="s">
        <v>215</v>
      </c>
      <c r="B195" s="4" t="s">
        <v>26</v>
      </c>
      <c r="C195" s="4" t="str">
        <f t="shared" ref="C195:C204" si="3">_xlfn.IFNA(VLOOKUP(B195,$P$2:$Q$11,2,FALSE),"N/A")</f>
        <v>N/A</v>
      </c>
    </row>
    <row r="196" spans="1:3" x14ac:dyDescent="0.35">
      <c r="A196" s="4" t="s">
        <v>216</v>
      </c>
      <c r="B196" s="4" t="s">
        <v>26</v>
      </c>
      <c r="C196" s="4" t="str">
        <f t="shared" si="3"/>
        <v>N/A</v>
      </c>
    </row>
    <row r="197" spans="1:3" x14ac:dyDescent="0.35">
      <c r="A197" s="4" t="s">
        <v>217</v>
      </c>
      <c r="B197" s="4" t="s">
        <v>18</v>
      </c>
      <c r="C197" s="4" t="str">
        <f t="shared" si="3"/>
        <v>UNIMP_ST</v>
      </c>
    </row>
    <row r="198" spans="1:3" x14ac:dyDescent="0.35">
      <c r="A198" s="4" t="s">
        <v>218</v>
      </c>
      <c r="B198" s="4" t="s">
        <v>26</v>
      </c>
      <c r="C198" s="4" t="str">
        <f t="shared" si="3"/>
        <v>N/A</v>
      </c>
    </row>
    <row r="199" spans="1:3" x14ac:dyDescent="0.35">
      <c r="A199" s="4" t="s">
        <v>219</v>
      </c>
      <c r="B199" s="4" t="s">
        <v>18</v>
      </c>
      <c r="C199" s="4" t="str">
        <f t="shared" si="3"/>
        <v>UNIMP_ST</v>
      </c>
    </row>
    <row r="200" spans="1:3" x14ac:dyDescent="0.35">
      <c r="A200" s="4" t="s">
        <v>220</v>
      </c>
      <c r="B200" s="4" t="s">
        <v>26</v>
      </c>
      <c r="C200" s="4" t="str">
        <f t="shared" si="3"/>
        <v>N/A</v>
      </c>
    </row>
    <row r="201" spans="1:3" x14ac:dyDescent="0.35">
      <c r="A201" s="4" t="s">
        <v>221</v>
      </c>
      <c r="B201" s="4" t="s">
        <v>26</v>
      </c>
      <c r="C201" s="4" t="str">
        <f t="shared" si="3"/>
        <v>N/A</v>
      </c>
    </row>
    <row r="202" spans="1:3" x14ac:dyDescent="0.35">
      <c r="A202" s="4" t="s">
        <v>222</v>
      </c>
      <c r="B202" s="4" t="s">
        <v>26</v>
      </c>
      <c r="C202" s="4" t="str">
        <f t="shared" si="3"/>
        <v>N/A</v>
      </c>
    </row>
    <row r="203" spans="1:3" x14ac:dyDescent="0.35">
      <c r="A203" s="4" t="s">
        <v>223</v>
      </c>
      <c r="B203" s="4" t="s">
        <v>26</v>
      </c>
      <c r="C203" s="4" t="str">
        <f t="shared" si="3"/>
        <v>N/A</v>
      </c>
    </row>
    <row r="204" spans="1:3" x14ac:dyDescent="0.35">
      <c r="A204" s="4" t="s">
        <v>125</v>
      </c>
      <c r="B204" s="4" t="s">
        <v>14</v>
      </c>
      <c r="C204" s="4" t="str">
        <f t="shared" si="3"/>
        <v>UNIMP_SRBB</v>
      </c>
    </row>
  </sheetData>
  <conditionalFormatting sqref="B1:C204">
    <cfRule type="cellIs" dxfId="0" priority="1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RimInflowAnchor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Mani, Melika@DWR</dc:creator>
  <cp:keywords/>
  <dc:description/>
  <cp:lastModifiedBy>Mani, Melika@DWR</cp:lastModifiedBy>
  <cp:revision/>
  <dcterms:created xsi:type="dcterms:W3CDTF">2025-08-27T02:18:22Z</dcterms:created>
  <dcterms:modified xsi:type="dcterms:W3CDTF">2026-03-17T21:23:43Z</dcterms:modified>
  <cp:category/>
  <cp:contentStatus/>
</cp:coreProperties>
</file>