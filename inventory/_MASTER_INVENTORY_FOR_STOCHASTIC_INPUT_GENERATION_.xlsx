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https://cawater-my.sharepoint.com/personal/wyatt_arnold_water_ca_gov1/Documents/CalSim Synthetic Hydroclimate/calsim-stochastic/inventory/"/>
    </mc:Choice>
  </mc:AlternateContent>
  <xr:revisionPtr revIDLastSave="26" documentId="8_{10ADA5CF-F8A1-4492-8503-FF1858245260}" xr6:coauthVersionLast="47" xr6:coauthVersionMax="47" xr10:uidLastSave="{28AD7159-E186-4FFA-A216-53B7F5CDB41D}"/>
  <bookViews>
    <workbookView xWindow="-120" yWindow="-120" windowWidth="38640" windowHeight="21120" tabRatio="614" firstSheet="1" activeTab="1" xr2:uid="{00000000-000D-0000-FFFF-FFFF00000000}"/>
  </bookViews>
  <sheets>
    <sheet name="OrigInvent2023LTO" sheetId="2" state="hidden" r:id="rId1"/>
    <sheet name="MASTER" sheetId="1" r:id="rId2"/>
    <sheet name="SummaryCounts" sheetId="5" r:id="rId3"/>
    <sheet name="CS3SVComposerConfig" sheetId="7"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5" l="1" a="1"/>
  <c r="C4" i="5" l="1"/>
  <c r="F18" i="5"/>
  <c r="F17" i="5"/>
  <c r="F16" i="5"/>
  <c r="F15" i="5"/>
  <c r="F14" i="5"/>
  <c r="F13" i="5"/>
  <c r="E18" i="5"/>
  <c r="E17" i="5"/>
  <c r="E16" i="5"/>
  <c r="E15" i="5"/>
  <c r="H18" i="5"/>
  <c r="E14" i="5"/>
  <c r="H17" i="5"/>
  <c r="E13" i="5"/>
  <c r="H16" i="5"/>
  <c r="G13" i="5"/>
  <c r="H15" i="5"/>
  <c r="G14" i="5"/>
  <c r="H14" i="5"/>
  <c r="G15" i="5"/>
  <c r="H13" i="5"/>
  <c r="G16" i="5"/>
  <c r="H12" i="5"/>
  <c r="G17" i="5"/>
  <c r="H11" i="5"/>
  <c r="G18" i="5"/>
  <c r="H10" i="5"/>
  <c r="H9" i="5"/>
  <c r="H8" i="5"/>
  <c r="H7" i="5"/>
  <c r="H6" i="5"/>
  <c r="F12" i="5"/>
  <c r="H5" i="5"/>
  <c r="F5" i="5"/>
  <c r="J18" i="5" l="1"/>
  <c r="J13" i="5"/>
  <c r="J14" i="5"/>
  <c r="J15" i="5"/>
  <c r="J16" i="5"/>
  <c r="J17" i="5"/>
  <c r="D13" i="5"/>
  <c r="D14" i="5"/>
  <c r="D15" i="5"/>
  <c r="D16" i="5"/>
  <c r="D17" i="5"/>
  <c r="D18" i="5"/>
  <c r="F1" i="7"/>
  <c r="B1543" i="7"/>
  <c r="B1544" i="7"/>
  <c r="B1545" i="7"/>
  <c r="B1546" i="7"/>
  <c r="B1547" i="7"/>
  <c r="B1548" i="7"/>
  <c r="B1549" i="7"/>
  <c r="B1550" i="7"/>
  <c r="B1551" i="7"/>
  <c r="B1552" i="7"/>
  <c r="B1553" i="7"/>
  <c r="B1554" i="7"/>
  <c r="B1555" i="7"/>
  <c r="B1556" i="7"/>
  <c r="B1557" i="7"/>
  <c r="B1558" i="7"/>
  <c r="B1559" i="7"/>
  <c r="B1560" i="7"/>
  <c r="B1561" i="7"/>
  <c r="B1562" i="7"/>
  <c r="B1563" i="7"/>
  <c r="B1564" i="7"/>
  <c r="B1565" i="7"/>
  <c r="B1566" i="7"/>
  <c r="B1567" i="7"/>
  <c r="B1568" i="7"/>
  <c r="B1569" i="7"/>
  <c r="B1570" i="7"/>
  <c r="B1571" i="7"/>
  <c r="B1572" i="7"/>
  <c r="B1573" i="7"/>
  <c r="B1574" i="7"/>
  <c r="B1575" i="7"/>
  <c r="B1576" i="7"/>
  <c r="B1577" i="7"/>
  <c r="B1578" i="7"/>
  <c r="B1579" i="7"/>
  <c r="B1580" i="7"/>
  <c r="B1581" i="7"/>
  <c r="B1582" i="7"/>
  <c r="B1583" i="7"/>
  <c r="B1584" i="7"/>
  <c r="B1585" i="7"/>
  <c r="B1586" i="7"/>
  <c r="B1587" i="7"/>
  <c r="B1588" i="7"/>
  <c r="B1589" i="7"/>
  <c r="B1590" i="7"/>
  <c r="B1591" i="7"/>
  <c r="B1592" i="7"/>
  <c r="B1593" i="7"/>
  <c r="B1594" i="7"/>
  <c r="B1595" i="7"/>
  <c r="B1596" i="7"/>
  <c r="B1597" i="7"/>
  <c r="B1598" i="7"/>
  <c r="B1599" i="7"/>
  <c r="B1600" i="7"/>
  <c r="B1601" i="7"/>
  <c r="B1602" i="7"/>
  <c r="B1603" i="7"/>
  <c r="B1604" i="7"/>
  <c r="B1605" i="7"/>
  <c r="B1606" i="7"/>
  <c r="B1607" i="7"/>
  <c r="B1608" i="7"/>
  <c r="B1609" i="7"/>
  <c r="B1610" i="7"/>
  <c r="B1611" i="7"/>
  <c r="B1612" i="7"/>
  <c r="B1613" i="7"/>
  <c r="B1614" i="7"/>
  <c r="B1615" i="7"/>
  <c r="B1616" i="7"/>
  <c r="B1617" i="7"/>
  <c r="B1618" i="7"/>
  <c r="B1619" i="7"/>
  <c r="B1620" i="7"/>
  <c r="B1621" i="7"/>
  <c r="B1622" i="7"/>
  <c r="B1623" i="7"/>
  <c r="B1624" i="7"/>
  <c r="B1625" i="7"/>
  <c r="B1626" i="7"/>
  <c r="B1627" i="7"/>
  <c r="B1628" i="7"/>
  <c r="B1629" i="7"/>
  <c r="B1630" i="7"/>
  <c r="B1631" i="7"/>
  <c r="B1632" i="7"/>
  <c r="B1633" i="7"/>
  <c r="B1634" i="7"/>
  <c r="B1635" i="7"/>
  <c r="B1636" i="7"/>
  <c r="B1637" i="7"/>
  <c r="B1638" i="7"/>
  <c r="B1639" i="7"/>
  <c r="B1640" i="7"/>
  <c r="B1641" i="7"/>
  <c r="B1642" i="7"/>
  <c r="B1643" i="7"/>
  <c r="B1644" i="7"/>
  <c r="B1645" i="7"/>
  <c r="B1646" i="7"/>
  <c r="B1647" i="7"/>
  <c r="B1648" i="7"/>
  <c r="B1649" i="7"/>
  <c r="B1650" i="7"/>
  <c r="B1651" i="7"/>
  <c r="B1652" i="7"/>
  <c r="B1653" i="7"/>
  <c r="B1654" i="7"/>
  <c r="B1655" i="7"/>
  <c r="B1656" i="7"/>
  <c r="B1657" i="7"/>
  <c r="B1658" i="7"/>
  <c r="B1659" i="7"/>
  <c r="B1660" i="7"/>
  <c r="B1661" i="7"/>
  <c r="B1662" i="7"/>
  <c r="B1663" i="7"/>
  <c r="B1664" i="7"/>
  <c r="B1665" i="7"/>
  <c r="B1666" i="7"/>
  <c r="B1667" i="7"/>
  <c r="B1668" i="7"/>
  <c r="B1669" i="7"/>
  <c r="B1670" i="7"/>
  <c r="B1671" i="7"/>
  <c r="B1672" i="7"/>
  <c r="B1673" i="7"/>
  <c r="B1674" i="7"/>
  <c r="B1675" i="7"/>
  <c r="B1676" i="7"/>
  <c r="B1677" i="7"/>
  <c r="B1678" i="7"/>
  <c r="B1679" i="7"/>
  <c r="B1680" i="7"/>
  <c r="B1681" i="7"/>
  <c r="B1682" i="7"/>
  <c r="B1683" i="7"/>
  <c r="B1684" i="7"/>
  <c r="B1685" i="7"/>
  <c r="B1686" i="7"/>
  <c r="B1687" i="7"/>
  <c r="B1688" i="7"/>
  <c r="B1689" i="7"/>
  <c r="B1690" i="7"/>
  <c r="B1691" i="7"/>
  <c r="B1692" i="7"/>
  <c r="B1693" i="7"/>
  <c r="B1694" i="7"/>
  <c r="B1695" i="7"/>
  <c r="B1696" i="7"/>
  <c r="B1697" i="7"/>
  <c r="B1698" i="7"/>
  <c r="B1699" i="7"/>
  <c r="B1700" i="7"/>
  <c r="B1701" i="7"/>
  <c r="B1702" i="7"/>
  <c r="B1703" i="7"/>
  <c r="B1704" i="7"/>
  <c r="B1705" i="7"/>
  <c r="B1706" i="7"/>
  <c r="B1707" i="7"/>
  <c r="B1708" i="7"/>
  <c r="B1709" i="7"/>
  <c r="B1710" i="7"/>
  <c r="B1711" i="7"/>
  <c r="B1712" i="7"/>
  <c r="B1713" i="7"/>
  <c r="B1714" i="7"/>
  <c r="B1715" i="7"/>
  <c r="B1716" i="7"/>
  <c r="B1717" i="7"/>
  <c r="B1718" i="7"/>
  <c r="B1719" i="7"/>
  <c r="B1720" i="7"/>
  <c r="B1721" i="7"/>
  <c r="B1722" i="7"/>
  <c r="B1723" i="7"/>
  <c r="B1724" i="7"/>
  <c r="B1725" i="7"/>
  <c r="B1726" i="7"/>
  <c r="B1727" i="7"/>
  <c r="B1728" i="7"/>
  <c r="B1729" i="7"/>
  <c r="B1730" i="7"/>
  <c r="B1731" i="7"/>
  <c r="B1732" i="7"/>
  <c r="B1733" i="7"/>
  <c r="B1734" i="7"/>
  <c r="B1735" i="7"/>
  <c r="B1736" i="7"/>
  <c r="B1737" i="7"/>
  <c r="B1738" i="7"/>
  <c r="B1739" i="7"/>
  <c r="B1740" i="7"/>
  <c r="B1741" i="7"/>
  <c r="B1742" i="7"/>
  <c r="B1743" i="7"/>
  <c r="B1744" i="7"/>
  <c r="B1745" i="7"/>
  <c r="B1746" i="7"/>
  <c r="B1747" i="7"/>
  <c r="B1748" i="7"/>
  <c r="B1749" i="7"/>
  <c r="B1750" i="7"/>
  <c r="B1751" i="7"/>
  <c r="B1752" i="7"/>
  <c r="B1753" i="7"/>
  <c r="B1754" i="7"/>
  <c r="B1755" i="7"/>
  <c r="B1756" i="7"/>
  <c r="B1757" i="7"/>
  <c r="B1758" i="7"/>
  <c r="B1759" i="7"/>
  <c r="B1760" i="7"/>
  <c r="B1502" i="7"/>
  <c r="B1503" i="7"/>
  <c r="B1504" i="7"/>
  <c r="B1505" i="7"/>
  <c r="B1506" i="7"/>
  <c r="B1507" i="7"/>
  <c r="B1508" i="7"/>
  <c r="B1509" i="7"/>
  <c r="B1510" i="7"/>
  <c r="B1511" i="7"/>
  <c r="B1512" i="7"/>
  <c r="B1513" i="7"/>
  <c r="B1514" i="7"/>
  <c r="B1515" i="7"/>
  <c r="B1516" i="7"/>
  <c r="B1517" i="7"/>
  <c r="B1518" i="7"/>
  <c r="B1519" i="7"/>
  <c r="B1520" i="7"/>
  <c r="B1521" i="7"/>
  <c r="B1522" i="7"/>
  <c r="B1523" i="7"/>
  <c r="B1524" i="7"/>
  <c r="B1525" i="7"/>
  <c r="B1526" i="7"/>
  <c r="B1527" i="7"/>
  <c r="B1528" i="7"/>
  <c r="B1529" i="7"/>
  <c r="B1530" i="7"/>
  <c r="B1531" i="7"/>
  <c r="B1532" i="7"/>
  <c r="B1533" i="7"/>
  <c r="B1534" i="7"/>
  <c r="B1535" i="7"/>
  <c r="B1536" i="7"/>
  <c r="B1537" i="7"/>
  <c r="B1538" i="7"/>
  <c r="B1539" i="7"/>
  <c r="B1540" i="7"/>
  <c r="B1541" i="7"/>
  <c r="B1542" i="7"/>
  <c r="B1500" i="7"/>
  <c r="B1501" i="7"/>
  <c r="B1481" i="7"/>
  <c r="B1482" i="7"/>
  <c r="B1483" i="7"/>
  <c r="B1484" i="7"/>
  <c r="B1485" i="7"/>
  <c r="B1486" i="7"/>
  <c r="B1487" i="7"/>
  <c r="B1488" i="7"/>
  <c r="B1489" i="7"/>
  <c r="B1490" i="7"/>
  <c r="B1491" i="7"/>
  <c r="B1492" i="7"/>
  <c r="B1493" i="7"/>
  <c r="B1494" i="7"/>
  <c r="B1495" i="7"/>
  <c r="B1496" i="7"/>
  <c r="B1497" i="7"/>
  <c r="B1498" i="7"/>
  <c r="B1499" i="7"/>
  <c r="B1450" i="7"/>
  <c r="B1451" i="7"/>
  <c r="B1452" i="7"/>
  <c r="B1453" i="7"/>
  <c r="B1454" i="7"/>
  <c r="B1455" i="7"/>
  <c r="B1456" i="7"/>
  <c r="B1457" i="7"/>
  <c r="B1458" i="7"/>
  <c r="B1459" i="7"/>
  <c r="B1460" i="7"/>
  <c r="B1461" i="7"/>
  <c r="B1462" i="7"/>
  <c r="B1463" i="7"/>
  <c r="B1464" i="7"/>
  <c r="B1465" i="7"/>
  <c r="B1466" i="7"/>
  <c r="B1467" i="7"/>
  <c r="B1468" i="7"/>
  <c r="B1469" i="7"/>
  <c r="B1470" i="7"/>
  <c r="B1471" i="7"/>
  <c r="B1472" i="7"/>
  <c r="B1473" i="7"/>
  <c r="B1474" i="7"/>
  <c r="B1475" i="7"/>
  <c r="B1476" i="7"/>
  <c r="B1477" i="7"/>
  <c r="B1478" i="7"/>
  <c r="B1479" i="7"/>
  <c r="B1480" i="7"/>
  <c r="B1029" i="7"/>
  <c r="B1030" i="7"/>
  <c r="B1031" i="7"/>
  <c r="B1032" i="7"/>
  <c r="B1033" i="7"/>
  <c r="B1034" i="7"/>
  <c r="B1035" i="7"/>
  <c r="B1036" i="7"/>
  <c r="B1037" i="7"/>
  <c r="B1038" i="7"/>
  <c r="B1039" i="7"/>
  <c r="B1040" i="7"/>
  <c r="B1041" i="7"/>
  <c r="B1042" i="7"/>
  <c r="B1043" i="7"/>
  <c r="B1044" i="7"/>
  <c r="B1045" i="7"/>
  <c r="B1046" i="7"/>
  <c r="B1047" i="7"/>
  <c r="B1048" i="7"/>
  <c r="B1049" i="7"/>
  <c r="B1050" i="7"/>
  <c r="B1051" i="7"/>
  <c r="B1052" i="7"/>
  <c r="B1053" i="7"/>
  <c r="B1054" i="7"/>
  <c r="B1055" i="7"/>
  <c r="B1056" i="7"/>
  <c r="B1057" i="7"/>
  <c r="B1058" i="7"/>
  <c r="B1059" i="7"/>
  <c r="B1060" i="7"/>
  <c r="B1061" i="7"/>
  <c r="B1062" i="7"/>
  <c r="B1063" i="7"/>
  <c r="B1064" i="7"/>
  <c r="B1065" i="7"/>
  <c r="B1066" i="7"/>
  <c r="B1067" i="7"/>
  <c r="B1068" i="7"/>
  <c r="B1069" i="7"/>
  <c r="B1070" i="7"/>
  <c r="B1071" i="7"/>
  <c r="B1072" i="7"/>
  <c r="B1073" i="7"/>
  <c r="B1074" i="7"/>
  <c r="B1075" i="7"/>
  <c r="B1076" i="7"/>
  <c r="B1077" i="7"/>
  <c r="B1078" i="7"/>
  <c r="B1079" i="7"/>
  <c r="B1080" i="7"/>
  <c r="B1081" i="7"/>
  <c r="B1082" i="7"/>
  <c r="B1083" i="7"/>
  <c r="B1084" i="7"/>
  <c r="B1085" i="7"/>
  <c r="B1086" i="7"/>
  <c r="B1087" i="7"/>
  <c r="B1088" i="7"/>
  <c r="B1089" i="7"/>
  <c r="B1090" i="7"/>
  <c r="B1091" i="7"/>
  <c r="B1092" i="7"/>
  <c r="B1093" i="7"/>
  <c r="B1094" i="7"/>
  <c r="B1095" i="7"/>
  <c r="B1096" i="7"/>
  <c r="B1097" i="7"/>
  <c r="B1098" i="7"/>
  <c r="B1099" i="7"/>
  <c r="B1100" i="7"/>
  <c r="B1101" i="7"/>
  <c r="B1102" i="7"/>
  <c r="B1103" i="7"/>
  <c r="B1104" i="7"/>
  <c r="B1105" i="7"/>
  <c r="B1106" i="7"/>
  <c r="B1107" i="7"/>
  <c r="B1108" i="7"/>
  <c r="B1109" i="7"/>
  <c r="B1110" i="7"/>
  <c r="B1111" i="7"/>
  <c r="B1112" i="7"/>
  <c r="B1113" i="7"/>
  <c r="B1114" i="7"/>
  <c r="B1115" i="7"/>
  <c r="B1116" i="7"/>
  <c r="B1117" i="7"/>
  <c r="B1118" i="7"/>
  <c r="B1119" i="7"/>
  <c r="B1120" i="7"/>
  <c r="B1121" i="7"/>
  <c r="B1122" i="7"/>
  <c r="B1123" i="7"/>
  <c r="B1124" i="7"/>
  <c r="B1125" i="7"/>
  <c r="B1126" i="7"/>
  <c r="B1127" i="7"/>
  <c r="B1128" i="7"/>
  <c r="B1129" i="7"/>
  <c r="B1130" i="7"/>
  <c r="B1131" i="7"/>
  <c r="B1132" i="7"/>
  <c r="B1133" i="7"/>
  <c r="B1134" i="7"/>
  <c r="B1135" i="7"/>
  <c r="B1136" i="7"/>
  <c r="B1137" i="7"/>
  <c r="B1138" i="7"/>
  <c r="B1139" i="7"/>
  <c r="B1140" i="7"/>
  <c r="B1141" i="7"/>
  <c r="B1142" i="7"/>
  <c r="B1143" i="7"/>
  <c r="B1144" i="7"/>
  <c r="B1145" i="7"/>
  <c r="B1146" i="7"/>
  <c r="B1147" i="7"/>
  <c r="B1148" i="7"/>
  <c r="B1149" i="7"/>
  <c r="B1150" i="7"/>
  <c r="B1151" i="7"/>
  <c r="B1152" i="7"/>
  <c r="B1153" i="7"/>
  <c r="B1154" i="7"/>
  <c r="B1155" i="7"/>
  <c r="B1156" i="7"/>
  <c r="B1157" i="7"/>
  <c r="B1158" i="7"/>
  <c r="B1159" i="7"/>
  <c r="B1160" i="7"/>
  <c r="B1161" i="7"/>
  <c r="B1162" i="7"/>
  <c r="B1163" i="7"/>
  <c r="B1164" i="7"/>
  <c r="B1165" i="7"/>
  <c r="B1166" i="7"/>
  <c r="B1167" i="7"/>
  <c r="B1168" i="7"/>
  <c r="B1169" i="7"/>
  <c r="B1170" i="7"/>
  <c r="B1171" i="7"/>
  <c r="B1172" i="7"/>
  <c r="B1173" i="7"/>
  <c r="B1174" i="7"/>
  <c r="B1175" i="7"/>
  <c r="B1176" i="7"/>
  <c r="B1177" i="7"/>
  <c r="B1178" i="7"/>
  <c r="B1179" i="7"/>
  <c r="B1180" i="7"/>
  <c r="B1181" i="7"/>
  <c r="B1182" i="7"/>
  <c r="B1183" i="7"/>
  <c r="B1184" i="7"/>
  <c r="B1185" i="7"/>
  <c r="B1186" i="7"/>
  <c r="B1187" i="7"/>
  <c r="B1188" i="7"/>
  <c r="B1189" i="7"/>
  <c r="B1190" i="7"/>
  <c r="B1191" i="7"/>
  <c r="B1192" i="7"/>
  <c r="B1193" i="7"/>
  <c r="B1194" i="7"/>
  <c r="B1195" i="7"/>
  <c r="B1196" i="7"/>
  <c r="B1197" i="7"/>
  <c r="B1198" i="7"/>
  <c r="B1199" i="7"/>
  <c r="B1200" i="7"/>
  <c r="B1201" i="7"/>
  <c r="B1202" i="7"/>
  <c r="B1203" i="7"/>
  <c r="B1204" i="7"/>
  <c r="B1205" i="7"/>
  <c r="B1206" i="7"/>
  <c r="B1207" i="7"/>
  <c r="B1208" i="7"/>
  <c r="B1209" i="7"/>
  <c r="B1210" i="7"/>
  <c r="B1211" i="7"/>
  <c r="B1212" i="7"/>
  <c r="B1213" i="7"/>
  <c r="B1214" i="7"/>
  <c r="B1215" i="7"/>
  <c r="B1216" i="7"/>
  <c r="B1217" i="7"/>
  <c r="B1218" i="7"/>
  <c r="B1219" i="7"/>
  <c r="B1220" i="7"/>
  <c r="B1221" i="7"/>
  <c r="B1222" i="7"/>
  <c r="B1223" i="7"/>
  <c r="B1224" i="7"/>
  <c r="B1225" i="7"/>
  <c r="B1226" i="7"/>
  <c r="B1227" i="7"/>
  <c r="B1228" i="7"/>
  <c r="B1229" i="7"/>
  <c r="B1230" i="7"/>
  <c r="B1231" i="7"/>
  <c r="B1232" i="7"/>
  <c r="B1233" i="7"/>
  <c r="B1234" i="7"/>
  <c r="B1235" i="7"/>
  <c r="B1236" i="7"/>
  <c r="B1237" i="7"/>
  <c r="B1238" i="7"/>
  <c r="B1239" i="7"/>
  <c r="B1240" i="7"/>
  <c r="B1241" i="7"/>
  <c r="B1242" i="7"/>
  <c r="B1243" i="7"/>
  <c r="B1244" i="7"/>
  <c r="B1245" i="7"/>
  <c r="B1246" i="7"/>
  <c r="B1247" i="7"/>
  <c r="B1248" i="7"/>
  <c r="B1249" i="7"/>
  <c r="B1250" i="7"/>
  <c r="B1251" i="7"/>
  <c r="B1252" i="7"/>
  <c r="B1253" i="7"/>
  <c r="B1254" i="7"/>
  <c r="B1255" i="7"/>
  <c r="B1256" i="7"/>
  <c r="B1257" i="7"/>
  <c r="B1258" i="7"/>
  <c r="B1259" i="7"/>
  <c r="B1260" i="7"/>
  <c r="B1261" i="7"/>
  <c r="B1262" i="7"/>
  <c r="B1263" i="7"/>
  <c r="B1264" i="7"/>
  <c r="B1265" i="7"/>
  <c r="B1266" i="7"/>
  <c r="B1267" i="7"/>
  <c r="B1268" i="7"/>
  <c r="B1269" i="7"/>
  <c r="B1270" i="7"/>
  <c r="B1271" i="7"/>
  <c r="B1272" i="7"/>
  <c r="B1273" i="7"/>
  <c r="B1274" i="7"/>
  <c r="B1275" i="7"/>
  <c r="B1276" i="7"/>
  <c r="B1277" i="7"/>
  <c r="B1278" i="7"/>
  <c r="B1279" i="7"/>
  <c r="B1280" i="7"/>
  <c r="B1281" i="7"/>
  <c r="B1282" i="7"/>
  <c r="B1283" i="7"/>
  <c r="B1284" i="7"/>
  <c r="B1285" i="7"/>
  <c r="B1286" i="7"/>
  <c r="B1287" i="7"/>
  <c r="B1288" i="7"/>
  <c r="B1289" i="7"/>
  <c r="B1290" i="7"/>
  <c r="B1291" i="7"/>
  <c r="B1292" i="7"/>
  <c r="B1293" i="7"/>
  <c r="B1294" i="7"/>
  <c r="B1295" i="7"/>
  <c r="B1296" i="7"/>
  <c r="B1297" i="7"/>
  <c r="B1298" i="7"/>
  <c r="B1299" i="7"/>
  <c r="B1300" i="7"/>
  <c r="B1301" i="7"/>
  <c r="B1302" i="7"/>
  <c r="B1303" i="7"/>
  <c r="B1304" i="7"/>
  <c r="B1305" i="7"/>
  <c r="B1306" i="7"/>
  <c r="B1307" i="7"/>
  <c r="B1308" i="7"/>
  <c r="B1309" i="7"/>
  <c r="B1310" i="7"/>
  <c r="B1311" i="7"/>
  <c r="B1312" i="7"/>
  <c r="B1313" i="7"/>
  <c r="B1314" i="7"/>
  <c r="B1315" i="7"/>
  <c r="B1316" i="7"/>
  <c r="B1317" i="7"/>
  <c r="B1318" i="7"/>
  <c r="B1319" i="7"/>
  <c r="B1320" i="7"/>
  <c r="B1321" i="7"/>
  <c r="B1322" i="7"/>
  <c r="B1323" i="7"/>
  <c r="B1324" i="7"/>
  <c r="B1325" i="7"/>
  <c r="B1326" i="7"/>
  <c r="B1327" i="7"/>
  <c r="B1328" i="7"/>
  <c r="B1329" i="7"/>
  <c r="B1330" i="7"/>
  <c r="B1331" i="7"/>
  <c r="B1332" i="7"/>
  <c r="B1333" i="7"/>
  <c r="B1334" i="7"/>
  <c r="B1335" i="7"/>
  <c r="B1336" i="7"/>
  <c r="B1337" i="7"/>
  <c r="B1338" i="7"/>
  <c r="B1339" i="7"/>
  <c r="B1340" i="7"/>
  <c r="B1341" i="7"/>
  <c r="B1342" i="7"/>
  <c r="B1343" i="7"/>
  <c r="B1344" i="7"/>
  <c r="B1345" i="7"/>
  <c r="B1346" i="7"/>
  <c r="B1347" i="7"/>
  <c r="B1348" i="7"/>
  <c r="B1349" i="7"/>
  <c r="B1350" i="7"/>
  <c r="B1351" i="7"/>
  <c r="B1352" i="7"/>
  <c r="B1353" i="7"/>
  <c r="B1354" i="7"/>
  <c r="B1355" i="7"/>
  <c r="B1356" i="7"/>
  <c r="B1357" i="7"/>
  <c r="B1358" i="7"/>
  <c r="B1359" i="7"/>
  <c r="B1360" i="7"/>
  <c r="B1361" i="7"/>
  <c r="B1362" i="7"/>
  <c r="B1363" i="7"/>
  <c r="B1364" i="7"/>
  <c r="B1365" i="7"/>
  <c r="B1366" i="7"/>
  <c r="B1367" i="7"/>
  <c r="B1368" i="7"/>
  <c r="B1369" i="7"/>
  <c r="B1370" i="7"/>
  <c r="B1371" i="7"/>
  <c r="B1372" i="7"/>
  <c r="B1373" i="7"/>
  <c r="B1374" i="7"/>
  <c r="B1375" i="7"/>
  <c r="B1376" i="7"/>
  <c r="B1377" i="7"/>
  <c r="B1378" i="7"/>
  <c r="B1379" i="7"/>
  <c r="B1380" i="7"/>
  <c r="B1381" i="7"/>
  <c r="B1382" i="7"/>
  <c r="B1383" i="7"/>
  <c r="B1384" i="7"/>
  <c r="B1385" i="7"/>
  <c r="B1386" i="7"/>
  <c r="B1387" i="7"/>
  <c r="B1388" i="7"/>
  <c r="B1389" i="7"/>
  <c r="B1390" i="7"/>
  <c r="B1391" i="7"/>
  <c r="B1392" i="7"/>
  <c r="B1393" i="7"/>
  <c r="B1394" i="7"/>
  <c r="B1395" i="7"/>
  <c r="B1396" i="7"/>
  <c r="B1397" i="7"/>
  <c r="B1398" i="7"/>
  <c r="B1399" i="7"/>
  <c r="B1400" i="7"/>
  <c r="B1401" i="7"/>
  <c r="B1402" i="7"/>
  <c r="B1403" i="7"/>
  <c r="B1404" i="7"/>
  <c r="B1405" i="7"/>
  <c r="B1406" i="7"/>
  <c r="B1407" i="7"/>
  <c r="B1408" i="7"/>
  <c r="B1409" i="7"/>
  <c r="B1410" i="7"/>
  <c r="B1411" i="7"/>
  <c r="B237" i="7"/>
  <c r="B1412" i="7"/>
  <c r="B1413" i="7"/>
  <c r="B1414" i="7"/>
  <c r="B1415" i="7"/>
  <c r="B1416" i="7"/>
  <c r="B1417" i="7"/>
  <c r="B1418" i="7"/>
  <c r="B1419" i="7"/>
  <c r="B1420" i="7"/>
  <c r="B1421" i="7"/>
  <c r="B1422" i="7"/>
  <c r="B1423" i="7"/>
  <c r="B1424" i="7"/>
  <c r="B1425" i="7"/>
  <c r="B1426" i="7"/>
  <c r="B1427" i="7"/>
  <c r="B1428" i="7"/>
  <c r="B1429" i="7"/>
  <c r="B1430" i="7"/>
  <c r="B1431" i="7"/>
  <c r="B1432" i="7"/>
  <c r="B1433" i="7"/>
  <c r="B1434" i="7"/>
  <c r="B1435" i="7"/>
  <c r="B1436" i="7"/>
  <c r="B1437" i="7"/>
  <c r="B1438" i="7"/>
  <c r="B1439" i="7"/>
  <c r="B1440" i="7"/>
  <c r="B1441" i="7"/>
  <c r="B1442" i="7"/>
  <c r="B1443" i="7"/>
  <c r="B1444" i="7"/>
  <c r="B1445" i="7"/>
  <c r="B1446" i="7"/>
  <c r="B1447" i="7"/>
  <c r="B1448" i="7"/>
  <c r="B1449" i="7"/>
  <c r="B1027" i="7"/>
  <c r="B1028" i="7"/>
  <c r="B1023" i="7"/>
  <c r="B1024" i="7"/>
  <c r="B1025" i="7"/>
  <c r="B1026" i="7"/>
  <c r="B999" i="7"/>
  <c r="B1000" i="7"/>
  <c r="B1001" i="7"/>
  <c r="B1002" i="7"/>
  <c r="B1003" i="7"/>
  <c r="B1004" i="7"/>
  <c r="B1005" i="7"/>
  <c r="B1006" i="7"/>
  <c r="B1007" i="7"/>
  <c r="B1008" i="7"/>
  <c r="B1009" i="7"/>
  <c r="B1010" i="7"/>
  <c r="B1011" i="7"/>
  <c r="B1012" i="7"/>
  <c r="B1013" i="7"/>
  <c r="B1014" i="7"/>
  <c r="B1015" i="7"/>
  <c r="B1016" i="7"/>
  <c r="B1017" i="7"/>
  <c r="B1018" i="7"/>
  <c r="B1019" i="7"/>
  <c r="B1020" i="7"/>
  <c r="B1021" i="7"/>
  <c r="B1022" i="7"/>
  <c r="B982" i="7"/>
  <c r="B983" i="7"/>
  <c r="B984" i="7"/>
  <c r="B985" i="7"/>
  <c r="B986" i="7"/>
  <c r="B987" i="7"/>
  <c r="B988" i="7"/>
  <c r="B989" i="7"/>
  <c r="B990" i="7"/>
  <c r="B991" i="7"/>
  <c r="B992" i="7"/>
  <c r="B993" i="7"/>
  <c r="B994" i="7"/>
  <c r="B995" i="7"/>
  <c r="B996" i="7"/>
  <c r="B997" i="7"/>
  <c r="B998" i="7"/>
  <c r="B772" i="7"/>
  <c r="B773" i="7"/>
  <c r="B774" i="7"/>
  <c r="B775" i="7"/>
  <c r="B776" i="7"/>
  <c r="B777" i="7"/>
  <c r="B778" i="7"/>
  <c r="B779" i="7"/>
  <c r="B780" i="7"/>
  <c r="B781" i="7"/>
  <c r="B782" i="7"/>
  <c r="B783" i="7"/>
  <c r="B784" i="7"/>
  <c r="B785" i="7"/>
  <c r="B786" i="7"/>
  <c r="B787" i="7"/>
  <c r="B788" i="7"/>
  <c r="B789" i="7"/>
  <c r="B790" i="7"/>
  <c r="B791" i="7"/>
  <c r="B792" i="7"/>
  <c r="B793" i="7"/>
  <c r="B794" i="7"/>
  <c r="B795" i="7"/>
  <c r="B796" i="7"/>
  <c r="B797" i="7"/>
  <c r="B798" i="7"/>
  <c r="B799" i="7"/>
  <c r="B800" i="7"/>
  <c r="B801" i="7"/>
  <c r="B802" i="7"/>
  <c r="B803" i="7"/>
  <c r="B804" i="7"/>
  <c r="B805" i="7"/>
  <c r="B806" i="7"/>
  <c r="B807" i="7"/>
  <c r="B808" i="7"/>
  <c r="B809" i="7"/>
  <c r="B810" i="7"/>
  <c r="B811" i="7"/>
  <c r="B812" i="7"/>
  <c r="B813" i="7"/>
  <c r="B814" i="7"/>
  <c r="B815" i="7"/>
  <c r="B816" i="7"/>
  <c r="B817" i="7"/>
  <c r="B818" i="7"/>
  <c r="B819" i="7"/>
  <c r="B820" i="7"/>
  <c r="B821" i="7"/>
  <c r="B822" i="7"/>
  <c r="B823" i="7"/>
  <c r="B824" i="7"/>
  <c r="B825" i="7"/>
  <c r="B826" i="7"/>
  <c r="B827" i="7"/>
  <c r="B828" i="7"/>
  <c r="B829" i="7"/>
  <c r="B830" i="7"/>
  <c r="B831" i="7"/>
  <c r="B832" i="7"/>
  <c r="B833" i="7"/>
  <c r="B834" i="7"/>
  <c r="B835" i="7"/>
  <c r="B836" i="7"/>
  <c r="B837" i="7"/>
  <c r="B838" i="7"/>
  <c r="B839" i="7"/>
  <c r="B840" i="7"/>
  <c r="B841" i="7"/>
  <c r="B842" i="7"/>
  <c r="B843" i="7"/>
  <c r="B844" i="7"/>
  <c r="B845" i="7"/>
  <c r="B846" i="7"/>
  <c r="B847" i="7"/>
  <c r="B848" i="7"/>
  <c r="B849" i="7"/>
  <c r="B850" i="7"/>
  <c r="B851" i="7"/>
  <c r="B852" i="7"/>
  <c r="B853" i="7"/>
  <c r="B854" i="7"/>
  <c r="B855" i="7"/>
  <c r="B856" i="7"/>
  <c r="B857" i="7"/>
  <c r="B858" i="7"/>
  <c r="B859" i="7"/>
  <c r="B860" i="7"/>
  <c r="B861" i="7"/>
  <c r="B862" i="7"/>
  <c r="B863" i="7"/>
  <c r="B864" i="7"/>
  <c r="B865" i="7"/>
  <c r="B866" i="7"/>
  <c r="B867" i="7"/>
  <c r="B868" i="7"/>
  <c r="B869" i="7"/>
  <c r="B870" i="7"/>
  <c r="B871" i="7"/>
  <c r="B872" i="7"/>
  <c r="B873" i="7"/>
  <c r="B874" i="7"/>
  <c r="B875" i="7"/>
  <c r="B876" i="7"/>
  <c r="B877" i="7"/>
  <c r="B878" i="7"/>
  <c r="B879" i="7"/>
  <c r="B880" i="7"/>
  <c r="B881" i="7"/>
  <c r="B882" i="7"/>
  <c r="B883" i="7"/>
  <c r="B884" i="7"/>
  <c r="B885" i="7"/>
  <c r="B886" i="7"/>
  <c r="B887" i="7"/>
  <c r="B888" i="7"/>
  <c r="B889" i="7"/>
  <c r="B890" i="7"/>
  <c r="B891" i="7"/>
  <c r="B892" i="7"/>
  <c r="B893" i="7"/>
  <c r="B894" i="7"/>
  <c r="B895" i="7"/>
  <c r="B896" i="7"/>
  <c r="B897" i="7"/>
  <c r="B898" i="7"/>
  <c r="B899" i="7"/>
  <c r="B900" i="7"/>
  <c r="B901" i="7"/>
  <c r="B902" i="7"/>
  <c r="B903" i="7"/>
  <c r="B904" i="7"/>
  <c r="B905" i="7"/>
  <c r="B906" i="7"/>
  <c r="B907" i="7"/>
  <c r="B908" i="7"/>
  <c r="B909" i="7"/>
  <c r="B910" i="7"/>
  <c r="B911" i="7"/>
  <c r="B912" i="7"/>
  <c r="B913" i="7"/>
  <c r="B914" i="7"/>
  <c r="B915" i="7"/>
  <c r="B916" i="7"/>
  <c r="B917" i="7"/>
  <c r="B918" i="7"/>
  <c r="B919" i="7"/>
  <c r="B920" i="7"/>
  <c r="B921" i="7"/>
  <c r="B922" i="7"/>
  <c r="B923" i="7"/>
  <c r="B924" i="7"/>
  <c r="B925" i="7"/>
  <c r="B926" i="7"/>
  <c r="B927" i="7"/>
  <c r="B928" i="7"/>
  <c r="B929" i="7"/>
  <c r="B930" i="7"/>
  <c r="B931" i="7"/>
  <c r="B932" i="7"/>
  <c r="B933" i="7"/>
  <c r="B934" i="7"/>
  <c r="B935" i="7"/>
  <c r="B936" i="7"/>
  <c r="B937" i="7"/>
  <c r="B938" i="7"/>
  <c r="B939" i="7"/>
  <c r="B940" i="7"/>
  <c r="B941" i="7"/>
  <c r="B942" i="7"/>
  <c r="B943" i="7"/>
  <c r="B944" i="7"/>
  <c r="B945" i="7"/>
  <c r="B946" i="7"/>
  <c r="B947" i="7"/>
  <c r="B948" i="7"/>
  <c r="B949" i="7"/>
  <c r="B950" i="7"/>
  <c r="B951" i="7"/>
  <c r="B952" i="7"/>
  <c r="B953" i="7"/>
  <c r="B954" i="7"/>
  <c r="B955" i="7"/>
  <c r="B956" i="7"/>
  <c r="B957" i="7"/>
  <c r="B958" i="7"/>
  <c r="B959" i="7"/>
  <c r="B960" i="7"/>
  <c r="B961" i="7"/>
  <c r="B962" i="7"/>
  <c r="B963" i="7"/>
  <c r="B964" i="7"/>
  <c r="B965" i="7"/>
  <c r="B966" i="7"/>
  <c r="B967" i="7"/>
  <c r="B968" i="7"/>
  <c r="B969" i="7"/>
  <c r="B970" i="7"/>
  <c r="B971" i="7"/>
  <c r="B972" i="7"/>
  <c r="B973" i="7"/>
  <c r="B974" i="7"/>
  <c r="B975" i="7"/>
  <c r="B976" i="7"/>
  <c r="B977" i="7"/>
  <c r="B978" i="7"/>
  <c r="B979" i="7"/>
  <c r="B980" i="7"/>
  <c r="B981" i="7"/>
  <c r="B757" i="7"/>
  <c r="B758" i="7"/>
  <c r="B759" i="7"/>
  <c r="B760" i="7"/>
  <c r="B761" i="7"/>
  <c r="B762" i="7"/>
  <c r="B763" i="7"/>
  <c r="B764" i="7"/>
  <c r="B765" i="7"/>
  <c r="B766" i="7"/>
  <c r="B767" i="7"/>
  <c r="B768" i="7"/>
  <c r="B769" i="7"/>
  <c r="B770" i="7"/>
  <c r="B771" i="7"/>
  <c r="B749" i="7"/>
  <c r="B750" i="7"/>
  <c r="B751" i="7"/>
  <c r="B752" i="7"/>
  <c r="B753" i="7"/>
  <c r="B754" i="7"/>
  <c r="B755" i="7"/>
  <c r="B756" i="7"/>
  <c r="B745" i="7"/>
  <c r="B746" i="7"/>
  <c r="B747" i="7"/>
  <c r="B748" i="7"/>
  <c r="B289" i="7"/>
  <c r="B290" i="7"/>
  <c r="B291" i="7"/>
  <c r="B292" i="7"/>
  <c r="B293" i="7"/>
  <c r="B294" i="7"/>
  <c r="B295" i="7"/>
  <c r="B296" i="7"/>
  <c r="B297" i="7"/>
  <c r="B298" i="7"/>
  <c r="B299" i="7"/>
  <c r="B300" i="7"/>
  <c r="B301" i="7"/>
  <c r="B302" i="7"/>
  <c r="B303" i="7"/>
  <c r="B304" i="7"/>
  <c r="B305" i="7"/>
  <c r="B306" i="7"/>
  <c r="B307" i="7"/>
  <c r="B308" i="7"/>
  <c r="B309" i="7"/>
  <c r="B310" i="7"/>
  <c r="B311" i="7"/>
  <c r="B312" i="7"/>
  <c r="B313" i="7"/>
  <c r="B314" i="7"/>
  <c r="B315" i="7"/>
  <c r="B316" i="7"/>
  <c r="B317" i="7"/>
  <c r="B318" i="7"/>
  <c r="B319" i="7"/>
  <c r="B320" i="7"/>
  <c r="B321" i="7"/>
  <c r="B322" i="7"/>
  <c r="B323" i="7"/>
  <c r="B324" i="7"/>
  <c r="B325" i="7"/>
  <c r="B326" i="7"/>
  <c r="B327" i="7"/>
  <c r="B328" i="7"/>
  <c r="B329" i="7"/>
  <c r="B330" i="7"/>
  <c r="B331" i="7"/>
  <c r="B332" i="7"/>
  <c r="B333" i="7"/>
  <c r="B334" i="7"/>
  <c r="B335" i="7"/>
  <c r="B336" i="7"/>
  <c r="B337" i="7"/>
  <c r="B338" i="7"/>
  <c r="B339" i="7"/>
  <c r="B340" i="7"/>
  <c r="B341" i="7"/>
  <c r="B342" i="7"/>
  <c r="B343" i="7"/>
  <c r="B344" i="7"/>
  <c r="B345" i="7"/>
  <c r="B346" i="7"/>
  <c r="B347" i="7"/>
  <c r="B348" i="7"/>
  <c r="B349" i="7"/>
  <c r="B350" i="7"/>
  <c r="B351" i="7"/>
  <c r="B352" i="7"/>
  <c r="B353" i="7"/>
  <c r="B354" i="7"/>
  <c r="B355" i="7"/>
  <c r="B356" i="7"/>
  <c r="B357" i="7"/>
  <c r="B358" i="7"/>
  <c r="B359" i="7"/>
  <c r="B360" i="7"/>
  <c r="B361" i="7"/>
  <c r="B362" i="7"/>
  <c r="B363" i="7"/>
  <c r="B364" i="7"/>
  <c r="B365" i="7"/>
  <c r="B366" i="7"/>
  <c r="B367" i="7"/>
  <c r="B368" i="7"/>
  <c r="B369" i="7"/>
  <c r="B370" i="7"/>
  <c r="B371" i="7"/>
  <c r="B372" i="7"/>
  <c r="B373" i="7"/>
  <c r="B374" i="7"/>
  <c r="B375" i="7"/>
  <c r="B376" i="7"/>
  <c r="B377" i="7"/>
  <c r="B378" i="7"/>
  <c r="B379" i="7"/>
  <c r="B380" i="7"/>
  <c r="B381" i="7"/>
  <c r="B382" i="7"/>
  <c r="B383" i="7"/>
  <c r="B384" i="7"/>
  <c r="B385" i="7"/>
  <c r="B386" i="7"/>
  <c r="B387" i="7"/>
  <c r="B388" i="7"/>
  <c r="B389" i="7"/>
  <c r="B390" i="7"/>
  <c r="B391" i="7"/>
  <c r="B392" i="7"/>
  <c r="B393" i="7"/>
  <c r="B394" i="7"/>
  <c r="B395" i="7"/>
  <c r="B396" i="7"/>
  <c r="B397" i="7"/>
  <c r="B398" i="7"/>
  <c r="B399" i="7"/>
  <c r="B400" i="7"/>
  <c r="B401" i="7"/>
  <c r="B402" i="7"/>
  <c r="B403" i="7"/>
  <c r="B404" i="7"/>
  <c r="B405" i="7"/>
  <c r="B406" i="7"/>
  <c r="B407" i="7"/>
  <c r="B408" i="7"/>
  <c r="B409" i="7"/>
  <c r="B410" i="7"/>
  <c r="B411" i="7"/>
  <c r="B412" i="7"/>
  <c r="B413" i="7"/>
  <c r="B414" i="7"/>
  <c r="B415" i="7"/>
  <c r="B416" i="7"/>
  <c r="B417" i="7"/>
  <c r="B418" i="7"/>
  <c r="B419" i="7"/>
  <c r="B420" i="7"/>
  <c r="B421" i="7"/>
  <c r="B422" i="7"/>
  <c r="B423" i="7"/>
  <c r="B424" i="7"/>
  <c r="B425" i="7"/>
  <c r="B426" i="7"/>
  <c r="B427" i="7"/>
  <c r="B428" i="7"/>
  <c r="B429" i="7"/>
  <c r="B430" i="7"/>
  <c r="B431" i="7"/>
  <c r="B432" i="7"/>
  <c r="B433" i="7"/>
  <c r="B434" i="7"/>
  <c r="B435" i="7"/>
  <c r="B436" i="7"/>
  <c r="B437" i="7"/>
  <c r="B438" i="7"/>
  <c r="B439" i="7"/>
  <c r="B440" i="7"/>
  <c r="B441" i="7"/>
  <c r="B442" i="7"/>
  <c r="B443" i="7"/>
  <c r="B444" i="7"/>
  <c r="B445" i="7"/>
  <c r="B446" i="7"/>
  <c r="B447" i="7"/>
  <c r="B448" i="7"/>
  <c r="B449" i="7"/>
  <c r="B450" i="7"/>
  <c r="B451" i="7"/>
  <c r="B452" i="7"/>
  <c r="B453" i="7"/>
  <c r="B454" i="7"/>
  <c r="B455" i="7"/>
  <c r="B456" i="7"/>
  <c r="B457" i="7"/>
  <c r="B458" i="7"/>
  <c r="B459" i="7"/>
  <c r="B460" i="7"/>
  <c r="B461" i="7"/>
  <c r="B462" i="7"/>
  <c r="B463" i="7"/>
  <c r="B464" i="7"/>
  <c r="B465" i="7"/>
  <c r="B466" i="7"/>
  <c r="B467" i="7"/>
  <c r="B468" i="7"/>
  <c r="B469" i="7"/>
  <c r="B470" i="7"/>
  <c r="B471" i="7"/>
  <c r="B472" i="7"/>
  <c r="B473" i="7"/>
  <c r="B474" i="7"/>
  <c r="B475" i="7"/>
  <c r="B476" i="7"/>
  <c r="B477" i="7"/>
  <c r="B478" i="7"/>
  <c r="B479" i="7"/>
  <c r="B480" i="7"/>
  <c r="B481" i="7"/>
  <c r="B482" i="7"/>
  <c r="B483" i="7"/>
  <c r="B484" i="7"/>
  <c r="B485" i="7"/>
  <c r="B486" i="7"/>
  <c r="B487" i="7"/>
  <c r="B488" i="7"/>
  <c r="B489" i="7"/>
  <c r="B490" i="7"/>
  <c r="B491" i="7"/>
  <c r="B492" i="7"/>
  <c r="B493" i="7"/>
  <c r="B494" i="7"/>
  <c r="B495" i="7"/>
  <c r="B496" i="7"/>
  <c r="B497" i="7"/>
  <c r="B498" i="7"/>
  <c r="B499" i="7"/>
  <c r="B500" i="7"/>
  <c r="B501" i="7"/>
  <c r="B502" i="7"/>
  <c r="B503" i="7"/>
  <c r="B504" i="7"/>
  <c r="B505" i="7"/>
  <c r="B506" i="7"/>
  <c r="B507" i="7"/>
  <c r="B508" i="7"/>
  <c r="B509" i="7"/>
  <c r="B510" i="7"/>
  <c r="B511" i="7"/>
  <c r="B512" i="7"/>
  <c r="B513" i="7"/>
  <c r="B514" i="7"/>
  <c r="B515" i="7"/>
  <c r="B516" i="7"/>
  <c r="B517" i="7"/>
  <c r="B518" i="7"/>
  <c r="B519" i="7"/>
  <c r="B520" i="7"/>
  <c r="B521" i="7"/>
  <c r="B522" i="7"/>
  <c r="B523" i="7"/>
  <c r="B524" i="7"/>
  <c r="B525" i="7"/>
  <c r="B526" i="7"/>
  <c r="B527" i="7"/>
  <c r="B528" i="7"/>
  <c r="B529" i="7"/>
  <c r="B530" i="7"/>
  <c r="B531" i="7"/>
  <c r="B532" i="7"/>
  <c r="B533" i="7"/>
  <c r="B534" i="7"/>
  <c r="B535" i="7"/>
  <c r="B536" i="7"/>
  <c r="B537" i="7"/>
  <c r="B538" i="7"/>
  <c r="B539" i="7"/>
  <c r="B540" i="7"/>
  <c r="B541" i="7"/>
  <c r="B542" i="7"/>
  <c r="B543" i="7"/>
  <c r="B544" i="7"/>
  <c r="B545" i="7"/>
  <c r="B546" i="7"/>
  <c r="B547" i="7"/>
  <c r="B548" i="7"/>
  <c r="B549" i="7"/>
  <c r="B550" i="7"/>
  <c r="B551" i="7"/>
  <c r="B552" i="7"/>
  <c r="B553" i="7"/>
  <c r="B554" i="7"/>
  <c r="B555" i="7"/>
  <c r="B556" i="7"/>
  <c r="B557" i="7"/>
  <c r="B558" i="7"/>
  <c r="B559" i="7"/>
  <c r="B560" i="7"/>
  <c r="B561" i="7"/>
  <c r="B562" i="7"/>
  <c r="B563" i="7"/>
  <c r="B564" i="7"/>
  <c r="B565" i="7"/>
  <c r="B566" i="7"/>
  <c r="B567" i="7"/>
  <c r="B568" i="7"/>
  <c r="B569" i="7"/>
  <c r="B570" i="7"/>
  <c r="B571" i="7"/>
  <c r="B572" i="7"/>
  <c r="B573" i="7"/>
  <c r="B574" i="7"/>
  <c r="B575" i="7"/>
  <c r="B576" i="7"/>
  <c r="B577" i="7"/>
  <c r="B578" i="7"/>
  <c r="B579" i="7"/>
  <c r="B580" i="7"/>
  <c r="B581" i="7"/>
  <c r="B582" i="7"/>
  <c r="B583" i="7"/>
  <c r="B584" i="7"/>
  <c r="B585" i="7"/>
  <c r="B586" i="7"/>
  <c r="B587" i="7"/>
  <c r="B588" i="7"/>
  <c r="B589" i="7"/>
  <c r="B590" i="7"/>
  <c r="B591" i="7"/>
  <c r="B592" i="7"/>
  <c r="B593" i="7"/>
  <c r="B594" i="7"/>
  <c r="B595" i="7"/>
  <c r="B596" i="7"/>
  <c r="B597" i="7"/>
  <c r="B598" i="7"/>
  <c r="B599" i="7"/>
  <c r="B600" i="7"/>
  <c r="B601" i="7"/>
  <c r="B602" i="7"/>
  <c r="B603" i="7"/>
  <c r="B604" i="7"/>
  <c r="B605" i="7"/>
  <c r="B606" i="7"/>
  <c r="B607" i="7"/>
  <c r="B608" i="7"/>
  <c r="B609" i="7"/>
  <c r="B610" i="7"/>
  <c r="B611" i="7"/>
  <c r="B612" i="7"/>
  <c r="B613" i="7"/>
  <c r="B614" i="7"/>
  <c r="B615" i="7"/>
  <c r="B616" i="7"/>
  <c r="B617" i="7"/>
  <c r="B618" i="7"/>
  <c r="B619" i="7"/>
  <c r="B620" i="7"/>
  <c r="B621" i="7"/>
  <c r="B622" i="7"/>
  <c r="B623" i="7"/>
  <c r="B624" i="7"/>
  <c r="B625" i="7"/>
  <c r="B626" i="7"/>
  <c r="B627" i="7"/>
  <c r="B628" i="7"/>
  <c r="B629" i="7"/>
  <c r="B630" i="7"/>
  <c r="B631" i="7"/>
  <c r="B632" i="7"/>
  <c r="B633" i="7"/>
  <c r="B634" i="7"/>
  <c r="B635" i="7"/>
  <c r="B636" i="7"/>
  <c r="B637" i="7"/>
  <c r="B638" i="7"/>
  <c r="B639" i="7"/>
  <c r="B640" i="7"/>
  <c r="B641" i="7"/>
  <c r="B642" i="7"/>
  <c r="B643" i="7"/>
  <c r="B644" i="7"/>
  <c r="B645" i="7"/>
  <c r="B646" i="7"/>
  <c r="B647" i="7"/>
  <c r="B648" i="7"/>
  <c r="B649" i="7"/>
  <c r="B650" i="7"/>
  <c r="B651" i="7"/>
  <c r="B652" i="7"/>
  <c r="B653" i="7"/>
  <c r="B654" i="7"/>
  <c r="B655" i="7"/>
  <c r="B656" i="7"/>
  <c r="B657" i="7"/>
  <c r="B658" i="7"/>
  <c r="B659" i="7"/>
  <c r="B660" i="7"/>
  <c r="B661" i="7"/>
  <c r="B662" i="7"/>
  <c r="B663" i="7"/>
  <c r="B664" i="7"/>
  <c r="B665" i="7"/>
  <c r="B666" i="7"/>
  <c r="B667" i="7"/>
  <c r="B668" i="7"/>
  <c r="B669" i="7"/>
  <c r="B670" i="7"/>
  <c r="B671" i="7"/>
  <c r="B672" i="7"/>
  <c r="B673" i="7"/>
  <c r="B674" i="7"/>
  <c r="B675" i="7"/>
  <c r="B676" i="7"/>
  <c r="B677" i="7"/>
  <c r="B678" i="7"/>
  <c r="B679" i="7"/>
  <c r="B680" i="7"/>
  <c r="B681" i="7"/>
  <c r="B682" i="7"/>
  <c r="B683" i="7"/>
  <c r="B684" i="7"/>
  <c r="B685" i="7"/>
  <c r="B686" i="7"/>
  <c r="B687" i="7"/>
  <c r="B688" i="7"/>
  <c r="B689" i="7"/>
  <c r="B690" i="7"/>
  <c r="B691" i="7"/>
  <c r="B692" i="7"/>
  <c r="B693" i="7"/>
  <c r="B694" i="7"/>
  <c r="B695" i="7"/>
  <c r="B696" i="7"/>
  <c r="B697" i="7"/>
  <c r="B698" i="7"/>
  <c r="B699" i="7"/>
  <c r="B700" i="7"/>
  <c r="B701" i="7"/>
  <c r="B702" i="7"/>
  <c r="B703" i="7"/>
  <c r="B704" i="7"/>
  <c r="B705" i="7"/>
  <c r="B706" i="7"/>
  <c r="B707" i="7"/>
  <c r="B708" i="7"/>
  <c r="B709" i="7"/>
  <c r="B710" i="7"/>
  <c r="B711" i="7"/>
  <c r="B712" i="7"/>
  <c r="B713" i="7"/>
  <c r="B714" i="7"/>
  <c r="B715" i="7"/>
  <c r="B716" i="7"/>
  <c r="B717" i="7"/>
  <c r="B718" i="7"/>
  <c r="B719" i="7"/>
  <c r="B720" i="7"/>
  <c r="B721" i="7"/>
  <c r="B722" i="7"/>
  <c r="B723" i="7"/>
  <c r="B724" i="7"/>
  <c r="B725" i="7"/>
  <c r="B726" i="7"/>
  <c r="B727" i="7"/>
  <c r="B728" i="7"/>
  <c r="B729" i="7"/>
  <c r="B730" i="7"/>
  <c r="B731" i="7"/>
  <c r="B732" i="7"/>
  <c r="B733" i="7"/>
  <c r="B734" i="7"/>
  <c r="B735" i="7"/>
  <c r="B736" i="7"/>
  <c r="B737" i="7"/>
  <c r="B738" i="7"/>
  <c r="B739" i="7"/>
  <c r="B740" i="7"/>
  <c r="B741" i="7"/>
  <c r="B742" i="7"/>
  <c r="B743" i="7"/>
  <c r="B744" i="7"/>
  <c r="B100" i="7"/>
  <c r="B101" i="7"/>
  <c r="B102" i="7"/>
  <c r="B103" i="7"/>
  <c r="B104" i="7"/>
  <c r="B105" i="7"/>
  <c r="B106" i="7"/>
  <c r="B107" i="7"/>
  <c r="B108" i="7"/>
  <c r="B109" i="7"/>
  <c r="B110" i="7"/>
  <c r="B111" i="7"/>
  <c r="B112" i="7"/>
  <c r="B113" i="7"/>
  <c r="B114" i="7"/>
  <c r="B115" i="7"/>
  <c r="B116" i="7"/>
  <c r="B117" i="7"/>
  <c r="B118" i="7"/>
  <c r="B119" i="7"/>
  <c r="B120" i="7"/>
  <c r="B121" i="7"/>
  <c r="B122" i="7"/>
  <c r="B123" i="7"/>
  <c r="B124" i="7"/>
  <c r="B125" i="7"/>
  <c r="B126" i="7"/>
  <c r="B127" i="7"/>
  <c r="B128" i="7"/>
  <c r="B129" i="7"/>
  <c r="B130" i="7"/>
  <c r="B131" i="7"/>
  <c r="B132" i="7"/>
  <c r="B133" i="7"/>
  <c r="B134" i="7"/>
  <c r="B135" i="7"/>
  <c r="B136" i="7"/>
  <c r="B137" i="7"/>
  <c r="B138" i="7"/>
  <c r="B139" i="7"/>
  <c r="B140" i="7"/>
  <c r="B141" i="7"/>
  <c r="B142" i="7"/>
  <c r="B143" i="7"/>
  <c r="B144" i="7"/>
  <c r="B145" i="7"/>
  <c r="B146" i="7"/>
  <c r="B147" i="7"/>
  <c r="B148" i="7"/>
  <c r="B149" i="7"/>
  <c r="B150" i="7"/>
  <c r="B151" i="7"/>
  <c r="B152" i="7"/>
  <c r="B153" i="7"/>
  <c r="B154" i="7"/>
  <c r="B155" i="7"/>
  <c r="B156" i="7"/>
  <c r="B157" i="7"/>
  <c r="B158" i="7"/>
  <c r="B159" i="7"/>
  <c r="B160" i="7"/>
  <c r="B161" i="7"/>
  <c r="B162" i="7"/>
  <c r="B163" i="7"/>
  <c r="B164" i="7"/>
  <c r="B165" i="7"/>
  <c r="B166" i="7"/>
  <c r="B167" i="7"/>
  <c r="B168" i="7"/>
  <c r="B169" i="7"/>
  <c r="B170" i="7"/>
  <c r="B171" i="7"/>
  <c r="B172" i="7"/>
  <c r="B173" i="7"/>
  <c r="B174" i="7"/>
  <c r="B175" i="7"/>
  <c r="B176" i="7"/>
  <c r="B177" i="7"/>
  <c r="B178" i="7"/>
  <c r="B179" i="7"/>
  <c r="B180" i="7"/>
  <c r="B181" i="7"/>
  <c r="B182" i="7"/>
  <c r="B183" i="7"/>
  <c r="B184" i="7"/>
  <c r="B185" i="7"/>
  <c r="B186" i="7"/>
  <c r="B187" i="7"/>
  <c r="B188" i="7"/>
  <c r="B189" i="7"/>
  <c r="B190" i="7"/>
  <c r="B191" i="7"/>
  <c r="B192" i="7"/>
  <c r="B193" i="7"/>
  <c r="B194" i="7"/>
  <c r="B195" i="7"/>
  <c r="B196" i="7"/>
  <c r="B197" i="7"/>
  <c r="B198" i="7"/>
  <c r="B199" i="7"/>
  <c r="B200" i="7"/>
  <c r="B201" i="7"/>
  <c r="B202" i="7"/>
  <c r="B203" i="7"/>
  <c r="B204" i="7"/>
  <c r="B205" i="7"/>
  <c r="B206" i="7"/>
  <c r="B207" i="7"/>
  <c r="B208" i="7"/>
  <c r="B209" i="7"/>
  <c r="B210" i="7"/>
  <c r="B211" i="7"/>
  <c r="B212" i="7"/>
  <c r="B213" i="7"/>
  <c r="B214" i="7"/>
  <c r="B215" i="7"/>
  <c r="B216" i="7"/>
  <c r="B217" i="7"/>
  <c r="B218" i="7"/>
  <c r="B219" i="7"/>
  <c r="B220" i="7"/>
  <c r="B221" i="7"/>
  <c r="B222" i="7"/>
  <c r="B223" i="7"/>
  <c r="B224" i="7"/>
  <c r="B225" i="7"/>
  <c r="B226" i="7"/>
  <c r="B227" i="7"/>
  <c r="B228" i="7"/>
  <c r="B229" i="7"/>
  <c r="B230" i="7"/>
  <c r="B231" i="7"/>
  <c r="B232" i="7"/>
  <c r="B233" i="7"/>
  <c r="B234" i="7"/>
  <c r="B235" i="7"/>
  <c r="B236" i="7"/>
  <c r="B238" i="7"/>
  <c r="B239" i="7"/>
  <c r="B240" i="7"/>
  <c r="B241" i="7"/>
  <c r="B242" i="7"/>
  <c r="B243" i="7"/>
  <c r="B244" i="7"/>
  <c r="B245" i="7"/>
  <c r="B246" i="7"/>
  <c r="B247" i="7"/>
  <c r="B248" i="7"/>
  <c r="B249" i="7"/>
  <c r="B250" i="7"/>
  <c r="B251" i="7"/>
  <c r="B252" i="7"/>
  <c r="B253" i="7"/>
  <c r="B254" i="7"/>
  <c r="B255" i="7"/>
  <c r="B256" i="7"/>
  <c r="B257" i="7"/>
  <c r="B258" i="7"/>
  <c r="B259" i="7"/>
  <c r="B260" i="7"/>
  <c r="B261" i="7"/>
  <c r="B262" i="7"/>
  <c r="B263" i="7"/>
  <c r="B264" i="7"/>
  <c r="B265" i="7"/>
  <c r="B266" i="7"/>
  <c r="B267" i="7"/>
  <c r="B268" i="7"/>
  <c r="B269" i="7"/>
  <c r="B270" i="7"/>
  <c r="B271" i="7"/>
  <c r="B272" i="7"/>
  <c r="B273" i="7"/>
  <c r="B274" i="7"/>
  <c r="B275" i="7"/>
  <c r="B276" i="7"/>
  <c r="B277" i="7"/>
  <c r="B278" i="7"/>
  <c r="B279" i="7"/>
  <c r="B280" i="7"/>
  <c r="B281" i="7"/>
  <c r="B282" i="7"/>
  <c r="B283" i="7"/>
  <c r="B284" i="7"/>
  <c r="B285" i="7"/>
  <c r="B286" i="7"/>
  <c r="B287" i="7"/>
  <c r="B288" i="7"/>
  <c r="B4" i="7"/>
  <c r="B5" i="7"/>
  <c r="B6" i="7"/>
  <c r="B7" i="7"/>
  <c r="B8" i="7"/>
  <c r="B9" i="7"/>
  <c r="B10" i="7"/>
  <c r="B11" i="7"/>
  <c r="B12" i="7"/>
  <c r="B13" i="7"/>
  <c r="B14" i="7"/>
  <c r="B15" i="7"/>
  <c r="B16" i="7"/>
  <c r="B17" i="7"/>
  <c r="B18" i="7"/>
  <c r="B19" i="7"/>
  <c r="B20" i="7"/>
  <c r="B21" i="7"/>
  <c r="B22" i="7"/>
  <c r="B23" i="7"/>
  <c r="B24" i="7"/>
  <c r="B25" i="7"/>
  <c r="B26" i="7"/>
  <c r="B27" i="7"/>
  <c r="B28" i="7"/>
  <c r="B29" i="7"/>
  <c r="B30" i="7"/>
  <c r="B31" i="7"/>
  <c r="B32" i="7"/>
  <c r="B33" i="7"/>
  <c r="B34" i="7"/>
  <c r="B35" i="7"/>
  <c r="B36" i="7"/>
  <c r="B37" i="7"/>
  <c r="B38" i="7"/>
  <c r="B39" i="7"/>
  <c r="B40" i="7"/>
  <c r="B41" i="7"/>
  <c r="B42" i="7"/>
  <c r="B43" i="7"/>
  <c r="B44" i="7"/>
  <c r="B45" i="7"/>
  <c r="B46" i="7"/>
  <c r="B47" i="7"/>
  <c r="B48" i="7"/>
  <c r="B49" i="7"/>
  <c r="B50" i="7"/>
  <c r="B51" i="7"/>
  <c r="B52" i="7"/>
  <c r="B53" i="7"/>
  <c r="B54" i="7"/>
  <c r="B55" i="7"/>
  <c r="B56" i="7"/>
  <c r="B57" i="7"/>
  <c r="B58" i="7"/>
  <c r="B59" i="7"/>
  <c r="B60" i="7"/>
  <c r="B61" i="7"/>
  <c r="B62" i="7"/>
  <c r="B63" i="7"/>
  <c r="B64" i="7"/>
  <c r="B65" i="7"/>
  <c r="B66" i="7"/>
  <c r="B67" i="7"/>
  <c r="B68" i="7"/>
  <c r="B69" i="7"/>
  <c r="B70" i="7"/>
  <c r="B71" i="7"/>
  <c r="B72" i="7"/>
  <c r="B73" i="7"/>
  <c r="B74" i="7"/>
  <c r="B75" i="7"/>
  <c r="B76" i="7"/>
  <c r="B77" i="7"/>
  <c r="B78" i="7"/>
  <c r="B79" i="7"/>
  <c r="B80" i="7"/>
  <c r="B81" i="7"/>
  <c r="B82" i="7"/>
  <c r="B83" i="7"/>
  <c r="B84" i="7"/>
  <c r="B85" i="7"/>
  <c r="B86" i="7"/>
  <c r="B87" i="7"/>
  <c r="B88" i="7"/>
  <c r="B89" i="7"/>
  <c r="B90" i="7"/>
  <c r="B91" i="7"/>
  <c r="B92" i="7"/>
  <c r="B93" i="7"/>
  <c r="B94" i="7"/>
  <c r="B95" i="7"/>
  <c r="B96" i="7"/>
  <c r="B97" i="7"/>
  <c r="B98" i="7"/>
  <c r="B99" i="7"/>
  <c r="B3" i="7"/>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2" i="2"/>
  <c r="H915"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916" i="1"/>
  <c r="H917" i="1"/>
  <c r="H918" i="1"/>
  <c r="H919" i="1"/>
  <c r="H920" i="1"/>
  <c r="H921" i="1"/>
  <c r="H922" i="1"/>
  <c r="H923" i="1"/>
  <c r="H924" i="1"/>
  <c r="H925" i="1"/>
  <c r="H926" i="1"/>
  <c r="H927" i="1"/>
  <c r="H930" i="1"/>
  <c r="H931" i="1"/>
  <c r="H93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1632" i="1"/>
  <c r="H1633" i="1"/>
  <c r="H1634" i="1"/>
  <c r="H1635" i="1"/>
  <c r="H928" i="1"/>
  <c r="H1636" i="1"/>
  <c r="H1637" i="1"/>
  <c r="H1638" i="1"/>
  <c r="H1639" i="1"/>
  <c r="H1640" i="1"/>
  <c r="H929" i="1"/>
  <c r="H1641" i="1"/>
  <c r="H1642" i="1"/>
  <c r="H1643" i="1"/>
  <c r="H1644" i="1"/>
  <c r="H1645" i="1"/>
  <c r="H1646" i="1"/>
  <c r="H1647" i="1"/>
  <c r="H1648" i="1"/>
  <c r="H1649" i="1"/>
  <c r="H1650" i="1"/>
  <c r="H1651" i="1"/>
  <c r="H1652" i="1"/>
  <c r="H1653" i="1"/>
  <c r="H1654" i="1"/>
  <c r="H1655" i="1"/>
  <c r="H1656" i="1"/>
  <c r="H1657" i="1"/>
  <c r="H1658" i="1"/>
  <c r="H1659" i="1"/>
  <c r="H1660"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938" i="1"/>
  <c r="H939" i="1"/>
  <c r="H978" i="1"/>
  <c r="H979" i="1"/>
  <c r="H980" i="1"/>
  <c r="H981"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82" i="1"/>
  <c r="H983" i="1"/>
  <c r="H984" i="1"/>
  <c r="H985"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880" i="1"/>
  <c r="H749" i="1"/>
  <c r="H750" i="1"/>
  <c r="H751" i="1"/>
  <c r="H752" i="1"/>
  <c r="H753" i="1"/>
  <c r="H754" i="1"/>
  <c r="H755" i="1"/>
  <c r="H756" i="1"/>
  <c r="H757" i="1"/>
  <c r="H758" i="1"/>
  <c r="H759" i="1"/>
  <c r="H760" i="1"/>
  <c r="H761" i="1"/>
  <c r="H762" i="1"/>
  <c r="H763" i="1"/>
  <c r="H764" i="1"/>
  <c r="H765" i="1"/>
  <c r="H1618" i="1"/>
  <c r="H1619" i="1"/>
  <c r="H1620" i="1"/>
  <c r="H1621" i="1"/>
  <c r="H1622" i="1"/>
  <c r="H1623" i="1"/>
  <c r="H1624" i="1"/>
  <c r="H881" i="1"/>
  <c r="H882" i="1"/>
  <c r="H883" i="1"/>
  <c r="H884" i="1"/>
  <c r="H885" i="1"/>
  <c r="H886" i="1"/>
  <c r="H887" i="1"/>
  <c r="H888" i="1"/>
  <c r="H889" i="1"/>
  <c r="H1661" i="1"/>
  <c r="H1662" i="1"/>
  <c r="H1663" i="1"/>
  <c r="H1664" i="1"/>
  <c r="H933" i="1"/>
  <c r="H1665" i="1"/>
  <c r="H1666" i="1"/>
  <c r="H1667" i="1"/>
  <c r="H934" i="1"/>
  <c r="H1668" i="1"/>
  <c r="H935" i="1"/>
  <c r="H1669" i="1"/>
  <c r="H1670" i="1"/>
  <c r="H1671" i="1"/>
  <c r="H1672" i="1"/>
  <c r="H1673" i="1"/>
  <c r="H1674" i="1"/>
  <c r="H1675" i="1"/>
  <c r="H1676" i="1"/>
  <c r="H936" i="1"/>
  <c r="H1677" i="1"/>
  <c r="H1678" i="1"/>
  <c r="H1679" i="1"/>
  <c r="H1680" i="1"/>
  <c r="H1681" i="1"/>
  <c r="H1682" i="1"/>
  <c r="H1683" i="1"/>
  <c r="H1684" i="1"/>
  <c r="H1685" i="1"/>
  <c r="H1686" i="1"/>
  <c r="H1687" i="1"/>
  <c r="H1688" i="1"/>
  <c r="H1689" i="1"/>
  <c r="H937" i="1"/>
  <c r="H1690" i="1"/>
  <c r="H1691" i="1"/>
  <c r="H1692" i="1"/>
  <c r="H1693" i="1"/>
  <c r="H1694" i="1"/>
  <c r="H1695" i="1"/>
  <c r="H1696" i="1"/>
  <c r="H1697" i="1"/>
  <c r="H98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987" i="1"/>
  <c r="H988" i="1"/>
  <c r="H1132" i="1"/>
  <c r="H1133" i="1"/>
  <c r="H1134" i="1"/>
  <c r="H1135" i="1"/>
  <c r="H1136" i="1"/>
  <c r="H1137" i="1"/>
  <c r="H1138" i="1"/>
  <c r="H1139" i="1"/>
  <c r="H1140" i="1"/>
  <c r="H1141" i="1"/>
  <c r="H1142" i="1"/>
  <c r="H1143" i="1"/>
  <c r="H1144" i="1"/>
  <c r="H1145" i="1"/>
  <c r="H1146" i="1"/>
  <c r="H1147" i="1"/>
  <c r="H1148" i="1"/>
  <c r="H1149" i="1"/>
  <c r="H1150" i="1"/>
  <c r="H1151" i="1"/>
  <c r="H1152" i="1"/>
  <c r="H1698" i="1"/>
  <c r="H1699" i="1"/>
  <c r="H1700" i="1"/>
  <c r="H1701" i="1"/>
  <c r="H989" i="1"/>
  <c r="H990" i="1"/>
  <c r="H1162" i="1"/>
  <c r="H1703" i="1"/>
  <c r="H1702" i="1"/>
  <c r="H1163" i="1"/>
  <c r="H991" i="1"/>
  <c r="H1625" i="1"/>
  <c r="H1626" i="1"/>
  <c r="H1627" i="1"/>
  <c r="H1628" i="1"/>
  <c r="H1629" i="1"/>
  <c r="H1630" i="1"/>
  <c r="H1631"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890" i="1"/>
  <c r="H891" i="1"/>
  <c r="H1380" i="1"/>
  <c r="H766" i="1"/>
  <c r="H892" i="1"/>
  <c r="H893" i="1"/>
  <c r="H894" i="1"/>
  <c r="H895" i="1"/>
  <c r="H896" i="1"/>
  <c r="H897" i="1"/>
  <c r="H898" i="1"/>
  <c r="H899"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992"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153" i="1"/>
  <c r="H993" i="1"/>
  <c r="H994" i="1"/>
  <c r="H995" i="1"/>
  <c r="H996" i="1"/>
  <c r="H1706" i="1"/>
  <c r="H908" i="1"/>
  <c r="H1705" i="1"/>
  <c r="H1704" i="1"/>
  <c r="H909" i="1"/>
  <c r="H1707" i="1"/>
  <c r="H997" i="1"/>
  <c r="H1708" i="1"/>
  <c r="H1709" i="1"/>
  <c r="H1710" i="1"/>
  <c r="H1711" i="1"/>
  <c r="H792" i="1"/>
  <c r="H793" i="1"/>
  <c r="H794" i="1"/>
  <c r="H795" i="1"/>
  <c r="H796" i="1"/>
  <c r="H797" i="1"/>
  <c r="H798" i="1"/>
  <c r="H799" i="1"/>
  <c r="H800" i="1"/>
  <c r="H801" i="1"/>
  <c r="H769" i="1"/>
  <c r="H770" i="1"/>
  <c r="H771" i="1"/>
  <c r="H772" i="1"/>
  <c r="H773" i="1"/>
  <c r="H774" i="1"/>
  <c r="H775" i="1"/>
  <c r="H776" i="1"/>
  <c r="H777" i="1"/>
  <c r="H778" i="1"/>
  <c r="H779" i="1"/>
  <c r="H780" i="1"/>
  <c r="H781" i="1"/>
  <c r="H782" i="1"/>
  <c r="H783" i="1"/>
  <c r="H784" i="1"/>
  <c r="H785" i="1"/>
  <c r="H786" i="1"/>
  <c r="H787" i="1"/>
  <c r="H788" i="1"/>
  <c r="H789" i="1"/>
  <c r="H790" i="1"/>
  <c r="H791" i="1"/>
  <c r="H767" i="1"/>
  <c r="H768" i="1"/>
  <c r="H910" i="1"/>
  <c r="H911" i="1"/>
  <c r="H912" i="1"/>
  <c r="H913" i="1"/>
  <c r="H1002" i="1"/>
  <c r="H1003" i="1"/>
  <c r="H1004" i="1"/>
  <c r="H1005" i="1"/>
  <c r="H1006" i="1"/>
  <c r="H1007" i="1"/>
  <c r="H1000" i="1"/>
  <c r="H1001" i="1"/>
  <c r="H1008" i="1"/>
  <c r="H386" i="1"/>
  <c r="H387" i="1"/>
  <c r="H388" i="1"/>
  <c r="H389" i="1"/>
  <c r="H998" i="1"/>
  <c r="H1712" i="1"/>
  <c r="H999" i="1"/>
  <c r="H1009" i="1"/>
  <c r="H900" i="1"/>
  <c r="H901" i="1"/>
  <c r="H902" i="1"/>
  <c r="H903" i="1"/>
  <c r="H904" i="1"/>
  <c r="H905" i="1"/>
  <c r="H906" i="1"/>
  <c r="H907" i="1"/>
  <c r="H1010" i="1"/>
  <c r="H1011" i="1"/>
  <c r="H1012" i="1"/>
  <c r="H1013" i="1"/>
  <c r="H1014" i="1"/>
  <c r="H1015" i="1"/>
  <c r="H1016" i="1"/>
  <c r="H1017" i="1"/>
  <c r="H1018" i="1"/>
  <c r="H1019" i="1"/>
  <c r="H1020" i="1"/>
  <c r="H1021" i="1"/>
  <c r="H1022" i="1"/>
  <c r="H1023" i="1"/>
  <c r="H1024" i="1"/>
  <c r="H1025" i="1"/>
  <c r="H1730" i="1"/>
  <c r="H802"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1713" i="1"/>
  <c r="H1154" i="1"/>
  <c r="H1714" i="1"/>
  <c r="H1155" i="1"/>
  <c r="H1156" i="1"/>
  <c r="H1715" i="1"/>
  <c r="H1716" i="1"/>
  <c r="H1717" i="1"/>
  <c r="H1718" i="1"/>
  <c r="H1719" i="1"/>
  <c r="H1720" i="1"/>
  <c r="H1721" i="1"/>
  <c r="H1157" i="1"/>
  <c r="H1158" i="1"/>
  <c r="H1722" i="1"/>
  <c r="H1723" i="1"/>
  <c r="H1724" i="1"/>
  <c r="H1725" i="1"/>
  <c r="H1159" i="1"/>
  <c r="H1726" i="1"/>
  <c r="H1727" i="1"/>
  <c r="H1160" i="1"/>
  <c r="H1161" i="1"/>
  <c r="H1728" i="1"/>
  <c r="H1729" i="1"/>
  <c r="H803" i="1"/>
  <c r="H804" i="1"/>
  <c r="H805" i="1"/>
  <c r="H806" i="1"/>
  <c r="H807" i="1"/>
  <c r="H808" i="1"/>
  <c r="H809" i="1"/>
  <c r="H810" i="1"/>
  <c r="H1026" i="1"/>
  <c r="H81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812" i="1"/>
  <c r="H1731"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1027" i="1"/>
  <c r="H649" i="1"/>
  <c r="H650" i="1"/>
  <c r="H651" i="1"/>
  <c r="H652" i="1"/>
  <c r="H653" i="1"/>
  <c r="H654" i="1"/>
  <c r="H655" i="1"/>
  <c r="H656" i="1"/>
  <c r="H657" i="1"/>
  <c r="H658" i="1"/>
  <c r="H659" i="1"/>
  <c r="H660" i="1"/>
  <c r="H661" i="1"/>
  <c r="H662" i="1"/>
  <c r="H663" i="1"/>
  <c r="H664" i="1"/>
  <c r="H665" i="1"/>
  <c r="H666" i="1"/>
  <c r="H1028" i="1"/>
  <c r="H1029" i="1"/>
  <c r="H1030" i="1"/>
  <c r="H1031" i="1"/>
  <c r="H1032" i="1"/>
  <c r="H1033" i="1"/>
  <c r="H1034" i="1"/>
  <c r="H1035" i="1"/>
  <c r="H1036" i="1"/>
  <c r="H1037" i="1"/>
  <c r="H1038" i="1"/>
  <c r="H1039" i="1"/>
  <c r="H1040" i="1"/>
  <c r="H1041" i="1"/>
  <c r="H1042" i="1"/>
  <c r="H1043" i="1"/>
  <c r="H1044" i="1"/>
  <c r="H1045" i="1"/>
  <c r="H1046" i="1"/>
  <c r="H1047" i="1"/>
  <c r="H1048" i="1"/>
  <c r="H1049" i="1"/>
  <c r="H1381" i="1"/>
  <c r="H1382" i="1"/>
  <c r="H1383" i="1"/>
  <c r="H1384" i="1"/>
  <c r="H1385" i="1"/>
  <c r="H1386" i="1"/>
  <c r="H1387" i="1"/>
  <c r="H1388" i="1"/>
  <c r="H1389" i="1"/>
  <c r="H1390" i="1"/>
  <c r="H1391" i="1"/>
  <c r="H1392" i="1"/>
  <c r="H1393" i="1"/>
  <c r="H1394" i="1"/>
  <c r="H1395" i="1"/>
  <c r="H1396" i="1"/>
  <c r="H1397" i="1"/>
  <c r="H1398" i="1"/>
  <c r="H1399" i="1"/>
  <c r="H1400" i="1"/>
  <c r="H1401" i="1"/>
  <c r="H1402" i="1"/>
  <c r="H1732" i="1"/>
  <c r="H813" i="1"/>
  <c r="H814" i="1"/>
  <c r="H815" i="1"/>
  <c r="H816" i="1"/>
  <c r="H817" i="1"/>
  <c r="H818" i="1"/>
  <c r="H819" i="1"/>
  <c r="H820" i="1"/>
  <c r="H821" i="1"/>
  <c r="H822" i="1"/>
  <c r="H1733" i="1"/>
  <c r="H1734" i="1"/>
  <c r="H1403" i="1"/>
  <c r="H1404" i="1"/>
  <c r="H1405" i="1"/>
  <c r="H1406" i="1"/>
  <c r="H1407" i="1"/>
  <c r="H1050"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1051" i="1"/>
  <c r="H1052" i="1"/>
  <c r="H1053" i="1"/>
  <c r="H1054" i="1"/>
  <c r="H1055" i="1"/>
  <c r="H1735" i="1"/>
  <c r="H1056" i="1"/>
  <c r="H914" i="1"/>
  <c r="N1499" i="7" l="1"/>
  <c r="N1550" i="7"/>
  <c r="N61" i="7"/>
  <c r="N447" i="7"/>
  <c r="N93" i="7"/>
  <c r="N281" i="7"/>
  <c r="N717" i="7"/>
  <c r="N493" i="7"/>
  <c r="N764" i="7"/>
  <c r="N1529" i="7"/>
  <c r="N27" i="7"/>
  <c r="N684" i="7"/>
  <c r="N95" i="7"/>
  <c r="N79" i="7"/>
  <c r="N63" i="7"/>
  <c r="N47" i="7"/>
  <c r="N31" i="7"/>
  <c r="N218" i="7"/>
  <c r="N735" i="7"/>
  <c r="N527" i="7"/>
  <c r="N994" i="7"/>
  <c r="N1301" i="7"/>
  <c r="N1465" i="7"/>
  <c r="N1598" i="7"/>
  <c r="N12" i="7"/>
  <c r="N733" i="7"/>
  <c r="N557" i="7"/>
  <c r="N381" i="7"/>
  <c r="N909" i="7"/>
  <c r="N1426" i="7"/>
  <c r="N1379" i="7"/>
  <c r="N1513" i="7"/>
  <c r="N1756" i="7"/>
  <c r="N1740" i="7"/>
  <c r="N1724" i="7"/>
  <c r="N1708" i="7"/>
  <c r="N1692" i="7"/>
  <c r="N1676" i="7"/>
  <c r="N1660" i="7"/>
  <c r="N1644" i="7"/>
  <c r="N1628" i="7"/>
  <c r="N1612" i="7"/>
  <c r="N1596" i="7"/>
  <c r="N1580" i="7"/>
  <c r="N1564" i="7"/>
  <c r="N1548" i="7"/>
  <c r="N78" i="7"/>
  <c r="N154" i="7"/>
  <c r="N607" i="7"/>
  <c r="N415" i="7"/>
  <c r="N1365" i="7"/>
  <c r="N1157" i="7"/>
  <c r="N1694" i="7"/>
  <c r="N92" i="7"/>
  <c r="N168" i="7"/>
  <c r="N589" i="7"/>
  <c r="N413" i="7"/>
  <c r="N941" i="7"/>
  <c r="N1001" i="7"/>
  <c r="N75" i="7"/>
  <c r="N199" i="7"/>
  <c r="N167" i="7"/>
  <c r="N668" i="7"/>
  <c r="N652" i="7"/>
  <c r="N636" i="7"/>
  <c r="N604" i="7"/>
  <c r="N588" i="7"/>
  <c r="N572" i="7"/>
  <c r="N556" i="7"/>
  <c r="N540" i="7"/>
  <c r="N524" i="7"/>
  <c r="N508" i="7"/>
  <c r="N492" i="7"/>
  <c r="N476" i="7"/>
  <c r="N460" i="7"/>
  <c r="N444" i="7"/>
  <c r="N428" i="7"/>
  <c r="N46" i="7"/>
  <c r="N138" i="7"/>
  <c r="N575" i="7"/>
  <c r="N383" i="7"/>
  <c r="N1317" i="7"/>
  <c r="N1173" i="7"/>
  <c r="N1515" i="7"/>
  <c r="N1678" i="7"/>
  <c r="N184" i="7"/>
  <c r="N637" i="7"/>
  <c r="N461" i="7"/>
  <c r="N973" i="7"/>
  <c r="N1463" i="7"/>
  <c r="N43" i="7"/>
  <c r="N264" i="7"/>
  <c r="N151" i="7"/>
  <c r="N620" i="7"/>
  <c r="N90" i="7"/>
  <c r="N74" i="7"/>
  <c r="N58" i="7"/>
  <c r="N42" i="7"/>
  <c r="N26" i="7"/>
  <c r="N10" i="7"/>
  <c r="N279" i="7"/>
  <c r="N263" i="7"/>
  <c r="N1710" i="7"/>
  <c r="N60" i="7"/>
  <c r="N136" i="7"/>
  <c r="N605" i="7"/>
  <c r="N365" i="7"/>
  <c r="N1479" i="7"/>
  <c r="N103" i="7"/>
  <c r="N89" i="7"/>
  <c r="N73" i="7"/>
  <c r="N57" i="7"/>
  <c r="N41" i="7"/>
  <c r="N25" i="7"/>
  <c r="N9" i="7"/>
  <c r="N278" i="7"/>
  <c r="N262" i="7"/>
  <c r="N202" i="7"/>
  <c r="N655" i="7"/>
  <c r="N431" i="7"/>
  <c r="N1381" i="7"/>
  <c r="N1141" i="7"/>
  <c r="N1662" i="7"/>
  <c r="N265" i="7"/>
  <c r="N701" i="7"/>
  <c r="N509" i="7"/>
  <c r="N745" i="7"/>
  <c r="N1481" i="7"/>
  <c r="N280" i="7"/>
  <c r="N700" i="7"/>
  <c r="N40" i="7"/>
  <c r="N24" i="7"/>
  <c r="N8" i="7"/>
  <c r="N277" i="7"/>
  <c r="N261" i="7"/>
  <c r="N245" i="7"/>
  <c r="N228" i="7"/>
  <c r="N212" i="7"/>
  <c r="N196" i="7"/>
  <c r="N251" i="7"/>
  <c r="N671" i="7"/>
  <c r="N399" i="7"/>
  <c r="N1285" i="7"/>
  <c r="N1742" i="7"/>
  <c r="N77" i="7"/>
  <c r="N232" i="7"/>
  <c r="N669" i="7"/>
  <c r="N477" i="7"/>
  <c r="N349" i="7"/>
  <c r="N925" i="7"/>
  <c r="N91" i="7"/>
  <c r="N119" i="7"/>
  <c r="N87" i="7"/>
  <c r="N71" i="7"/>
  <c r="N55" i="7"/>
  <c r="N39" i="7"/>
  <c r="N23" i="7"/>
  <c r="N7" i="7"/>
  <c r="N30" i="7"/>
  <c r="N122" i="7"/>
  <c r="N591" i="7"/>
  <c r="N351" i="7"/>
  <c r="N1269" i="7"/>
  <c r="N1758" i="7"/>
  <c r="N1442" i="7"/>
  <c r="N183" i="7"/>
  <c r="N283" i="7"/>
  <c r="N106" i="7"/>
  <c r="N543" i="7"/>
  <c r="N1333" i="7"/>
  <c r="N1726" i="7"/>
  <c r="N249" i="7"/>
  <c r="N685" i="7"/>
  <c r="N429" i="7"/>
  <c r="N1395" i="7"/>
  <c r="N248" i="7"/>
  <c r="N72" i="7"/>
  <c r="N85" i="7"/>
  <c r="N94" i="7"/>
  <c r="N170" i="7"/>
  <c r="N639" i="7"/>
  <c r="N495" i="7"/>
  <c r="N1428" i="7"/>
  <c r="N1205" i="7"/>
  <c r="N1566" i="7"/>
  <c r="N216" i="7"/>
  <c r="N653" i="7"/>
  <c r="N445" i="7"/>
  <c r="N957" i="7"/>
  <c r="N1017" i="7"/>
  <c r="N215" i="7"/>
  <c r="N56" i="7"/>
  <c r="N3" i="7"/>
  <c r="N84" i="7"/>
  <c r="N68" i="7"/>
  <c r="N52" i="7"/>
  <c r="N234" i="7"/>
  <c r="N719" i="7"/>
  <c r="N511" i="7"/>
  <c r="N1444" i="7"/>
  <c r="N1189" i="7"/>
  <c r="N1531" i="7"/>
  <c r="N1646" i="7"/>
  <c r="N76" i="7"/>
  <c r="N200" i="7"/>
  <c r="N621" i="7"/>
  <c r="N397" i="7"/>
  <c r="N1411" i="7"/>
  <c r="N231" i="7"/>
  <c r="N88" i="7"/>
  <c r="N14" i="7"/>
  <c r="N703" i="7"/>
  <c r="N559" i="7"/>
  <c r="N367" i="7"/>
  <c r="N1349" i="7"/>
  <c r="N1237" i="7"/>
  <c r="N1614" i="7"/>
  <c r="N28" i="7"/>
  <c r="N120" i="7"/>
  <c r="N541" i="7"/>
  <c r="N317" i="7"/>
  <c r="N893" i="7"/>
  <c r="N716" i="7"/>
  <c r="N98" i="7"/>
  <c r="N82" i="7"/>
  <c r="N50" i="7"/>
  <c r="N62" i="7"/>
  <c r="N186" i="7"/>
  <c r="N623" i="7"/>
  <c r="N479" i="7"/>
  <c r="N1397" i="7"/>
  <c r="N1221" i="7"/>
  <c r="N1582" i="7"/>
  <c r="N44" i="7"/>
  <c r="N104" i="7"/>
  <c r="N573" i="7"/>
  <c r="N333" i="7"/>
  <c r="N877" i="7"/>
  <c r="N59" i="7"/>
  <c r="N135" i="7"/>
  <c r="N66" i="7"/>
  <c r="N97" i="7"/>
  <c r="N81" i="7"/>
  <c r="N65" i="7"/>
  <c r="N49" i="7"/>
  <c r="N33" i="7"/>
  <c r="N738" i="7"/>
  <c r="N722" i="7"/>
  <c r="N706" i="7"/>
  <c r="N690" i="7"/>
  <c r="N267" i="7"/>
  <c r="N687" i="7"/>
  <c r="N463" i="7"/>
  <c r="N1412" i="7"/>
  <c r="N1253" i="7"/>
  <c r="N1483" i="7"/>
  <c r="N1630" i="7"/>
  <c r="N152" i="7"/>
  <c r="N525" i="7"/>
  <c r="N301" i="7"/>
  <c r="N1497" i="7"/>
  <c r="N11" i="7"/>
  <c r="N732" i="7"/>
  <c r="N96" i="7"/>
  <c r="N80" i="7"/>
  <c r="N64" i="7"/>
  <c r="N48" i="7"/>
  <c r="N32" i="7"/>
  <c r="N16" i="7"/>
  <c r="N285" i="7"/>
  <c r="N269" i="7"/>
  <c r="N253" i="7"/>
  <c r="N236" i="7"/>
  <c r="N220" i="7"/>
  <c r="N204" i="7"/>
  <c r="N15" i="7"/>
  <c r="N284" i="7"/>
  <c r="N268" i="7"/>
  <c r="N252" i="7"/>
  <c r="N235" i="7"/>
  <c r="N219" i="7"/>
  <c r="N203" i="7"/>
  <c r="N187" i="7"/>
  <c r="N171" i="7"/>
  <c r="N155" i="7"/>
  <c r="N139" i="7"/>
  <c r="N123" i="7"/>
  <c r="N107" i="7"/>
  <c r="N736" i="7"/>
  <c r="N720" i="7"/>
  <c r="N704" i="7"/>
  <c r="N688" i="7"/>
  <c r="N672" i="7"/>
  <c r="N656" i="7"/>
  <c r="N640" i="7"/>
  <c r="N624" i="7"/>
  <c r="N608" i="7"/>
  <c r="N592" i="7"/>
  <c r="N576" i="7"/>
  <c r="N560" i="7"/>
  <c r="N544" i="7"/>
  <c r="N528" i="7"/>
  <c r="N512" i="7"/>
  <c r="N496" i="7"/>
  <c r="N1020" i="7"/>
  <c r="N1004" i="7"/>
  <c r="N1445" i="7"/>
  <c r="N1429" i="7"/>
  <c r="N1413" i="7"/>
  <c r="N1398" i="7"/>
  <c r="N1382" i="7"/>
  <c r="N1366" i="7"/>
  <c r="N1350" i="7"/>
  <c r="N1334" i="7"/>
  <c r="N1318" i="7"/>
  <c r="N1302" i="7"/>
  <c r="N1286" i="7"/>
  <c r="N1270" i="7"/>
  <c r="N1254" i="7"/>
  <c r="N1238" i="7"/>
  <c r="N1222" i="7"/>
  <c r="N1206" i="7"/>
  <c r="N1190" i="7"/>
  <c r="N1174" i="7"/>
  <c r="N1158" i="7"/>
  <c r="N1142" i="7"/>
  <c r="N1126" i="7"/>
  <c r="N1110" i="7"/>
  <c r="N1094" i="7"/>
  <c r="N1078" i="7"/>
  <c r="N1062" i="7"/>
  <c r="N1046" i="7"/>
  <c r="N1030" i="7"/>
  <c r="N1466" i="7"/>
  <c r="N1450" i="7"/>
  <c r="N1484" i="7"/>
  <c r="N1532" i="7"/>
  <c r="N1516" i="7"/>
  <c r="N1759" i="7"/>
  <c r="N1743" i="7"/>
  <c r="N1727" i="7"/>
  <c r="N1711" i="7"/>
  <c r="N1695" i="7"/>
  <c r="N1679" i="7"/>
  <c r="N1663" i="7"/>
  <c r="N1647" i="7"/>
  <c r="N1631" i="7"/>
  <c r="N1615" i="7"/>
  <c r="N1599" i="7"/>
  <c r="N1583" i="7"/>
  <c r="N1567" i="7"/>
  <c r="N1551" i="7"/>
  <c r="N45" i="7"/>
  <c r="N29" i="7"/>
  <c r="N13" i="7"/>
  <c r="N282" i="7"/>
  <c r="N266" i="7"/>
  <c r="N250" i="7"/>
  <c r="N233" i="7"/>
  <c r="N217" i="7"/>
  <c r="N201" i="7"/>
  <c r="N185" i="7"/>
  <c r="N169" i="7"/>
  <c r="N153" i="7"/>
  <c r="N137" i="7"/>
  <c r="N121" i="7"/>
  <c r="N105" i="7"/>
  <c r="N734" i="7"/>
  <c r="N718" i="7"/>
  <c r="N702" i="7"/>
  <c r="N686" i="7"/>
  <c r="N670" i="7"/>
  <c r="N654" i="7"/>
  <c r="N638" i="7"/>
  <c r="N622" i="7"/>
  <c r="N606" i="7"/>
  <c r="N590" i="7"/>
  <c r="N574" i="7"/>
  <c r="N558" i="7"/>
  <c r="N542" i="7"/>
  <c r="N526" i="7"/>
  <c r="N510" i="7"/>
  <c r="N494" i="7"/>
  <c r="N746" i="7"/>
  <c r="N1018" i="7"/>
  <c r="N1002" i="7"/>
  <c r="N1443" i="7"/>
  <c r="N1427" i="7"/>
  <c r="N237" i="7"/>
  <c r="N1396" i="7"/>
  <c r="N1380" i="7"/>
  <c r="N1364" i="7"/>
  <c r="N1348" i="7"/>
  <c r="N1332" i="7"/>
  <c r="N1316" i="7"/>
  <c r="N1300" i="7"/>
  <c r="N1284" i="7"/>
  <c r="N1268" i="7"/>
  <c r="N1252" i="7"/>
  <c r="N1236" i="7"/>
  <c r="N1220" i="7"/>
  <c r="N1204" i="7"/>
  <c r="N1188" i="7"/>
  <c r="N1172" i="7"/>
  <c r="N1156" i="7"/>
  <c r="N1140" i="7"/>
  <c r="N1124" i="7"/>
  <c r="N1108" i="7"/>
  <c r="N1092" i="7"/>
  <c r="N1076" i="7"/>
  <c r="N1060" i="7"/>
  <c r="N1044" i="7"/>
  <c r="N1480" i="7"/>
  <c r="N1464" i="7"/>
  <c r="N1498" i="7"/>
  <c r="N1482" i="7"/>
  <c r="N1530" i="7"/>
  <c r="N1514" i="7"/>
  <c r="N1757" i="7"/>
  <c r="N1741" i="7"/>
  <c r="N1725" i="7"/>
  <c r="N1709" i="7"/>
  <c r="N1693" i="7"/>
  <c r="N1677" i="7"/>
  <c r="N1661" i="7"/>
  <c r="N1645" i="7"/>
  <c r="N1629" i="7"/>
  <c r="N1613" i="7"/>
  <c r="N1597" i="7"/>
  <c r="N1581" i="7"/>
  <c r="N1565" i="7"/>
  <c r="N1549" i="7"/>
  <c r="N412" i="7"/>
  <c r="N396" i="7"/>
  <c r="N380" i="7"/>
  <c r="N364" i="7"/>
  <c r="N348" i="7"/>
  <c r="N332" i="7"/>
  <c r="N316" i="7"/>
  <c r="N300" i="7"/>
  <c r="N756" i="7"/>
  <c r="N763" i="7"/>
  <c r="N972" i="7"/>
  <c r="N956" i="7"/>
  <c r="N940" i="7"/>
  <c r="N924" i="7"/>
  <c r="N908" i="7"/>
  <c r="N892" i="7"/>
  <c r="N876" i="7"/>
  <c r="N860" i="7"/>
  <c r="N844" i="7"/>
  <c r="N828" i="7"/>
  <c r="N812" i="7"/>
  <c r="N796" i="7"/>
  <c r="N780" i="7"/>
  <c r="N991" i="7"/>
  <c r="N1016" i="7"/>
  <c r="N1000" i="7"/>
  <c r="N1441" i="7"/>
  <c r="N1425" i="7"/>
  <c r="N1410" i="7"/>
  <c r="N1394" i="7"/>
  <c r="N1378" i="7"/>
  <c r="N1362" i="7"/>
  <c r="N1346" i="7"/>
  <c r="N1330" i="7"/>
  <c r="N1314" i="7"/>
  <c r="N1298" i="7"/>
  <c r="N1282" i="7"/>
  <c r="N1266" i="7"/>
  <c r="N1250" i="7"/>
  <c r="N1234" i="7"/>
  <c r="N1218" i="7"/>
  <c r="N1202" i="7"/>
  <c r="N1186" i="7"/>
  <c r="N1170" i="7"/>
  <c r="N1154" i="7"/>
  <c r="N1138" i="7"/>
  <c r="N1122" i="7"/>
  <c r="N1106" i="7"/>
  <c r="N1090" i="7"/>
  <c r="N1074" i="7"/>
  <c r="N1058" i="7"/>
  <c r="N1042" i="7"/>
  <c r="N1478" i="7"/>
  <c r="N1462" i="7"/>
  <c r="N1496" i="7"/>
  <c r="N1501" i="7"/>
  <c r="N1528" i="7"/>
  <c r="N1512" i="7"/>
  <c r="N1755" i="7"/>
  <c r="N1739" i="7"/>
  <c r="N1723" i="7"/>
  <c r="N1707" i="7"/>
  <c r="N1691" i="7"/>
  <c r="N1675" i="7"/>
  <c r="N1659" i="7"/>
  <c r="N1643" i="7"/>
  <c r="N1627" i="7"/>
  <c r="N1611" i="7"/>
  <c r="N1595" i="7"/>
  <c r="N1579" i="7"/>
  <c r="N1563" i="7"/>
  <c r="N1547" i="7"/>
  <c r="N247" i="7"/>
  <c r="N230" i="7"/>
  <c r="N214" i="7"/>
  <c r="N198" i="7"/>
  <c r="N182" i="7"/>
  <c r="N166" i="7"/>
  <c r="N150" i="7"/>
  <c r="N134" i="7"/>
  <c r="N118" i="7"/>
  <c r="N102" i="7"/>
  <c r="N731" i="7"/>
  <c r="N715" i="7"/>
  <c r="N699" i="7"/>
  <c r="N683" i="7"/>
  <c r="N667" i="7"/>
  <c r="N651" i="7"/>
  <c r="N635" i="7"/>
  <c r="N619" i="7"/>
  <c r="N603" i="7"/>
  <c r="N587" i="7"/>
  <c r="N571" i="7"/>
  <c r="N555" i="7"/>
  <c r="N539" i="7"/>
  <c r="N523" i="7"/>
  <c r="N507" i="7"/>
  <c r="N491" i="7"/>
  <c r="N475" i="7"/>
  <c r="N459" i="7"/>
  <c r="N443" i="7"/>
  <c r="N427" i="7"/>
  <c r="N411" i="7"/>
  <c r="N395" i="7"/>
  <c r="N379" i="7"/>
  <c r="N363" i="7"/>
  <c r="N347" i="7"/>
  <c r="N331" i="7"/>
  <c r="N315" i="7"/>
  <c r="N762" i="7"/>
  <c r="N1440" i="7"/>
  <c r="N1424" i="7"/>
  <c r="N1409" i="7"/>
  <c r="N1393" i="7"/>
  <c r="N1377" i="7"/>
  <c r="N1361" i="7"/>
  <c r="N1345" i="7"/>
  <c r="N1329" i="7"/>
  <c r="N1313" i="7"/>
  <c r="N1297" i="7"/>
  <c r="N1281" i="7"/>
  <c r="N1265" i="7"/>
  <c r="N1249" i="7"/>
  <c r="N1233" i="7"/>
  <c r="N1217" i="7"/>
  <c r="N1201" i="7"/>
  <c r="N1185" i="7"/>
  <c r="N1169" i="7"/>
  <c r="N1153" i="7"/>
  <c r="N1137" i="7"/>
  <c r="N1477" i="7"/>
  <c r="N1461" i="7"/>
  <c r="N1495" i="7"/>
  <c r="N1500" i="7"/>
  <c r="N1527" i="7"/>
  <c r="N1511" i="7"/>
  <c r="N1754" i="7"/>
  <c r="N1738" i="7"/>
  <c r="N1722" i="7"/>
  <c r="N1706" i="7"/>
  <c r="N1690" i="7"/>
  <c r="N1674" i="7"/>
  <c r="N1658" i="7"/>
  <c r="N1642" i="7"/>
  <c r="N1626" i="7"/>
  <c r="N1610" i="7"/>
  <c r="N1594" i="7"/>
  <c r="N1578" i="7"/>
  <c r="N1562" i="7"/>
  <c r="N1546" i="7"/>
  <c r="N246" i="7"/>
  <c r="N229" i="7"/>
  <c r="N213" i="7"/>
  <c r="N197" i="7"/>
  <c r="N181" i="7"/>
  <c r="N730" i="7"/>
  <c r="N714" i="7"/>
  <c r="N698" i="7"/>
  <c r="N682" i="7"/>
  <c r="N666" i="7"/>
  <c r="N650" i="7"/>
  <c r="N634" i="7"/>
  <c r="N618" i="7"/>
  <c r="N602" i="7"/>
  <c r="N586" i="7"/>
  <c r="N570" i="7"/>
  <c r="N554" i="7"/>
  <c r="N538" i="7"/>
  <c r="N522" i="7"/>
  <c r="N506" i="7"/>
  <c r="N490" i="7"/>
  <c r="N474" i="7"/>
  <c r="N458" i="7"/>
  <c r="N442" i="7"/>
  <c r="N426" i="7"/>
  <c r="N410" i="7"/>
  <c r="N394" i="7"/>
  <c r="N378" i="7"/>
  <c r="N362" i="7"/>
  <c r="N346" i="7"/>
  <c r="N330" i="7"/>
  <c r="N314" i="7"/>
  <c r="N298" i="7"/>
  <c r="N754" i="7"/>
  <c r="N761" i="7"/>
  <c r="N970" i="7"/>
  <c r="N954" i="7"/>
  <c r="N938" i="7"/>
  <c r="N922" i="7"/>
  <c r="N906" i="7"/>
  <c r="N890" i="7"/>
  <c r="N874" i="7"/>
  <c r="N858" i="7"/>
  <c r="N842" i="7"/>
  <c r="N826" i="7"/>
  <c r="N810" i="7"/>
  <c r="N794" i="7"/>
  <c r="N778" i="7"/>
  <c r="N1014" i="7"/>
  <c r="N1026" i="7"/>
  <c r="N1439" i="7"/>
  <c r="N1423" i="7"/>
  <c r="N1408" i="7"/>
  <c r="N1392" i="7"/>
  <c r="N1376" i="7"/>
  <c r="N1360" i="7"/>
  <c r="N1344" i="7"/>
  <c r="N1328" i="7"/>
  <c r="N1312" i="7"/>
  <c r="N1296" i="7"/>
  <c r="N1280" i="7"/>
  <c r="N1264" i="7"/>
  <c r="N1248" i="7"/>
  <c r="N1232" i="7"/>
  <c r="N1216" i="7"/>
  <c r="N1476" i="7"/>
  <c r="N1460" i="7"/>
  <c r="N1494" i="7"/>
  <c r="N1542" i="7"/>
  <c r="N1526" i="7"/>
  <c r="N1510" i="7"/>
  <c r="N1753" i="7"/>
  <c r="N1737" i="7"/>
  <c r="N1721" i="7"/>
  <c r="N1705" i="7"/>
  <c r="N1689" i="7"/>
  <c r="N1673" i="7"/>
  <c r="N1657" i="7"/>
  <c r="N1641" i="7"/>
  <c r="N1625" i="7"/>
  <c r="N1609" i="7"/>
  <c r="N1593" i="7"/>
  <c r="N1577" i="7"/>
  <c r="N1561" i="7"/>
  <c r="N1545" i="7"/>
  <c r="N180" i="7"/>
  <c r="N729" i="7"/>
  <c r="N713" i="7"/>
  <c r="N697" i="7"/>
  <c r="N681" i="7"/>
  <c r="N665" i="7"/>
  <c r="N649" i="7"/>
  <c r="N633" i="7"/>
  <c r="N617" i="7"/>
  <c r="N601" i="7"/>
  <c r="N585" i="7"/>
  <c r="N569" i="7"/>
  <c r="N553" i="7"/>
  <c r="N537" i="7"/>
  <c r="N521" i="7"/>
  <c r="N505" i="7"/>
  <c r="N489" i="7"/>
  <c r="N473" i="7"/>
  <c r="N457" i="7"/>
  <c r="N441" i="7"/>
  <c r="N425" i="7"/>
  <c r="N409" i="7"/>
  <c r="N393" i="7"/>
  <c r="N377" i="7"/>
  <c r="N361" i="7"/>
  <c r="N345" i="7"/>
  <c r="N329" i="7"/>
  <c r="N313" i="7"/>
  <c r="N297" i="7"/>
  <c r="N760" i="7"/>
  <c r="N969" i="7"/>
  <c r="N953" i="7"/>
  <c r="N937" i="7"/>
  <c r="N921" i="7"/>
  <c r="N905" i="7"/>
  <c r="N889" i="7"/>
  <c r="N873" i="7"/>
  <c r="N857" i="7"/>
  <c r="N841" i="7"/>
  <c r="N825" i="7"/>
  <c r="N809" i="7"/>
  <c r="N793" i="7"/>
  <c r="N777" i="7"/>
  <c r="N988" i="7"/>
  <c r="N1438" i="7"/>
  <c r="N1422" i="7"/>
  <c r="N1407" i="7"/>
  <c r="N1391" i="7"/>
  <c r="N1375" i="7"/>
  <c r="N1359" i="7"/>
  <c r="N1343" i="7"/>
  <c r="N1327" i="7"/>
  <c r="N1311" i="7"/>
  <c r="N1295" i="7"/>
  <c r="N1279" i="7"/>
  <c r="N1263" i="7"/>
  <c r="N1247" i="7"/>
  <c r="N1231" i="7"/>
  <c r="N1215" i="7"/>
  <c r="N1199" i="7"/>
  <c r="N1183" i="7"/>
  <c r="N1167" i="7"/>
  <c r="N1151" i="7"/>
  <c r="N1135" i="7"/>
  <c r="N1475" i="7"/>
  <c r="N1459" i="7"/>
  <c r="N1493" i="7"/>
  <c r="N1541" i="7"/>
  <c r="N1525" i="7"/>
  <c r="N1509" i="7"/>
  <c r="N1752" i="7"/>
  <c r="N1736" i="7"/>
  <c r="N1720" i="7"/>
  <c r="N1704" i="7"/>
  <c r="N1688" i="7"/>
  <c r="N1672" i="7"/>
  <c r="N1656" i="7"/>
  <c r="N1640" i="7"/>
  <c r="N1624" i="7"/>
  <c r="N1608" i="7"/>
  <c r="N1592" i="7"/>
  <c r="N1576" i="7"/>
  <c r="N1560" i="7"/>
  <c r="N1544" i="7"/>
  <c r="N276" i="7"/>
  <c r="N260" i="7"/>
  <c r="N244" i="7"/>
  <c r="N227" i="7"/>
  <c r="N211" i="7"/>
  <c r="N195" i="7"/>
  <c r="N179" i="7"/>
  <c r="N163" i="7"/>
  <c r="N147" i="7"/>
  <c r="N131" i="7"/>
  <c r="N115" i="7"/>
  <c r="N744" i="7"/>
  <c r="N728" i="7"/>
  <c r="N712" i="7"/>
  <c r="N696" i="7"/>
  <c r="N680" i="7"/>
  <c r="N664" i="7"/>
  <c r="N648" i="7"/>
  <c r="N632" i="7"/>
  <c r="N616" i="7"/>
  <c r="N600" i="7"/>
  <c r="N584" i="7"/>
  <c r="N568" i="7"/>
  <c r="N552" i="7"/>
  <c r="N536" i="7"/>
  <c r="N520" i="7"/>
  <c r="N504" i="7"/>
  <c r="N488" i="7"/>
  <c r="N472" i="7"/>
  <c r="N456" i="7"/>
  <c r="N968" i="7"/>
  <c r="N952" i="7"/>
  <c r="N936" i="7"/>
  <c r="N920" i="7"/>
  <c r="N904" i="7"/>
  <c r="N888" i="7"/>
  <c r="N872" i="7"/>
  <c r="N856" i="7"/>
  <c r="N840" i="7"/>
  <c r="N824" i="7"/>
  <c r="N808" i="7"/>
  <c r="N792" i="7"/>
  <c r="N776" i="7"/>
  <c r="N1012" i="7"/>
  <c r="N1437" i="7"/>
  <c r="N1421" i="7"/>
  <c r="N1406" i="7"/>
  <c r="N1390" i="7"/>
  <c r="N1374" i="7"/>
  <c r="N1358" i="7"/>
  <c r="N1342" i="7"/>
  <c r="N1326" i="7"/>
  <c r="N1310" i="7"/>
  <c r="N1294" i="7"/>
  <c r="N1278" i="7"/>
  <c r="N1262" i="7"/>
  <c r="N1246" i="7"/>
  <c r="N1230" i="7"/>
  <c r="N1214" i="7"/>
  <c r="N1198" i="7"/>
  <c r="N1182" i="7"/>
  <c r="N1166" i="7"/>
  <c r="N1150" i="7"/>
  <c r="N1134" i="7"/>
  <c r="N1474" i="7"/>
  <c r="N1458" i="7"/>
  <c r="N1492" i="7"/>
  <c r="N1540" i="7"/>
  <c r="N1524" i="7"/>
  <c r="N1508" i="7"/>
  <c r="N1751" i="7"/>
  <c r="N1735" i="7"/>
  <c r="N1719" i="7"/>
  <c r="N1703" i="7"/>
  <c r="N1687" i="7"/>
  <c r="N1671" i="7"/>
  <c r="N1655" i="7"/>
  <c r="N1639" i="7"/>
  <c r="N1623" i="7"/>
  <c r="N1607" i="7"/>
  <c r="N1591" i="7"/>
  <c r="N1575" i="7"/>
  <c r="N1559" i="7"/>
  <c r="N1543" i="7"/>
  <c r="N86" i="7"/>
  <c r="N70" i="7"/>
  <c r="N54" i="7"/>
  <c r="N38" i="7"/>
  <c r="N22" i="7"/>
  <c r="N6" i="7"/>
  <c r="N275" i="7"/>
  <c r="N259" i="7"/>
  <c r="N243" i="7"/>
  <c r="N226" i="7"/>
  <c r="N210" i="7"/>
  <c r="N194" i="7"/>
  <c r="N178" i="7"/>
  <c r="N162" i="7"/>
  <c r="N146" i="7"/>
  <c r="N130" i="7"/>
  <c r="N114" i="7"/>
  <c r="N743" i="7"/>
  <c r="N727" i="7"/>
  <c r="N711" i="7"/>
  <c r="N695" i="7"/>
  <c r="N679" i="7"/>
  <c r="N663" i="7"/>
  <c r="N647" i="7"/>
  <c r="N631" i="7"/>
  <c r="N615" i="7"/>
  <c r="N599" i="7"/>
  <c r="N583" i="7"/>
  <c r="N567" i="7"/>
  <c r="N551" i="7"/>
  <c r="N535" i="7"/>
  <c r="N519" i="7"/>
  <c r="N503" i="7"/>
  <c r="N487" i="7"/>
  <c r="N471" i="7"/>
  <c r="N455" i="7"/>
  <c r="N439" i="7"/>
  <c r="N423" i="7"/>
  <c r="N407" i="7"/>
  <c r="N391" i="7"/>
  <c r="N375" i="7"/>
  <c r="N359" i="7"/>
  <c r="N343" i="7"/>
  <c r="N986" i="7"/>
  <c r="N1436" i="7"/>
  <c r="N1420" i="7"/>
  <c r="N1405" i="7"/>
  <c r="N1389" i="7"/>
  <c r="N1373" i="7"/>
  <c r="N1357" i="7"/>
  <c r="N1341" i="7"/>
  <c r="N1325" i="7"/>
  <c r="N1309" i="7"/>
  <c r="N1293" i="7"/>
  <c r="N1277" i="7"/>
  <c r="N1261" i="7"/>
  <c r="N1245" i="7"/>
  <c r="N1229" i="7"/>
  <c r="N1213" i="7"/>
  <c r="N1197" i="7"/>
  <c r="N1181" i="7"/>
  <c r="N1165" i="7"/>
  <c r="N1149" i="7"/>
  <c r="N1473" i="7"/>
  <c r="N1457" i="7"/>
  <c r="N1491" i="7"/>
  <c r="N1539" i="7"/>
  <c r="N1523" i="7"/>
  <c r="N1507" i="7"/>
  <c r="N1750" i="7"/>
  <c r="N1734" i="7"/>
  <c r="N1718" i="7"/>
  <c r="N1702" i="7"/>
  <c r="N1686" i="7"/>
  <c r="N1670" i="7"/>
  <c r="N1654" i="7"/>
  <c r="N1638" i="7"/>
  <c r="N1622" i="7"/>
  <c r="N1606" i="7"/>
  <c r="N1590" i="7"/>
  <c r="N1574" i="7"/>
  <c r="N1558" i="7"/>
  <c r="N69" i="7"/>
  <c r="N53" i="7"/>
  <c r="N37" i="7"/>
  <c r="N21" i="7"/>
  <c r="N5" i="7"/>
  <c r="N274" i="7"/>
  <c r="N258" i="7"/>
  <c r="N242" i="7"/>
  <c r="N225" i="7"/>
  <c r="N209" i="7"/>
  <c r="N193" i="7"/>
  <c r="N177" i="7"/>
  <c r="N161" i="7"/>
  <c r="N145" i="7"/>
  <c r="N129" i="7"/>
  <c r="N113" i="7"/>
  <c r="N742" i="7"/>
  <c r="N726" i="7"/>
  <c r="N710" i="7"/>
  <c r="N694" i="7"/>
  <c r="N678" i="7"/>
  <c r="N662" i="7"/>
  <c r="N646" i="7"/>
  <c r="N630" i="7"/>
  <c r="N614" i="7"/>
  <c r="N598" i="7"/>
  <c r="N582" i="7"/>
  <c r="N566" i="7"/>
  <c r="N550" i="7"/>
  <c r="N534" i="7"/>
  <c r="N518" i="7"/>
  <c r="N502" i="7"/>
  <c r="N486" i="7"/>
  <c r="N985" i="7"/>
  <c r="N1010" i="7"/>
  <c r="N1028" i="7"/>
  <c r="N1435" i="7"/>
  <c r="N1419" i="7"/>
  <c r="N1404" i="7"/>
  <c r="N1388" i="7"/>
  <c r="N1372" i="7"/>
  <c r="N1356" i="7"/>
  <c r="N1340" i="7"/>
  <c r="N1324" i="7"/>
  <c r="N1308" i="7"/>
  <c r="N1292" i="7"/>
  <c r="N1276" i="7"/>
  <c r="N1260" i="7"/>
  <c r="N1244" i="7"/>
  <c r="N1228" i="7"/>
  <c r="N1212" i="7"/>
  <c r="N1196" i="7"/>
  <c r="N1180" i="7"/>
  <c r="N1164" i="7"/>
  <c r="N1148" i="7"/>
  <c r="N1132" i="7"/>
  <c r="N1116" i="7"/>
  <c r="N1100" i="7"/>
  <c r="N1084" i="7"/>
  <c r="N1068" i="7"/>
  <c r="N1052" i="7"/>
  <c r="N1036" i="7"/>
  <c r="N1472" i="7"/>
  <c r="N1456" i="7"/>
  <c r="N1490" i="7"/>
  <c r="N1538" i="7"/>
  <c r="N1522" i="7"/>
  <c r="N1506" i="7"/>
  <c r="N1749" i="7"/>
  <c r="N1733" i="7"/>
  <c r="N1717" i="7"/>
  <c r="N1701" i="7"/>
  <c r="N1685" i="7"/>
  <c r="N1669" i="7"/>
  <c r="N1653" i="7"/>
  <c r="N1637" i="7"/>
  <c r="N1621" i="7"/>
  <c r="N1605" i="7"/>
  <c r="N1589" i="7"/>
  <c r="N1573" i="7"/>
  <c r="N1557" i="7"/>
  <c r="N36" i="7"/>
  <c r="N20" i="7"/>
  <c r="N4" i="7"/>
  <c r="N273" i="7"/>
  <c r="N257" i="7"/>
  <c r="N241" i="7"/>
  <c r="N224" i="7"/>
  <c r="N208" i="7"/>
  <c r="N192" i="7"/>
  <c r="N176" i="7"/>
  <c r="N160" i="7"/>
  <c r="N144" i="7"/>
  <c r="N128" i="7"/>
  <c r="N112" i="7"/>
  <c r="N741" i="7"/>
  <c r="N725" i="7"/>
  <c r="N709" i="7"/>
  <c r="N693" i="7"/>
  <c r="N677" i="7"/>
  <c r="N661" i="7"/>
  <c r="N645" i="7"/>
  <c r="N629" i="7"/>
  <c r="N613" i="7"/>
  <c r="N597" i="7"/>
  <c r="N581" i="7"/>
  <c r="N565" i="7"/>
  <c r="N549" i="7"/>
  <c r="N533" i="7"/>
  <c r="N517" i="7"/>
  <c r="N501" i="7"/>
  <c r="N485" i="7"/>
  <c r="N469" i="7"/>
  <c r="N453" i="7"/>
  <c r="N437" i="7"/>
  <c r="N421" i="7"/>
  <c r="N405" i="7"/>
  <c r="N389" i="7"/>
  <c r="N373" i="7"/>
  <c r="N357" i="7"/>
  <c r="N341" i="7"/>
  <c r="N325" i="7"/>
  <c r="N309" i="7"/>
  <c r="N293" i="7"/>
  <c r="N749" i="7"/>
  <c r="N981" i="7"/>
  <c r="N965" i="7"/>
  <c r="N949" i="7"/>
  <c r="N933" i="7"/>
  <c r="N917" i="7"/>
  <c r="N901" i="7"/>
  <c r="N885" i="7"/>
  <c r="N869" i="7"/>
  <c r="N984" i="7"/>
  <c r="N1434" i="7"/>
  <c r="N1418" i="7"/>
  <c r="N1403" i="7"/>
  <c r="N1387" i="7"/>
  <c r="N1371" i="7"/>
  <c r="N1471" i="7"/>
  <c r="N1455" i="7"/>
  <c r="N1489" i="7"/>
  <c r="N1537" i="7"/>
  <c r="N1521" i="7"/>
  <c r="N1505" i="7"/>
  <c r="N1748" i="7"/>
  <c r="N1732" i="7"/>
  <c r="N1716" i="7"/>
  <c r="N1700" i="7"/>
  <c r="N1684" i="7"/>
  <c r="N1668" i="7"/>
  <c r="N1652" i="7"/>
  <c r="N1636" i="7"/>
  <c r="N1620" i="7"/>
  <c r="N1604" i="7"/>
  <c r="N1588" i="7"/>
  <c r="N1572" i="7"/>
  <c r="N1556" i="7"/>
  <c r="N99" i="7"/>
  <c r="N83" i="7"/>
  <c r="N67" i="7"/>
  <c r="N51" i="7"/>
  <c r="N35" i="7"/>
  <c r="N19" i="7"/>
  <c r="N288" i="7"/>
  <c r="N272" i="7"/>
  <c r="N256" i="7"/>
  <c r="N240" i="7"/>
  <c r="N223" i="7"/>
  <c r="N207" i="7"/>
  <c r="N191" i="7"/>
  <c r="N175" i="7"/>
  <c r="N159" i="7"/>
  <c r="N740" i="7"/>
  <c r="N724" i="7"/>
  <c r="N708" i="7"/>
  <c r="N692" i="7"/>
  <c r="N676" i="7"/>
  <c r="N660" i="7"/>
  <c r="N644" i="7"/>
  <c r="N628" i="7"/>
  <c r="N612" i="7"/>
  <c r="N980" i="7"/>
  <c r="N964" i="7"/>
  <c r="N948" i="7"/>
  <c r="N932" i="7"/>
  <c r="N916" i="7"/>
  <c r="N900" i="7"/>
  <c r="N884" i="7"/>
  <c r="N868" i="7"/>
  <c r="N852" i="7"/>
  <c r="N836" i="7"/>
  <c r="N820" i="7"/>
  <c r="N804" i="7"/>
  <c r="N788" i="7"/>
  <c r="N772" i="7"/>
  <c r="N1449" i="7"/>
  <c r="N1433" i="7"/>
  <c r="N1417" i="7"/>
  <c r="N1402" i="7"/>
  <c r="N1386" i="7"/>
  <c r="N1370" i="7"/>
  <c r="N1354" i="7"/>
  <c r="N1338" i="7"/>
  <c r="N1322" i="7"/>
  <c r="N1306" i="7"/>
  <c r="N1290" i="7"/>
  <c r="N1274" i="7"/>
  <c r="N1258" i="7"/>
  <c r="N1242" i="7"/>
  <c r="N1226" i="7"/>
  <c r="N1210" i="7"/>
  <c r="N1194" i="7"/>
  <c r="N1178" i="7"/>
  <c r="N1162" i="7"/>
  <c r="N1146" i="7"/>
  <c r="N1130" i="7"/>
  <c r="N1114" i="7"/>
  <c r="N1098" i="7"/>
  <c r="N1082" i="7"/>
  <c r="N1066" i="7"/>
  <c r="N1050" i="7"/>
  <c r="N1034" i="7"/>
  <c r="N1470" i="7"/>
  <c r="N1454" i="7"/>
  <c r="N1488" i="7"/>
  <c r="N1536" i="7"/>
  <c r="N1520" i="7"/>
  <c r="N1504" i="7"/>
  <c r="N1747" i="7"/>
  <c r="N1731" i="7"/>
  <c r="N1715" i="7"/>
  <c r="N1699" i="7"/>
  <c r="N1683" i="7"/>
  <c r="N1667" i="7"/>
  <c r="N1651" i="7"/>
  <c r="N1635" i="7"/>
  <c r="N1619" i="7"/>
  <c r="N1603" i="7"/>
  <c r="N1587" i="7"/>
  <c r="N1571" i="7"/>
  <c r="N1555" i="7"/>
  <c r="N34" i="7"/>
  <c r="N18" i="7"/>
  <c r="N287" i="7"/>
  <c r="N271" i="7"/>
  <c r="N255" i="7"/>
  <c r="N239" i="7"/>
  <c r="N222" i="7"/>
  <c r="N206" i="7"/>
  <c r="N190" i="7"/>
  <c r="N174" i="7"/>
  <c r="N158" i="7"/>
  <c r="N142" i="7"/>
  <c r="N126" i="7"/>
  <c r="N110" i="7"/>
  <c r="N739" i="7"/>
  <c r="N723" i="7"/>
  <c r="N707" i="7"/>
  <c r="N691" i="7"/>
  <c r="N675" i="7"/>
  <c r="N659" i="7"/>
  <c r="N643" i="7"/>
  <c r="N627" i="7"/>
  <c r="N611" i="7"/>
  <c r="N595" i="7"/>
  <c r="N579" i="7"/>
  <c r="N563" i="7"/>
  <c r="N547" i="7"/>
  <c r="N531" i="7"/>
  <c r="N515" i="7"/>
  <c r="N499" i="7"/>
  <c r="N483" i="7"/>
  <c r="N467" i="7"/>
  <c r="N451" i="7"/>
  <c r="N770" i="7"/>
  <c r="N998" i="7"/>
  <c r="N982" i="7"/>
  <c r="N1448" i="7"/>
  <c r="N1432" i="7"/>
  <c r="N1416" i="7"/>
  <c r="N1401" i="7"/>
  <c r="N1385" i="7"/>
  <c r="N1369" i="7"/>
  <c r="N1353" i="7"/>
  <c r="N1337" i="7"/>
  <c r="N1321" i="7"/>
  <c r="N1305" i="7"/>
  <c r="N1289" i="7"/>
  <c r="N1273" i="7"/>
  <c r="N1257" i="7"/>
  <c r="N1241" i="7"/>
  <c r="N1225" i="7"/>
  <c r="N1209" i="7"/>
  <c r="N1193" i="7"/>
  <c r="N1177" i="7"/>
  <c r="N1161" i="7"/>
  <c r="N1145" i="7"/>
  <c r="N1129" i="7"/>
  <c r="N1113" i="7"/>
  <c r="N1097" i="7"/>
  <c r="N1081" i="7"/>
  <c r="N1065" i="7"/>
  <c r="N1049" i="7"/>
  <c r="N1033" i="7"/>
  <c r="N1469" i="7"/>
  <c r="N1453" i="7"/>
  <c r="N1487" i="7"/>
  <c r="N1535" i="7"/>
  <c r="N1519" i="7"/>
  <c r="N1503" i="7"/>
  <c r="N1746" i="7"/>
  <c r="N1730" i="7"/>
  <c r="N1714" i="7"/>
  <c r="N1698" i="7"/>
  <c r="N1682" i="7"/>
  <c r="N1666" i="7"/>
  <c r="N1650" i="7"/>
  <c r="N1634" i="7"/>
  <c r="N1618" i="7"/>
  <c r="N1602" i="7"/>
  <c r="N1586" i="7"/>
  <c r="N1570" i="7"/>
  <c r="N1554" i="7"/>
  <c r="N674" i="7"/>
  <c r="N658" i="7"/>
  <c r="N642" i="7"/>
  <c r="N626" i="7"/>
  <c r="N610" i="7"/>
  <c r="N594" i="7"/>
  <c r="N578" i="7"/>
  <c r="N562" i="7"/>
  <c r="N546" i="7"/>
  <c r="N530" i="7"/>
  <c r="N514" i="7"/>
  <c r="N498" i="7"/>
  <c r="N482" i="7"/>
  <c r="N466" i="7"/>
  <c r="N450" i="7"/>
  <c r="N434" i="7"/>
  <c r="N418" i="7"/>
  <c r="N402" i="7"/>
  <c r="N386" i="7"/>
  <c r="N370" i="7"/>
  <c r="N354" i="7"/>
  <c r="N338" i="7"/>
  <c r="N322" i="7"/>
  <c r="N306" i="7"/>
  <c r="N290" i="7"/>
  <c r="N978" i="7"/>
  <c r="N962" i="7"/>
  <c r="N946" i="7"/>
  <c r="N930" i="7"/>
  <c r="N914" i="7"/>
  <c r="N898" i="7"/>
  <c r="N882" i="7"/>
  <c r="N866" i="7"/>
  <c r="N850" i="7"/>
  <c r="N834" i="7"/>
  <c r="N818" i="7"/>
  <c r="N802" i="7"/>
  <c r="N786" i="7"/>
  <c r="N1447" i="7"/>
  <c r="N1431" i="7"/>
  <c r="N1415" i="7"/>
  <c r="N1400" i="7"/>
  <c r="N1384" i="7"/>
  <c r="N1368" i="7"/>
  <c r="N1352" i="7"/>
  <c r="N1336" i="7"/>
  <c r="N1320" i="7"/>
  <c r="N1304" i="7"/>
  <c r="N1288" i="7"/>
  <c r="N1272" i="7"/>
  <c r="N1256" i="7"/>
  <c r="N1240" i="7"/>
  <c r="N1224" i="7"/>
  <c r="N1208" i="7"/>
  <c r="N1192" i="7"/>
  <c r="N1176" i="7"/>
  <c r="N1160" i="7"/>
  <c r="N1144" i="7"/>
  <c r="N1128" i="7"/>
  <c r="N1112" i="7"/>
  <c r="N1096" i="7"/>
  <c r="N1080" i="7"/>
  <c r="N1064" i="7"/>
  <c r="N1048" i="7"/>
  <c r="N1032" i="7"/>
  <c r="N1468" i="7"/>
  <c r="N1452" i="7"/>
  <c r="N1486" i="7"/>
  <c r="N1534" i="7"/>
  <c r="N1518" i="7"/>
  <c r="N1502" i="7"/>
  <c r="N1745" i="7"/>
  <c r="N1729" i="7"/>
  <c r="N1713" i="7"/>
  <c r="N1697" i="7"/>
  <c r="N1681" i="7"/>
  <c r="N1665" i="7"/>
  <c r="N1649" i="7"/>
  <c r="N1633" i="7"/>
  <c r="N1617" i="7"/>
  <c r="N1601" i="7"/>
  <c r="N1585" i="7"/>
  <c r="N1569" i="7"/>
  <c r="N1553" i="7"/>
  <c r="N188" i="7"/>
  <c r="N172" i="7"/>
  <c r="N156" i="7"/>
  <c r="N140" i="7"/>
  <c r="N124" i="7"/>
  <c r="N108" i="7"/>
  <c r="N737" i="7"/>
  <c r="N721" i="7"/>
  <c r="N705" i="7"/>
  <c r="N689" i="7"/>
  <c r="N673" i="7"/>
  <c r="N657" i="7"/>
  <c r="N641" i="7"/>
  <c r="N625" i="7"/>
  <c r="N609" i="7"/>
  <c r="N593" i="7"/>
  <c r="N577" i="7"/>
  <c r="N561" i="7"/>
  <c r="N545" i="7"/>
  <c r="N529" i="7"/>
  <c r="N513" i="7"/>
  <c r="N497" i="7"/>
  <c r="N481" i="7"/>
  <c r="N465" i="7"/>
  <c r="N449" i="7"/>
  <c r="N433" i="7"/>
  <c r="N417" i="7"/>
  <c r="N401" i="7"/>
  <c r="N385" i="7"/>
  <c r="N369" i="7"/>
  <c r="N353" i="7"/>
  <c r="N337" i="7"/>
  <c r="N321" i="7"/>
  <c r="N305" i="7"/>
  <c r="N289" i="7"/>
  <c r="N768" i="7"/>
  <c r="N977" i="7"/>
  <c r="N961" i="7"/>
  <c r="N945" i="7"/>
  <c r="N929" i="7"/>
  <c r="N996" i="7"/>
  <c r="N1446" i="7"/>
  <c r="N1430" i="7"/>
  <c r="N1414" i="7"/>
  <c r="N1399" i="7"/>
  <c r="N1383" i="7"/>
  <c r="N1367" i="7"/>
  <c r="N1351" i="7"/>
  <c r="N1335" i="7"/>
  <c r="N1319" i="7"/>
  <c r="N1303" i="7"/>
  <c r="N1287" i="7"/>
  <c r="N1271" i="7"/>
  <c r="N1255" i="7"/>
  <c r="N1239" i="7"/>
  <c r="N1223" i="7"/>
  <c r="N1207" i="7"/>
  <c r="N1191" i="7"/>
  <c r="N1175" i="7"/>
  <c r="N1159" i="7"/>
  <c r="N1467" i="7"/>
  <c r="N1451" i="7"/>
  <c r="N1485" i="7"/>
  <c r="N1533" i="7"/>
  <c r="N1517" i="7"/>
  <c r="N1760" i="7"/>
  <c r="N1744" i="7"/>
  <c r="N1728" i="7"/>
  <c r="N1712" i="7"/>
  <c r="N1696" i="7"/>
  <c r="N1680" i="7"/>
  <c r="N1664" i="7"/>
  <c r="N1648" i="7"/>
  <c r="N1632" i="7"/>
  <c r="N1616" i="7"/>
  <c r="N1600" i="7"/>
  <c r="N1584" i="7"/>
  <c r="N1568" i="7"/>
  <c r="N1552" i="7"/>
  <c r="N299" i="7"/>
  <c r="N755" i="7"/>
  <c r="N971" i="7"/>
  <c r="N955" i="7"/>
  <c r="N939" i="7"/>
  <c r="N923" i="7"/>
  <c r="N907" i="7"/>
  <c r="N891" i="7"/>
  <c r="N875" i="7"/>
  <c r="N859" i="7"/>
  <c r="N843" i="7"/>
  <c r="N827" i="7"/>
  <c r="N811" i="7"/>
  <c r="N795" i="7"/>
  <c r="N779" i="7"/>
  <c r="N990" i="7"/>
  <c r="N1015" i="7"/>
  <c r="N999" i="7"/>
  <c r="N1121" i="7"/>
  <c r="N1105" i="7"/>
  <c r="N1089" i="7"/>
  <c r="N1073" i="7"/>
  <c r="N1057" i="7"/>
  <c r="N1041" i="7"/>
  <c r="N165" i="7"/>
  <c r="N149" i="7"/>
  <c r="N133" i="7"/>
  <c r="N117" i="7"/>
  <c r="N101" i="7"/>
  <c r="N989" i="7"/>
  <c r="N1200" i="7"/>
  <c r="N1184" i="7"/>
  <c r="N1168" i="7"/>
  <c r="N1152" i="7"/>
  <c r="N1136" i="7"/>
  <c r="N1120" i="7"/>
  <c r="N1104" i="7"/>
  <c r="N1088" i="7"/>
  <c r="N1072" i="7"/>
  <c r="N1056" i="7"/>
  <c r="N1040" i="7"/>
  <c r="N164" i="7"/>
  <c r="N148" i="7"/>
  <c r="N132" i="7"/>
  <c r="N116" i="7"/>
  <c r="N100" i="7"/>
  <c r="N753" i="7"/>
  <c r="N1013" i="7"/>
  <c r="N1025" i="7"/>
  <c r="N1119" i="7"/>
  <c r="N1103" i="7"/>
  <c r="N1087" i="7"/>
  <c r="N1071" i="7"/>
  <c r="N1055" i="7"/>
  <c r="N1039" i="7"/>
  <c r="N440" i="7"/>
  <c r="N424" i="7"/>
  <c r="N408" i="7"/>
  <c r="N392" i="7"/>
  <c r="N376" i="7"/>
  <c r="N360" i="7"/>
  <c r="N344" i="7"/>
  <c r="N328" i="7"/>
  <c r="N312" i="7"/>
  <c r="N296" i="7"/>
  <c r="N752" i="7"/>
  <c r="N759" i="7"/>
  <c r="N987" i="7"/>
  <c r="N1024" i="7"/>
  <c r="N1118" i="7"/>
  <c r="N1102" i="7"/>
  <c r="N1086" i="7"/>
  <c r="N1070" i="7"/>
  <c r="N1054" i="7"/>
  <c r="N1038" i="7"/>
  <c r="N327" i="7"/>
  <c r="N311" i="7"/>
  <c r="N295" i="7"/>
  <c r="N751" i="7"/>
  <c r="N758" i="7"/>
  <c r="N967" i="7"/>
  <c r="N951" i="7"/>
  <c r="N935" i="7"/>
  <c r="N919" i="7"/>
  <c r="N903" i="7"/>
  <c r="N887" i="7"/>
  <c r="N871" i="7"/>
  <c r="N855" i="7"/>
  <c r="N839" i="7"/>
  <c r="N823" i="7"/>
  <c r="N807" i="7"/>
  <c r="N791" i="7"/>
  <c r="N775" i="7"/>
  <c r="N1011" i="7"/>
  <c r="N1023" i="7"/>
  <c r="N1133" i="7"/>
  <c r="N1117" i="7"/>
  <c r="N1101" i="7"/>
  <c r="N1085" i="7"/>
  <c r="N1069" i="7"/>
  <c r="N1053" i="7"/>
  <c r="N1037" i="7"/>
  <c r="N470" i="7"/>
  <c r="N454" i="7"/>
  <c r="N438" i="7"/>
  <c r="N422" i="7"/>
  <c r="N406" i="7"/>
  <c r="N390" i="7"/>
  <c r="N374" i="7"/>
  <c r="N358" i="7"/>
  <c r="N342" i="7"/>
  <c r="N326" i="7"/>
  <c r="N310" i="7"/>
  <c r="N294" i="7"/>
  <c r="N750" i="7"/>
  <c r="N757" i="7"/>
  <c r="N966" i="7"/>
  <c r="N950" i="7"/>
  <c r="N934" i="7"/>
  <c r="N918" i="7"/>
  <c r="N902" i="7"/>
  <c r="N886" i="7"/>
  <c r="N870" i="7"/>
  <c r="N854" i="7"/>
  <c r="N838" i="7"/>
  <c r="N822" i="7"/>
  <c r="N806" i="7"/>
  <c r="N790" i="7"/>
  <c r="N774" i="7"/>
  <c r="N853" i="7"/>
  <c r="N837" i="7"/>
  <c r="N821" i="7"/>
  <c r="N805" i="7"/>
  <c r="N789" i="7"/>
  <c r="N773" i="7"/>
  <c r="N1009" i="7"/>
  <c r="N1027" i="7"/>
  <c r="N1355" i="7"/>
  <c r="N1339" i="7"/>
  <c r="N1323" i="7"/>
  <c r="N1307" i="7"/>
  <c r="N1291" i="7"/>
  <c r="N1275" i="7"/>
  <c r="N1259" i="7"/>
  <c r="N1243" i="7"/>
  <c r="N1227" i="7"/>
  <c r="N1211" i="7"/>
  <c r="N1195" i="7"/>
  <c r="N1179" i="7"/>
  <c r="N1163" i="7"/>
  <c r="N1147" i="7"/>
  <c r="N1131" i="7"/>
  <c r="N1115" i="7"/>
  <c r="N1099" i="7"/>
  <c r="N1083" i="7"/>
  <c r="N1067" i="7"/>
  <c r="N1051" i="7"/>
  <c r="N1035" i="7"/>
  <c r="N143" i="7"/>
  <c r="N127" i="7"/>
  <c r="N111" i="7"/>
  <c r="N596" i="7"/>
  <c r="N580" i="7"/>
  <c r="N564" i="7"/>
  <c r="N548" i="7"/>
  <c r="N532" i="7"/>
  <c r="N516" i="7"/>
  <c r="N500" i="7"/>
  <c r="N484" i="7"/>
  <c r="N468" i="7"/>
  <c r="N452" i="7"/>
  <c r="N436" i="7"/>
  <c r="N420" i="7"/>
  <c r="N404" i="7"/>
  <c r="N388" i="7"/>
  <c r="N372" i="7"/>
  <c r="N356" i="7"/>
  <c r="N340" i="7"/>
  <c r="N324" i="7"/>
  <c r="N308" i="7"/>
  <c r="N292" i="7"/>
  <c r="N771" i="7"/>
  <c r="N983" i="7"/>
  <c r="N1008" i="7"/>
  <c r="N435" i="7"/>
  <c r="N419" i="7"/>
  <c r="N403" i="7"/>
  <c r="N387" i="7"/>
  <c r="N371" i="7"/>
  <c r="N355" i="7"/>
  <c r="N339" i="7"/>
  <c r="N323" i="7"/>
  <c r="N307" i="7"/>
  <c r="N291" i="7"/>
  <c r="N979" i="7"/>
  <c r="N963" i="7"/>
  <c r="N947" i="7"/>
  <c r="N931" i="7"/>
  <c r="N915" i="7"/>
  <c r="N899" i="7"/>
  <c r="N883" i="7"/>
  <c r="N867" i="7"/>
  <c r="N851" i="7"/>
  <c r="N835" i="7"/>
  <c r="N819" i="7"/>
  <c r="N803" i="7"/>
  <c r="N787" i="7"/>
  <c r="N1007" i="7"/>
  <c r="N17" i="7"/>
  <c r="N286" i="7"/>
  <c r="N270" i="7"/>
  <c r="N254" i="7"/>
  <c r="N238" i="7"/>
  <c r="N221" i="7"/>
  <c r="N205" i="7"/>
  <c r="N189" i="7"/>
  <c r="N173" i="7"/>
  <c r="N157" i="7"/>
  <c r="N141" i="7"/>
  <c r="N125" i="7"/>
  <c r="N109" i="7"/>
  <c r="N769" i="7"/>
  <c r="N997" i="7"/>
  <c r="N1022" i="7"/>
  <c r="N1006" i="7"/>
  <c r="N913" i="7"/>
  <c r="N897" i="7"/>
  <c r="N881" i="7"/>
  <c r="N865" i="7"/>
  <c r="N849" i="7"/>
  <c r="N833" i="7"/>
  <c r="N817" i="7"/>
  <c r="N801" i="7"/>
  <c r="N785" i="7"/>
  <c r="N1021" i="7"/>
  <c r="N1005" i="7"/>
  <c r="N1143" i="7"/>
  <c r="N1127" i="7"/>
  <c r="N1111" i="7"/>
  <c r="N1095" i="7"/>
  <c r="N1079" i="7"/>
  <c r="N1063" i="7"/>
  <c r="N1047" i="7"/>
  <c r="N1031" i="7"/>
  <c r="N480" i="7"/>
  <c r="N464" i="7"/>
  <c r="N448" i="7"/>
  <c r="N432" i="7"/>
  <c r="N416" i="7"/>
  <c r="N400" i="7"/>
  <c r="N384" i="7"/>
  <c r="N368" i="7"/>
  <c r="N352" i="7"/>
  <c r="N336" i="7"/>
  <c r="N320" i="7"/>
  <c r="N304" i="7"/>
  <c r="N748" i="7"/>
  <c r="N767" i="7"/>
  <c r="N976" i="7"/>
  <c r="N960" i="7"/>
  <c r="N944" i="7"/>
  <c r="N928" i="7"/>
  <c r="N912" i="7"/>
  <c r="N896" i="7"/>
  <c r="N880" i="7"/>
  <c r="N864" i="7"/>
  <c r="N848" i="7"/>
  <c r="N832" i="7"/>
  <c r="N816" i="7"/>
  <c r="N800" i="7"/>
  <c r="N784" i="7"/>
  <c r="N995" i="7"/>
  <c r="N335" i="7"/>
  <c r="N319" i="7"/>
  <c r="N303" i="7"/>
  <c r="N747" i="7"/>
  <c r="N766" i="7"/>
  <c r="N975" i="7"/>
  <c r="N959" i="7"/>
  <c r="N943" i="7"/>
  <c r="N927" i="7"/>
  <c r="N911" i="7"/>
  <c r="N895" i="7"/>
  <c r="N879" i="7"/>
  <c r="N863" i="7"/>
  <c r="N847" i="7"/>
  <c r="N831" i="7"/>
  <c r="N815" i="7"/>
  <c r="N799" i="7"/>
  <c r="N783" i="7"/>
  <c r="N1019" i="7"/>
  <c r="N1003" i="7"/>
  <c r="N1125" i="7"/>
  <c r="N1109" i="7"/>
  <c r="N1093" i="7"/>
  <c r="N1077" i="7"/>
  <c r="N1061" i="7"/>
  <c r="N1045" i="7"/>
  <c r="N1029" i="7"/>
  <c r="N478" i="7"/>
  <c r="N462" i="7"/>
  <c r="N446" i="7"/>
  <c r="N430" i="7"/>
  <c r="N414" i="7"/>
  <c r="N398" i="7"/>
  <c r="N382" i="7"/>
  <c r="N366" i="7"/>
  <c r="N350" i="7"/>
  <c r="N334" i="7"/>
  <c r="N318" i="7"/>
  <c r="N302" i="7"/>
  <c r="N765" i="7"/>
  <c r="N974" i="7"/>
  <c r="N958" i="7"/>
  <c r="N942" i="7"/>
  <c r="N926" i="7"/>
  <c r="N910" i="7"/>
  <c r="N894" i="7"/>
  <c r="N878" i="7"/>
  <c r="N862" i="7"/>
  <c r="N846" i="7"/>
  <c r="N830" i="7"/>
  <c r="N814" i="7"/>
  <c r="N798" i="7"/>
  <c r="N782" i="7"/>
  <c r="N993" i="7"/>
  <c r="N861" i="7"/>
  <c r="N845" i="7"/>
  <c r="N829" i="7"/>
  <c r="N813" i="7"/>
  <c r="N797" i="7"/>
  <c r="N781" i="7"/>
  <c r="N992" i="7"/>
  <c r="N1363" i="7"/>
  <c r="N1347" i="7"/>
  <c r="N1331" i="7"/>
  <c r="N1315" i="7"/>
  <c r="N1299" i="7"/>
  <c r="N1283" i="7"/>
  <c r="N1267" i="7"/>
  <c r="N1251" i="7"/>
  <c r="N1235" i="7"/>
  <c r="N1219" i="7"/>
  <c r="N1203" i="7"/>
  <c r="N1187" i="7"/>
  <c r="N1171" i="7"/>
  <c r="N1155" i="7"/>
  <c r="N1139" i="7"/>
  <c r="N1123" i="7"/>
  <c r="N1107" i="7"/>
  <c r="N1091" i="7"/>
  <c r="N1075" i="7"/>
  <c r="N1059" i="7"/>
  <c r="N1043" i="7"/>
  <c r="F4" i="5"/>
  <c r="H4" i="5"/>
  <c r="H2" i="5" s="1"/>
  <c r="F11" i="5"/>
  <c r="F10" i="5"/>
  <c r="F9" i="5"/>
  <c r="F8" i="5"/>
  <c r="F7" i="5"/>
  <c r="F6" i="5"/>
  <c r="G4" i="5"/>
  <c r="G12" i="5"/>
  <c r="G11" i="5"/>
  <c r="G10" i="5"/>
  <c r="G9" i="5"/>
  <c r="G8" i="5"/>
  <c r="G7" i="5"/>
  <c r="G6" i="5"/>
  <c r="G5" i="5"/>
  <c r="E4" i="5"/>
  <c r="E12" i="5"/>
  <c r="E11" i="5"/>
  <c r="E10" i="5"/>
  <c r="E9" i="5"/>
  <c r="E8" i="5"/>
  <c r="E7" i="5"/>
  <c r="E6" i="5"/>
  <c r="E5" i="5"/>
  <c r="O1617" i="7"/>
  <c r="O1601" i="7"/>
  <c r="O1585" i="7"/>
  <c r="O67" i="7"/>
  <c r="O1569" i="7"/>
  <c r="O1633" i="7"/>
  <c r="O1378" i="7"/>
  <c r="O388" i="7"/>
  <c r="O925" i="7"/>
  <c r="O1181" i="7"/>
  <c r="O1349" i="7"/>
  <c r="O629" i="7"/>
  <c r="O749" i="7"/>
  <c r="O836" i="7"/>
  <c r="O917" i="7"/>
  <c r="O1005" i="7"/>
  <c r="O1092" i="7"/>
  <c r="O1173" i="7"/>
  <c r="O1261" i="7"/>
  <c r="O1348" i="7"/>
  <c r="O1377" i="7"/>
  <c r="O1393" i="7"/>
  <c r="O1409" i="7"/>
  <c r="O1424" i="7"/>
  <c r="O1440" i="7"/>
  <c r="O1456" i="7"/>
  <c r="O1472" i="7"/>
  <c r="O1488" i="7"/>
  <c r="O1504" i="7"/>
  <c r="O1520" i="7"/>
  <c r="O1536" i="7"/>
  <c r="O1552" i="7"/>
  <c r="O1568" i="7"/>
  <c r="O1584" i="7"/>
  <c r="O1600" i="7"/>
  <c r="O1616" i="7"/>
  <c r="O1632" i="7"/>
  <c r="O1648" i="7"/>
  <c r="O1664" i="7"/>
  <c r="O1680" i="7"/>
  <c r="O1696" i="7"/>
  <c r="O1712" i="7"/>
  <c r="O1728" i="7"/>
  <c r="O1744" i="7"/>
  <c r="O1760" i="7"/>
  <c r="O131" i="7"/>
  <c r="O260" i="7"/>
  <c r="O516" i="7"/>
  <c r="O644" i="7"/>
  <c r="O756" i="7"/>
  <c r="O837" i="7"/>
  <c r="O1012" i="7"/>
  <c r="O1093" i="7"/>
  <c r="O1268" i="7"/>
  <c r="O1553" i="7"/>
  <c r="O1537" i="7"/>
  <c r="O1521" i="7"/>
  <c r="O3" i="7"/>
  <c r="O1505" i="7"/>
  <c r="O1745" i="7"/>
  <c r="O1489" i="7"/>
  <c r="O1729" i="7"/>
  <c r="O1473" i="7"/>
  <c r="O1713" i="7"/>
  <c r="O1457" i="7"/>
  <c r="O1697" i="7"/>
  <c r="O1441" i="7"/>
  <c r="O1681" i="7"/>
  <c r="O1425" i="7"/>
  <c r="O1665" i="7"/>
  <c r="O1410" i="7"/>
  <c r="O1649" i="7"/>
  <c r="O1394" i="7"/>
  <c r="O1746" i="7"/>
  <c r="O1730" i="7"/>
  <c r="O1714" i="7"/>
  <c r="O1698" i="7"/>
  <c r="O1682" i="7"/>
  <c r="O1666" i="7"/>
  <c r="O1650" i="7"/>
  <c r="O1634" i="7"/>
  <c r="O1618" i="7"/>
  <c r="O1602" i="7"/>
  <c r="O1586" i="7"/>
  <c r="O1570" i="7"/>
  <c r="O1554" i="7"/>
  <c r="O1538" i="7"/>
  <c r="O1522" i="7"/>
  <c r="O1506" i="7"/>
  <c r="O1490" i="7"/>
  <c r="O1474" i="7"/>
  <c r="O1458" i="7"/>
  <c r="O1442" i="7"/>
  <c r="O1426" i="7"/>
  <c r="O1411" i="7"/>
  <c r="O1395" i="7"/>
  <c r="O1379" i="7"/>
  <c r="O1357" i="7"/>
  <c r="O1269" i="7"/>
  <c r="O1188" i="7"/>
  <c r="O1101" i="7"/>
  <c r="O1013" i="7"/>
  <c r="O932" i="7"/>
  <c r="O845" i="7"/>
  <c r="O757" i="7"/>
  <c r="O645" i="7"/>
  <c r="O517" i="7"/>
  <c r="O389" i="7"/>
  <c r="O261" i="7"/>
  <c r="O132" i="7"/>
  <c r="O4" i="7"/>
  <c r="O501" i="7"/>
  <c r="O373" i="7"/>
  <c r="O245" i="7"/>
  <c r="O116" i="7"/>
  <c r="O1759" i="7"/>
  <c r="O1743" i="7"/>
  <c r="O1727" i="7"/>
  <c r="O1711" i="7"/>
  <c r="O1695" i="7"/>
  <c r="O1679" i="7"/>
  <c r="O1663" i="7"/>
  <c r="O1647" i="7"/>
  <c r="O1631" i="7"/>
  <c r="O1615" i="7"/>
  <c r="O1599" i="7"/>
  <c r="O1583" i="7"/>
  <c r="O1567" i="7"/>
  <c r="O1551" i="7"/>
  <c r="O1535" i="7"/>
  <c r="O1519" i="7"/>
  <c r="O1503" i="7"/>
  <c r="O1487" i="7"/>
  <c r="O1471" i="7"/>
  <c r="O1455" i="7"/>
  <c r="O1439" i="7"/>
  <c r="O1423" i="7"/>
  <c r="O1408" i="7"/>
  <c r="O1392" i="7"/>
  <c r="O1376" i="7"/>
  <c r="O1341" i="7"/>
  <c r="O1253" i="7"/>
  <c r="O1172" i="7"/>
  <c r="O1085" i="7"/>
  <c r="O997" i="7"/>
  <c r="O916" i="7"/>
  <c r="O829" i="7"/>
  <c r="O741" i="7"/>
  <c r="O628" i="7"/>
  <c r="O500" i="7"/>
  <c r="O372" i="7"/>
  <c r="O244" i="7"/>
  <c r="O115" i="7"/>
  <c r="O1758" i="7"/>
  <c r="O1742" i="7"/>
  <c r="O1726" i="7"/>
  <c r="O1710" i="7"/>
  <c r="O1694" i="7"/>
  <c r="O1678" i="7"/>
  <c r="O1662" i="7"/>
  <c r="O1646" i="7"/>
  <c r="O1630" i="7"/>
  <c r="O1614" i="7"/>
  <c r="O1598" i="7"/>
  <c r="O1582" i="7"/>
  <c r="O1566" i="7"/>
  <c r="O1550" i="7"/>
  <c r="O1534" i="7"/>
  <c r="O1518" i="7"/>
  <c r="O1502" i="7"/>
  <c r="O1486" i="7"/>
  <c r="O1470" i="7"/>
  <c r="O1454" i="7"/>
  <c r="O1438" i="7"/>
  <c r="O1422" i="7"/>
  <c r="O1407" i="7"/>
  <c r="O1391" i="7"/>
  <c r="O1375" i="7"/>
  <c r="O1333" i="7"/>
  <c r="O1252" i="7"/>
  <c r="O1165" i="7"/>
  <c r="O1077" i="7"/>
  <c r="O996" i="7"/>
  <c r="O909" i="7"/>
  <c r="O821" i="7"/>
  <c r="O740" i="7"/>
  <c r="O613" i="7"/>
  <c r="O485" i="7"/>
  <c r="O357" i="7"/>
  <c r="O228" i="7"/>
  <c r="O100" i="7"/>
  <c r="O1757" i="7"/>
  <c r="O1741" i="7"/>
  <c r="O1725" i="7"/>
  <c r="O1709" i="7"/>
  <c r="O1693" i="7"/>
  <c r="O1677" i="7"/>
  <c r="O1661" i="7"/>
  <c r="O1645" i="7"/>
  <c r="O1629" i="7"/>
  <c r="O1613" i="7"/>
  <c r="O1597" i="7"/>
  <c r="O1581" i="7"/>
  <c r="O1565" i="7"/>
  <c r="O1549" i="7"/>
  <c r="O1533" i="7"/>
  <c r="O1517" i="7"/>
  <c r="O1501" i="7"/>
  <c r="O1485" i="7"/>
  <c r="O1469" i="7"/>
  <c r="O1453" i="7"/>
  <c r="O1437" i="7"/>
  <c r="O1421" i="7"/>
  <c r="O1406" i="7"/>
  <c r="O1390" i="7"/>
  <c r="O1374" i="7"/>
  <c r="O1332" i="7"/>
  <c r="O1245" i="7"/>
  <c r="O1157" i="7"/>
  <c r="O1076" i="7"/>
  <c r="O989" i="7"/>
  <c r="O901" i="7"/>
  <c r="O820" i="7"/>
  <c r="O733" i="7"/>
  <c r="O612" i="7"/>
  <c r="O484" i="7"/>
  <c r="O356" i="7"/>
  <c r="O227" i="7"/>
  <c r="O99" i="7"/>
  <c r="O1756" i="7"/>
  <c r="O1740" i="7"/>
  <c r="O1724" i="7"/>
  <c r="O1708" i="7"/>
  <c r="O1692" i="7"/>
  <c r="O1676" i="7"/>
  <c r="O1660" i="7"/>
  <c r="O1644" i="7"/>
  <c r="O1628" i="7"/>
  <c r="O1612" i="7"/>
  <c r="O1596" i="7"/>
  <c r="O1580" i="7"/>
  <c r="O1564" i="7"/>
  <c r="O1548" i="7"/>
  <c r="O1532" i="7"/>
  <c r="O1516" i="7"/>
  <c r="O1500" i="7"/>
  <c r="O1484" i="7"/>
  <c r="O1468" i="7"/>
  <c r="O1452" i="7"/>
  <c r="O1436" i="7"/>
  <c r="O1420" i="7"/>
  <c r="O1405" i="7"/>
  <c r="O1389" i="7"/>
  <c r="O1373" i="7"/>
  <c r="O1325" i="7"/>
  <c r="O1237" i="7"/>
  <c r="O1156" i="7"/>
  <c r="O1069" i="7"/>
  <c r="O981" i="7"/>
  <c r="O900" i="7"/>
  <c r="O813" i="7"/>
  <c r="O725" i="7"/>
  <c r="O597" i="7"/>
  <c r="O469" i="7"/>
  <c r="O341" i="7"/>
  <c r="O212" i="7"/>
  <c r="O84" i="7"/>
  <c r="O1755" i="7"/>
  <c r="O1739" i="7"/>
  <c r="O1723" i="7"/>
  <c r="O1707" i="7"/>
  <c r="O1691" i="7"/>
  <c r="O1675" i="7"/>
  <c r="O1659" i="7"/>
  <c r="O1643" i="7"/>
  <c r="O1627" i="7"/>
  <c r="O1611" i="7"/>
  <c r="O1595" i="7"/>
  <c r="O1579" i="7"/>
  <c r="O1563" i="7"/>
  <c r="O1547" i="7"/>
  <c r="O1531" i="7"/>
  <c r="O1515" i="7"/>
  <c r="O1499" i="7"/>
  <c r="O1483" i="7"/>
  <c r="O1467" i="7"/>
  <c r="O1451" i="7"/>
  <c r="O1435" i="7"/>
  <c r="O1419" i="7"/>
  <c r="O1404" i="7"/>
  <c r="O1388" i="7"/>
  <c r="O1372" i="7"/>
  <c r="O1317" i="7"/>
  <c r="O1236" i="7"/>
  <c r="O1149" i="7"/>
  <c r="O1061" i="7"/>
  <c r="O980" i="7"/>
  <c r="O893" i="7"/>
  <c r="O805" i="7"/>
  <c r="O724" i="7"/>
  <c r="O596" i="7"/>
  <c r="O468" i="7"/>
  <c r="O340" i="7"/>
  <c r="O211" i="7"/>
  <c r="O83" i="7"/>
  <c r="O1754" i="7"/>
  <c r="O1738" i="7"/>
  <c r="O1722" i="7"/>
  <c r="O1706" i="7"/>
  <c r="O1690" i="7"/>
  <c r="O1674" i="7"/>
  <c r="O1658" i="7"/>
  <c r="O1642" i="7"/>
  <c r="O1626" i="7"/>
  <c r="O1610" i="7"/>
  <c r="O1594" i="7"/>
  <c r="O1578" i="7"/>
  <c r="O1562" i="7"/>
  <c r="O1546" i="7"/>
  <c r="O1530" i="7"/>
  <c r="O1514" i="7"/>
  <c r="O1498" i="7"/>
  <c r="O1482" i="7"/>
  <c r="O1466" i="7"/>
  <c r="O1450" i="7"/>
  <c r="O1434" i="7"/>
  <c r="O1418" i="7"/>
  <c r="O1403" i="7"/>
  <c r="O1387" i="7"/>
  <c r="O1371" i="7"/>
  <c r="O1316" i="7"/>
  <c r="O1229" i="7"/>
  <c r="O1141" i="7"/>
  <c r="O1060" i="7"/>
  <c r="O973" i="7"/>
  <c r="O885" i="7"/>
  <c r="O804" i="7"/>
  <c r="O709" i="7"/>
  <c r="O581" i="7"/>
  <c r="O453" i="7"/>
  <c r="O325" i="7"/>
  <c r="O196" i="7"/>
  <c r="O68" i="7"/>
  <c r="O1753" i="7"/>
  <c r="O1737" i="7"/>
  <c r="O1721" i="7"/>
  <c r="O1705" i="7"/>
  <c r="O1689" i="7"/>
  <c r="O1673" i="7"/>
  <c r="O1657" i="7"/>
  <c r="O1641" i="7"/>
  <c r="O1625" i="7"/>
  <c r="O1609" i="7"/>
  <c r="O1593" i="7"/>
  <c r="O1577" i="7"/>
  <c r="O1561" i="7"/>
  <c r="O1545" i="7"/>
  <c r="O1529" i="7"/>
  <c r="O1513" i="7"/>
  <c r="O1497" i="7"/>
  <c r="O1481" i="7"/>
  <c r="O1465" i="7"/>
  <c r="O1449" i="7"/>
  <c r="O1433" i="7"/>
  <c r="O1417" i="7"/>
  <c r="O1402" i="7"/>
  <c r="O1386" i="7"/>
  <c r="O1370" i="7"/>
  <c r="O1309" i="7"/>
  <c r="O1221" i="7"/>
  <c r="O1140" i="7"/>
  <c r="O1053" i="7"/>
  <c r="O965" i="7"/>
  <c r="O884" i="7"/>
  <c r="O797" i="7"/>
  <c r="O708" i="7"/>
  <c r="O580" i="7"/>
  <c r="O452" i="7"/>
  <c r="O324" i="7"/>
  <c r="O195" i="7"/>
  <c r="O5" i="7"/>
  <c r="O21" i="7"/>
  <c r="O37" i="7"/>
  <c r="O53" i="7"/>
  <c r="O69" i="7"/>
  <c r="O85" i="7"/>
  <c r="O101" i="7"/>
  <c r="O117" i="7"/>
  <c r="O133" i="7"/>
  <c r="O149" i="7"/>
  <c r="O165" i="7"/>
  <c r="O181" i="7"/>
  <c r="O197" i="7"/>
  <c r="O213" i="7"/>
  <c r="O229" i="7"/>
  <c r="O246" i="7"/>
  <c r="O262" i="7"/>
  <c r="O278" i="7"/>
  <c r="O294" i="7"/>
  <c r="O310" i="7"/>
  <c r="O326" i="7"/>
  <c r="O342" i="7"/>
  <c r="O358" i="7"/>
  <c r="O374" i="7"/>
  <c r="O390" i="7"/>
  <c r="O406" i="7"/>
  <c r="O422" i="7"/>
  <c r="O438" i="7"/>
  <c r="O454" i="7"/>
  <c r="O470" i="7"/>
  <c r="O486" i="7"/>
  <c r="O502" i="7"/>
  <c r="O518" i="7"/>
  <c r="O534" i="7"/>
  <c r="O550" i="7"/>
  <c r="O566" i="7"/>
  <c r="O582" i="7"/>
  <c r="O598" i="7"/>
  <c r="O614" i="7"/>
  <c r="O630" i="7"/>
  <c r="O646" i="7"/>
  <c r="O662" i="7"/>
  <c r="O678" i="7"/>
  <c r="O694" i="7"/>
  <c r="O710" i="7"/>
  <c r="O726" i="7"/>
  <c r="O742" i="7"/>
  <c r="O758" i="7"/>
  <c r="O774" i="7"/>
  <c r="O790" i="7"/>
  <c r="O806" i="7"/>
  <c r="O822" i="7"/>
  <c r="O838" i="7"/>
  <c r="O854" i="7"/>
  <c r="O870" i="7"/>
  <c r="O886" i="7"/>
  <c r="O902" i="7"/>
  <c r="O918" i="7"/>
  <c r="O934" i="7"/>
  <c r="O950" i="7"/>
  <c r="O966" i="7"/>
  <c r="O982" i="7"/>
  <c r="O998" i="7"/>
  <c r="O1014" i="7"/>
  <c r="O1030" i="7"/>
  <c r="O1046" i="7"/>
  <c r="O1062" i="7"/>
  <c r="O1078" i="7"/>
  <c r="O1094" i="7"/>
  <c r="O1110" i="7"/>
  <c r="O1126" i="7"/>
  <c r="O1142" i="7"/>
  <c r="O1158" i="7"/>
  <c r="O1174" i="7"/>
  <c r="O1190" i="7"/>
  <c r="O1206" i="7"/>
  <c r="O1222" i="7"/>
  <c r="O1238" i="7"/>
  <c r="O1254" i="7"/>
  <c r="O1270" i="7"/>
  <c r="O1286" i="7"/>
  <c r="O1302" i="7"/>
  <c r="O1318" i="7"/>
  <c r="O1334" i="7"/>
  <c r="O1350" i="7"/>
  <c r="O6" i="7"/>
  <c r="O22" i="7"/>
  <c r="O38" i="7"/>
  <c r="O54" i="7"/>
  <c r="O70" i="7"/>
  <c r="O86" i="7"/>
  <c r="O102" i="7"/>
  <c r="O118" i="7"/>
  <c r="O134" i="7"/>
  <c r="O150" i="7"/>
  <c r="O166" i="7"/>
  <c r="O182" i="7"/>
  <c r="O198" i="7"/>
  <c r="O214" i="7"/>
  <c r="O230" i="7"/>
  <c r="O247" i="7"/>
  <c r="O263" i="7"/>
  <c r="O279" i="7"/>
  <c r="O295" i="7"/>
  <c r="O311" i="7"/>
  <c r="O327" i="7"/>
  <c r="O343" i="7"/>
  <c r="O359" i="7"/>
  <c r="O375" i="7"/>
  <c r="O391" i="7"/>
  <c r="O407" i="7"/>
  <c r="O423" i="7"/>
  <c r="O439" i="7"/>
  <c r="O455" i="7"/>
  <c r="O471" i="7"/>
  <c r="O487" i="7"/>
  <c r="O503" i="7"/>
  <c r="O519" i="7"/>
  <c r="O535" i="7"/>
  <c r="O551" i="7"/>
  <c r="O567" i="7"/>
  <c r="O583" i="7"/>
  <c r="O599" i="7"/>
  <c r="O615" i="7"/>
  <c r="O631" i="7"/>
  <c r="O647" i="7"/>
  <c r="O663" i="7"/>
  <c r="O679" i="7"/>
  <c r="O695" i="7"/>
  <c r="O711" i="7"/>
  <c r="O727" i="7"/>
  <c r="O743" i="7"/>
  <c r="O759" i="7"/>
  <c r="O775" i="7"/>
  <c r="O791" i="7"/>
  <c r="O807" i="7"/>
  <c r="O823" i="7"/>
  <c r="O839" i="7"/>
  <c r="O855" i="7"/>
  <c r="O871" i="7"/>
  <c r="O887" i="7"/>
  <c r="O903" i="7"/>
  <c r="O919" i="7"/>
  <c r="O935" i="7"/>
  <c r="O951" i="7"/>
  <c r="O967" i="7"/>
  <c r="O983" i="7"/>
  <c r="O999" i="7"/>
  <c r="O1015" i="7"/>
  <c r="O1031" i="7"/>
  <c r="O1047" i="7"/>
  <c r="O1063" i="7"/>
  <c r="O1079" i="7"/>
  <c r="O1095" i="7"/>
  <c r="O1111" i="7"/>
  <c r="O1127" i="7"/>
  <c r="O1143" i="7"/>
  <c r="O1159" i="7"/>
  <c r="O1175" i="7"/>
  <c r="O1191" i="7"/>
  <c r="O1207" i="7"/>
  <c r="O1223" i="7"/>
  <c r="O1239" i="7"/>
  <c r="O1255" i="7"/>
  <c r="O1271" i="7"/>
  <c r="O1287" i="7"/>
  <c r="O1303" i="7"/>
  <c r="O1319" i="7"/>
  <c r="O1335" i="7"/>
  <c r="O1351" i="7"/>
  <c r="O7" i="7"/>
  <c r="O23" i="7"/>
  <c r="O39" i="7"/>
  <c r="O55" i="7"/>
  <c r="O71" i="7"/>
  <c r="O87" i="7"/>
  <c r="O103" i="7"/>
  <c r="O119" i="7"/>
  <c r="O135" i="7"/>
  <c r="O151" i="7"/>
  <c r="O167" i="7"/>
  <c r="O183" i="7"/>
  <c r="O199" i="7"/>
  <c r="O215" i="7"/>
  <c r="O231" i="7"/>
  <c r="O248" i="7"/>
  <c r="O264" i="7"/>
  <c r="O280" i="7"/>
  <c r="O296" i="7"/>
  <c r="O312" i="7"/>
  <c r="O328" i="7"/>
  <c r="O344" i="7"/>
  <c r="O360" i="7"/>
  <c r="O376" i="7"/>
  <c r="O392" i="7"/>
  <c r="O408" i="7"/>
  <c r="O424" i="7"/>
  <c r="O440" i="7"/>
  <c r="O456" i="7"/>
  <c r="O472" i="7"/>
  <c r="O488" i="7"/>
  <c r="O504" i="7"/>
  <c r="O520" i="7"/>
  <c r="O536" i="7"/>
  <c r="O552" i="7"/>
  <c r="O568" i="7"/>
  <c r="O584" i="7"/>
  <c r="O600" i="7"/>
  <c r="O616" i="7"/>
  <c r="O632" i="7"/>
  <c r="O648" i="7"/>
  <c r="O664" i="7"/>
  <c r="O680" i="7"/>
  <c r="O696" i="7"/>
  <c r="O712" i="7"/>
  <c r="O728" i="7"/>
  <c r="O744" i="7"/>
  <c r="O760" i="7"/>
  <c r="O776" i="7"/>
  <c r="O792" i="7"/>
  <c r="O808" i="7"/>
  <c r="O824" i="7"/>
  <c r="O840" i="7"/>
  <c r="O856" i="7"/>
  <c r="O872" i="7"/>
  <c r="O888" i="7"/>
  <c r="O904" i="7"/>
  <c r="O920" i="7"/>
  <c r="O936" i="7"/>
  <c r="O952" i="7"/>
  <c r="O968" i="7"/>
  <c r="O984" i="7"/>
  <c r="O1000" i="7"/>
  <c r="O1016" i="7"/>
  <c r="O1032" i="7"/>
  <c r="O1048" i="7"/>
  <c r="O1064" i="7"/>
  <c r="O1080" i="7"/>
  <c r="O1096" i="7"/>
  <c r="O1112" i="7"/>
  <c r="O1128" i="7"/>
  <c r="O1144" i="7"/>
  <c r="O1160" i="7"/>
  <c r="O1176" i="7"/>
  <c r="O1192" i="7"/>
  <c r="O1208" i="7"/>
  <c r="O1224" i="7"/>
  <c r="O1240" i="7"/>
  <c r="O1256" i="7"/>
  <c r="O1272" i="7"/>
  <c r="O1288" i="7"/>
  <c r="O1304" i="7"/>
  <c r="O1320" i="7"/>
  <c r="O1336" i="7"/>
  <c r="O1352" i="7"/>
  <c r="O8" i="7"/>
  <c r="O24" i="7"/>
  <c r="O40" i="7"/>
  <c r="O56" i="7"/>
  <c r="O72" i="7"/>
  <c r="O88" i="7"/>
  <c r="O104" i="7"/>
  <c r="O120" i="7"/>
  <c r="O136" i="7"/>
  <c r="O152" i="7"/>
  <c r="O168" i="7"/>
  <c r="O184" i="7"/>
  <c r="O200" i="7"/>
  <c r="O216" i="7"/>
  <c r="O232" i="7"/>
  <c r="O249" i="7"/>
  <c r="O265" i="7"/>
  <c r="O281" i="7"/>
  <c r="O297" i="7"/>
  <c r="O313" i="7"/>
  <c r="O329" i="7"/>
  <c r="O345" i="7"/>
  <c r="O361" i="7"/>
  <c r="O377" i="7"/>
  <c r="O393" i="7"/>
  <c r="O409" i="7"/>
  <c r="O425" i="7"/>
  <c r="O441" i="7"/>
  <c r="O457" i="7"/>
  <c r="O473" i="7"/>
  <c r="O489" i="7"/>
  <c r="O505" i="7"/>
  <c r="O521" i="7"/>
  <c r="O537" i="7"/>
  <c r="O553" i="7"/>
  <c r="O569" i="7"/>
  <c r="O585" i="7"/>
  <c r="O601" i="7"/>
  <c r="O617" i="7"/>
  <c r="O633" i="7"/>
  <c r="O649" i="7"/>
  <c r="O665" i="7"/>
  <c r="O681" i="7"/>
  <c r="O697" i="7"/>
  <c r="O713" i="7"/>
  <c r="O729" i="7"/>
  <c r="O745" i="7"/>
  <c r="O761" i="7"/>
  <c r="O777" i="7"/>
  <c r="O793" i="7"/>
  <c r="O809" i="7"/>
  <c r="O825" i="7"/>
  <c r="O841" i="7"/>
  <c r="O857" i="7"/>
  <c r="O873" i="7"/>
  <c r="O889" i="7"/>
  <c r="O905" i="7"/>
  <c r="O921" i="7"/>
  <c r="O937" i="7"/>
  <c r="O953" i="7"/>
  <c r="O969" i="7"/>
  <c r="O985" i="7"/>
  <c r="O1001" i="7"/>
  <c r="O1017" i="7"/>
  <c r="O1033" i="7"/>
  <c r="O1049" i="7"/>
  <c r="O1065" i="7"/>
  <c r="O1081" i="7"/>
  <c r="O1097" i="7"/>
  <c r="O1113" i="7"/>
  <c r="O1129" i="7"/>
  <c r="O1145" i="7"/>
  <c r="O1161" i="7"/>
  <c r="O1177" i="7"/>
  <c r="O1193" i="7"/>
  <c r="O1209" i="7"/>
  <c r="O1225" i="7"/>
  <c r="O1241" i="7"/>
  <c r="O1257" i="7"/>
  <c r="O1273" i="7"/>
  <c r="O1289" i="7"/>
  <c r="O1305" i="7"/>
  <c r="O1321" i="7"/>
  <c r="O1337" i="7"/>
  <c r="O1353" i="7"/>
  <c r="O9" i="7"/>
  <c r="O25" i="7"/>
  <c r="O41" i="7"/>
  <c r="O57" i="7"/>
  <c r="O73" i="7"/>
  <c r="O89" i="7"/>
  <c r="O105" i="7"/>
  <c r="O121" i="7"/>
  <c r="O137" i="7"/>
  <c r="O153" i="7"/>
  <c r="O169" i="7"/>
  <c r="O185" i="7"/>
  <c r="O201" i="7"/>
  <c r="O217" i="7"/>
  <c r="O233" i="7"/>
  <c r="O250" i="7"/>
  <c r="O266" i="7"/>
  <c r="O282" i="7"/>
  <c r="O298" i="7"/>
  <c r="O314" i="7"/>
  <c r="O330" i="7"/>
  <c r="O346" i="7"/>
  <c r="O362" i="7"/>
  <c r="O378" i="7"/>
  <c r="O394" i="7"/>
  <c r="O410" i="7"/>
  <c r="O426" i="7"/>
  <c r="O442" i="7"/>
  <c r="O458" i="7"/>
  <c r="O474" i="7"/>
  <c r="O490" i="7"/>
  <c r="O506" i="7"/>
  <c r="O522" i="7"/>
  <c r="O538" i="7"/>
  <c r="O554" i="7"/>
  <c r="O570" i="7"/>
  <c r="O586" i="7"/>
  <c r="O602" i="7"/>
  <c r="O618" i="7"/>
  <c r="O634" i="7"/>
  <c r="O650" i="7"/>
  <c r="O666" i="7"/>
  <c r="O682" i="7"/>
  <c r="O698" i="7"/>
  <c r="O714" i="7"/>
  <c r="O730" i="7"/>
  <c r="O746" i="7"/>
  <c r="O762" i="7"/>
  <c r="O778" i="7"/>
  <c r="O794" i="7"/>
  <c r="O810" i="7"/>
  <c r="O826" i="7"/>
  <c r="O842" i="7"/>
  <c r="O858" i="7"/>
  <c r="O874" i="7"/>
  <c r="O890" i="7"/>
  <c r="O906" i="7"/>
  <c r="O922" i="7"/>
  <c r="O938" i="7"/>
  <c r="O954" i="7"/>
  <c r="O970" i="7"/>
  <c r="O986" i="7"/>
  <c r="O1002" i="7"/>
  <c r="O1018" i="7"/>
  <c r="O1034" i="7"/>
  <c r="O1050" i="7"/>
  <c r="O1066" i="7"/>
  <c r="O1082" i="7"/>
  <c r="O1098" i="7"/>
  <c r="O1114" i="7"/>
  <c r="O1130" i="7"/>
  <c r="O1146" i="7"/>
  <c r="O1162" i="7"/>
  <c r="O1178" i="7"/>
  <c r="O1194" i="7"/>
  <c r="O1210" i="7"/>
  <c r="O1226" i="7"/>
  <c r="O1242" i="7"/>
  <c r="O1258" i="7"/>
  <c r="O1274" i="7"/>
  <c r="O1290" i="7"/>
  <c r="O1306" i="7"/>
  <c r="O1322" i="7"/>
  <c r="O1338" i="7"/>
  <c r="O1354" i="7"/>
  <c r="O10" i="7"/>
  <c r="O26" i="7"/>
  <c r="O42" i="7"/>
  <c r="O58" i="7"/>
  <c r="O74" i="7"/>
  <c r="O90" i="7"/>
  <c r="O106" i="7"/>
  <c r="O122" i="7"/>
  <c r="O138" i="7"/>
  <c r="O154" i="7"/>
  <c r="O170" i="7"/>
  <c r="O186" i="7"/>
  <c r="O202" i="7"/>
  <c r="O218" i="7"/>
  <c r="O234" i="7"/>
  <c r="O251" i="7"/>
  <c r="O267" i="7"/>
  <c r="O283" i="7"/>
  <c r="O299" i="7"/>
  <c r="O315" i="7"/>
  <c r="O331" i="7"/>
  <c r="O347" i="7"/>
  <c r="O363" i="7"/>
  <c r="O379" i="7"/>
  <c r="O395" i="7"/>
  <c r="O411" i="7"/>
  <c r="O427" i="7"/>
  <c r="O443" i="7"/>
  <c r="O459" i="7"/>
  <c r="O475" i="7"/>
  <c r="O491" i="7"/>
  <c r="O507" i="7"/>
  <c r="O523" i="7"/>
  <c r="O539" i="7"/>
  <c r="O555" i="7"/>
  <c r="O571" i="7"/>
  <c r="O587" i="7"/>
  <c r="O603" i="7"/>
  <c r="O619" i="7"/>
  <c r="O635" i="7"/>
  <c r="O651" i="7"/>
  <c r="O667" i="7"/>
  <c r="O683" i="7"/>
  <c r="O699" i="7"/>
  <c r="O715" i="7"/>
  <c r="O731" i="7"/>
  <c r="O747" i="7"/>
  <c r="O763" i="7"/>
  <c r="O779" i="7"/>
  <c r="O795" i="7"/>
  <c r="O811" i="7"/>
  <c r="O827" i="7"/>
  <c r="O843" i="7"/>
  <c r="O859" i="7"/>
  <c r="O875" i="7"/>
  <c r="O891" i="7"/>
  <c r="O907" i="7"/>
  <c r="O923" i="7"/>
  <c r="O939" i="7"/>
  <c r="O955" i="7"/>
  <c r="O971" i="7"/>
  <c r="O987" i="7"/>
  <c r="O1003" i="7"/>
  <c r="O1019" i="7"/>
  <c r="O1035" i="7"/>
  <c r="O1051" i="7"/>
  <c r="O1067" i="7"/>
  <c r="O1083" i="7"/>
  <c r="O1099" i="7"/>
  <c r="O1115" i="7"/>
  <c r="O1131" i="7"/>
  <c r="O1147" i="7"/>
  <c r="O1163" i="7"/>
  <c r="O1179" i="7"/>
  <c r="O1195" i="7"/>
  <c r="O1211" i="7"/>
  <c r="O1227" i="7"/>
  <c r="O1243" i="7"/>
  <c r="O1259" i="7"/>
  <c r="O1275" i="7"/>
  <c r="O1291" i="7"/>
  <c r="O1307" i="7"/>
  <c r="O1323" i="7"/>
  <c r="O1339" i="7"/>
  <c r="O1355" i="7"/>
  <c r="O11" i="7"/>
  <c r="O27" i="7"/>
  <c r="O43" i="7"/>
  <c r="O59" i="7"/>
  <c r="O75" i="7"/>
  <c r="O91" i="7"/>
  <c r="O107" i="7"/>
  <c r="O123" i="7"/>
  <c r="O139" i="7"/>
  <c r="O155" i="7"/>
  <c r="O171" i="7"/>
  <c r="O187" i="7"/>
  <c r="O203" i="7"/>
  <c r="O219" i="7"/>
  <c r="O235" i="7"/>
  <c r="O252" i="7"/>
  <c r="O268" i="7"/>
  <c r="O284" i="7"/>
  <c r="O300" i="7"/>
  <c r="O316" i="7"/>
  <c r="O332" i="7"/>
  <c r="O348" i="7"/>
  <c r="O364" i="7"/>
  <c r="O380" i="7"/>
  <c r="O396" i="7"/>
  <c r="O412" i="7"/>
  <c r="O428" i="7"/>
  <c r="O444" i="7"/>
  <c r="O460" i="7"/>
  <c r="O476" i="7"/>
  <c r="O492" i="7"/>
  <c r="O508" i="7"/>
  <c r="O524" i="7"/>
  <c r="O540" i="7"/>
  <c r="O556" i="7"/>
  <c r="O572" i="7"/>
  <c r="O588" i="7"/>
  <c r="O604" i="7"/>
  <c r="O620" i="7"/>
  <c r="O636" i="7"/>
  <c r="O652" i="7"/>
  <c r="O668" i="7"/>
  <c r="O684" i="7"/>
  <c r="O700" i="7"/>
  <c r="O716" i="7"/>
  <c r="O732" i="7"/>
  <c r="O748" i="7"/>
  <c r="O764" i="7"/>
  <c r="O780" i="7"/>
  <c r="O796" i="7"/>
  <c r="O812" i="7"/>
  <c r="O828" i="7"/>
  <c r="O844" i="7"/>
  <c r="O860" i="7"/>
  <c r="O876" i="7"/>
  <c r="O892" i="7"/>
  <c r="O908" i="7"/>
  <c r="O924" i="7"/>
  <c r="O940" i="7"/>
  <c r="O956" i="7"/>
  <c r="O972" i="7"/>
  <c r="O988" i="7"/>
  <c r="O1004" i="7"/>
  <c r="O1020" i="7"/>
  <c r="O1036" i="7"/>
  <c r="O1052" i="7"/>
  <c r="O1068" i="7"/>
  <c r="O1084" i="7"/>
  <c r="O1100" i="7"/>
  <c r="O1116" i="7"/>
  <c r="O1132" i="7"/>
  <c r="O1148" i="7"/>
  <c r="O1164" i="7"/>
  <c r="O1180" i="7"/>
  <c r="O1196" i="7"/>
  <c r="O1212" i="7"/>
  <c r="O1228" i="7"/>
  <c r="O1244" i="7"/>
  <c r="O1260" i="7"/>
  <c r="O1276" i="7"/>
  <c r="O1292" i="7"/>
  <c r="O1308" i="7"/>
  <c r="O1324" i="7"/>
  <c r="O1340" i="7"/>
  <c r="O1356" i="7"/>
  <c r="O12" i="7"/>
  <c r="O28" i="7"/>
  <c r="O44" i="7"/>
  <c r="O60" i="7"/>
  <c r="O76" i="7"/>
  <c r="O92" i="7"/>
  <c r="O108" i="7"/>
  <c r="O124" i="7"/>
  <c r="O140" i="7"/>
  <c r="O156" i="7"/>
  <c r="O172" i="7"/>
  <c r="O188" i="7"/>
  <c r="O204" i="7"/>
  <c r="O220" i="7"/>
  <c r="O236" i="7"/>
  <c r="O253" i="7"/>
  <c r="O269" i="7"/>
  <c r="O285" i="7"/>
  <c r="O301" i="7"/>
  <c r="O317" i="7"/>
  <c r="O333" i="7"/>
  <c r="O349" i="7"/>
  <c r="O365" i="7"/>
  <c r="O381" i="7"/>
  <c r="O397" i="7"/>
  <c r="O413" i="7"/>
  <c r="O429" i="7"/>
  <c r="O445" i="7"/>
  <c r="O461" i="7"/>
  <c r="O477" i="7"/>
  <c r="O493" i="7"/>
  <c r="O509" i="7"/>
  <c r="O525" i="7"/>
  <c r="O541" i="7"/>
  <c r="O557" i="7"/>
  <c r="O573" i="7"/>
  <c r="O589" i="7"/>
  <c r="O605" i="7"/>
  <c r="O621" i="7"/>
  <c r="O637" i="7"/>
  <c r="O653" i="7"/>
  <c r="O669" i="7"/>
  <c r="O685" i="7"/>
  <c r="O701" i="7"/>
  <c r="O717" i="7"/>
  <c r="O13" i="7"/>
  <c r="O29" i="7"/>
  <c r="O45" i="7"/>
  <c r="O61" i="7"/>
  <c r="O77" i="7"/>
  <c r="O93" i="7"/>
  <c r="O109" i="7"/>
  <c r="O125" i="7"/>
  <c r="O141" i="7"/>
  <c r="O157" i="7"/>
  <c r="O173" i="7"/>
  <c r="O189" i="7"/>
  <c r="O205" i="7"/>
  <c r="O221" i="7"/>
  <c r="O238" i="7"/>
  <c r="O254" i="7"/>
  <c r="O270" i="7"/>
  <c r="O286" i="7"/>
  <c r="O302" i="7"/>
  <c r="O318" i="7"/>
  <c r="O334" i="7"/>
  <c r="O350" i="7"/>
  <c r="O366" i="7"/>
  <c r="O382" i="7"/>
  <c r="O398" i="7"/>
  <c r="O414" i="7"/>
  <c r="O430" i="7"/>
  <c r="O446" i="7"/>
  <c r="O462" i="7"/>
  <c r="O478" i="7"/>
  <c r="O494" i="7"/>
  <c r="O510" i="7"/>
  <c r="O526" i="7"/>
  <c r="O542" i="7"/>
  <c r="O558" i="7"/>
  <c r="O574" i="7"/>
  <c r="O590" i="7"/>
  <c r="O606" i="7"/>
  <c r="O622" i="7"/>
  <c r="O638" i="7"/>
  <c r="O654" i="7"/>
  <c r="O670" i="7"/>
  <c r="O686" i="7"/>
  <c r="O702" i="7"/>
  <c r="O718" i="7"/>
  <c r="O734" i="7"/>
  <c r="O750" i="7"/>
  <c r="O766" i="7"/>
  <c r="O782" i="7"/>
  <c r="O798" i="7"/>
  <c r="O814" i="7"/>
  <c r="O830" i="7"/>
  <c r="O846" i="7"/>
  <c r="O862" i="7"/>
  <c r="O878" i="7"/>
  <c r="O894" i="7"/>
  <c r="O910" i="7"/>
  <c r="O926" i="7"/>
  <c r="O942" i="7"/>
  <c r="O958" i="7"/>
  <c r="O974" i="7"/>
  <c r="O990" i="7"/>
  <c r="O1006" i="7"/>
  <c r="O1022" i="7"/>
  <c r="O1038" i="7"/>
  <c r="O1054" i="7"/>
  <c r="O1070" i="7"/>
  <c r="O1086" i="7"/>
  <c r="O1102" i="7"/>
  <c r="O1118" i="7"/>
  <c r="O1134" i="7"/>
  <c r="O1150" i="7"/>
  <c r="O1166" i="7"/>
  <c r="O1182" i="7"/>
  <c r="O1198" i="7"/>
  <c r="O1214" i="7"/>
  <c r="O1230" i="7"/>
  <c r="O1246" i="7"/>
  <c r="O1262" i="7"/>
  <c r="O1278" i="7"/>
  <c r="O1294" i="7"/>
  <c r="O1310" i="7"/>
  <c r="O1326" i="7"/>
  <c r="O1342" i="7"/>
  <c r="O1358" i="7"/>
  <c r="O14" i="7"/>
  <c r="O30" i="7"/>
  <c r="O46" i="7"/>
  <c r="O62" i="7"/>
  <c r="O78" i="7"/>
  <c r="O94" i="7"/>
  <c r="O110" i="7"/>
  <c r="O126" i="7"/>
  <c r="O142" i="7"/>
  <c r="O158" i="7"/>
  <c r="O174" i="7"/>
  <c r="O190" i="7"/>
  <c r="O206" i="7"/>
  <c r="O222" i="7"/>
  <c r="O239" i="7"/>
  <c r="O255" i="7"/>
  <c r="O271" i="7"/>
  <c r="O287" i="7"/>
  <c r="O303" i="7"/>
  <c r="O319" i="7"/>
  <c r="O335" i="7"/>
  <c r="O351" i="7"/>
  <c r="O367" i="7"/>
  <c r="O383" i="7"/>
  <c r="O399" i="7"/>
  <c r="O415" i="7"/>
  <c r="O431" i="7"/>
  <c r="O447" i="7"/>
  <c r="O463" i="7"/>
  <c r="O479" i="7"/>
  <c r="O495" i="7"/>
  <c r="O511" i="7"/>
  <c r="O527" i="7"/>
  <c r="O543" i="7"/>
  <c r="O559" i="7"/>
  <c r="O575" i="7"/>
  <c r="O591" i="7"/>
  <c r="O607" i="7"/>
  <c r="O623" i="7"/>
  <c r="O639" i="7"/>
  <c r="O655" i="7"/>
  <c r="O671" i="7"/>
  <c r="O687" i="7"/>
  <c r="O703" i="7"/>
  <c r="O719" i="7"/>
  <c r="O735" i="7"/>
  <c r="O751" i="7"/>
  <c r="O767" i="7"/>
  <c r="O783" i="7"/>
  <c r="O799" i="7"/>
  <c r="O815" i="7"/>
  <c r="O831" i="7"/>
  <c r="O847" i="7"/>
  <c r="O863" i="7"/>
  <c r="O879" i="7"/>
  <c r="O895" i="7"/>
  <c r="O911" i="7"/>
  <c r="O927" i="7"/>
  <c r="O943" i="7"/>
  <c r="O959" i="7"/>
  <c r="O975" i="7"/>
  <c r="O991" i="7"/>
  <c r="O1007" i="7"/>
  <c r="O1023" i="7"/>
  <c r="O1039" i="7"/>
  <c r="O1055" i="7"/>
  <c r="O1071" i="7"/>
  <c r="O1087" i="7"/>
  <c r="O1103" i="7"/>
  <c r="O1119" i="7"/>
  <c r="O1135" i="7"/>
  <c r="O1151" i="7"/>
  <c r="O1167" i="7"/>
  <c r="O1183" i="7"/>
  <c r="O1199" i="7"/>
  <c r="O1215" i="7"/>
  <c r="O1231" i="7"/>
  <c r="O1247" i="7"/>
  <c r="O1263" i="7"/>
  <c r="O1279" i="7"/>
  <c r="O1295" i="7"/>
  <c r="O1311" i="7"/>
  <c r="O1327" i="7"/>
  <c r="O1343" i="7"/>
  <c r="O1359" i="7"/>
  <c r="O15" i="7"/>
  <c r="O31" i="7"/>
  <c r="O47" i="7"/>
  <c r="O63" i="7"/>
  <c r="O79" i="7"/>
  <c r="O95" i="7"/>
  <c r="O111" i="7"/>
  <c r="O127" i="7"/>
  <c r="O143" i="7"/>
  <c r="O159" i="7"/>
  <c r="O175" i="7"/>
  <c r="O191" i="7"/>
  <c r="O207" i="7"/>
  <c r="O223" i="7"/>
  <c r="O240" i="7"/>
  <c r="O256" i="7"/>
  <c r="O272" i="7"/>
  <c r="O288" i="7"/>
  <c r="O304" i="7"/>
  <c r="O320" i="7"/>
  <c r="O336" i="7"/>
  <c r="O352" i="7"/>
  <c r="O368" i="7"/>
  <c r="O384" i="7"/>
  <c r="O400" i="7"/>
  <c r="O416" i="7"/>
  <c r="O432" i="7"/>
  <c r="O448" i="7"/>
  <c r="O464" i="7"/>
  <c r="O480" i="7"/>
  <c r="O496" i="7"/>
  <c r="O512" i="7"/>
  <c r="O528" i="7"/>
  <c r="O544" i="7"/>
  <c r="O560" i="7"/>
  <c r="O576" i="7"/>
  <c r="O592" i="7"/>
  <c r="O608" i="7"/>
  <c r="O624" i="7"/>
  <c r="O640" i="7"/>
  <c r="O656" i="7"/>
  <c r="O672" i="7"/>
  <c r="O688" i="7"/>
  <c r="O704" i="7"/>
  <c r="O720" i="7"/>
  <c r="O736" i="7"/>
  <c r="O752" i="7"/>
  <c r="O768" i="7"/>
  <c r="O784" i="7"/>
  <c r="O800" i="7"/>
  <c r="O816" i="7"/>
  <c r="O832" i="7"/>
  <c r="O848" i="7"/>
  <c r="O864" i="7"/>
  <c r="O880" i="7"/>
  <c r="O896" i="7"/>
  <c r="O912" i="7"/>
  <c r="O928" i="7"/>
  <c r="O944" i="7"/>
  <c r="O960" i="7"/>
  <c r="O976" i="7"/>
  <c r="O992" i="7"/>
  <c r="O1008" i="7"/>
  <c r="O1024" i="7"/>
  <c r="O1040" i="7"/>
  <c r="O1056" i="7"/>
  <c r="O1072" i="7"/>
  <c r="O1088" i="7"/>
  <c r="O1104" i="7"/>
  <c r="O1120" i="7"/>
  <c r="O1136" i="7"/>
  <c r="O1152" i="7"/>
  <c r="O1168" i="7"/>
  <c r="O1184" i="7"/>
  <c r="O1200" i="7"/>
  <c r="O1216" i="7"/>
  <c r="O1232" i="7"/>
  <c r="O1248" i="7"/>
  <c r="O1264" i="7"/>
  <c r="O1280" i="7"/>
  <c r="O1296" i="7"/>
  <c r="O1312" i="7"/>
  <c r="O1328" i="7"/>
  <c r="O1344" i="7"/>
  <c r="O1360" i="7"/>
  <c r="O16" i="7"/>
  <c r="O32" i="7"/>
  <c r="O48" i="7"/>
  <c r="O64" i="7"/>
  <c r="O80" i="7"/>
  <c r="O96" i="7"/>
  <c r="O112" i="7"/>
  <c r="O128" i="7"/>
  <c r="O144" i="7"/>
  <c r="O160" i="7"/>
  <c r="O176" i="7"/>
  <c r="O192" i="7"/>
  <c r="O208" i="7"/>
  <c r="O224" i="7"/>
  <c r="O241" i="7"/>
  <c r="O257" i="7"/>
  <c r="O273" i="7"/>
  <c r="O289" i="7"/>
  <c r="O305" i="7"/>
  <c r="O321" i="7"/>
  <c r="O337" i="7"/>
  <c r="O353" i="7"/>
  <c r="O369" i="7"/>
  <c r="O385" i="7"/>
  <c r="O401" i="7"/>
  <c r="O417" i="7"/>
  <c r="O433" i="7"/>
  <c r="O449" i="7"/>
  <c r="O465" i="7"/>
  <c r="O481" i="7"/>
  <c r="O497" i="7"/>
  <c r="O513" i="7"/>
  <c r="O529" i="7"/>
  <c r="O545" i="7"/>
  <c r="O561" i="7"/>
  <c r="O577" i="7"/>
  <c r="O593" i="7"/>
  <c r="O609" i="7"/>
  <c r="O625" i="7"/>
  <c r="O641" i="7"/>
  <c r="O657" i="7"/>
  <c r="O673" i="7"/>
  <c r="O689" i="7"/>
  <c r="O705" i="7"/>
  <c r="O721" i="7"/>
  <c r="O737" i="7"/>
  <c r="O753" i="7"/>
  <c r="O769" i="7"/>
  <c r="O785" i="7"/>
  <c r="O801" i="7"/>
  <c r="O817" i="7"/>
  <c r="O833" i="7"/>
  <c r="O849" i="7"/>
  <c r="O865" i="7"/>
  <c r="O881" i="7"/>
  <c r="O897" i="7"/>
  <c r="O913" i="7"/>
  <c r="O929" i="7"/>
  <c r="O945" i="7"/>
  <c r="O961" i="7"/>
  <c r="O977" i="7"/>
  <c r="O993" i="7"/>
  <c r="O1009" i="7"/>
  <c r="O1025" i="7"/>
  <c r="O1041" i="7"/>
  <c r="O1057" i="7"/>
  <c r="O1073" i="7"/>
  <c r="O1089" i="7"/>
  <c r="O1105" i="7"/>
  <c r="O1121" i="7"/>
  <c r="O1137" i="7"/>
  <c r="O1153" i="7"/>
  <c r="O1169" i="7"/>
  <c r="O1185" i="7"/>
  <c r="O1201" i="7"/>
  <c r="O1217" i="7"/>
  <c r="O1233" i="7"/>
  <c r="O1249" i="7"/>
  <c r="O1265" i="7"/>
  <c r="O1281" i="7"/>
  <c r="O1297" i="7"/>
  <c r="O1313" i="7"/>
  <c r="O1329" i="7"/>
  <c r="O1345" i="7"/>
  <c r="O1361" i="7"/>
  <c r="O17" i="7"/>
  <c r="O33" i="7"/>
  <c r="O49" i="7"/>
  <c r="O65" i="7"/>
  <c r="O81" i="7"/>
  <c r="O97" i="7"/>
  <c r="O113" i="7"/>
  <c r="O129" i="7"/>
  <c r="O145" i="7"/>
  <c r="O161" i="7"/>
  <c r="O177" i="7"/>
  <c r="O193" i="7"/>
  <c r="O209" i="7"/>
  <c r="O225" i="7"/>
  <c r="O242" i="7"/>
  <c r="O258" i="7"/>
  <c r="O274" i="7"/>
  <c r="O290" i="7"/>
  <c r="O306" i="7"/>
  <c r="O322" i="7"/>
  <c r="O338" i="7"/>
  <c r="O354" i="7"/>
  <c r="O370" i="7"/>
  <c r="O386" i="7"/>
  <c r="O402" i="7"/>
  <c r="O418" i="7"/>
  <c r="O434" i="7"/>
  <c r="O450" i="7"/>
  <c r="O466" i="7"/>
  <c r="O482" i="7"/>
  <c r="O498" i="7"/>
  <c r="O514" i="7"/>
  <c r="O530" i="7"/>
  <c r="O546" i="7"/>
  <c r="O562" i="7"/>
  <c r="O578" i="7"/>
  <c r="O594" i="7"/>
  <c r="O610" i="7"/>
  <c r="O626" i="7"/>
  <c r="O642" i="7"/>
  <c r="O658" i="7"/>
  <c r="O674" i="7"/>
  <c r="O690" i="7"/>
  <c r="O706" i="7"/>
  <c r="O722" i="7"/>
  <c r="O738" i="7"/>
  <c r="O754" i="7"/>
  <c r="O770" i="7"/>
  <c r="O786" i="7"/>
  <c r="O802" i="7"/>
  <c r="O818" i="7"/>
  <c r="O834" i="7"/>
  <c r="O850" i="7"/>
  <c r="O866" i="7"/>
  <c r="O882" i="7"/>
  <c r="O898" i="7"/>
  <c r="O914" i="7"/>
  <c r="O930" i="7"/>
  <c r="O946" i="7"/>
  <c r="O962" i="7"/>
  <c r="O978" i="7"/>
  <c r="O994" i="7"/>
  <c r="O1010" i="7"/>
  <c r="O1026" i="7"/>
  <c r="O1042" i="7"/>
  <c r="O1058" i="7"/>
  <c r="O1074" i="7"/>
  <c r="O1090" i="7"/>
  <c r="O1106" i="7"/>
  <c r="O1122" i="7"/>
  <c r="O1138" i="7"/>
  <c r="O1154" i="7"/>
  <c r="O1170" i="7"/>
  <c r="O1186" i="7"/>
  <c r="O1202" i="7"/>
  <c r="O1218" i="7"/>
  <c r="O1234" i="7"/>
  <c r="O1250" i="7"/>
  <c r="O1266" i="7"/>
  <c r="O1282" i="7"/>
  <c r="O1298" i="7"/>
  <c r="O1314" i="7"/>
  <c r="O1330" i="7"/>
  <c r="O1346" i="7"/>
  <c r="O1362" i="7"/>
  <c r="O18" i="7"/>
  <c r="O34" i="7"/>
  <c r="O50" i="7"/>
  <c r="O66" i="7"/>
  <c r="O82" i="7"/>
  <c r="O98" i="7"/>
  <c r="O114" i="7"/>
  <c r="O130" i="7"/>
  <c r="O146" i="7"/>
  <c r="O162" i="7"/>
  <c r="O178" i="7"/>
  <c r="O194" i="7"/>
  <c r="O210" i="7"/>
  <c r="O226" i="7"/>
  <c r="O243" i="7"/>
  <c r="O259" i="7"/>
  <c r="O275" i="7"/>
  <c r="O291" i="7"/>
  <c r="O307" i="7"/>
  <c r="O323" i="7"/>
  <c r="O339" i="7"/>
  <c r="O355" i="7"/>
  <c r="O371" i="7"/>
  <c r="O387" i="7"/>
  <c r="O403" i="7"/>
  <c r="O419" i="7"/>
  <c r="O435" i="7"/>
  <c r="O451" i="7"/>
  <c r="O467" i="7"/>
  <c r="O483" i="7"/>
  <c r="O499" i="7"/>
  <c r="O515" i="7"/>
  <c r="O531" i="7"/>
  <c r="O547" i="7"/>
  <c r="O563" i="7"/>
  <c r="O579" i="7"/>
  <c r="O595" i="7"/>
  <c r="O611" i="7"/>
  <c r="O627" i="7"/>
  <c r="O643" i="7"/>
  <c r="O659" i="7"/>
  <c r="O675" i="7"/>
  <c r="O691" i="7"/>
  <c r="O707" i="7"/>
  <c r="O723" i="7"/>
  <c r="O739" i="7"/>
  <c r="O755" i="7"/>
  <c r="O771" i="7"/>
  <c r="O787" i="7"/>
  <c r="O803" i="7"/>
  <c r="O819" i="7"/>
  <c r="O835" i="7"/>
  <c r="O851" i="7"/>
  <c r="O867" i="7"/>
  <c r="O883" i="7"/>
  <c r="O899" i="7"/>
  <c r="O915" i="7"/>
  <c r="O931" i="7"/>
  <c r="O947" i="7"/>
  <c r="O963" i="7"/>
  <c r="O979" i="7"/>
  <c r="O995" i="7"/>
  <c r="O1011" i="7"/>
  <c r="O1027" i="7"/>
  <c r="O1043" i="7"/>
  <c r="O1059" i="7"/>
  <c r="O1075" i="7"/>
  <c r="O1091" i="7"/>
  <c r="O1107" i="7"/>
  <c r="O1123" i="7"/>
  <c r="O1139" i="7"/>
  <c r="O1155" i="7"/>
  <c r="O1171" i="7"/>
  <c r="O1187" i="7"/>
  <c r="O1203" i="7"/>
  <c r="O1219" i="7"/>
  <c r="O1235" i="7"/>
  <c r="O1251" i="7"/>
  <c r="O1267" i="7"/>
  <c r="O1283" i="7"/>
  <c r="O1299" i="7"/>
  <c r="O1315" i="7"/>
  <c r="O1331" i="7"/>
  <c r="O1347" i="7"/>
  <c r="O1363" i="7"/>
  <c r="O1752" i="7"/>
  <c r="O1736" i="7"/>
  <c r="O1720" i="7"/>
  <c r="O1704" i="7"/>
  <c r="O1688" i="7"/>
  <c r="O1672" i="7"/>
  <c r="O1656" i="7"/>
  <c r="O1640" i="7"/>
  <c r="O1624" i="7"/>
  <c r="O1608" i="7"/>
  <c r="O1592" i="7"/>
  <c r="O1576" i="7"/>
  <c r="O1560" i="7"/>
  <c r="O1544" i="7"/>
  <c r="O1528" i="7"/>
  <c r="O1512" i="7"/>
  <c r="O1496" i="7"/>
  <c r="O1480" i="7"/>
  <c r="O1464" i="7"/>
  <c r="O1448" i="7"/>
  <c r="O1432" i="7"/>
  <c r="O1416" i="7"/>
  <c r="O1401" i="7"/>
  <c r="O1385" i="7"/>
  <c r="O1369" i="7"/>
  <c r="O1301" i="7"/>
  <c r="O1220" i="7"/>
  <c r="O1133" i="7"/>
  <c r="O1045" i="7"/>
  <c r="O964" i="7"/>
  <c r="O877" i="7"/>
  <c r="O789" i="7"/>
  <c r="O693" i="7"/>
  <c r="O565" i="7"/>
  <c r="O437" i="7"/>
  <c r="O309" i="7"/>
  <c r="O180" i="7"/>
  <c r="O52" i="7"/>
  <c r="O1751" i="7"/>
  <c r="O1735" i="7"/>
  <c r="O1719" i="7"/>
  <c r="O1703" i="7"/>
  <c r="O1687" i="7"/>
  <c r="O1671" i="7"/>
  <c r="O1655" i="7"/>
  <c r="O1639" i="7"/>
  <c r="O1623" i="7"/>
  <c r="O1607" i="7"/>
  <c r="O1591" i="7"/>
  <c r="O1575" i="7"/>
  <c r="O1559" i="7"/>
  <c r="O1543" i="7"/>
  <c r="O1527" i="7"/>
  <c r="O1511" i="7"/>
  <c r="O1495" i="7"/>
  <c r="O1479" i="7"/>
  <c r="O1463" i="7"/>
  <c r="O1447" i="7"/>
  <c r="O1431" i="7"/>
  <c r="O1415" i="7"/>
  <c r="O1400" i="7"/>
  <c r="O1384" i="7"/>
  <c r="O1368" i="7"/>
  <c r="O1300" i="7"/>
  <c r="O1213" i="7"/>
  <c r="O1125" i="7"/>
  <c r="O1044" i="7"/>
  <c r="O957" i="7"/>
  <c r="O869" i="7"/>
  <c r="O788" i="7"/>
  <c r="O692" i="7"/>
  <c r="O564" i="7"/>
  <c r="O436" i="7"/>
  <c r="O308" i="7"/>
  <c r="O179" i="7"/>
  <c r="O51" i="7"/>
  <c r="O1750" i="7"/>
  <c r="O1734" i="7"/>
  <c r="O1718" i="7"/>
  <c r="O1702" i="7"/>
  <c r="O1686" i="7"/>
  <c r="O1670" i="7"/>
  <c r="O1654" i="7"/>
  <c r="O1638" i="7"/>
  <c r="O1622" i="7"/>
  <c r="O1606" i="7"/>
  <c r="O1590" i="7"/>
  <c r="O1574" i="7"/>
  <c r="O1558" i="7"/>
  <c r="O1542" i="7"/>
  <c r="O1526" i="7"/>
  <c r="O1510" i="7"/>
  <c r="O1494" i="7"/>
  <c r="O1478" i="7"/>
  <c r="O1462" i="7"/>
  <c r="O1446" i="7"/>
  <c r="O1430" i="7"/>
  <c r="O1414" i="7"/>
  <c r="O1399" i="7"/>
  <c r="O1383" i="7"/>
  <c r="O1367" i="7"/>
  <c r="O1293" i="7"/>
  <c r="O1205" i="7"/>
  <c r="O1124" i="7"/>
  <c r="O1037" i="7"/>
  <c r="O949" i="7"/>
  <c r="O868" i="7"/>
  <c r="O781" i="7"/>
  <c r="O677" i="7"/>
  <c r="O549" i="7"/>
  <c r="O421" i="7"/>
  <c r="O293" i="7"/>
  <c r="O164" i="7"/>
  <c r="O36" i="7"/>
  <c r="O1749" i="7"/>
  <c r="O1733" i="7"/>
  <c r="O1717" i="7"/>
  <c r="O1701" i="7"/>
  <c r="O1685" i="7"/>
  <c r="O1669" i="7"/>
  <c r="O1653" i="7"/>
  <c r="O1637" i="7"/>
  <c r="O1621" i="7"/>
  <c r="O1605" i="7"/>
  <c r="O1589" i="7"/>
  <c r="O1573" i="7"/>
  <c r="O1557" i="7"/>
  <c r="O1541" i="7"/>
  <c r="O1525" i="7"/>
  <c r="O1509" i="7"/>
  <c r="O1493" i="7"/>
  <c r="O1477" i="7"/>
  <c r="O1461" i="7"/>
  <c r="O1445" i="7"/>
  <c r="O1429" i="7"/>
  <c r="O1413" i="7"/>
  <c r="O1398" i="7"/>
  <c r="O1382" i="7"/>
  <c r="O1366" i="7"/>
  <c r="O1285" i="7"/>
  <c r="O1204" i="7"/>
  <c r="O1117" i="7"/>
  <c r="O1029" i="7"/>
  <c r="O948" i="7"/>
  <c r="O861" i="7"/>
  <c r="O773" i="7"/>
  <c r="O676" i="7"/>
  <c r="O548" i="7"/>
  <c r="O420" i="7"/>
  <c r="O292" i="7"/>
  <c r="O163" i="7"/>
  <c r="O35" i="7"/>
  <c r="O1748" i="7"/>
  <c r="O1732" i="7"/>
  <c r="O1716" i="7"/>
  <c r="O1700" i="7"/>
  <c r="O1684" i="7"/>
  <c r="O1668" i="7"/>
  <c r="O1652" i="7"/>
  <c r="O1636" i="7"/>
  <c r="O1620" i="7"/>
  <c r="O1604" i="7"/>
  <c r="O1588" i="7"/>
  <c r="O1572" i="7"/>
  <c r="O1556" i="7"/>
  <c r="O1540" i="7"/>
  <c r="O1524" i="7"/>
  <c r="O1508" i="7"/>
  <c r="O1492" i="7"/>
  <c r="O1476" i="7"/>
  <c r="O1460" i="7"/>
  <c r="O1444" i="7"/>
  <c r="O1428" i="7"/>
  <c r="O1412" i="7"/>
  <c r="O1397" i="7"/>
  <c r="O1381" i="7"/>
  <c r="O1365" i="7"/>
  <c r="O1284" i="7"/>
  <c r="O1197" i="7"/>
  <c r="O1109" i="7"/>
  <c r="O1028" i="7"/>
  <c r="O941" i="7"/>
  <c r="O853" i="7"/>
  <c r="O772" i="7"/>
  <c r="O661" i="7"/>
  <c r="O533" i="7"/>
  <c r="O405" i="7"/>
  <c r="O277" i="7"/>
  <c r="O148" i="7"/>
  <c r="O20" i="7"/>
  <c r="O1747" i="7"/>
  <c r="O1731" i="7"/>
  <c r="O1715" i="7"/>
  <c r="O1699" i="7"/>
  <c r="O1683" i="7"/>
  <c r="O1667" i="7"/>
  <c r="O1651" i="7"/>
  <c r="O1635" i="7"/>
  <c r="O1619" i="7"/>
  <c r="O1603" i="7"/>
  <c r="O1587" i="7"/>
  <c r="O1571" i="7"/>
  <c r="O1555" i="7"/>
  <c r="O1539" i="7"/>
  <c r="O1523" i="7"/>
  <c r="O1507" i="7"/>
  <c r="O1491" i="7"/>
  <c r="O1475" i="7"/>
  <c r="O1459" i="7"/>
  <c r="O1443" i="7"/>
  <c r="O1427" i="7"/>
  <c r="O237" i="7"/>
  <c r="O1396" i="7"/>
  <c r="O1380" i="7"/>
  <c r="O1364" i="7"/>
  <c r="O1277" i="7"/>
  <c r="O1189" i="7"/>
  <c r="O1108" i="7"/>
  <c r="O1021" i="7"/>
  <c r="O933" i="7"/>
  <c r="O852" i="7"/>
  <c r="O765" i="7"/>
  <c r="O660" i="7"/>
  <c r="O532" i="7"/>
  <c r="O404" i="7"/>
  <c r="O276" i="7"/>
  <c r="O147" i="7"/>
  <c r="O19" i="7"/>
  <c r="J328" i="1"/>
  <c r="J1125" i="1"/>
  <c r="J1320" i="1"/>
  <c r="J1098" i="1"/>
  <c r="J1404" i="1"/>
  <c r="J1039" i="1"/>
  <c r="J802" i="1"/>
  <c r="J1161" i="1"/>
  <c r="J1716" i="1"/>
  <c r="J913" i="1"/>
  <c r="J792" i="1"/>
  <c r="J776" i="1"/>
  <c r="J1706" i="1"/>
  <c r="J892" i="1"/>
  <c r="J891" i="1"/>
  <c r="J1142" i="1"/>
  <c r="J1128" i="1"/>
  <c r="J1112" i="1"/>
  <c r="J1096" i="1"/>
  <c r="J1080" i="1"/>
  <c r="J1064" i="1"/>
  <c r="J886" i="1"/>
  <c r="J941" i="1"/>
  <c r="J864" i="1"/>
  <c r="J1697" i="1"/>
  <c r="J1681" i="1"/>
  <c r="J1667" i="1"/>
  <c r="J838" i="1"/>
  <c r="J917" i="1"/>
  <c r="J1187" i="1"/>
  <c r="J1226" i="1"/>
  <c r="J1204" i="1"/>
  <c r="J1286" i="1"/>
  <c r="J709" i="1"/>
  <c r="J647" i="1"/>
  <c r="J564" i="1"/>
  <c r="J471" i="1"/>
  <c r="J390" i="1"/>
  <c r="J1554" i="1"/>
  <c r="J1461" i="1"/>
  <c r="J754" i="1"/>
  <c r="J940" i="1"/>
  <c r="J251" i="1"/>
  <c r="J170" i="1"/>
  <c r="J88" i="1"/>
  <c r="J920" i="1"/>
  <c r="J12" i="1"/>
  <c r="J28" i="1"/>
  <c r="J44" i="1"/>
  <c r="J60" i="1"/>
  <c r="J76" i="1"/>
  <c r="J92" i="1"/>
  <c r="J108" i="1"/>
  <c r="J124" i="1"/>
  <c r="J140" i="1"/>
  <c r="J156" i="1"/>
  <c r="J172" i="1"/>
  <c r="J188" i="1"/>
  <c r="J204" i="1"/>
  <c r="J220" i="1"/>
  <c r="J236" i="1"/>
  <c r="J252" i="1"/>
  <c r="J268" i="1"/>
  <c r="J284" i="1"/>
  <c r="J300" i="1"/>
  <c r="J316" i="1"/>
  <c r="J332" i="1"/>
  <c r="J948" i="1"/>
  <c r="J967" i="1"/>
  <c r="J345" i="1"/>
  <c r="J361" i="1"/>
  <c r="J377" i="1"/>
  <c r="J756" i="1"/>
  <c r="J1624" i="1"/>
  <c r="J1414" i="1"/>
  <c r="J1430" i="1"/>
  <c r="J1446" i="1"/>
  <c r="J1462" i="1"/>
  <c r="J1478" i="1"/>
  <c r="J1494" i="1"/>
  <c r="J1510" i="1"/>
  <c r="J1526" i="1"/>
  <c r="J1542" i="1"/>
  <c r="J1558" i="1"/>
  <c r="J1574" i="1"/>
  <c r="J1590" i="1"/>
  <c r="J1606" i="1"/>
  <c r="J389" i="1"/>
  <c r="J392" i="1"/>
  <c r="J408" i="1"/>
  <c r="J424" i="1"/>
  <c r="J440" i="1"/>
  <c r="J456" i="1"/>
  <c r="J472" i="1"/>
  <c r="J488" i="1"/>
  <c r="J504" i="1"/>
  <c r="J520" i="1"/>
  <c r="J536" i="1"/>
  <c r="J552" i="1"/>
  <c r="J568" i="1"/>
  <c r="J584" i="1"/>
  <c r="J601" i="1"/>
  <c r="J617" i="1"/>
  <c r="J633" i="1"/>
  <c r="J1027" i="1"/>
  <c r="J665" i="1"/>
  <c r="J1044" i="1"/>
  <c r="J678" i="1"/>
  <c r="J694" i="1"/>
  <c r="J710" i="1"/>
  <c r="J726" i="1"/>
  <c r="J742" i="1"/>
  <c r="J1232" i="1"/>
  <c r="J1393" i="1"/>
  <c r="J1248" i="1"/>
  <c r="J1180" i="1"/>
  <c r="J1181" i="1"/>
  <c r="J1353" i="1"/>
  <c r="J1361" i="1"/>
  <c r="J1165" i="1"/>
  <c r="J1395" i="1"/>
  <c r="J1240" i="1"/>
  <c r="J1227" i="1"/>
  <c r="J1354" i="1"/>
  <c r="J1319" i="1"/>
  <c r="J1268" i="1"/>
  <c r="J1291" i="1"/>
  <c r="J1635" i="1"/>
  <c r="J1651" i="1"/>
  <c r="J826" i="1"/>
  <c r="J921" i="1"/>
  <c r="J13" i="1"/>
  <c r="J29" i="1"/>
  <c r="J45" i="1"/>
  <c r="J61" i="1"/>
  <c r="J77" i="1"/>
  <c r="J93" i="1"/>
  <c r="J109" i="1"/>
  <c r="J125" i="1"/>
  <c r="J141" i="1"/>
  <c r="J157" i="1"/>
  <c r="J173" i="1"/>
  <c r="J189" i="1"/>
  <c r="J205" i="1"/>
  <c r="J221" i="1"/>
  <c r="J237" i="1"/>
  <c r="J253" i="1"/>
  <c r="J269" i="1"/>
  <c r="J285" i="1"/>
  <c r="J301" i="1"/>
  <c r="J317" i="1"/>
  <c r="J333" i="1"/>
  <c r="J949" i="1"/>
  <c r="J968" i="1"/>
  <c r="J346" i="1"/>
  <c r="J362" i="1"/>
  <c r="J378" i="1"/>
  <c r="J757" i="1"/>
  <c r="J881" i="1"/>
  <c r="J1415" i="1"/>
  <c r="J1431" i="1"/>
  <c r="J1447" i="1"/>
  <c r="J1463" i="1"/>
  <c r="J1479" i="1"/>
  <c r="J1495" i="1"/>
  <c r="J1511" i="1"/>
  <c r="J1527" i="1"/>
  <c r="J1543" i="1"/>
  <c r="J1559" i="1"/>
  <c r="J1575" i="1"/>
  <c r="J1591" i="1"/>
  <c r="J1607" i="1"/>
  <c r="J1011" i="1"/>
  <c r="J393" i="1"/>
  <c r="J409" i="1"/>
  <c r="J425" i="1"/>
  <c r="J441" i="1"/>
  <c r="J457" i="1"/>
  <c r="J473" i="1"/>
  <c r="J489" i="1"/>
  <c r="J505" i="1"/>
  <c r="J521" i="1"/>
  <c r="J537" i="1"/>
  <c r="J553" i="1"/>
  <c r="J569" i="1"/>
  <c r="J585" i="1"/>
  <c r="J602" i="1"/>
  <c r="J618" i="1"/>
  <c r="J634" i="1"/>
  <c r="J649" i="1"/>
  <c r="J666" i="1"/>
  <c r="J1045" i="1"/>
  <c r="J679" i="1"/>
  <c r="J695" i="1"/>
  <c r="J711" i="1"/>
  <c r="J727" i="1"/>
  <c r="J743" i="1"/>
  <c r="J1321" i="1"/>
  <c r="J922" i="1"/>
  <c r="J14" i="1"/>
  <c r="J30" i="1"/>
  <c r="J46" i="1"/>
  <c r="J62" i="1"/>
  <c r="J78" i="1"/>
  <c r="J94" i="1"/>
  <c r="J110" i="1"/>
  <c r="J126" i="1"/>
  <c r="J142" i="1"/>
  <c r="J158" i="1"/>
  <c r="J174" i="1"/>
  <c r="J190" i="1"/>
  <c r="J206" i="1"/>
  <c r="J222" i="1"/>
  <c r="J238" i="1"/>
  <c r="J254" i="1"/>
  <c r="J270" i="1"/>
  <c r="J286" i="1"/>
  <c r="J302" i="1"/>
  <c r="J318" i="1"/>
  <c r="J334" i="1"/>
  <c r="J951" i="1"/>
  <c r="J969" i="1"/>
  <c r="J347" i="1"/>
  <c r="J363" i="1"/>
  <c r="J379" i="1"/>
  <c r="J758" i="1"/>
  <c r="J991" i="1"/>
  <c r="J1416" i="1"/>
  <c r="J1432" i="1"/>
  <c r="J1448" i="1"/>
  <c r="J1464" i="1"/>
  <c r="J1480" i="1"/>
  <c r="J1496" i="1"/>
  <c r="J1512" i="1"/>
  <c r="J1528" i="1"/>
  <c r="J1544" i="1"/>
  <c r="J1560" i="1"/>
  <c r="J1576" i="1"/>
  <c r="J1592" i="1"/>
  <c r="J1608" i="1"/>
  <c r="J1012" i="1"/>
  <c r="J394" i="1"/>
  <c r="J410" i="1"/>
  <c r="J426" i="1"/>
  <c r="J442" i="1"/>
  <c r="J458" i="1"/>
  <c r="J474" i="1"/>
  <c r="J490" i="1"/>
  <c r="J506" i="1"/>
  <c r="J522" i="1"/>
  <c r="J538" i="1"/>
  <c r="J554" i="1"/>
  <c r="J570" i="1"/>
  <c r="J586" i="1"/>
  <c r="J603" i="1"/>
  <c r="J619" i="1"/>
  <c r="J635" i="1"/>
  <c r="J650" i="1"/>
  <c r="J1028" i="1"/>
  <c r="J1046" i="1"/>
  <c r="J680" i="1"/>
  <c r="J696" i="1"/>
  <c r="J712" i="1"/>
  <c r="J728" i="1"/>
  <c r="J744" i="1"/>
  <c r="J1173" i="1"/>
  <c r="J1307" i="1"/>
  <c r="J1327" i="1"/>
  <c r="J1378" i="1"/>
  <c r="J1399" i="1"/>
  <c r="J1229" i="1"/>
  <c r="J1341" i="1"/>
  <c r="J1292" i="1"/>
  <c r="J1316" i="1"/>
  <c r="J1194" i="1"/>
  <c r="J1247" i="1"/>
  <c r="J1201" i="1"/>
  <c r="J1186" i="1"/>
  <c r="J1272" i="1"/>
  <c r="J937" i="1"/>
  <c r="J1637" i="1"/>
  <c r="J1653" i="1"/>
  <c r="J828" i="1"/>
  <c r="J924" i="1"/>
  <c r="J15" i="1"/>
  <c r="J31" i="1"/>
  <c r="J47" i="1"/>
  <c r="J63" i="1"/>
  <c r="J79" i="1"/>
  <c r="J95" i="1"/>
  <c r="J111" i="1"/>
  <c r="J127" i="1"/>
  <c r="J143" i="1"/>
  <c r="J159" i="1"/>
  <c r="J175" i="1"/>
  <c r="J191" i="1"/>
  <c r="J207" i="1"/>
  <c r="J223" i="1"/>
  <c r="J239" i="1"/>
  <c r="J255" i="1"/>
  <c r="J271" i="1"/>
  <c r="J287" i="1"/>
  <c r="J303" i="1"/>
  <c r="J319" i="1"/>
  <c r="J335" i="1"/>
  <c r="J952" i="1"/>
  <c r="J970" i="1"/>
  <c r="J348" i="1"/>
  <c r="J364" i="1"/>
  <c r="J380" i="1"/>
  <c r="J759" i="1"/>
  <c r="J1625" i="1"/>
  <c r="J1417" i="1"/>
  <c r="J1433" i="1"/>
  <c r="J1449" i="1"/>
  <c r="J1465" i="1"/>
  <c r="J1481" i="1"/>
  <c r="J1497" i="1"/>
  <c r="J1513" i="1"/>
  <c r="J1529" i="1"/>
  <c r="J1545" i="1"/>
  <c r="J1561" i="1"/>
  <c r="J1577" i="1"/>
  <c r="J1593" i="1"/>
  <c r="J1609" i="1"/>
  <c r="J1013" i="1"/>
  <c r="J395" i="1"/>
  <c r="J411" i="1"/>
  <c r="J427" i="1"/>
  <c r="J443" i="1"/>
  <c r="J459" i="1"/>
  <c r="J475" i="1"/>
  <c r="J491" i="1"/>
  <c r="J507" i="1"/>
  <c r="J523" i="1"/>
  <c r="J539" i="1"/>
  <c r="J555" i="1"/>
  <c r="J571" i="1"/>
  <c r="J587" i="1"/>
  <c r="J604" i="1"/>
  <c r="J620" i="1"/>
  <c r="J636" i="1"/>
  <c r="J651" i="1"/>
  <c r="J1029" i="1"/>
  <c r="J1047" i="1"/>
  <c r="J681" i="1"/>
  <c r="J697" i="1"/>
  <c r="J713" i="1"/>
  <c r="J729" i="1"/>
  <c r="J745" i="1"/>
  <c r="J1297" i="1"/>
  <c r="J1386" i="1"/>
  <c r="J1332" i="1"/>
  <c r="J1367" i="1"/>
  <c r="J1288" i="1"/>
  <c r="J1365" i="1"/>
  <c r="J1345" i="1"/>
  <c r="J1294" i="1"/>
  <c r="J1339" i="1"/>
  <c r="J1210" i="1"/>
  <c r="J1265" i="1"/>
  <c r="J1296" i="1"/>
  <c r="J1280" i="1"/>
  <c r="J1333" i="1"/>
  <c r="J1302" i="1"/>
  <c r="J1638" i="1"/>
  <c r="J1654" i="1"/>
  <c r="J829" i="1"/>
  <c r="J925" i="1"/>
  <c r="J16" i="1"/>
  <c r="J32" i="1"/>
  <c r="J48" i="1"/>
  <c r="J64" i="1"/>
  <c r="J80" i="1"/>
  <c r="J96" i="1"/>
  <c r="J112" i="1"/>
  <c r="J128" i="1"/>
  <c r="J144" i="1"/>
  <c r="J160" i="1"/>
  <c r="J176" i="1"/>
  <c r="J192" i="1"/>
  <c r="J208" i="1"/>
  <c r="J224" i="1"/>
  <c r="J240" i="1"/>
  <c r="J256" i="1"/>
  <c r="J272" i="1"/>
  <c r="J288" i="1"/>
  <c r="J304" i="1"/>
  <c r="J320" i="1"/>
  <c r="J336" i="1"/>
  <c r="J953" i="1"/>
  <c r="J971" i="1"/>
  <c r="J349" i="1"/>
  <c r="J365" i="1"/>
  <c r="J381" i="1"/>
  <c r="J760" i="1"/>
  <c r="J1626" i="1"/>
  <c r="J1418" i="1"/>
  <c r="J1434" i="1"/>
  <c r="J1450" i="1"/>
  <c r="J1466" i="1"/>
  <c r="J1482" i="1"/>
  <c r="J1498" i="1"/>
  <c r="J1514" i="1"/>
  <c r="J1530" i="1"/>
  <c r="J1546" i="1"/>
  <c r="J1562" i="1"/>
  <c r="J1578" i="1"/>
  <c r="J1594" i="1"/>
  <c r="J1610" i="1"/>
  <c r="J1014" i="1"/>
  <c r="J396" i="1"/>
  <c r="J412" i="1"/>
  <c r="J428" i="1"/>
  <c r="J444" i="1"/>
  <c r="J460" i="1"/>
  <c r="J476" i="1"/>
  <c r="J492" i="1"/>
  <c r="J508" i="1"/>
  <c r="J524" i="1"/>
  <c r="J540" i="1"/>
  <c r="J556" i="1"/>
  <c r="J572" i="1"/>
  <c r="J588" i="1"/>
  <c r="J605" i="1"/>
  <c r="J621" i="1"/>
  <c r="J637" i="1"/>
  <c r="J652" i="1"/>
  <c r="J1030" i="1"/>
  <c r="J1048" i="1"/>
  <c r="J682" i="1"/>
  <c r="J698" i="1"/>
  <c r="J714" i="1"/>
  <c r="J730" i="1"/>
  <c r="J746" i="1"/>
  <c r="J1379" i="1"/>
  <c r="J1209" i="1"/>
  <c r="J1256" i="1"/>
  <c r="J1199" i="1"/>
  <c r="J1260" i="1"/>
  <c r="J1276" i="1"/>
  <c r="J1166" i="1"/>
  <c r="J1360" i="1"/>
  <c r="J1298" i="1"/>
  <c r="J1324" i="1"/>
  <c r="J1363" i="1"/>
  <c r="J1217" i="1"/>
  <c r="J1312" i="1"/>
  <c r="J1182" i="1"/>
  <c r="J1266" i="1"/>
  <c r="J1639" i="1"/>
  <c r="J1655" i="1"/>
  <c r="J830" i="1"/>
  <c r="J926" i="1"/>
  <c r="J17" i="1"/>
  <c r="J33" i="1"/>
  <c r="J49" i="1"/>
  <c r="J65" i="1"/>
  <c r="J81" i="1"/>
  <c r="J97" i="1"/>
  <c r="J113" i="1"/>
  <c r="J129" i="1"/>
  <c r="J145" i="1"/>
  <c r="J161" i="1"/>
  <c r="J177" i="1"/>
  <c r="J193" i="1"/>
  <c r="J209" i="1"/>
  <c r="J225" i="1"/>
  <c r="J241" i="1"/>
  <c r="J257" i="1"/>
  <c r="J273" i="1"/>
  <c r="J289" i="1"/>
  <c r="J305" i="1"/>
  <c r="J321" i="1"/>
  <c r="J337" i="1"/>
  <c r="J954" i="1"/>
  <c r="J972" i="1"/>
  <c r="J350" i="1"/>
  <c r="J366" i="1"/>
  <c r="J382" i="1"/>
  <c r="J761" i="1"/>
  <c r="J1627" i="1"/>
  <c r="J1419" i="1"/>
  <c r="J1435" i="1"/>
  <c r="J1451" i="1"/>
  <c r="J1467" i="1"/>
  <c r="J1483" i="1"/>
  <c r="J1499" i="1"/>
  <c r="J1515" i="1"/>
  <c r="J1531" i="1"/>
  <c r="J1547" i="1"/>
  <c r="J1563" i="1"/>
  <c r="J1579" i="1"/>
  <c r="J1595" i="1"/>
  <c r="J1611" i="1"/>
  <c r="J1015" i="1"/>
  <c r="J397" i="1"/>
  <c r="J413" i="1"/>
  <c r="J429" i="1"/>
  <c r="J445" i="1"/>
  <c r="J461" i="1"/>
  <c r="J477" i="1"/>
  <c r="J493" i="1"/>
  <c r="J509" i="1"/>
  <c r="J525" i="1"/>
  <c r="J541" i="1"/>
  <c r="J557" i="1"/>
  <c r="J573" i="1"/>
  <c r="J589" i="1"/>
  <c r="J606" i="1"/>
  <c r="J622" i="1"/>
  <c r="J638" i="1"/>
  <c r="J654" i="1"/>
  <c r="J1031" i="1"/>
  <c r="J667" i="1"/>
  <c r="J683" i="1"/>
  <c r="J699" i="1"/>
  <c r="J715" i="1"/>
  <c r="J731" i="1"/>
  <c r="J747" i="1"/>
  <c r="J1207" i="1"/>
  <c r="J1385" i="1"/>
  <c r="J1245" i="1"/>
  <c r="J1218" i="1"/>
  <c r="J1234" i="1"/>
  <c r="J1185" i="1"/>
  <c r="J1271" i="1"/>
  <c r="J1304" i="1"/>
  <c r="J1205" i="1"/>
  <c r="J1374" i="1"/>
  <c r="J1254" i="1"/>
  <c r="J1200" i="1"/>
  <c r="J1198" i="1"/>
  <c r="J1259" i="1"/>
  <c r="J1056" i="1"/>
  <c r="J1640" i="1"/>
  <c r="J1656" i="1"/>
  <c r="J831" i="1"/>
  <c r="J927" i="1"/>
  <c r="J18" i="1"/>
  <c r="J34" i="1"/>
  <c r="J50" i="1"/>
  <c r="J66" i="1"/>
  <c r="J82" i="1"/>
  <c r="J98" i="1"/>
  <c r="J114" i="1"/>
  <c r="J130" i="1"/>
  <c r="J146" i="1"/>
  <c r="J162" i="1"/>
  <c r="J178" i="1"/>
  <c r="J194" i="1"/>
  <c r="J210" i="1"/>
  <c r="J226" i="1"/>
  <c r="J242" i="1"/>
  <c r="J258" i="1"/>
  <c r="J274" i="1"/>
  <c r="J290" i="1"/>
  <c r="J306" i="1"/>
  <c r="J322" i="1"/>
  <c r="J338" i="1"/>
  <c r="J955" i="1"/>
  <c r="J973" i="1"/>
  <c r="J351" i="1"/>
  <c r="J367" i="1"/>
  <c r="J383" i="1"/>
  <c r="J762" i="1"/>
  <c r="J1628" i="1"/>
  <c r="J1420" i="1"/>
  <c r="J1436" i="1"/>
  <c r="J1452" i="1"/>
  <c r="J1468" i="1"/>
  <c r="J1484" i="1"/>
  <c r="J1500" i="1"/>
  <c r="J1516" i="1"/>
  <c r="J1532" i="1"/>
  <c r="J1548" i="1"/>
  <c r="J1564" i="1"/>
  <c r="J1580" i="1"/>
  <c r="J1596" i="1"/>
  <c r="J1612" i="1"/>
  <c r="J1016" i="1"/>
  <c r="J398" i="1"/>
  <c r="J414" i="1"/>
  <c r="J430" i="1"/>
  <c r="J446" i="1"/>
  <c r="J462" i="1"/>
  <c r="J478" i="1"/>
  <c r="J494" i="1"/>
  <c r="J510" i="1"/>
  <c r="J526" i="1"/>
  <c r="J542" i="1"/>
  <c r="J558" i="1"/>
  <c r="J574" i="1"/>
  <c r="J590" i="1"/>
  <c r="J607" i="1"/>
  <c r="J623" i="1"/>
  <c r="J639" i="1"/>
  <c r="J655" i="1"/>
  <c r="J1032" i="1"/>
  <c r="J668" i="1"/>
  <c r="J684" i="1"/>
  <c r="J700" i="1"/>
  <c r="J716" i="1"/>
  <c r="J732" i="1"/>
  <c r="J748" i="1"/>
  <c r="J1398" i="1"/>
  <c r="J1183" i="1"/>
  <c r="J1382" i="1"/>
  <c r="J1206" i="1"/>
  <c r="J1163" i="1"/>
  <c r="J1326" i="1"/>
  <c r="J1325" i="1"/>
  <c r="J1174" i="1"/>
  <c r="J1314" i="1"/>
  <c r="J1274" i="1"/>
  <c r="J1275" i="1"/>
  <c r="J938" i="1"/>
  <c r="J1370" i="1"/>
  <c r="J1310" i="1"/>
  <c r="J936" i="1"/>
  <c r="J1641" i="1"/>
  <c r="J1657" i="1"/>
  <c r="J832" i="1"/>
  <c r="J3" i="1"/>
  <c r="J19" i="1"/>
  <c r="J35" i="1"/>
  <c r="J51" i="1"/>
  <c r="J67" i="1"/>
  <c r="J83" i="1"/>
  <c r="J99" i="1"/>
  <c r="J115" i="1"/>
  <c r="J131" i="1"/>
  <c r="J147" i="1"/>
  <c r="J163" i="1"/>
  <c r="J179" i="1"/>
  <c r="J195" i="1"/>
  <c r="J211" i="1"/>
  <c r="J227" i="1"/>
  <c r="J243" i="1"/>
  <c r="J259" i="1"/>
  <c r="J275" i="1"/>
  <c r="J291" i="1"/>
  <c r="J307" i="1"/>
  <c r="J323" i="1"/>
  <c r="J339" i="1"/>
  <c r="J957" i="1"/>
  <c r="J974" i="1"/>
  <c r="J352" i="1"/>
  <c r="J368" i="1"/>
  <c r="J384" i="1"/>
  <c r="J763" i="1"/>
  <c r="J1629" i="1"/>
  <c r="J1421" i="1"/>
  <c r="J1437" i="1"/>
  <c r="J1453" i="1"/>
  <c r="J1469" i="1"/>
  <c r="J1485" i="1"/>
  <c r="J1501" i="1"/>
  <c r="J1517" i="1"/>
  <c r="J1533" i="1"/>
  <c r="J1549" i="1"/>
  <c r="J1565" i="1"/>
  <c r="J1581" i="1"/>
  <c r="J1597" i="1"/>
  <c r="J1613" i="1"/>
  <c r="J1017" i="1"/>
  <c r="J399" i="1"/>
  <c r="J415" i="1"/>
  <c r="J431" i="1"/>
  <c r="J447" i="1"/>
  <c r="J463" i="1"/>
  <c r="J479" i="1"/>
  <c r="J495" i="1"/>
  <c r="J511" i="1"/>
  <c r="J527" i="1"/>
  <c r="J543" i="1"/>
  <c r="J559" i="1"/>
  <c r="J575" i="1"/>
  <c r="J592" i="1"/>
  <c r="J608" i="1"/>
  <c r="J624" i="1"/>
  <c r="J640" i="1"/>
  <c r="J656" i="1"/>
  <c r="J1034" i="1"/>
  <c r="J669" i="1"/>
  <c r="J685" i="1"/>
  <c r="J701" i="1"/>
  <c r="J717" i="1"/>
  <c r="J733" i="1"/>
  <c r="J1051" i="1"/>
  <c r="J1244" i="1"/>
  <c r="J1269" i="1"/>
  <c r="J1317" i="1"/>
  <c r="J1170" i="1"/>
  <c r="J1184" i="1"/>
  <c r="J1188" i="1"/>
  <c r="J1222" i="1"/>
  <c r="J1372" i="1"/>
  <c r="J1262" i="1"/>
  <c r="J1277" i="1"/>
  <c r="J1293" i="1"/>
  <c r="J1342" i="1"/>
  <c r="J1380" i="1"/>
  <c r="J1169" i="1"/>
  <c r="J914" i="1"/>
  <c r="J1642" i="1"/>
  <c r="J1658" i="1"/>
  <c r="J833" i="1"/>
  <c r="J4" i="1"/>
  <c r="J20" i="1"/>
  <c r="J36" i="1"/>
  <c r="J52" i="1"/>
  <c r="J68" i="1"/>
  <c r="J84" i="1"/>
  <c r="J100" i="1"/>
  <c r="J116" i="1"/>
  <c r="J132" i="1"/>
  <c r="J148" i="1"/>
  <c r="J164" i="1"/>
  <c r="J180" i="1"/>
  <c r="J196" i="1"/>
  <c r="J212" i="1"/>
  <c r="J228" i="1"/>
  <c r="J244" i="1"/>
  <c r="J260" i="1"/>
  <c r="J276" i="1"/>
  <c r="J292" i="1"/>
  <c r="J308" i="1"/>
  <c r="J324" i="1"/>
  <c r="J340" i="1"/>
  <c r="J959" i="1"/>
  <c r="J975" i="1"/>
  <c r="J353" i="1"/>
  <c r="J369" i="1"/>
  <c r="J385" i="1"/>
  <c r="J764" i="1"/>
  <c r="J1630" i="1"/>
  <c r="J1422" i="1"/>
  <c r="J1438" i="1"/>
  <c r="J1454" i="1"/>
  <c r="J1470" i="1"/>
  <c r="J1486" i="1"/>
  <c r="J1502" i="1"/>
  <c r="J1518" i="1"/>
  <c r="J1534" i="1"/>
  <c r="J1550" i="1"/>
  <c r="J1566" i="1"/>
  <c r="J1582" i="1"/>
  <c r="J1598" i="1"/>
  <c r="J1614" i="1"/>
  <c r="J1018" i="1"/>
  <c r="J400" i="1"/>
  <c r="J416" i="1"/>
  <c r="J432" i="1"/>
  <c r="J448" i="1"/>
  <c r="J464" i="1"/>
  <c r="J480" i="1"/>
  <c r="J496" i="1"/>
  <c r="J512" i="1"/>
  <c r="J528" i="1"/>
  <c r="J544" i="1"/>
  <c r="J560" i="1"/>
  <c r="J576" i="1"/>
  <c r="J593" i="1"/>
  <c r="J609" i="1"/>
  <c r="J625" i="1"/>
  <c r="J641" i="1"/>
  <c r="J657" i="1"/>
  <c r="J1035" i="1"/>
  <c r="J670" i="1"/>
  <c r="J686" i="1"/>
  <c r="J702" i="1"/>
  <c r="J718" i="1"/>
  <c r="J734" i="1"/>
  <c r="J1052" i="1"/>
  <c r="J1384" i="1"/>
  <c r="J1285" i="1"/>
  <c r="J1331" i="1"/>
  <c r="J1192" i="1"/>
  <c r="J1329" i="1"/>
  <c r="J1278" i="1"/>
  <c r="J1375" i="1"/>
  <c r="J1238" i="1"/>
  <c r="J1362" i="1"/>
  <c r="J1273" i="1"/>
  <c r="J1171" i="1"/>
  <c r="J1213" i="1"/>
  <c r="J1230" i="1"/>
  <c r="J1214" i="1"/>
  <c r="J915" i="1"/>
  <c r="J1643" i="1"/>
  <c r="J1659" i="1"/>
  <c r="J834" i="1"/>
  <c r="J5" i="1"/>
  <c r="J21" i="1"/>
  <c r="J37" i="1"/>
  <c r="J53" i="1"/>
  <c r="J69" i="1"/>
  <c r="J85" i="1"/>
  <c r="J101" i="1"/>
  <c r="J117" i="1"/>
  <c r="J133" i="1"/>
  <c r="J149" i="1"/>
  <c r="J165" i="1"/>
  <c r="J181" i="1"/>
  <c r="J197" i="1"/>
  <c r="J213" i="1"/>
  <c r="J229" i="1"/>
  <c r="J245" i="1"/>
  <c r="J261" i="1"/>
  <c r="J277" i="1"/>
  <c r="J293" i="1"/>
  <c r="J309" i="1"/>
  <c r="J325" i="1"/>
  <c r="J341" i="1"/>
  <c r="J960" i="1"/>
  <c r="J976" i="1"/>
  <c r="J354" i="1"/>
  <c r="J370" i="1"/>
  <c r="J749" i="1"/>
  <c r="J765" i="1"/>
  <c r="J1631" i="1"/>
  <c r="J1423" i="1"/>
  <c r="J1439" i="1"/>
  <c r="J1455" i="1"/>
  <c r="J1471" i="1"/>
  <c r="J1487" i="1"/>
  <c r="J1503" i="1"/>
  <c r="J1519" i="1"/>
  <c r="J1535" i="1"/>
  <c r="J1551" i="1"/>
  <c r="J1567" i="1"/>
  <c r="J1583" i="1"/>
  <c r="J1599" i="1"/>
  <c r="J1615" i="1"/>
  <c r="J1019" i="1"/>
  <c r="J401" i="1"/>
  <c r="J417" i="1"/>
  <c r="J433" i="1"/>
  <c r="J449" i="1"/>
  <c r="J465" i="1"/>
  <c r="J481" i="1"/>
  <c r="J497" i="1"/>
  <c r="J513" i="1"/>
  <c r="J529" i="1"/>
  <c r="J545" i="1"/>
  <c r="J561" i="1"/>
  <c r="J577" i="1"/>
  <c r="J594" i="1"/>
  <c r="J610" i="1"/>
  <c r="J626" i="1"/>
  <c r="J642" i="1"/>
  <c r="J658" i="1"/>
  <c r="J1036" i="1"/>
  <c r="J671" i="1"/>
  <c r="J687" i="1"/>
  <c r="J703" i="1"/>
  <c r="J719" i="1"/>
  <c r="J735" i="1"/>
  <c r="J1053" i="1"/>
  <c r="J1383" i="1"/>
  <c r="J1390" i="1"/>
  <c r="J1343" i="1"/>
  <c r="J1190" i="1"/>
  <c r="J1162" i="1"/>
  <c r="J1340" i="1"/>
  <c r="J1167" i="1"/>
  <c r="J1221" i="1"/>
  <c r="J929" i="1"/>
  <c r="J1369" i="1"/>
  <c r="J1249" i="1"/>
  <c r="J1364" i="1"/>
  <c r="J1164" i="1"/>
  <c r="J933" i="1"/>
  <c r="J916" i="1"/>
  <c r="J1644" i="1"/>
  <c r="J1660" i="1"/>
  <c r="J835" i="1"/>
  <c r="J6" i="1"/>
  <c r="J22" i="1"/>
  <c r="J38" i="1"/>
  <c r="J54" i="1"/>
  <c r="J70" i="1"/>
  <c r="J86" i="1"/>
  <c r="J102" i="1"/>
  <c r="J118" i="1"/>
  <c r="J134" i="1"/>
  <c r="J150" i="1"/>
  <c r="J166" i="1"/>
  <c r="J182" i="1"/>
  <c r="J198" i="1"/>
  <c r="J214" i="1"/>
  <c r="J230" i="1"/>
  <c r="J246" i="1"/>
  <c r="J262" i="1"/>
  <c r="J278" i="1"/>
  <c r="J294" i="1"/>
  <c r="J310" i="1"/>
  <c r="J326" i="1"/>
  <c r="J342" i="1"/>
  <c r="J961" i="1"/>
  <c r="J977" i="1"/>
  <c r="J355" i="1"/>
  <c r="J371" i="1"/>
  <c r="J750" i="1"/>
  <c r="J1618" i="1"/>
  <c r="J1408" i="1"/>
  <c r="J1424" i="1"/>
  <c r="J1440" i="1"/>
  <c r="J1456" i="1"/>
  <c r="J1472" i="1"/>
  <c r="J1488" i="1"/>
  <c r="J1504" i="1"/>
  <c r="J1520" i="1"/>
  <c r="J1536" i="1"/>
  <c r="J1552" i="1"/>
  <c r="J1568" i="1"/>
  <c r="J1584" i="1"/>
  <c r="J1600" i="1"/>
  <c r="J1616" i="1"/>
  <c r="J1020" i="1"/>
  <c r="J402" i="1"/>
  <c r="J418" i="1"/>
  <c r="J434" i="1"/>
  <c r="J450" i="1"/>
  <c r="J466" i="1"/>
  <c r="J482" i="1"/>
  <c r="J498" i="1"/>
  <c r="J514" i="1"/>
  <c r="J530" i="1"/>
  <c r="J546" i="1"/>
  <c r="J562" i="1"/>
  <c r="J578" i="1"/>
  <c r="J595" i="1"/>
  <c r="J611" i="1"/>
  <c r="J627" i="1"/>
  <c r="J643" i="1"/>
  <c r="J659" i="1"/>
  <c r="J1037" i="1"/>
  <c r="J672" i="1"/>
  <c r="J688" i="1"/>
  <c r="J704" i="1"/>
  <c r="J720" i="1"/>
  <c r="J736" i="1"/>
  <c r="J1054" i="1"/>
  <c r="J7" i="1"/>
  <c r="J23" i="1"/>
  <c r="J39" i="1"/>
  <c r="J55" i="1"/>
  <c r="J71" i="1"/>
  <c r="J87" i="1"/>
  <c r="J103" i="1"/>
  <c r="J119" i="1"/>
  <c r="J135" i="1"/>
  <c r="J151" i="1"/>
  <c r="J167" i="1"/>
  <c r="J183" i="1"/>
  <c r="J199" i="1"/>
  <c r="J215" i="1"/>
  <c r="J231" i="1"/>
  <c r="J247" i="1"/>
  <c r="J263" i="1"/>
  <c r="J279" i="1"/>
  <c r="J295" i="1"/>
  <c r="J311" i="1"/>
  <c r="J327" i="1"/>
  <c r="J343" i="1"/>
  <c r="J962" i="1"/>
  <c r="J982" i="1"/>
  <c r="J356" i="1"/>
  <c r="J372" i="1"/>
  <c r="J751" i="1"/>
  <c r="J1619" i="1"/>
  <c r="J1409" i="1"/>
  <c r="J1425" i="1"/>
  <c r="J1441" i="1"/>
  <c r="J1457" i="1"/>
  <c r="J1473" i="1"/>
  <c r="J1489" i="1"/>
  <c r="J1505" i="1"/>
  <c r="J1521" i="1"/>
  <c r="J1537" i="1"/>
  <c r="J1553" i="1"/>
  <c r="J1569" i="1"/>
  <c r="J1585" i="1"/>
  <c r="J1601" i="1"/>
  <c r="J1617" i="1"/>
  <c r="J1021" i="1"/>
  <c r="J403" i="1"/>
  <c r="J419" i="1"/>
  <c r="J435" i="1"/>
  <c r="J451" i="1"/>
  <c r="J467" i="1"/>
  <c r="J483" i="1"/>
  <c r="J499" i="1"/>
  <c r="J515" i="1"/>
  <c r="J531" i="1"/>
  <c r="J547" i="1"/>
  <c r="J563" i="1"/>
  <c r="J579" i="1"/>
  <c r="J596" i="1"/>
  <c r="J612" i="1"/>
  <c r="J628" i="1"/>
  <c r="J644" i="1"/>
  <c r="J660" i="1"/>
  <c r="J1038" i="1"/>
  <c r="J673" i="1"/>
  <c r="J689" i="1"/>
  <c r="J705" i="1"/>
  <c r="J721" i="1"/>
  <c r="J737" i="1"/>
  <c r="J1348" i="1"/>
  <c r="J1402" i="1"/>
  <c r="J1255" i="1"/>
  <c r="J1381" i="1"/>
  <c r="J1283" i="1"/>
  <c r="J1303" i="1"/>
  <c r="J1349" i="1"/>
  <c r="J1220" i="1"/>
  <c r="J1368" i="1"/>
  <c r="J1322" i="1"/>
  <c r="J1235" i="1"/>
  <c r="J1330" i="1"/>
  <c r="J1203" i="1"/>
  <c r="J1358" i="1"/>
  <c r="J1301" i="1"/>
  <c r="J918" i="1"/>
  <c r="J1646" i="1"/>
  <c r="J931" i="1"/>
  <c r="J837" i="1"/>
  <c r="J9" i="1"/>
  <c r="J25" i="1"/>
  <c r="J41" i="1"/>
  <c r="J57" i="1"/>
  <c r="J73" i="1"/>
  <c r="J89" i="1"/>
  <c r="J105" i="1"/>
  <c r="J121" i="1"/>
  <c r="J137" i="1"/>
  <c r="J153" i="1"/>
  <c r="J169" i="1"/>
  <c r="J185" i="1"/>
  <c r="J201" i="1"/>
  <c r="J217" i="1"/>
  <c r="J233" i="1"/>
  <c r="J249" i="1"/>
  <c r="J265" i="1"/>
  <c r="J281" i="1"/>
  <c r="J297" i="1"/>
  <c r="J313" i="1"/>
  <c r="J329" i="1"/>
  <c r="J944" i="1"/>
  <c r="J964" i="1"/>
  <c r="J984" i="1"/>
  <c r="J358" i="1"/>
  <c r="J374" i="1"/>
  <c r="J753" i="1"/>
  <c r="J1621" i="1"/>
  <c r="J1411" i="1"/>
  <c r="J1427" i="1"/>
  <c r="J1443" i="1"/>
  <c r="J1459" i="1"/>
  <c r="J1475" i="1"/>
  <c r="J1491" i="1"/>
  <c r="J1507" i="1"/>
  <c r="J1523" i="1"/>
  <c r="J1539" i="1"/>
  <c r="J1555" i="1"/>
  <c r="J1571" i="1"/>
  <c r="J1587" i="1"/>
  <c r="J1603" i="1"/>
  <c r="J386" i="1"/>
  <c r="J1023" i="1"/>
  <c r="J405" i="1"/>
  <c r="J421" i="1"/>
  <c r="J437" i="1"/>
  <c r="J453" i="1"/>
  <c r="J469" i="1"/>
  <c r="J485" i="1"/>
  <c r="J501" i="1"/>
  <c r="J517" i="1"/>
  <c r="J533" i="1"/>
  <c r="J549" i="1"/>
  <c r="J565" i="1"/>
  <c r="J581" i="1"/>
  <c r="J598" i="1"/>
  <c r="J614" i="1"/>
  <c r="J630" i="1"/>
  <c r="J646" i="1"/>
  <c r="J662" i="1"/>
  <c r="J1041" i="1"/>
  <c r="J675" i="1"/>
  <c r="J691" i="1"/>
  <c r="J707" i="1"/>
  <c r="J723" i="1"/>
  <c r="J739" i="1"/>
  <c r="J1391" i="1"/>
  <c r="J1401" i="1"/>
  <c r="J1346" i="1"/>
  <c r="J1246" i="1"/>
  <c r="J1228" i="1"/>
  <c r="J1336" i="1"/>
  <c r="J1355" i="1"/>
  <c r="J1287" i="1"/>
  <c r="J1396" i="1"/>
  <c r="J1215" i="1"/>
  <c r="J1373" i="1"/>
  <c r="J1309" i="1"/>
  <c r="J1267" i="1"/>
  <c r="J1233" i="1"/>
  <c r="J1290" i="1"/>
  <c r="J1632" i="1"/>
  <c r="J1648" i="1"/>
  <c r="J823" i="1"/>
  <c r="J839" i="1"/>
  <c r="J1403" i="1"/>
  <c r="J1033" i="1"/>
  <c r="J1730" i="1"/>
  <c r="J1160" i="1"/>
  <c r="J1715" i="1"/>
  <c r="J912" i="1"/>
  <c r="J791" i="1"/>
  <c r="J775" i="1"/>
  <c r="J1705" i="1"/>
  <c r="J766" i="1"/>
  <c r="J890" i="1"/>
  <c r="J1141" i="1"/>
  <c r="J1127" i="1"/>
  <c r="J1111" i="1"/>
  <c r="J1095" i="1"/>
  <c r="J1079" i="1"/>
  <c r="J1063" i="1"/>
  <c r="J885" i="1"/>
  <c r="J879" i="1"/>
  <c r="J863" i="1"/>
  <c r="J1696" i="1"/>
  <c r="J1680" i="1"/>
  <c r="J1666" i="1"/>
  <c r="J836" i="1"/>
  <c r="J939" i="1"/>
  <c r="J1193" i="1"/>
  <c r="J1313" i="1"/>
  <c r="J1231" i="1"/>
  <c r="J1389" i="1"/>
  <c r="J708" i="1"/>
  <c r="J645" i="1"/>
  <c r="J551" i="1"/>
  <c r="J470" i="1"/>
  <c r="J1022" i="1"/>
  <c r="J1541" i="1"/>
  <c r="J1460" i="1"/>
  <c r="J752" i="1"/>
  <c r="J331" i="1"/>
  <c r="J250" i="1"/>
  <c r="J168" i="1"/>
  <c r="J75" i="1"/>
  <c r="J1734" i="1"/>
  <c r="J653" i="1"/>
  <c r="J1025" i="1"/>
  <c r="J1727" i="1"/>
  <c r="J1156" i="1"/>
  <c r="J911" i="1"/>
  <c r="J790" i="1"/>
  <c r="J774" i="1"/>
  <c r="J1704" i="1"/>
  <c r="J1371" i="1"/>
  <c r="J1703" i="1"/>
  <c r="J1140" i="1"/>
  <c r="J1126" i="1"/>
  <c r="J1110" i="1"/>
  <c r="J1094" i="1"/>
  <c r="J1078" i="1"/>
  <c r="J1062" i="1"/>
  <c r="J884" i="1"/>
  <c r="J878" i="1"/>
  <c r="J862" i="1"/>
  <c r="J1695" i="1"/>
  <c r="J1679" i="1"/>
  <c r="J1665" i="1"/>
  <c r="J827" i="1"/>
  <c r="J1250" i="1"/>
  <c r="J1357" i="1"/>
  <c r="J1172" i="1"/>
  <c r="J1270" i="1"/>
  <c r="J1223" i="1"/>
  <c r="J706" i="1"/>
  <c r="J632" i="1"/>
  <c r="J550" i="1"/>
  <c r="J468" i="1"/>
  <c r="J388" i="1"/>
  <c r="J1540" i="1"/>
  <c r="J1458" i="1"/>
  <c r="J376" i="1"/>
  <c r="J330" i="1"/>
  <c r="J248" i="1"/>
  <c r="J155" i="1"/>
  <c r="J74" i="1"/>
  <c r="J1733" i="1"/>
  <c r="J1702" i="1"/>
  <c r="J861" i="1"/>
  <c r="J1347" i="1"/>
  <c r="J72" i="1"/>
  <c r="J822" i="1"/>
  <c r="J1731" i="1"/>
  <c r="J1010" i="1"/>
  <c r="J1159" i="1"/>
  <c r="J1714" i="1"/>
  <c r="J999" i="1"/>
  <c r="J788" i="1"/>
  <c r="J772" i="1"/>
  <c r="J996" i="1"/>
  <c r="J1328" i="1"/>
  <c r="J990" i="1"/>
  <c r="J1138" i="1"/>
  <c r="J1124" i="1"/>
  <c r="J1108" i="1"/>
  <c r="J1092" i="1"/>
  <c r="J1076" i="1"/>
  <c r="J1060" i="1"/>
  <c r="J882" i="1"/>
  <c r="J876" i="1"/>
  <c r="J860" i="1"/>
  <c r="J1693" i="1"/>
  <c r="J1677" i="1"/>
  <c r="J1663" i="1"/>
  <c r="J824" i="1"/>
  <c r="J1279" i="1"/>
  <c r="J1242" i="1"/>
  <c r="J1323" i="1"/>
  <c r="J1196" i="1"/>
  <c r="J1394" i="1"/>
  <c r="J692" i="1"/>
  <c r="J629" i="1"/>
  <c r="J535" i="1"/>
  <c r="J454" i="1"/>
  <c r="J997" i="1"/>
  <c r="J1525" i="1"/>
  <c r="J1444" i="1"/>
  <c r="J373" i="1"/>
  <c r="J315" i="1"/>
  <c r="J234" i="1"/>
  <c r="J152" i="1"/>
  <c r="J59" i="1"/>
  <c r="J773" i="1"/>
  <c r="J1093" i="1"/>
  <c r="J825" i="1"/>
  <c r="J693" i="1"/>
  <c r="J154" i="1"/>
  <c r="J821" i="1"/>
  <c r="J812" i="1"/>
  <c r="J907" i="1"/>
  <c r="J1725" i="1"/>
  <c r="J1154" i="1"/>
  <c r="J1712" i="1"/>
  <c r="J787" i="1"/>
  <c r="J771" i="1"/>
  <c r="J995" i="1"/>
  <c r="J1305" i="1"/>
  <c r="J989" i="1"/>
  <c r="J1137" i="1"/>
  <c r="J1123" i="1"/>
  <c r="J1107" i="1"/>
  <c r="J1091" i="1"/>
  <c r="J1075" i="1"/>
  <c r="J1059" i="1"/>
  <c r="J880" i="1"/>
  <c r="J875" i="1"/>
  <c r="J859" i="1"/>
  <c r="J1692" i="1"/>
  <c r="J1676" i="1"/>
  <c r="J1662" i="1"/>
  <c r="J932" i="1"/>
  <c r="J1177" i="1"/>
  <c r="J1212" i="1"/>
  <c r="J1350" i="1"/>
  <c r="J1376" i="1"/>
  <c r="J1178" i="1"/>
  <c r="J690" i="1"/>
  <c r="J616" i="1"/>
  <c r="J534" i="1"/>
  <c r="J452" i="1"/>
  <c r="J1605" i="1"/>
  <c r="J1524" i="1"/>
  <c r="J1442" i="1"/>
  <c r="J360" i="1"/>
  <c r="J314" i="1"/>
  <c r="J232" i="1"/>
  <c r="J139" i="1"/>
  <c r="J58" i="1"/>
  <c r="J820" i="1"/>
  <c r="J811" i="1"/>
  <c r="J906" i="1"/>
  <c r="J1724" i="1"/>
  <c r="J1713" i="1"/>
  <c r="J998" i="1"/>
  <c r="J786" i="1"/>
  <c r="J770" i="1"/>
  <c r="J994" i="1"/>
  <c r="J1300" i="1"/>
  <c r="J1152" i="1"/>
  <c r="J1136" i="1"/>
  <c r="J1122" i="1"/>
  <c r="J1106" i="1"/>
  <c r="J1090" i="1"/>
  <c r="J1074" i="1"/>
  <c r="J1058" i="1"/>
  <c r="J981" i="1"/>
  <c r="J874" i="1"/>
  <c r="J858" i="1"/>
  <c r="J1691" i="1"/>
  <c r="J1675" i="1"/>
  <c r="J1661" i="1"/>
  <c r="J930" i="1"/>
  <c r="J928" i="1"/>
  <c r="J1334" i="1"/>
  <c r="J1251" i="1"/>
  <c r="J1176" i="1"/>
  <c r="J1397" i="1"/>
  <c r="J677" i="1"/>
  <c r="J615" i="1"/>
  <c r="J532" i="1"/>
  <c r="J439" i="1"/>
  <c r="J1604" i="1"/>
  <c r="J1522" i="1"/>
  <c r="J1429" i="1"/>
  <c r="J359" i="1"/>
  <c r="J312" i="1"/>
  <c r="J219" i="1"/>
  <c r="J138" i="1"/>
  <c r="J56" i="1"/>
  <c r="J591" i="1"/>
  <c r="J1344" i="1"/>
  <c r="J1077" i="1"/>
  <c r="J1366" i="1"/>
  <c r="J375" i="1"/>
  <c r="J819" i="1"/>
  <c r="J1026" i="1"/>
  <c r="J905" i="1"/>
  <c r="J1723" i="1"/>
  <c r="J1008" i="1"/>
  <c r="J801" i="1"/>
  <c r="J785" i="1"/>
  <c r="J769" i="1"/>
  <c r="J993" i="1"/>
  <c r="J1299" i="1"/>
  <c r="J1151" i="1"/>
  <c r="J1135" i="1"/>
  <c r="J1121" i="1"/>
  <c r="J1105" i="1"/>
  <c r="J1089" i="1"/>
  <c r="J1073" i="1"/>
  <c r="J1057" i="1"/>
  <c r="J980" i="1"/>
  <c r="J873" i="1"/>
  <c r="J857" i="1"/>
  <c r="J1690" i="1"/>
  <c r="J1674" i="1"/>
  <c r="J848" i="1"/>
  <c r="J1652" i="1"/>
  <c r="J1284" i="1"/>
  <c r="J1257" i="1"/>
  <c r="J1211" i="1"/>
  <c r="J1281" i="1"/>
  <c r="J1387" i="1"/>
  <c r="J676" i="1"/>
  <c r="J613" i="1"/>
  <c r="J519" i="1"/>
  <c r="J438" i="1"/>
  <c r="J1602" i="1"/>
  <c r="J1509" i="1"/>
  <c r="J1428" i="1"/>
  <c r="J357" i="1"/>
  <c r="J299" i="1"/>
  <c r="J218" i="1"/>
  <c r="J136" i="1"/>
  <c r="J43" i="1"/>
  <c r="J1024" i="1"/>
  <c r="J1061" i="1"/>
  <c r="J235" i="1"/>
  <c r="J818" i="1"/>
  <c r="J810" i="1"/>
  <c r="J904" i="1"/>
  <c r="J1158" i="1"/>
  <c r="J1007" i="1"/>
  <c r="J800" i="1"/>
  <c r="J784" i="1"/>
  <c r="J1711" i="1"/>
  <c r="J1153" i="1"/>
  <c r="J1289" i="1"/>
  <c r="J1150" i="1"/>
  <c r="J1134" i="1"/>
  <c r="J1120" i="1"/>
  <c r="J1104" i="1"/>
  <c r="J1088" i="1"/>
  <c r="J1072" i="1"/>
  <c r="J986" i="1"/>
  <c r="J979" i="1"/>
  <c r="J872" i="1"/>
  <c r="J856" i="1"/>
  <c r="J1689" i="1"/>
  <c r="J1673" i="1"/>
  <c r="J847" i="1"/>
  <c r="J1650" i="1"/>
  <c r="J1263" i="1"/>
  <c r="J1258" i="1"/>
  <c r="J1377" i="1"/>
  <c r="J1318" i="1"/>
  <c r="J1388" i="1"/>
  <c r="J674" i="1"/>
  <c r="J600" i="1"/>
  <c r="J518" i="1"/>
  <c r="J436" i="1"/>
  <c r="J1589" i="1"/>
  <c r="J1508" i="1"/>
  <c r="J1426" i="1"/>
  <c r="J344" i="1"/>
  <c r="J298" i="1"/>
  <c r="J216" i="1"/>
  <c r="J123" i="1"/>
  <c r="J42" i="1"/>
  <c r="J910" i="1"/>
  <c r="J877" i="1"/>
  <c r="J1445" i="1"/>
  <c r="J919" i="1"/>
  <c r="J817" i="1"/>
  <c r="J809" i="1"/>
  <c r="J903" i="1"/>
  <c r="J1722" i="1"/>
  <c r="J1006" i="1"/>
  <c r="J799" i="1"/>
  <c r="J783" i="1"/>
  <c r="J1710" i="1"/>
  <c r="J899" i="1"/>
  <c r="J1282" i="1"/>
  <c r="J1149" i="1"/>
  <c r="J1133" i="1"/>
  <c r="J1119" i="1"/>
  <c r="J1103" i="1"/>
  <c r="J1087" i="1"/>
  <c r="J1071" i="1"/>
  <c r="J1701" i="1"/>
  <c r="J978" i="1"/>
  <c r="J871" i="1"/>
  <c r="J855" i="1"/>
  <c r="J1688" i="1"/>
  <c r="J1672" i="1"/>
  <c r="J846" i="1"/>
  <c r="J1649" i="1"/>
  <c r="J1335" i="1"/>
  <c r="J1241" i="1"/>
  <c r="J1168" i="1"/>
  <c r="J1356" i="1"/>
  <c r="J1392" i="1"/>
  <c r="J1043" i="1"/>
  <c r="J599" i="1"/>
  <c r="J516" i="1"/>
  <c r="J423" i="1"/>
  <c r="J1588" i="1"/>
  <c r="J1506" i="1"/>
  <c r="J1413" i="1"/>
  <c r="J985" i="1"/>
  <c r="J296" i="1"/>
  <c r="J203" i="1"/>
  <c r="J122" i="1"/>
  <c r="J40" i="1"/>
  <c r="J1726" i="1"/>
  <c r="J1139" i="1"/>
  <c r="J1678" i="1"/>
  <c r="J1216" i="1"/>
  <c r="J455" i="1"/>
  <c r="J1735" i="1"/>
  <c r="J816" i="1"/>
  <c r="J808" i="1"/>
  <c r="J902" i="1"/>
  <c r="J1157" i="1"/>
  <c r="J1005" i="1"/>
  <c r="J798" i="1"/>
  <c r="J782" i="1"/>
  <c r="J1709" i="1"/>
  <c r="J898" i="1"/>
  <c r="J1253" i="1"/>
  <c r="J1148" i="1"/>
  <c r="J1132" i="1"/>
  <c r="J1118" i="1"/>
  <c r="J1102" i="1"/>
  <c r="J1086" i="1"/>
  <c r="J1070" i="1"/>
  <c r="J1700" i="1"/>
  <c r="J958" i="1"/>
  <c r="J870" i="1"/>
  <c r="J854" i="1"/>
  <c r="J1687" i="1"/>
  <c r="J1671" i="1"/>
  <c r="J845" i="1"/>
  <c r="J1647" i="1"/>
  <c r="J1351" i="1"/>
  <c r="J1308" i="1"/>
  <c r="J1243" i="1"/>
  <c r="J1337" i="1"/>
  <c r="J741" i="1"/>
  <c r="J1042" i="1"/>
  <c r="J597" i="1"/>
  <c r="J503" i="1"/>
  <c r="J422" i="1"/>
  <c r="J1586" i="1"/>
  <c r="J1493" i="1"/>
  <c r="J1412" i="1"/>
  <c r="J983" i="1"/>
  <c r="J283" i="1"/>
  <c r="J202" i="1"/>
  <c r="J120" i="1"/>
  <c r="J27" i="1"/>
  <c r="J908" i="1"/>
  <c r="J1694" i="1"/>
  <c r="J548" i="1"/>
  <c r="J1055" i="1"/>
  <c r="J815" i="1"/>
  <c r="J807" i="1"/>
  <c r="J901" i="1"/>
  <c r="J1721" i="1"/>
  <c r="J1004" i="1"/>
  <c r="J797" i="1"/>
  <c r="J781" i="1"/>
  <c r="J768" i="1"/>
  <c r="J897" i="1"/>
  <c r="J1239" i="1"/>
  <c r="J1147" i="1"/>
  <c r="J988" i="1"/>
  <c r="J1117" i="1"/>
  <c r="J1101" i="1"/>
  <c r="J1085" i="1"/>
  <c r="J1069" i="1"/>
  <c r="J1699" i="1"/>
  <c r="J956" i="1"/>
  <c r="J869" i="1"/>
  <c r="J853" i="1"/>
  <c r="J1686" i="1"/>
  <c r="J1670" i="1"/>
  <c r="J844" i="1"/>
  <c r="J1645" i="1"/>
  <c r="J1359" i="1"/>
  <c r="J1315" i="1"/>
  <c r="J1306" i="1"/>
  <c r="J1225" i="1"/>
  <c r="J740" i="1"/>
  <c r="J1040" i="1"/>
  <c r="J583" i="1"/>
  <c r="J502" i="1"/>
  <c r="J420" i="1"/>
  <c r="J1573" i="1"/>
  <c r="J1492" i="1"/>
  <c r="J1410" i="1"/>
  <c r="J966" i="1"/>
  <c r="J282" i="1"/>
  <c r="J200" i="1"/>
  <c r="J107" i="1"/>
  <c r="J26" i="1"/>
  <c r="J1155" i="1"/>
  <c r="J1109" i="1"/>
  <c r="J1664" i="1"/>
  <c r="J1400" i="1"/>
  <c r="J631" i="1"/>
  <c r="J387" i="1"/>
  <c r="J1050" i="1"/>
  <c r="J814" i="1"/>
  <c r="J806" i="1"/>
  <c r="J900" i="1"/>
  <c r="J1720" i="1"/>
  <c r="J1003" i="1"/>
  <c r="J796" i="1"/>
  <c r="J780" i="1"/>
  <c r="J767" i="1"/>
  <c r="J896" i="1"/>
  <c r="J1208" i="1"/>
  <c r="J1146" i="1"/>
  <c r="J987" i="1"/>
  <c r="J1116" i="1"/>
  <c r="J1100" i="1"/>
  <c r="J1084" i="1"/>
  <c r="J1068" i="1"/>
  <c r="J1698" i="1"/>
  <c r="J950" i="1"/>
  <c r="J868" i="1"/>
  <c r="J852" i="1"/>
  <c r="J1685" i="1"/>
  <c r="J1669" i="1"/>
  <c r="J843" i="1"/>
  <c r="J1636" i="1"/>
  <c r="J1202" i="1"/>
  <c r="J1338" i="1"/>
  <c r="J1236" i="1"/>
  <c r="J1252" i="1"/>
  <c r="J738" i="1"/>
  <c r="J664" i="1"/>
  <c r="J582" i="1"/>
  <c r="J500" i="1"/>
  <c r="J407" i="1"/>
  <c r="J1572" i="1"/>
  <c r="J1490" i="1"/>
  <c r="J1623" i="1"/>
  <c r="J965" i="1"/>
  <c r="J280" i="1"/>
  <c r="J187" i="1"/>
  <c r="J106" i="1"/>
  <c r="J24" i="1"/>
  <c r="J789" i="1"/>
  <c r="J883" i="1"/>
  <c r="J1538" i="1"/>
  <c r="J1407" i="1"/>
  <c r="J813" i="1"/>
  <c r="J805" i="1"/>
  <c r="J1009" i="1"/>
  <c r="J1719" i="1"/>
  <c r="J1002" i="1"/>
  <c r="J795" i="1"/>
  <c r="J779" i="1"/>
  <c r="J1708" i="1"/>
  <c r="J895" i="1"/>
  <c r="J1195" i="1"/>
  <c r="J1145" i="1"/>
  <c r="J1131" i="1"/>
  <c r="J1115" i="1"/>
  <c r="J1099" i="1"/>
  <c r="J1083" i="1"/>
  <c r="J1067" i="1"/>
  <c r="J889" i="1"/>
  <c r="J947" i="1"/>
  <c r="J867" i="1"/>
  <c r="J851" i="1"/>
  <c r="J1684" i="1"/>
  <c r="J1668" i="1"/>
  <c r="J842" i="1"/>
  <c r="J1634" i="1"/>
  <c r="J1189" i="1"/>
  <c r="J1352" i="1"/>
  <c r="J1311" i="1"/>
  <c r="J1219" i="1"/>
  <c r="J725" i="1"/>
  <c r="J663" i="1"/>
  <c r="J580" i="1"/>
  <c r="J487" i="1"/>
  <c r="J406" i="1"/>
  <c r="J1570" i="1"/>
  <c r="J1477" i="1"/>
  <c r="J1622" i="1"/>
  <c r="J963" i="1"/>
  <c r="J267" i="1"/>
  <c r="J186" i="1"/>
  <c r="J104" i="1"/>
  <c r="J11" i="1"/>
  <c r="J1406" i="1"/>
  <c r="J1732" i="1"/>
  <c r="J804" i="1"/>
  <c r="J1729" i="1"/>
  <c r="J1718" i="1"/>
  <c r="J1001" i="1"/>
  <c r="J794" i="1"/>
  <c r="J778" i="1"/>
  <c r="J1707" i="1"/>
  <c r="J894" i="1"/>
  <c r="J992" i="1"/>
  <c r="J1144" i="1"/>
  <c r="J1130" i="1"/>
  <c r="J1114" i="1"/>
  <c r="J1082" i="1"/>
  <c r="J1066" i="1"/>
  <c r="J888" i="1"/>
  <c r="J943" i="1"/>
  <c r="J866" i="1"/>
  <c r="J850" i="1"/>
  <c r="J1683" i="1"/>
  <c r="J935" i="1"/>
  <c r="J841" i="1"/>
  <c r="J1633" i="1"/>
  <c r="J1295" i="1"/>
  <c r="J1237" i="1"/>
  <c r="J1179" i="1"/>
  <c r="J1224" i="1"/>
  <c r="J724" i="1"/>
  <c r="J661" i="1"/>
  <c r="J567" i="1"/>
  <c r="J486" i="1"/>
  <c r="J404" i="1"/>
  <c r="J1557" i="1"/>
  <c r="J1476" i="1"/>
  <c r="J1620" i="1"/>
  <c r="J946" i="1"/>
  <c r="J266" i="1"/>
  <c r="J184" i="1"/>
  <c r="J91" i="1"/>
  <c r="J10" i="1"/>
  <c r="J1405" i="1"/>
  <c r="J1049" i="1"/>
  <c r="J803" i="1"/>
  <c r="J1728" i="1"/>
  <c r="J1717" i="1"/>
  <c r="J1000" i="1"/>
  <c r="J793" i="1"/>
  <c r="J777" i="1"/>
  <c r="J909" i="1"/>
  <c r="J893" i="1"/>
  <c r="J1175" i="1"/>
  <c r="J1143" i="1"/>
  <c r="J1129" i="1"/>
  <c r="J1113" i="1"/>
  <c r="J1097" i="1"/>
  <c r="J1081" i="1"/>
  <c r="J1065" i="1"/>
  <c r="J887" i="1"/>
  <c r="J942" i="1"/>
  <c r="J865" i="1"/>
  <c r="J849" i="1"/>
  <c r="J1682" i="1"/>
  <c r="J934" i="1"/>
  <c r="J840" i="1"/>
  <c r="J923" i="1"/>
  <c r="J1264" i="1"/>
  <c r="J1261" i="1"/>
  <c r="J1197" i="1"/>
  <c r="J1191" i="1"/>
  <c r="J722" i="1"/>
  <c r="J648" i="1"/>
  <c r="J566" i="1"/>
  <c r="J484" i="1"/>
  <c r="J391" i="1"/>
  <c r="J1556" i="1"/>
  <c r="J1474" i="1"/>
  <c r="J755" i="1"/>
  <c r="J945" i="1"/>
  <c r="J264" i="1"/>
  <c r="J171" i="1"/>
  <c r="J90" i="1"/>
  <c r="J8" i="1"/>
  <c r="J10" i="5" l="1"/>
  <c r="J12" i="5"/>
  <c r="J5" i="5"/>
  <c r="J6" i="5"/>
  <c r="J7" i="5"/>
  <c r="J8" i="5"/>
  <c r="J9" i="5"/>
  <c r="J11" i="5"/>
  <c r="J4" i="5"/>
  <c r="D11" i="5"/>
  <c r="G2" i="5"/>
  <c r="E2" i="5"/>
  <c r="F2" i="5"/>
  <c r="D6" i="5"/>
  <c r="I4" i="5"/>
  <c r="I14" i="5"/>
  <c r="I13" i="5"/>
  <c r="I7" i="5"/>
  <c r="I15" i="5"/>
  <c r="I6" i="5"/>
  <c r="I8" i="5"/>
  <c r="I16" i="5"/>
  <c r="I18" i="5"/>
  <c r="I9" i="5"/>
  <c r="I12" i="5"/>
  <c r="I10" i="5"/>
  <c r="I17" i="5"/>
  <c r="I11" i="5"/>
  <c r="I5" i="5"/>
  <c r="D8" i="5"/>
  <c r="D9" i="5"/>
  <c r="D12" i="5"/>
  <c r="D10" i="5"/>
  <c r="D4" i="5"/>
  <c r="D5" i="5"/>
  <c r="D7" i="5"/>
  <c r="D2" i="5" l="1"/>
  <c r="I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<sst xmlns="http://schemas.openxmlformats.org/spreadsheetml/2006/main" count="54651" uniqueCount="5380">
  <si>
    <t>CALSIM</t>
  </si>
  <si>
    <t>AW_EDCOCA_NA1</t>
  </si>
  <si>
    <t>AG-DEMAND</t>
  </si>
  <si>
    <t>1MON</t>
  </si>
  <si>
    <t>L2020A</t>
  </si>
  <si>
    <t>Miscellaneous</t>
  </si>
  <si>
    <t>https://cadwr.box.com/s/7y5d3wa9cs1eoeanw7wrflmc1j1hej2x</t>
  </si>
  <si>
    <t>Timseries set to 0. Related Source Documentation File and Text File provided in Water Management Plan Folder</t>
  </si>
  <si>
    <t>Both</t>
  </si>
  <si>
    <t>TAF</t>
  </si>
  <si>
    <t>AW_EDCOCA_NA2</t>
  </si>
  <si>
    <t>AW_EDCOCA_NA3</t>
  </si>
  <si>
    <t>AW_ELDID_NA1</t>
  </si>
  <si>
    <t xml:space="preserve">Repeating 12 month value timeseries; Data pulled from EDCWA WRDMP </t>
  </si>
  <si>
    <t>AW_ELDID_NA2</t>
  </si>
  <si>
    <t>AW_ELDID_NA3</t>
  </si>
  <si>
    <t>AW_GDPUD_NA</t>
  </si>
  <si>
    <t>AW_NIDBR_NA</t>
  </si>
  <si>
    <t>APPLIED-WATER</t>
  </si>
  <si>
    <t>NID Water Management plan; Repeating 12 month value timeseries</t>
  </si>
  <si>
    <t>AW_NIDDC_NA1</t>
  </si>
  <si>
    <t>AW_NIDDC_NA2</t>
  </si>
  <si>
    <t>AW_NIDDC_NA3</t>
  </si>
  <si>
    <t>SG_R3_CVP</t>
  </si>
  <si>
    <t>CANAL-LOSS</t>
  </si>
  <si>
    <t>https://cadwr.box.com/s/1r6d5e8e57cwdgr5zd5atbk03prm0mvn</t>
  </si>
  <si>
    <t>Repeating 12 month value timeseries; From CalSim3_Merge_05222018 deliveried from USBR</t>
  </si>
  <si>
    <t>SG_R4_CVP</t>
  </si>
  <si>
    <t>SG_R5_CVP</t>
  </si>
  <si>
    <t>SG_R6_CVP</t>
  </si>
  <si>
    <t>SG_R7_CVP</t>
  </si>
  <si>
    <t>SG_R1R2_SWP</t>
  </si>
  <si>
    <t>SG_R3_SWP</t>
  </si>
  <si>
    <t>SG_R4_SWP</t>
  </si>
  <si>
    <t>SG_R5_SWP</t>
  </si>
  <si>
    <t>SG_R6_SWP</t>
  </si>
  <si>
    <t>SG_R7_SWP</t>
  </si>
  <si>
    <t>CL_DGR</t>
  </si>
  <si>
    <t>CONTRACT-LIMIT</t>
  </si>
  <si>
    <t>https://cadwr.box.com/s/ehdiqn3dsdyk2fulv51uz2rvj56lhghl</t>
  </si>
  <si>
    <t>No</t>
  </si>
  <si>
    <t>Yes</t>
  </si>
  <si>
    <t>DEM_D810_PIN</t>
  </si>
  <si>
    <t>DEMAND-SWP-IN</t>
  </si>
  <si>
    <t>https://cadwr.box.com/s/mz2dfvkwm1jsml6m96294j8akezo41o1</t>
  </si>
  <si>
    <t>Renamed in CS3: DEM_D_SBA009_ACFC_PIN</t>
  </si>
  <si>
    <t>DEM_D814_PIN</t>
  </si>
  <si>
    <t>Renamed in CS3: DEM_D_SBA029_ACWD_PIN</t>
  </si>
  <si>
    <t>DEM_D815_PIN</t>
  </si>
  <si>
    <t>Renamed in CS3: DEM_D_SBA036_SCVWD_PIN</t>
  </si>
  <si>
    <t>DP_GWR15</t>
  </si>
  <si>
    <t>DEEP-PERCOLATION</t>
  </si>
  <si>
    <t>Groundwater Models</t>
  </si>
  <si>
    <t>https://cadwr.box.com/s/qm8lwwmzfxl20b40d8axkyb6125cjrrp</t>
  </si>
  <si>
    <t>Precip Dependent</t>
  </si>
  <si>
    <t>DP_GWR16</t>
  </si>
  <si>
    <t>DP_GWR17</t>
  </si>
  <si>
    <t>DP_GWR18</t>
  </si>
  <si>
    <t>DP_GWR19</t>
  </si>
  <si>
    <t>DP_GWR20</t>
  </si>
  <si>
    <t>DP_GWR21</t>
  </si>
  <si>
    <t>DP_WBA50_DCD</t>
  </si>
  <si>
    <t>DP-FLOW</t>
  </si>
  <si>
    <t>GP_GWR15</t>
  </si>
  <si>
    <t>PUMPING</t>
  </si>
  <si>
    <t>GP_GWR16</t>
  </si>
  <si>
    <t>GP_GWR17</t>
  </si>
  <si>
    <t>GP_GWR18</t>
  </si>
  <si>
    <t>GP_GWR19</t>
  </si>
  <si>
    <t>GP_GWR20</t>
  </si>
  <si>
    <t>GP_GWR21</t>
  </si>
  <si>
    <t>GW1_N1003</t>
  </si>
  <si>
    <t>BUGW-INFLOW</t>
  </si>
  <si>
    <t>GW1_N1004</t>
  </si>
  <si>
    <t>GW1_N1005</t>
  </si>
  <si>
    <t>GW1_N1006</t>
  </si>
  <si>
    <t>GW1_N1007</t>
  </si>
  <si>
    <t>GW1_N1017</t>
  </si>
  <si>
    <t>GW1_N1034</t>
  </si>
  <si>
    <t>GW1_N1035</t>
  </si>
  <si>
    <t>GW1_N1036</t>
  </si>
  <si>
    <t>GW1_N1051</t>
  </si>
  <si>
    <t>GW1_N1052</t>
  </si>
  <si>
    <t>GW1_N1061</t>
  </si>
  <si>
    <t>GW1_N107</t>
  </si>
  <si>
    <t>GW1_N1078</t>
  </si>
  <si>
    <t>GW1_N1083</t>
  </si>
  <si>
    <t>GW1_N1086</t>
  </si>
  <si>
    <t>GW1_N1093</t>
  </si>
  <si>
    <t>GW1_N1097</t>
  </si>
  <si>
    <t>GW1_N1103</t>
  </si>
  <si>
    <t>GW1_N1104</t>
  </si>
  <si>
    <t>GW1_N1112</t>
  </si>
  <si>
    <t>GW1_N1113</t>
  </si>
  <si>
    <t>GW1_N1136</t>
  </si>
  <si>
    <t>GW1_N115</t>
  </si>
  <si>
    <t>GW1_N1151</t>
  </si>
  <si>
    <t>GW1_N1152</t>
  </si>
  <si>
    <t>GW1_N1174</t>
  </si>
  <si>
    <t>GW1_N118</t>
  </si>
  <si>
    <t>GW1_N1186</t>
  </si>
  <si>
    <t>GW1_N1187</t>
  </si>
  <si>
    <t>GW1_N1194</t>
  </si>
  <si>
    <t>GW1_N1207</t>
  </si>
  <si>
    <t>GW1_N1208</t>
  </si>
  <si>
    <t>GW1_N1209</t>
  </si>
  <si>
    <t>GW1_N121</t>
  </si>
  <si>
    <t>GW1_N1210</t>
  </si>
  <si>
    <t>GW1_N1212</t>
  </si>
  <si>
    <t>GW1_N1213</t>
  </si>
  <si>
    <t>GW1_N1214</t>
  </si>
  <si>
    <t>GW1_N122</t>
  </si>
  <si>
    <t>GW1_N1227</t>
  </si>
  <si>
    <t>GW1_N1228</t>
  </si>
  <si>
    <t>GW1_N1243</t>
  </si>
  <si>
    <t>GW1_N1244</t>
  </si>
  <si>
    <t>GW1_N1253</t>
  </si>
  <si>
    <t>GW1_N1255</t>
  </si>
  <si>
    <t>GW1_N1266</t>
  </si>
  <si>
    <t>GW1_N1267</t>
  </si>
  <si>
    <t>GW1_N1279</t>
  </si>
  <si>
    <t>GW1_N1280</t>
  </si>
  <si>
    <t>GW1_N1292</t>
  </si>
  <si>
    <t>GW1_N1293</t>
  </si>
  <si>
    <t>GW1_N13</t>
  </si>
  <si>
    <t>GW1_N1305</t>
  </si>
  <si>
    <t>GW1_N1316</t>
  </si>
  <si>
    <t>GW1_N1318</t>
  </si>
  <si>
    <t>GW1_N1329</t>
  </si>
  <si>
    <t>GW1_N1338</t>
  </si>
  <si>
    <t>GW1_N1339</t>
  </si>
  <si>
    <t>GW1_N1349</t>
  </si>
  <si>
    <t>GW1_N1359</t>
  </si>
  <si>
    <t>GW1_N1360</t>
  </si>
  <si>
    <t>GW1_N1368</t>
  </si>
  <si>
    <t>GW1_N1371</t>
  </si>
  <si>
    <t>GW1_N1374</t>
  </si>
  <si>
    <t>GW1_N1380</t>
  </si>
  <si>
    <t>GW1_N1381</t>
  </si>
  <si>
    <t>GW1_N1382</t>
  </si>
  <si>
    <t>GW1_N1385</t>
  </si>
  <si>
    <t>GW1_N1386</t>
  </si>
  <si>
    <t>GW1_N1389</t>
  </si>
  <si>
    <t>GW1_N1390</t>
  </si>
  <si>
    <t>GW1_N1391</t>
  </si>
  <si>
    <t>GW1_N1392</t>
  </si>
  <si>
    <t>GW1_N1393</t>
  </si>
  <si>
    <t>GW1_N14</t>
  </si>
  <si>
    <t>GW1_N148</t>
  </si>
  <si>
    <t>GW1_N150</t>
  </si>
  <si>
    <t>GW1_N152</t>
  </si>
  <si>
    <t>GW1_N163</t>
  </si>
  <si>
    <t>GW1_N164</t>
  </si>
  <si>
    <t>GW1_N178</t>
  </si>
  <si>
    <t>GW1_N18</t>
  </si>
  <si>
    <t>GW1_N180</t>
  </si>
  <si>
    <t>GW1_N19</t>
  </si>
  <si>
    <t>GW1_N194</t>
  </si>
  <si>
    <t>GW1_N195</t>
  </si>
  <si>
    <t>GW1_N196</t>
  </si>
  <si>
    <t>GW1_N197</t>
  </si>
  <si>
    <t>GW1_N2</t>
  </si>
  <si>
    <t>GW1_N210</t>
  </si>
  <si>
    <t>GW1_N215</t>
  </si>
  <si>
    <t>GW1_N226</t>
  </si>
  <si>
    <t>GW1_N234</t>
  </si>
  <si>
    <t>GW1_N235</t>
  </si>
  <si>
    <t>GW1_N24</t>
  </si>
  <si>
    <t>GW1_N243</t>
  </si>
  <si>
    <t>GW1_N244</t>
  </si>
  <si>
    <t>GW1_N245</t>
  </si>
  <si>
    <t>GW1_N248</t>
  </si>
  <si>
    <t>GW1_N249</t>
  </si>
  <si>
    <t>GW1_N25</t>
  </si>
  <si>
    <t>GW1_N256</t>
  </si>
  <si>
    <t>GW1_N257</t>
  </si>
  <si>
    <t>GW1_N263</t>
  </si>
  <si>
    <t>GW1_N264</t>
  </si>
  <si>
    <t>GW1_N270</t>
  </si>
  <si>
    <t>GW1_N271</t>
  </si>
  <si>
    <t>GW1_N272</t>
  </si>
  <si>
    <t>GW1_N286</t>
  </si>
  <si>
    <t>GW1_N297</t>
  </si>
  <si>
    <t>GW1_N298</t>
  </si>
  <si>
    <t>GW1_N299</t>
  </si>
  <si>
    <t>GW1_N3</t>
  </si>
  <si>
    <t>GW1_N30</t>
  </si>
  <si>
    <t>GW1_N31</t>
  </si>
  <si>
    <t>GW1_N310</t>
  </si>
  <si>
    <t>GW1_N311</t>
  </si>
  <si>
    <t>GW1_N321</t>
  </si>
  <si>
    <t>GW1_N322</t>
  </si>
  <si>
    <t>GW1_N346</t>
  </si>
  <si>
    <t>GW1_N357</t>
  </si>
  <si>
    <t>GW1_N369</t>
  </si>
  <si>
    <t>GW1_N39</t>
  </si>
  <si>
    <t>GW1_N390</t>
  </si>
  <si>
    <t>GW1_N393</t>
  </si>
  <si>
    <t>GW1_N396</t>
  </si>
  <si>
    <t>GW1_N402</t>
  </si>
  <si>
    <t>GW1_N409</t>
  </si>
  <si>
    <t>GW1_N423</t>
  </si>
  <si>
    <t>GW1_N427</t>
  </si>
  <si>
    <t>GW1_N444</t>
  </si>
  <si>
    <t>GW1_N456</t>
  </si>
  <si>
    <t>GW1_N468</t>
  </si>
  <si>
    <t>GW1_N469</t>
  </si>
  <si>
    <t>GW1_N48</t>
  </si>
  <si>
    <t>GW1_N485</t>
  </si>
  <si>
    <t>GW1_N50</t>
  </si>
  <si>
    <t>GW1_N501</t>
  </si>
  <si>
    <t>GW1_N507</t>
  </si>
  <si>
    <t>GW1_N510</t>
  </si>
  <si>
    <t>GW1_N518</t>
  </si>
  <si>
    <t>GW1_N530</t>
  </si>
  <si>
    <t>GW1_N535</t>
  </si>
  <si>
    <t>GW1_N536</t>
  </si>
  <si>
    <t>GW1_N537</t>
  </si>
  <si>
    <t>GW1_N554</t>
  </si>
  <si>
    <t>GW1_N57</t>
  </si>
  <si>
    <t>GW1_N573</t>
  </si>
  <si>
    <t>GW1_N583</t>
  </si>
  <si>
    <t>GW1_N588</t>
  </si>
  <si>
    <t>GW1_N589</t>
  </si>
  <si>
    <t>GW1_N600</t>
  </si>
  <si>
    <t>GW1_N601</t>
  </si>
  <si>
    <t>GW1_N607</t>
  </si>
  <si>
    <t>GW1_N609</t>
  </si>
  <si>
    <t>GW1_N611</t>
  </si>
  <si>
    <t>GW1_N613</t>
  </si>
  <si>
    <t>GW1_N62</t>
  </si>
  <si>
    <t>GW1_N630</t>
  </si>
  <si>
    <t>GW1_N631</t>
  </si>
  <si>
    <t>GW1_N641</t>
  </si>
  <si>
    <t>GW1_N646</t>
  </si>
  <si>
    <t>GW1_N647</t>
  </si>
  <si>
    <t>GW1_N658</t>
  </si>
  <si>
    <t>GW1_N669</t>
  </si>
  <si>
    <t>GW1_N679</t>
  </si>
  <si>
    <t>GW1_N680</t>
  </si>
  <si>
    <t>GW1_N691</t>
  </si>
  <si>
    <t>GW1_N710</t>
  </si>
  <si>
    <t>GW1_N711</t>
  </si>
  <si>
    <t>GW1_N722</t>
  </si>
  <si>
    <t>GW1_N723</t>
  </si>
  <si>
    <t>GW1_N735</t>
  </si>
  <si>
    <t>GW1_N74</t>
  </si>
  <si>
    <t>GW1_N748</t>
  </si>
  <si>
    <t>GW1_N758</t>
  </si>
  <si>
    <t>GW1_N763</t>
  </si>
  <si>
    <t>GW1_N764</t>
  </si>
  <si>
    <t>GW1_N779</t>
  </si>
  <si>
    <t>GW1_N780</t>
  </si>
  <si>
    <t>GW1_N793</t>
  </si>
  <si>
    <t>GW1_N8</t>
  </si>
  <si>
    <t>GW1_N80</t>
  </si>
  <si>
    <t>GW1_N806</t>
  </si>
  <si>
    <t>GW1_N813</t>
  </si>
  <si>
    <t>GW1_N814</t>
  </si>
  <si>
    <t>GW1_N837</t>
  </si>
  <si>
    <t>GW1_N838</t>
  </si>
  <si>
    <t>GW1_N839</t>
  </si>
  <si>
    <t>GW1_N851</t>
  </si>
  <si>
    <t>GW1_N852</t>
  </si>
  <si>
    <t>GW1_N853</t>
  </si>
  <si>
    <t>GW1_N861</t>
  </si>
  <si>
    <t>GW1_N864</t>
  </si>
  <si>
    <t>GW1_N881</t>
  </si>
  <si>
    <t>GW1_N887</t>
  </si>
  <si>
    <t>GW1_N89</t>
  </si>
  <si>
    <t>GW1_N901</t>
  </si>
  <si>
    <t>GW1_N902</t>
  </si>
  <si>
    <t>GW1_N917</t>
  </si>
  <si>
    <t>GW1_N918</t>
  </si>
  <si>
    <t>GW1_N935</t>
  </si>
  <si>
    <t>GW1_N936</t>
  </si>
  <si>
    <t>GW1_N944</t>
  </si>
  <si>
    <t>GW1_N952</t>
  </si>
  <si>
    <t>GW1_N960</t>
  </si>
  <si>
    <t>GW1_N975</t>
  </si>
  <si>
    <t>GW1_N976</t>
  </si>
  <si>
    <t>GW1_N988</t>
  </si>
  <si>
    <t>DEM_D_CAA046_71_PA7_PIN</t>
  </si>
  <si>
    <t>Naming aligns with spreadsheet. Repeating 12 month value timeseries</t>
  </si>
  <si>
    <t>DEM_D_CAA184_DUDLEY_PIN</t>
  </si>
  <si>
    <t>Named: DEM_D849_PIN in spreadsheet. Repeating 12 month value timeseries</t>
  </si>
  <si>
    <t>DEM_D_CSB038_OBISPO_PIN</t>
  </si>
  <si>
    <t>Named: DEM_D869_PIN in spreadsheet. Repeating 12 month value timeseries</t>
  </si>
  <si>
    <t>DEM_D_CSB103_BRBRA_PIN</t>
  </si>
  <si>
    <t>Named: DEM_D870_PIN in spreadsheet. Repeating 12 month value timeseries</t>
  </si>
  <si>
    <t>DEM_D_CSTIC_VNTRA_PIN</t>
  </si>
  <si>
    <t>Named: DEM_D29_PIN in spreadsheet. Repeating 12 month value timeseries</t>
  </si>
  <si>
    <t>DEM_D_ESB324_AVEK_PIN</t>
  </si>
  <si>
    <t>Named: DEM_D877_PIN in spreadsheet. Repeating 12 month value timeseries</t>
  </si>
  <si>
    <t>DEM_D_ESB347_PLMDL_PIN</t>
  </si>
  <si>
    <t>Named: DEM_D878_PIN in spreadsheet. Repeating 12 month value timeseries</t>
  </si>
  <si>
    <t>DEM_D_ESB407_CCHLA_PIN</t>
  </si>
  <si>
    <t>Named: DEM_D883_PIN in spreadsheet. Repeating 12 month value timeseries</t>
  </si>
  <si>
    <t>DEM_D_ESB408_DESRT_PIN</t>
  </si>
  <si>
    <t>Named: DEM_D884_PIN in spreadsheet. Repeating 12 month value timeseries</t>
  </si>
  <si>
    <t>DEM_D_ESB413_MWDSC_PIN</t>
  </si>
  <si>
    <t>Named: DEM_D885_PIN in spreadsheet. Repeating 12 month value timeseries</t>
  </si>
  <si>
    <t>DEM_D_ESB414_BRDNO_PIN</t>
  </si>
  <si>
    <t>Named: DEM_D886_PIN in spreadsheet. Repeating 12 month value timeseries</t>
  </si>
  <si>
    <t>AWO_02_NA</t>
  </si>
  <si>
    <t>CalSimHydro Model</t>
  </si>
  <si>
    <t>https://cadwr.box.com/s/2rlje06p169pjbqicdy9wq2hefy34uta</t>
  </si>
  <si>
    <t>AWO_02_PA</t>
  </si>
  <si>
    <t>AWO_02_SA</t>
  </si>
  <si>
    <t>AWO_03_NA</t>
  </si>
  <si>
    <t>AWO_03_PA</t>
  </si>
  <si>
    <t>AWO_03_SA</t>
  </si>
  <si>
    <t>AWO_04_NA</t>
  </si>
  <si>
    <t>AWO_04_PA1</t>
  </si>
  <si>
    <t>AWO_04_PA2</t>
  </si>
  <si>
    <t>AWO_05_NA</t>
  </si>
  <si>
    <t>AWO_06_NA</t>
  </si>
  <si>
    <t>AWO_06_PA</t>
  </si>
  <si>
    <t>AWO_07N_NA</t>
  </si>
  <si>
    <t>AWO_07N_PA</t>
  </si>
  <si>
    <t>AWO_07S_NA</t>
  </si>
  <si>
    <t>AWO_07S_PA</t>
  </si>
  <si>
    <t>AWO_08N_NA</t>
  </si>
  <si>
    <t>AWO_08N_PA</t>
  </si>
  <si>
    <t>AWO_08N_PR1</t>
  </si>
  <si>
    <t>AWO_08N_PR2</t>
  </si>
  <si>
    <t>AWO_08N_SA1</t>
  </si>
  <si>
    <t>AWO_08N_SA2</t>
  </si>
  <si>
    <t>AWO_08S_NA1</t>
  </si>
  <si>
    <t>AWO_08S_NA2</t>
  </si>
  <si>
    <t>AWO_08S_PA</t>
  </si>
  <si>
    <t>AWO_08S_PR</t>
  </si>
  <si>
    <t>AWO_08S_SA1</t>
  </si>
  <si>
    <t>AWO_08S_SA2</t>
  </si>
  <si>
    <t>AWO_08S_SA3</t>
  </si>
  <si>
    <t>AWO_09_NA</t>
  </si>
  <si>
    <t>AWO_09_PR</t>
  </si>
  <si>
    <t>AWO_09_SA1</t>
  </si>
  <si>
    <t>AWO_09_SA2</t>
  </si>
  <si>
    <t>AWO_10_NA</t>
  </si>
  <si>
    <t>AWO_11_NA</t>
  </si>
  <si>
    <t>AWO_11_PR</t>
  </si>
  <si>
    <t>AWO_11_SA1</t>
  </si>
  <si>
    <t>AWO_11_SA2</t>
  </si>
  <si>
    <t>AWO_11_SA3</t>
  </si>
  <si>
    <t>AWO_11_SA4</t>
  </si>
  <si>
    <t>AWO_12_NA</t>
  </si>
  <si>
    <t>AWO_12_SA</t>
  </si>
  <si>
    <t>AWO_13_NA</t>
  </si>
  <si>
    <t>AWO_14_NA</t>
  </si>
  <si>
    <t>AWO_15N_NA1</t>
  </si>
  <si>
    <t>AWO_15N_NA2</t>
  </si>
  <si>
    <t>AWO_15N_SA</t>
  </si>
  <si>
    <t>AWO_15S_NA1</t>
  </si>
  <si>
    <t>AWO_15S_NA2</t>
  </si>
  <si>
    <t>AWO_15S_SA</t>
  </si>
  <si>
    <t>AWO_16_NA1</t>
  </si>
  <si>
    <t>AWO_16_NA2</t>
  </si>
  <si>
    <t>AWO_16_PA</t>
  </si>
  <si>
    <t>AWO_16_SA</t>
  </si>
  <si>
    <t>AWO_17N_NA</t>
  </si>
  <si>
    <t>AWO_17N_NR</t>
  </si>
  <si>
    <t>AWO_17N_PR</t>
  </si>
  <si>
    <t>AWO_17S_NA</t>
  </si>
  <si>
    <t>AWO_17S_PR</t>
  </si>
  <si>
    <t>AWO_17S_SA</t>
  </si>
  <si>
    <t>AWO_18_NA</t>
  </si>
  <si>
    <t>AWO_18_SA</t>
  </si>
  <si>
    <t>AWO_19_SA</t>
  </si>
  <si>
    <t>AWO_20_NA1</t>
  </si>
  <si>
    <t>AWO_20_NA2</t>
  </si>
  <si>
    <t>AWO_20_PA</t>
  </si>
  <si>
    <t>AWO_21_NA</t>
  </si>
  <si>
    <t>AWO_21_PA</t>
  </si>
  <si>
    <t>AWO_21_SA</t>
  </si>
  <si>
    <t>AWO_22_NA</t>
  </si>
  <si>
    <t>AWO_22_SA1</t>
  </si>
  <si>
    <t>AWO_22_SA2</t>
  </si>
  <si>
    <t>AWO_23_NA</t>
  </si>
  <si>
    <t>AWO_24_NA1</t>
  </si>
  <si>
    <t>AWO_24_NA2</t>
  </si>
  <si>
    <t>AWO_24_NA3</t>
  </si>
  <si>
    <t>AWO_25_NA</t>
  </si>
  <si>
    <t>AWO_25_PA1</t>
  </si>
  <si>
    <t>AWO_25_PA2</t>
  </si>
  <si>
    <t>AWO_26N_NA</t>
  </si>
  <si>
    <t>AWO_26S_NA</t>
  </si>
  <si>
    <t>AWO_50_PA1</t>
  </si>
  <si>
    <t>AWO_60N_NA1</t>
  </si>
  <si>
    <t>AWO_60N_NA2</t>
  </si>
  <si>
    <t>AWO_60N_NA3</t>
  </si>
  <si>
    <t>AWO_60N_NA4</t>
  </si>
  <si>
    <t>AWO_60N_NA5</t>
  </si>
  <si>
    <t>AWO_60S_NA1</t>
  </si>
  <si>
    <t>AWO_60S_NA2</t>
  </si>
  <si>
    <t>AWO_60S_PA1</t>
  </si>
  <si>
    <t>AWO_60S_PA2</t>
  </si>
  <si>
    <t>AWO_61_NA1</t>
  </si>
  <si>
    <t>AWO_61_NA2</t>
  </si>
  <si>
    <t>AWO_61_NA3</t>
  </si>
  <si>
    <t>AWO_61_NA4</t>
  </si>
  <si>
    <t>AWO_61_NA5</t>
  </si>
  <si>
    <t>AWO_61_NA6</t>
  </si>
  <si>
    <t>AWO_61_PA1</t>
  </si>
  <si>
    <t>AWO_61_PA2</t>
  </si>
  <si>
    <t>AWO_61_PA3</t>
  </si>
  <si>
    <t>AWO_62_NA1</t>
  </si>
  <si>
    <t>AWO_62_NA2</t>
  </si>
  <si>
    <t>AWO_62_NA3</t>
  </si>
  <si>
    <t>AWO_62_NA4</t>
  </si>
  <si>
    <t>AWO_62_NA5</t>
  </si>
  <si>
    <t>AWO_62_NA6</t>
  </si>
  <si>
    <t>AWO_63_NA1</t>
  </si>
  <si>
    <t>AWO_63_NA2</t>
  </si>
  <si>
    <t>AWO_63_NA3</t>
  </si>
  <si>
    <t>AWO_63_NA4</t>
  </si>
  <si>
    <t>AWO_63_NA5</t>
  </si>
  <si>
    <t>AWO_63_PR1</t>
  </si>
  <si>
    <t>AWO_63_PR2</t>
  </si>
  <si>
    <t>AWO_63_PR3</t>
  </si>
  <si>
    <t>AWO_64_NA1</t>
  </si>
  <si>
    <t>AWO_64_NA2</t>
  </si>
  <si>
    <t>AWO_64_PA1</t>
  </si>
  <si>
    <t>AWO_64_PA2</t>
  </si>
  <si>
    <t>AWO_64_PA3</t>
  </si>
  <si>
    <t>AWO_64_XA</t>
  </si>
  <si>
    <t>AWO_71_NA1</t>
  </si>
  <si>
    <t>AWO_71_NA2</t>
  </si>
  <si>
    <t>AWO_71_NA3</t>
  </si>
  <si>
    <t>AWO_71_PA1</t>
  </si>
  <si>
    <t>AWO_71_PA2</t>
  </si>
  <si>
    <t>AWO_71_PA3</t>
  </si>
  <si>
    <t>AWO_71_PA4</t>
  </si>
  <si>
    <t>AWO_71_PA5</t>
  </si>
  <si>
    <t>AWO_71_PA6</t>
  </si>
  <si>
    <t>AWO_71_PA7</t>
  </si>
  <si>
    <t>AWO_71_PA8</t>
  </si>
  <si>
    <t>AWO_72_NA1</t>
  </si>
  <si>
    <t>AWO_72_NA2</t>
  </si>
  <si>
    <t>AWO_72_PA</t>
  </si>
  <si>
    <t>AWO_72_PR1</t>
  </si>
  <si>
    <t>AWO_72_PR2</t>
  </si>
  <si>
    <t>AWO_72_PR3</t>
  </si>
  <si>
    <t>AWO_72_PR4</t>
  </si>
  <si>
    <t>AWO_72_PR5</t>
  </si>
  <si>
    <t>AWO_72_PR6</t>
  </si>
  <si>
    <t>AWO_72_XA1</t>
  </si>
  <si>
    <t>AWO_72_XA2</t>
  </si>
  <si>
    <t>AWO_72_XA3</t>
  </si>
  <si>
    <t>AWO_73_NA</t>
  </si>
  <si>
    <t>AWO_73_PA1</t>
  </si>
  <si>
    <t>AWO_73_PA2</t>
  </si>
  <si>
    <t>AWO_73_PA3</t>
  </si>
  <si>
    <t>AWO_73_XA</t>
  </si>
  <si>
    <t>AWO_90_NA</t>
  </si>
  <si>
    <t>AWO_90_PA1</t>
  </si>
  <si>
    <t>AWO_90_PA2</t>
  </si>
  <si>
    <t>AWO_91_PA</t>
  </si>
  <si>
    <t>AWO_91_PR</t>
  </si>
  <si>
    <t>AWR_02_NA</t>
  </si>
  <si>
    <t>AWR_02_PA</t>
  </si>
  <si>
    <t>AWR_02_SA</t>
  </si>
  <si>
    <t>AWR_03_NA</t>
  </si>
  <si>
    <t>AWR_03_PA</t>
  </si>
  <si>
    <t>AWR_03_SA</t>
  </si>
  <si>
    <t>AWR_04_NA</t>
  </si>
  <si>
    <t>AWR_04_PA1</t>
  </si>
  <si>
    <t>AWR_04_PA2</t>
  </si>
  <si>
    <t>AWR_05_NA</t>
  </si>
  <si>
    <t>AWR_06_NA</t>
  </si>
  <si>
    <t>AWR_06_PA</t>
  </si>
  <si>
    <t>AWR_07N_NA</t>
  </si>
  <si>
    <t>AWR_07N_PA</t>
  </si>
  <si>
    <t>AWR_07S_NA</t>
  </si>
  <si>
    <t>AWR_07S_PA</t>
  </si>
  <si>
    <t>AWR_08N_NA</t>
  </si>
  <si>
    <t>AWR_08N_PA</t>
  </si>
  <si>
    <t>AWR_08N_PR1</t>
  </si>
  <si>
    <t>AWR_08N_PR2</t>
  </si>
  <si>
    <t>AWR_08N_SA1</t>
  </si>
  <si>
    <t>AWR_08N_SA2</t>
  </si>
  <si>
    <t>AWR_08S_NA1</t>
  </si>
  <si>
    <t>AWR_08S_NA2</t>
  </si>
  <si>
    <t>AWR_08S_PA</t>
  </si>
  <si>
    <t>AWR_08S_PR</t>
  </si>
  <si>
    <t>AWR_08S_SA1</t>
  </si>
  <si>
    <t>AWR_08S_SA2</t>
  </si>
  <si>
    <t>AWR_08S_SA3</t>
  </si>
  <si>
    <t>AWR_09_NA</t>
  </si>
  <si>
    <t>AWR_09_PR</t>
  </si>
  <si>
    <t>AWR_09_SA1</t>
  </si>
  <si>
    <t>AWR_09_SA2</t>
  </si>
  <si>
    <t>AWR_10_NA</t>
  </si>
  <si>
    <t>AWR_11_NA</t>
  </si>
  <si>
    <t>AWR_11_PR</t>
  </si>
  <si>
    <t>AWR_11_SA1</t>
  </si>
  <si>
    <t>AWR_11_SA2</t>
  </si>
  <si>
    <t>AWR_11_SA3</t>
  </si>
  <si>
    <t>AWR_11_SA4</t>
  </si>
  <si>
    <t>AWR_12_NA</t>
  </si>
  <si>
    <t>AWR_12_SA</t>
  </si>
  <si>
    <t>AWR_13_NA</t>
  </si>
  <si>
    <t>AWR_14_NA</t>
  </si>
  <si>
    <t>AWR_15N_NA1</t>
  </si>
  <si>
    <t>AWR_15N_NA2</t>
  </si>
  <si>
    <t>AWR_15N_SA</t>
  </si>
  <si>
    <t>AWR_15S_NA1</t>
  </si>
  <si>
    <t>AWR_15S_NA2</t>
  </si>
  <si>
    <t>AWR_15S_SA</t>
  </si>
  <si>
    <t>AWR_16_NA1</t>
  </si>
  <si>
    <t>AWR_16_NA2</t>
  </si>
  <si>
    <t>AWR_16_PA</t>
  </si>
  <si>
    <t>AWR_16_SA</t>
  </si>
  <si>
    <t>AWR_17N_NA</t>
  </si>
  <si>
    <t>AWR_17N_NR</t>
  </si>
  <si>
    <t>AWR_17N_PR</t>
  </si>
  <si>
    <t>AWR_17S_NA</t>
  </si>
  <si>
    <t>AWR_17S_PR</t>
  </si>
  <si>
    <t>AWR_17S_SA</t>
  </si>
  <si>
    <t>AWR_18_NA</t>
  </si>
  <si>
    <t>AWR_18_SA</t>
  </si>
  <si>
    <t>AWR_19_SA</t>
  </si>
  <si>
    <t>AWR_20_NA1</t>
  </si>
  <si>
    <t>AWR_20_NA2</t>
  </si>
  <si>
    <t>AWR_20_PA</t>
  </si>
  <si>
    <t>AWR_21_NA</t>
  </si>
  <si>
    <t>AWR_21_PA</t>
  </si>
  <si>
    <t>AWR_21_SA</t>
  </si>
  <si>
    <t>AWR_22_NA</t>
  </si>
  <si>
    <t>AWR_22_SA1</t>
  </si>
  <si>
    <t>AWR_22_SA2</t>
  </si>
  <si>
    <t>AWR_23_NA</t>
  </si>
  <si>
    <t>AWR_24_NA1</t>
  </si>
  <si>
    <t>AWR_24_NA2</t>
  </si>
  <si>
    <t>AWR_24_NA3</t>
  </si>
  <si>
    <t>AWR_25_NA</t>
  </si>
  <si>
    <t>AWR_25_PA1</t>
  </si>
  <si>
    <t>AWR_25_PA2</t>
  </si>
  <si>
    <t>AWR_26N_NA</t>
  </si>
  <si>
    <t>AWR_26S_NA</t>
  </si>
  <si>
    <t>AWR_50_PA1</t>
  </si>
  <si>
    <t>AWR_60N_NA1</t>
  </si>
  <si>
    <t>AWR_60N_NA2</t>
  </si>
  <si>
    <t>AWR_60N_NA3</t>
  </si>
  <si>
    <t>AWR_60N_NA4</t>
  </si>
  <si>
    <t>AWR_60N_NA5</t>
  </si>
  <si>
    <t>AWR_60S_NA1</t>
  </si>
  <si>
    <t>AWR_60S_NA2</t>
  </si>
  <si>
    <t>AWR_60S_PA1</t>
  </si>
  <si>
    <t>AWR_60S_PA2</t>
  </si>
  <si>
    <t>AWR_61_NA1</t>
  </si>
  <si>
    <t>AWR_61_NA2</t>
  </si>
  <si>
    <t>AWR_61_NA3</t>
  </si>
  <si>
    <t>AWR_61_NA4</t>
  </si>
  <si>
    <t>AWR_61_NA5</t>
  </si>
  <si>
    <t>AWR_61_NA6</t>
  </si>
  <si>
    <t>AWR_61_PA1</t>
  </si>
  <si>
    <t>AWR_61_PA2</t>
  </si>
  <si>
    <t>AWR_61_PA3</t>
  </si>
  <si>
    <t>AWR_62_NA1</t>
  </si>
  <si>
    <t>AWR_62_NA2</t>
  </si>
  <si>
    <t>AWR_62_NA3</t>
  </si>
  <si>
    <t>AWR_62_NA4</t>
  </si>
  <si>
    <t>AWR_62_NA5</t>
  </si>
  <si>
    <t>AWR_62_NA6</t>
  </si>
  <si>
    <t>AWR_63_NA1</t>
  </si>
  <si>
    <t>AWR_63_NA2</t>
  </si>
  <si>
    <t>AWR_63_NA3</t>
  </si>
  <si>
    <t>AWR_63_NA4</t>
  </si>
  <si>
    <t>AWR_63_NA5</t>
  </si>
  <si>
    <t>AWR_63_PR1</t>
  </si>
  <si>
    <t>AWR_63_PR2</t>
  </si>
  <si>
    <t>AWR_63_PR3</t>
  </si>
  <si>
    <t>AWR_64_NA1</t>
  </si>
  <si>
    <t>AWR_64_NA2</t>
  </si>
  <si>
    <t>AWR_64_PA1</t>
  </si>
  <si>
    <t>AWR_64_PA2</t>
  </si>
  <si>
    <t>AWR_64_PA3</t>
  </si>
  <si>
    <t>AWR_64_XA</t>
  </si>
  <si>
    <t>AWR_71_NA1</t>
  </si>
  <si>
    <t>AWR_71_NA2</t>
  </si>
  <si>
    <t>AWR_71_NA3</t>
  </si>
  <si>
    <t>AWR_71_PA1</t>
  </si>
  <si>
    <t>AWR_71_PA2</t>
  </si>
  <si>
    <t>AWR_71_PA3</t>
  </si>
  <si>
    <t>AWR_71_PA4</t>
  </si>
  <si>
    <t>AWR_71_PA5</t>
  </si>
  <si>
    <t>AWR_71_PA6</t>
  </si>
  <si>
    <t>AWR_71_PA7</t>
  </si>
  <si>
    <t>AWR_71_PA8</t>
  </si>
  <si>
    <t>AWR_72_NA1</t>
  </si>
  <si>
    <t>AWR_72_NA2</t>
  </si>
  <si>
    <t>AWR_72_PA</t>
  </si>
  <si>
    <t>AWR_72_PR1</t>
  </si>
  <si>
    <t>AWR_72_PR2</t>
  </si>
  <si>
    <t>AWR_72_PR3</t>
  </si>
  <si>
    <t>AWR_72_PR4</t>
  </si>
  <si>
    <t>AWR_72_PR5</t>
  </si>
  <si>
    <t>AWR_72_PR6</t>
  </si>
  <si>
    <t>AWR_72_XA1</t>
  </si>
  <si>
    <t>AWR_72_XA2</t>
  </si>
  <si>
    <t>AWR_72_XA3</t>
  </si>
  <si>
    <t>AWR_73_NA</t>
  </si>
  <si>
    <t>AWR_73_PA1</t>
  </si>
  <si>
    <t>AWR_73_PA2</t>
  </si>
  <si>
    <t>AWR_73_PA3</t>
  </si>
  <si>
    <t>AWR_73_XA</t>
  </si>
  <si>
    <t>AWR_90_NA</t>
  </si>
  <si>
    <t>AWR_90_PA1</t>
  </si>
  <si>
    <t>AWR_90_PA2</t>
  </si>
  <si>
    <t>AWR_91_PA</t>
  </si>
  <si>
    <t>AWR_91_PR</t>
  </si>
  <si>
    <t>AWW_05_NA</t>
  </si>
  <si>
    <t>AWW_08N_PA</t>
  </si>
  <si>
    <t>AWW_08N_PR1</t>
  </si>
  <si>
    <t>AWW_08N_PR2</t>
  </si>
  <si>
    <t>AWW_08N_SA1</t>
  </si>
  <si>
    <t>AWW_08N_SA2</t>
  </si>
  <si>
    <t>AWW_08S_PA</t>
  </si>
  <si>
    <t>AWW_08S_PR</t>
  </si>
  <si>
    <t>AWW_08S_SA1</t>
  </si>
  <si>
    <t>AWW_08S_SA2</t>
  </si>
  <si>
    <t>AWW_09_NA</t>
  </si>
  <si>
    <t>AWW_09_PR</t>
  </si>
  <si>
    <t>AWW_09_SA2</t>
  </si>
  <si>
    <t>AWW_10_NA</t>
  </si>
  <si>
    <t>AWW_11_NA</t>
  </si>
  <si>
    <t>AWW_11_PR</t>
  </si>
  <si>
    <t>AWW_11_SA1</t>
  </si>
  <si>
    <t>AWW_11_SA2</t>
  </si>
  <si>
    <t>AWW_11_SA3</t>
  </si>
  <si>
    <t>AWW_11_SA4</t>
  </si>
  <si>
    <t>AWW_12_NA</t>
  </si>
  <si>
    <t>AWW_17N_NR</t>
  </si>
  <si>
    <t>AWW_17N_PR</t>
  </si>
  <si>
    <t>AWW_17S_PR</t>
  </si>
  <si>
    <t>AWW_21_PA</t>
  </si>
  <si>
    <t>AWW_63_PR1</t>
  </si>
  <si>
    <t>AWW_63_PR2</t>
  </si>
  <si>
    <t>AWW_63_PR3</t>
  </si>
  <si>
    <t>AWW_72_PR1</t>
  </si>
  <si>
    <t>AWW_72_PR2</t>
  </si>
  <si>
    <t>AWW_72_PR3</t>
  </si>
  <si>
    <t>AWW_72_PR4</t>
  </si>
  <si>
    <t>AWW_72_PR5</t>
  </si>
  <si>
    <t>AWW_72_PR6</t>
  </si>
  <si>
    <t>AWW_91_PR</t>
  </si>
  <si>
    <t>DP_02_INT</t>
  </si>
  <si>
    <t>DP_03_INT</t>
  </si>
  <si>
    <t>DP_04_INT</t>
  </si>
  <si>
    <t>DP_05_INT</t>
  </si>
  <si>
    <t>DP_06_INT</t>
  </si>
  <si>
    <t>DP_07N_INT</t>
  </si>
  <si>
    <t>DP_07S_INT</t>
  </si>
  <si>
    <t>DP_08N_INT</t>
  </si>
  <si>
    <t>DP_08S_INT</t>
  </si>
  <si>
    <t>DP_09_INT</t>
  </si>
  <si>
    <t>DP_10_INT</t>
  </si>
  <si>
    <t>DP_11_INT</t>
  </si>
  <si>
    <t>DP_12_INT</t>
  </si>
  <si>
    <t>DP_13_INT</t>
  </si>
  <si>
    <t>DP_14_INT</t>
  </si>
  <si>
    <t>DP_15N_INT</t>
  </si>
  <si>
    <t>DP_15S_INT</t>
  </si>
  <si>
    <t>DP_16_INT</t>
  </si>
  <si>
    <t>DP_17N_INT</t>
  </si>
  <si>
    <t>DP_17S_INT</t>
  </si>
  <si>
    <t>DP_18_INT</t>
  </si>
  <si>
    <t>DP_19_INT</t>
  </si>
  <si>
    <t>DP_20_INT</t>
  </si>
  <si>
    <t>DP_21_INT</t>
  </si>
  <si>
    <t>DP_22_INT</t>
  </si>
  <si>
    <t>DP_23_INT</t>
  </si>
  <si>
    <t>DP_24_INT</t>
  </si>
  <si>
    <t>DP_25_INT</t>
  </si>
  <si>
    <t>DP_26N_INT</t>
  </si>
  <si>
    <t>DP_26S_INT</t>
  </si>
  <si>
    <t>DP_50_INT</t>
  </si>
  <si>
    <t>DP_60N_INT</t>
  </si>
  <si>
    <t>DP_60S_INT</t>
  </si>
  <si>
    <t>DP_61_INT</t>
  </si>
  <si>
    <t>DP_62_INT</t>
  </si>
  <si>
    <t>DP_63_INT</t>
  </si>
  <si>
    <t>DP_64_INT</t>
  </si>
  <si>
    <t>DP_71_INT</t>
  </si>
  <si>
    <t>DP_72_INT</t>
  </si>
  <si>
    <t>DP_73_INT</t>
  </si>
  <si>
    <t>DP_90_INT</t>
  </si>
  <si>
    <t>DP_91_INT</t>
  </si>
  <si>
    <t>R_11_SA1</t>
  </si>
  <si>
    <t>RETURN-FLOW</t>
  </si>
  <si>
    <t>R_11_SA2</t>
  </si>
  <si>
    <t>R_11_SA3</t>
  </si>
  <si>
    <t>R_11_SA4</t>
  </si>
  <si>
    <t>SR_02</t>
  </si>
  <si>
    <t>SURFACE-RUNOFF</t>
  </si>
  <si>
    <t>SR_03</t>
  </si>
  <si>
    <t>SR_04</t>
  </si>
  <si>
    <t>SR_05</t>
  </si>
  <si>
    <t>SR_06</t>
  </si>
  <si>
    <t>SR_07N</t>
  </si>
  <si>
    <t>SR_07S</t>
  </si>
  <si>
    <t>SR_08N</t>
  </si>
  <si>
    <t>SR_08S</t>
  </si>
  <si>
    <t>SR_09</t>
  </si>
  <si>
    <t>SR_10</t>
  </si>
  <si>
    <t>SR_11</t>
  </si>
  <si>
    <t>SR_12</t>
  </si>
  <si>
    <t>SR_13</t>
  </si>
  <si>
    <t>SR_14</t>
  </si>
  <si>
    <t>SR_15N</t>
  </si>
  <si>
    <t>SR_15S</t>
  </si>
  <si>
    <t>SR_16</t>
  </si>
  <si>
    <t>SR_17N</t>
  </si>
  <si>
    <t>SR_17S</t>
  </si>
  <si>
    <t>SR_18</t>
  </si>
  <si>
    <t>SR_19</t>
  </si>
  <si>
    <t>SR_20</t>
  </si>
  <si>
    <t>SR_21</t>
  </si>
  <si>
    <t>SR_22</t>
  </si>
  <si>
    <t>SR_23</t>
  </si>
  <si>
    <t>SR_24</t>
  </si>
  <si>
    <t>SR_25</t>
  </si>
  <si>
    <t>SR_26N</t>
  </si>
  <si>
    <t>SR_26S</t>
  </si>
  <si>
    <t>SR_50</t>
  </si>
  <si>
    <t>SR_60N</t>
  </si>
  <si>
    <t>SR_60S</t>
  </si>
  <si>
    <t>SR_61</t>
  </si>
  <si>
    <t>SR_62</t>
  </si>
  <si>
    <t>SR_63</t>
  </si>
  <si>
    <t>SR_64</t>
  </si>
  <si>
    <t>SR_71</t>
  </si>
  <si>
    <t>SR_72</t>
  </si>
  <si>
    <t>SR_73</t>
  </si>
  <si>
    <t>SR_90</t>
  </si>
  <si>
    <t>SR_91</t>
  </si>
  <si>
    <t>TW_02_NA</t>
  </si>
  <si>
    <t>TAILWATER</t>
  </si>
  <si>
    <t>TW_02_PA</t>
  </si>
  <si>
    <t>TW_02_SA</t>
  </si>
  <si>
    <t>TW_03_NA</t>
  </si>
  <si>
    <t>TW_03_PA</t>
  </si>
  <si>
    <t>TW_03_SA</t>
  </si>
  <si>
    <t>TW_04_NA</t>
  </si>
  <si>
    <t>TW_04_PA1</t>
  </si>
  <si>
    <t>TW_04_PA2</t>
  </si>
  <si>
    <t>TW_05_NA</t>
  </si>
  <si>
    <t>TW_06_NA</t>
  </si>
  <si>
    <t>TW_06_PA</t>
  </si>
  <si>
    <t>TW_07N_NA</t>
  </si>
  <si>
    <t>TW_07N_PA</t>
  </si>
  <si>
    <t>TW_07S_NA</t>
  </si>
  <si>
    <t>TW_07S_PA</t>
  </si>
  <si>
    <t>TW_08N_NA</t>
  </si>
  <si>
    <t>TW_08N_PA</t>
  </si>
  <si>
    <t>TW_08N_PR1</t>
  </si>
  <si>
    <t>TW_08N_PR2</t>
  </si>
  <si>
    <t>TW_08N_SA1</t>
  </si>
  <si>
    <t>TW_08N_SA2</t>
  </si>
  <si>
    <t>TW_08S_NA1</t>
  </si>
  <si>
    <t>TW_08S_NA2</t>
  </si>
  <si>
    <t>TW_08S_PA</t>
  </si>
  <si>
    <t>TW_08S_PR</t>
  </si>
  <si>
    <t>TW_08S_SA1</t>
  </si>
  <si>
    <t>TW_08S_SA2</t>
  </si>
  <si>
    <t>TW_08S_SA3</t>
  </si>
  <si>
    <t>TW_09_NA</t>
  </si>
  <si>
    <t>TW_09_PR</t>
  </si>
  <si>
    <t>TW_09_SA1</t>
  </si>
  <si>
    <t>TW_09_SA2</t>
  </si>
  <si>
    <t>TW_10_NA</t>
  </si>
  <si>
    <t>TW_11_NA</t>
  </si>
  <si>
    <t>TW_11_PR</t>
  </si>
  <si>
    <t>TW_11_SA1</t>
  </si>
  <si>
    <t>TW_11_SA2</t>
  </si>
  <si>
    <t>TW_11_SA3</t>
  </si>
  <si>
    <t>TW_11_SA4</t>
  </si>
  <si>
    <t>TW_12_NA</t>
  </si>
  <si>
    <t>TW_12_SA</t>
  </si>
  <si>
    <t>TW_13_NA</t>
  </si>
  <si>
    <t>TW_14_NA</t>
  </si>
  <si>
    <t>TW_15N_NA1</t>
  </si>
  <si>
    <t>TW_15N_NA2</t>
  </si>
  <si>
    <t>TW_15N_SA</t>
  </si>
  <si>
    <t>TW_15S_NA1</t>
  </si>
  <si>
    <t>TW_15S_NA2</t>
  </si>
  <si>
    <t>TW_15S_SA</t>
  </si>
  <si>
    <t>TW_16_NA1</t>
  </si>
  <si>
    <t>TW_16_NA2</t>
  </si>
  <si>
    <t>TW_16_PA</t>
  </si>
  <si>
    <t>TW_16_SA</t>
  </si>
  <si>
    <t>TW_17N_NA</t>
  </si>
  <si>
    <t>TW_17N_NR</t>
  </si>
  <si>
    <t>TW_17N_PR</t>
  </si>
  <si>
    <t>TW_17S_NA</t>
  </si>
  <si>
    <t>TW_17S_PR</t>
  </si>
  <si>
    <t>TW_17S_SA</t>
  </si>
  <si>
    <t>TW_18_NA</t>
  </si>
  <si>
    <t>TW_18_SA</t>
  </si>
  <si>
    <t>TW_19_SA</t>
  </si>
  <si>
    <t>TW_20_NA1</t>
  </si>
  <si>
    <t>TW_20_NA2</t>
  </si>
  <si>
    <t>TW_20_PA</t>
  </si>
  <si>
    <t>TW_21_NA</t>
  </si>
  <si>
    <t>TW_21_PA</t>
  </si>
  <si>
    <t>TW_21_SA</t>
  </si>
  <si>
    <t>TW_22_NA</t>
  </si>
  <si>
    <t>TW_22_SA1</t>
  </si>
  <si>
    <t>TW_22_SA2</t>
  </si>
  <si>
    <t>TW_23_NA</t>
  </si>
  <si>
    <t>TW_24_NA1</t>
  </si>
  <si>
    <t>TW_24_NA2</t>
  </si>
  <si>
    <t>TW_24_NA3</t>
  </si>
  <si>
    <t>TW_25_NA</t>
  </si>
  <si>
    <t>TW_25_PA1</t>
  </si>
  <si>
    <t>TW_25_PA2</t>
  </si>
  <si>
    <t>TW_26N_NA</t>
  </si>
  <si>
    <t>TW_26S_NA</t>
  </si>
  <si>
    <t>TW_50_PA1</t>
  </si>
  <si>
    <t>TW_60N_NA1</t>
  </si>
  <si>
    <t>TW_60N_NA2</t>
  </si>
  <si>
    <t>TW_60N_NA3</t>
  </si>
  <si>
    <t>TW_60N_NA4</t>
  </si>
  <si>
    <t>TW_60N_NA5</t>
  </si>
  <si>
    <t>TW_60S_NA1</t>
  </si>
  <si>
    <t>TW_60S_NA2</t>
  </si>
  <si>
    <t>TW_60S_PA1</t>
  </si>
  <si>
    <t>TW_60S_PA2</t>
  </si>
  <si>
    <t>TW_61_NA1</t>
  </si>
  <si>
    <t>TW_61_NA2</t>
  </si>
  <si>
    <t>TW_61_NA3</t>
  </si>
  <si>
    <t>TW_61_NA4</t>
  </si>
  <si>
    <t>TW_61_NA5</t>
  </si>
  <si>
    <t>TW_61_NA6</t>
  </si>
  <si>
    <t>TW_61_PA1</t>
  </si>
  <si>
    <t>TW_61_PA2</t>
  </si>
  <si>
    <t>TW_61_PA3</t>
  </si>
  <si>
    <t>TW_62_NA1</t>
  </si>
  <si>
    <t>TW_62_NA2</t>
  </si>
  <si>
    <t>TW_62_NA3</t>
  </si>
  <si>
    <t>TW_62_NA4</t>
  </si>
  <si>
    <t>TW_62_NA5</t>
  </si>
  <si>
    <t>TW_62_NA6</t>
  </si>
  <si>
    <t>TW_63_NA1</t>
  </si>
  <si>
    <t>TW_63_NA2</t>
  </si>
  <si>
    <t>TW_63_NA3</t>
  </si>
  <si>
    <t>TW_63_NA4</t>
  </si>
  <si>
    <t>TW_63_NA5</t>
  </si>
  <si>
    <t>TW_63_PR1</t>
  </si>
  <si>
    <t>TW_63_PR2</t>
  </si>
  <si>
    <t>TW_63_PR3</t>
  </si>
  <si>
    <t>TW_64_NA1</t>
  </si>
  <si>
    <t>TW_64_NA2</t>
  </si>
  <si>
    <t>TW_64_PA1</t>
  </si>
  <si>
    <t>TW_64_PA2</t>
  </si>
  <si>
    <t>TW_64_PA3</t>
  </si>
  <si>
    <t>TW_64_XA</t>
  </si>
  <si>
    <t>TW_71_NA1</t>
  </si>
  <si>
    <t>TW_71_NA2</t>
  </si>
  <si>
    <t>TW_71_NA3</t>
  </si>
  <si>
    <t>TW_71_PA1</t>
  </si>
  <si>
    <t>TW_71_PA2</t>
  </si>
  <si>
    <t>TW_71_PA3</t>
  </si>
  <si>
    <t>TW_71_PA4</t>
  </si>
  <si>
    <t>TW_71_PA5</t>
  </si>
  <si>
    <t>TW_71_PA6</t>
  </si>
  <si>
    <t>TW_71_PA7</t>
  </si>
  <si>
    <t>TW_71_PA8</t>
  </si>
  <si>
    <t>TW_72_NA1</t>
  </si>
  <si>
    <t>TW_72_NA2</t>
  </si>
  <si>
    <t>TW_72_PA</t>
  </si>
  <si>
    <t>TW_72_PR1</t>
  </si>
  <si>
    <t>TW_72_PR2</t>
  </si>
  <si>
    <t>TW_72_PR3</t>
  </si>
  <si>
    <t>TW_72_PR4</t>
  </si>
  <si>
    <t>TW_72_PR5</t>
  </si>
  <si>
    <t>TW_72_PR6</t>
  </si>
  <si>
    <t>TW_72_XA1</t>
  </si>
  <si>
    <t>TW_72_XA2</t>
  </si>
  <si>
    <t>TW_72_XA3</t>
  </si>
  <si>
    <t>TW_73_NA</t>
  </si>
  <si>
    <t>TW_73_PA1</t>
  </si>
  <si>
    <t>TW_73_PA2</t>
  </si>
  <si>
    <t>TW_73_PA3</t>
  </si>
  <si>
    <t>TW_73_XA</t>
  </si>
  <si>
    <t>TW_90_NA</t>
  </si>
  <si>
    <t>TW_90_PA1</t>
  </si>
  <si>
    <t>TW_90_PA2</t>
  </si>
  <si>
    <t>TW_91_PA</t>
  </si>
  <si>
    <t>TW_91_PR</t>
  </si>
  <si>
    <t>UD_02_NU</t>
  </si>
  <si>
    <t>URBAN-DEMAND</t>
  </si>
  <si>
    <t>UD_02_PU</t>
  </si>
  <si>
    <t>UD_02_SU</t>
  </si>
  <si>
    <t>UD_03_NU</t>
  </si>
  <si>
    <t>UD_03_PU1</t>
  </si>
  <si>
    <t>UD_03_PU2</t>
  </si>
  <si>
    <t>UD_03_SU</t>
  </si>
  <si>
    <t>UD_04_NU1</t>
  </si>
  <si>
    <t>UD_04_NU2</t>
  </si>
  <si>
    <t>UD_05_NU</t>
  </si>
  <si>
    <t>UD_06_NU</t>
  </si>
  <si>
    <t>UD_07N_NU</t>
  </si>
  <si>
    <t>UD_07S_NU</t>
  </si>
  <si>
    <t>UD_08N_NU</t>
  </si>
  <si>
    <t>UD_08S_NU</t>
  </si>
  <si>
    <t>UD_09_NU</t>
  </si>
  <si>
    <t>UD_10_NU1</t>
  </si>
  <si>
    <t>UD_10_NU2</t>
  </si>
  <si>
    <t>UD_11_NU1</t>
  </si>
  <si>
    <t>UD_11_NU2</t>
  </si>
  <si>
    <t>UD_12_NU1</t>
  </si>
  <si>
    <t>UD_12_NU2</t>
  </si>
  <si>
    <t>UD_13_NU1</t>
  </si>
  <si>
    <t>UD_13_NU2</t>
  </si>
  <si>
    <t>UD_14_NU</t>
  </si>
  <si>
    <t>UD_15N_NU</t>
  </si>
  <si>
    <t>UD_15S_NU</t>
  </si>
  <si>
    <t>UD_16_NU</t>
  </si>
  <si>
    <t>UD_16_PU</t>
  </si>
  <si>
    <t>UD_17N_NU</t>
  </si>
  <si>
    <t>UD_17S_NU</t>
  </si>
  <si>
    <t>UD_18_NU</t>
  </si>
  <si>
    <t>UD_19_NU</t>
  </si>
  <si>
    <t>UD_20_NU1</t>
  </si>
  <si>
    <t>UD_20_NU2</t>
  </si>
  <si>
    <t>UD_21_NU</t>
  </si>
  <si>
    <t>UD_21_PU</t>
  </si>
  <si>
    <t>UD_22_NU</t>
  </si>
  <si>
    <t>UD_23_NU</t>
  </si>
  <si>
    <t>UD_24_NU1</t>
  </si>
  <si>
    <t>UD_24_NU2</t>
  </si>
  <si>
    <t>UD_24_NU3</t>
  </si>
  <si>
    <t>UD_24_NU4</t>
  </si>
  <si>
    <t>UD_25_NU</t>
  </si>
  <si>
    <t>UD_25_PU</t>
  </si>
  <si>
    <t>UD_26N_NU1</t>
  </si>
  <si>
    <t>UD_26N_NU2</t>
  </si>
  <si>
    <t>UD_26N_NU3</t>
  </si>
  <si>
    <t>UD_26N_NU4</t>
  </si>
  <si>
    <t>UD_26N_NU5</t>
  </si>
  <si>
    <t>UD_26N_PU1</t>
  </si>
  <si>
    <t>UD_26N_PU2</t>
  </si>
  <si>
    <t>UD_26N_PU3</t>
  </si>
  <si>
    <t>UD_26S_NU1</t>
  </si>
  <si>
    <t>UD_26S_NU2</t>
  </si>
  <si>
    <t>UD_26S_NU3</t>
  </si>
  <si>
    <t>UD_26S_NU4</t>
  </si>
  <si>
    <t>UD_26S_PU1</t>
  </si>
  <si>
    <t>UD_26S_PU2</t>
  </si>
  <si>
    <t>UD_26S_PU3</t>
  </si>
  <si>
    <t>UD_26S_PU4</t>
  </si>
  <si>
    <t>UD_26S_PU5</t>
  </si>
  <si>
    <t>UD_26S_PU6</t>
  </si>
  <si>
    <t>UD_50_PU</t>
  </si>
  <si>
    <t>UD_60N_NU1</t>
  </si>
  <si>
    <t>UD_60N_NU2</t>
  </si>
  <si>
    <t>UD_60N_PU</t>
  </si>
  <si>
    <t>UD_60S_NU1</t>
  </si>
  <si>
    <t>UD_61_NU1</t>
  </si>
  <si>
    <t>UD_61_NU2</t>
  </si>
  <si>
    <t>UD_61_NU3</t>
  </si>
  <si>
    <t>UD_62_NU</t>
  </si>
  <si>
    <t>UD_63_NU</t>
  </si>
  <si>
    <t>UD_64_NU</t>
  </si>
  <si>
    <t>UD_71_NU</t>
  </si>
  <si>
    <t>UD_71_PU1</t>
  </si>
  <si>
    <t>UD_71_PU2</t>
  </si>
  <si>
    <t>UD_72_NU</t>
  </si>
  <si>
    <t>UD_72_PU</t>
  </si>
  <si>
    <t>UD_73_NU</t>
  </si>
  <si>
    <t>UD_90_PU</t>
  </si>
  <si>
    <t>UD_BNCIA</t>
  </si>
  <si>
    <t>UD_CSPSO</t>
  </si>
  <si>
    <t>UD_EDCOCA_NU1</t>
  </si>
  <si>
    <t>UD_EDCOCA_NU2</t>
  </si>
  <si>
    <t>UD_EDCOCA_NU3</t>
  </si>
  <si>
    <t>UD_ELDID_NU1</t>
  </si>
  <si>
    <t>UD_ELDID_NU2</t>
  </si>
  <si>
    <t>UD_ELDID_NU3</t>
  </si>
  <si>
    <t>UD_FRFLD</t>
  </si>
  <si>
    <t>UD_GDPUD_NU</t>
  </si>
  <si>
    <t>UD_GRSVL</t>
  </si>
  <si>
    <t>UD_NAPA2</t>
  </si>
  <si>
    <t>UD_PCWA3</t>
  </si>
  <si>
    <t>UD_PINES</t>
  </si>
  <si>
    <t>UD_PUTAH</t>
  </si>
  <si>
    <t>UD_SUISN</t>
  </si>
  <si>
    <t>UD_TVAFB</t>
  </si>
  <si>
    <t>UD_VLLJO</t>
  </si>
  <si>
    <t>UD_WLDWD</t>
  </si>
  <si>
    <t>WW_02_NU</t>
  </si>
  <si>
    <t>WASTEWATER</t>
  </si>
  <si>
    <t>WW_02_PU</t>
  </si>
  <si>
    <t>WW_02_SU</t>
  </si>
  <si>
    <t>WW_03_NU</t>
  </si>
  <si>
    <t>WW_03_PU1</t>
  </si>
  <si>
    <t>WW_03_PU2</t>
  </si>
  <si>
    <t>WW_03_PU3</t>
  </si>
  <si>
    <t>WW_03_SU</t>
  </si>
  <si>
    <t>WW_04_NU1</t>
  </si>
  <si>
    <t>WW_04_NU2</t>
  </si>
  <si>
    <t>WW_05_NU</t>
  </si>
  <si>
    <t>WW_06_NU</t>
  </si>
  <si>
    <t>WW_07N_NU</t>
  </si>
  <si>
    <t>WW_07S_NU</t>
  </si>
  <si>
    <t>WW_08N_NU</t>
  </si>
  <si>
    <t>WW_08S_NU</t>
  </si>
  <si>
    <t>WW_09_NU</t>
  </si>
  <si>
    <t>WW_10_NU1</t>
  </si>
  <si>
    <t>WW_10_NU2</t>
  </si>
  <si>
    <t>WW_11_NU1</t>
  </si>
  <si>
    <t>WW_11_NU2</t>
  </si>
  <si>
    <t>WW_12_NU1</t>
  </si>
  <si>
    <t>WW_12_NU2</t>
  </si>
  <si>
    <t>WW_13_NU1</t>
  </si>
  <si>
    <t>WW_13_NU2</t>
  </si>
  <si>
    <t>WW_14_NU</t>
  </si>
  <si>
    <t>WW_15N_NU</t>
  </si>
  <si>
    <t>WW_15S_NU</t>
  </si>
  <si>
    <t>WW_16_NU</t>
  </si>
  <si>
    <t>WW_16_PU</t>
  </si>
  <si>
    <t>WW_17N_NU</t>
  </si>
  <si>
    <t>WW_17S_NU</t>
  </si>
  <si>
    <t>WW_18_NU</t>
  </si>
  <si>
    <t>WW_19_NU</t>
  </si>
  <si>
    <t>WW_20_NU1</t>
  </si>
  <si>
    <t>WW_20_NU2</t>
  </si>
  <si>
    <t>WW_21_NU</t>
  </si>
  <si>
    <t>WW_21_PU</t>
  </si>
  <si>
    <t>WW_22_NU</t>
  </si>
  <si>
    <t>WW_23_NU</t>
  </si>
  <si>
    <t>WW_24_NU1</t>
  </si>
  <si>
    <t>WW_24_NU2</t>
  </si>
  <si>
    <t>WW_24_NU3</t>
  </si>
  <si>
    <t>WW_24_NU4</t>
  </si>
  <si>
    <t>WW_25_NU</t>
  </si>
  <si>
    <t>WW_25_PU</t>
  </si>
  <si>
    <t>WW_26N_NU1</t>
  </si>
  <si>
    <t>WW_26N_NU2</t>
  </si>
  <si>
    <t>WW_26N_NU3</t>
  </si>
  <si>
    <t>WW_26N_NU4</t>
  </si>
  <si>
    <t>WW_26N_NU5</t>
  </si>
  <si>
    <t>WW_26N_PU1</t>
  </si>
  <si>
    <t>WW_26N_PU2</t>
  </si>
  <si>
    <t>WW_26N_PU3</t>
  </si>
  <si>
    <t>WW_26S_NU1</t>
  </si>
  <si>
    <t>WW_26S_NU2</t>
  </si>
  <si>
    <t>WW_26S_NU3</t>
  </si>
  <si>
    <t>WW_26S_NU4</t>
  </si>
  <si>
    <t>WW_26S_PU1</t>
  </si>
  <si>
    <t>WW_26S_PU2</t>
  </si>
  <si>
    <t>WW_26S_PU3</t>
  </si>
  <si>
    <t>WW_26S_PU4</t>
  </si>
  <si>
    <t>WW_26S_PU5</t>
  </si>
  <si>
    <t>WW_26S_PU6</t>
  </si>
  <si>
    <t>WW_60N_NU1</t>
  </si>
  <si>
    <t>WW_60N_NU2</t>
  </si>
  <si>
    <t>WW_60N_PU</t>
  </si>
  <si>
    <t>WW_60S_NU1</t>
  </si>
  <si>
    <t>WW_60S_NU2</t>
  </si>
  <si>
    <t>WW_61_NU1</t>
  </si>
  <si>
    <t>WW_61_NU2</t>
  </si>
  <si>
    <t>WW_61_NU3</t>
  </si>
  <si>
    <t>WW_62_NU</t>
  </si>
  <si>
    <t>WW_63_NU</t>
  </si>
  <si>
    <t>WW_64_NU</t>
  </si>
  <si>
    <t>WW_71_NU</t>
  </si>
  <si>
    <t>WW_71_PU1</t>
  </si>
  <si>
    <t>WW_71_PU2</t>
  </si>
  <si>
    <t>WW_72_NU</t>
  </si>
  <si>
    <t>WW_72_PU</t>
  </si>
  <si>
    <t>WW_73_NU</t>
  </si>
  <si>
    <t>WW_90_PU</t>
  </si>
  <si>
    <t>WW_GDPUD_NU</t>
  </si>
  <si>
    <t>WW_GDPUD_PU</t>
  </si>
  <si>
    <t>WW_GRSVL</t>
  </si>
  <si>
    <t>WW_WLDWD</t>
  </si>
  <si>
    <t>DP_EA_02</t>
  </si>
  <si>
    <t>DP_EA_03</t>
  </si>
  <si>
    <t>DP_EA_05</t>
  </si>
  <si>
    <t>DP_EA_06</t>
  </si>
  <si>
    <t>DP_EA_15S</t>
  </si>
  <si>
    <t>DP_EA_50</t>
  </si>
  <si>
    <t>DP_EA_60N</t>
  </si>
  <si>
    <t>DP_EA_60S</t>
  </si>
  <si>
    <t>DP_EA_61</t>
  </si>
  <si>
    <t>DP_EA_62</t>
  </si>
  <si>
    <t>DP_EA_63</t>
  </si>
  <si>
    <t>DP_EA_64</t>
  </si>
  <si>
    <t>DP_EA_71</t>
  </si>
  <si>
    <t>DP_EA_73</t>
  </si>
  <si>
    <t>DP_EA_90</t>
  </si>
  <si>
    <t>DP_EA_DETAW</t>
  </si>
  <si>
    <t>DP_EA_NBAY</t>
  </si>
  <si>
    <t>DEM_D_ESB415_GABRL_PIN</t>
  </si>
  <si>
    <t>Named: DEM_D887_PIN in spreadsheet. Repeating 12 month value timeseries</t>
  </si>
  <si>
    <t>DEM_D_ESB420_GRGNO_PIN</t>
  </si>
  <si>
    <t>Named: DEM_D888_PIN in spreadsheet. Repeating 12 month value timeseries</t>
  </si>
  <si>
    <t>DEM_D_ESB433_MWDSC_PIN</t>
  </si>
  <si>
    <t>Named: DEM_D899_PIN in spreadsheet. Repeating 12 month value timeseries</t>
  </si>
  <si>
    <t>DEM_D_PRRIS_MWDSC_PIN</t>
  </si>
  <si>
    <t>Named: DEM_D27_PIN in spreadsheet. Repeating 12 month value timeseries</t>
  </si>
  <si>
    <t>DEM_D_SBA009_ACFC_PIN</t>
  </si>
  <si>
    <t>Named: DEM_D810_PIN in spreadsheet. Repeating 12 month value timeseries</t>
  </si>
  <si>
    <t>DEM_D_SBA029_ACWD_PIN</t>
  </si>
  <si>
    <t>Named: DEM_D814_PIN in spreadsheet. Repeating 12 month value timeseries</t>
  </si>
  <si>
    <t>DEM_D_SBA036_SCVWD_PIN</t>
  </si>
  <si>
    <t>Named: DEM_D815_PIN in spreadsheet. Repeating 12 month value timeseries</t>
  </si>
  <si>
    <t>DEM_D_WSB031_MWDSC_PIN</t>
  </si>
  <si>
    <t>Named: DEM_D895_PIN in spreadsheet. Repeating 12 month value timeseries</t>
  </si>
  <si>
    <t>DEM_D_WTPCYC_16_PU_SWP_PIN</t>
  </si>
  <si>
    <t>NBA_LOSSES</t>
  </si>
  <si>
    <t>SEEPAGE</t>
  </si>
  <si>
    <t>Canal Losses</t>
  </si>
  <si>
    <t>Repeating 12 month value timeseries</t>
  </si>
  <si>
    <t>MAMMOTH_STORAGE</t>
  </si>
  <si>
    <t>STORAGE</t>
  </si>
  <si>
    <t>CDEC</t>
  </si>
  <si>
    <t>https://cadwr.box.com/s/4gswi6fo9w7b5gj1rdcethls83jzpbrd</t>
  </si>
  <si>
    <t xml:space="preserve">CDEC - MPL </t>
  </si>
  <si>
    <t>PPT_FOLS</t>
  </si>
  <si>
    <t>PRECIP</t>
  </si>
  <si>
    <t>Average Basin Precipitation</t>
  </si>
  <si>
    <t>INCHES</t>
  </si>
  <si>
    <t>PPT_ME</t>
  </si>
  <si>
    <t>PPT_OROV</t>
  </si>
  <si>
    <t>PPT_SHAS</t>
  </si>
  <si>
    <t>PPT_SJ</t>
  </si>
  <si>
    <t>PPT_ST</t>
  </si>
  <si>
    <t>PPT_TU</t>
  </si>
  <si>
    <t>PPT_YUBA</t>
  </si>
  <si>
    <t>UF_CULOS</t>
  </si>
  <si>
    <t>CONSUMPTIVE-USE</t>
  </si>
  <si>
    <t xml:space="preserve">CDEC ID and data download information in the "CDEC_UF_CULOS" Spreadsheet </t>
  </si>
  <si>
    <t>UNIMP_FOLS</t>
  </si>
  <si>
    <t>FLOW-UNIMPAIRED</t>
  </si>
  <si>
    <t>CDEC ID Provided in CDEC_UNIMP Spreadsheet, derived from Bulletin 120</t>
  </si>
  <si>
    <t>UNIMP_ME</t>
  </si>
  <si>
    <t>UNIMP_OROV</t>
  </si>
  <si>
    <t>UNIMP_SHAS</t>
  </si>
  <si>
    <t>UNIMP_SJ</t>
  </si>
  <si>
    <t>UNIMP_SRBB</t>
  </si>
  <si>
    <t>UNIMP_ST</t>
  </si>
  <si>
    <t>UNIMP_TRIN</t>
  </si>
  <si>
    <t>UNIMP_TU</t>
  </si>
  <si>
    <t>UNIMP_YUBA</t>
  </si>
  <si>
    <t>CT_BENDBRIDGE_SV</t>
  </si>
  <si>
    <t>CLOSURE-TERM</t>
  </si>
  <si>
    <t>Closure Term Spreadsheets</t>
  </si>
  <si>
    <t>https://cadwr.box.com/s/jn0fz1yex2hg5rtc21ctjp27n7a0056a</t>
  </si>
  <si>
    <t>CT_BUTTECITY_SV</t>
  </si>
  <si>
    <t>CT_COLUSA_SV</t>
  </si>
  <si>
    <t>Set to 0. No source documentation available</t>
  </si>
  <si>
    <t>CT_DAVIS_SV</t>
  </si>
  <si>
    <t>CT_FAIROAKS_SV</t>
  </si>
  <si>
    <t>Derived from CS3_I_FOLSM Spreadsheet</t>
  </si>
  <si>
    <t>CT_FREEPORT_SV</t>
  </si>
  <si>
    <t>CT_GRAFORD_SV</t>
  </si>
  <si>
    <t>CT_GRAVELLYFORD_SV</t>
  </si>
  <si>
    <t>CT_MERCED_SV</t>
  </si>
  <si>
    <t>CT_MODESTO_SV</t>
  </si>
  <si>
    <t>CT_MUDSLOUGH_SV</t>
  </si>
  <si>
    <t>CT_NICOLAUS_SV</t>
  </si>
  <si>
    <t>CT_OROVILLE_SV</t>
  </si>
  <si>
    <t>Derived from CS3_I_OROVL Spreadsheet</t>
  </si>
  <si>
    <t>CT_PARDE_SV</t>
  </si>
  <si>
    <t>CT_RIPON_SV</t>
  </si>
  <si>
    <t>CT_SACSLOUGH_SV</t>
  </si>
  <si>
    <t>Merged with CT_Verona, timeseries set to 0; No source documentation available</t>
  </si>
  <si>
    <t>CT_SALTSLOUGH_SV</t>
  </si>
  <si>
    <t xml:space="preserve">CT_SALTSLOUGH_SV Spreadsheet </t>
  </si>
  <si>
    <t>CT_SMARTVILLE_SV</t>
  </si>
  <si>
    <t>CT_STEVINSON_SV</t>
  </si>
  <si>
    <t>CT_VERNALIS_SV</t>
  </si>
  <si>
    <t>CT_VERONA_SV</t>
  </si>
  <si>
    <t>CT_WHEATLAND_SV</t>
  </si>
  <si>
    <t>CT_WILKINSSL_SV</t>
  </si>
  <si>
    <t>CT_WOODLAND_SV</t>
  </si>
  <si>
    <t>CT_YOLO_SV</t>
  </si>
  <si>
    <t>ER_ALDER</t>
  </si>
  <si>
    <t>EVAPORATION-RATE</t>
  </si>
  <si>
    <t>Evaporation Rate Spreadsheets</t>
  </si>
  <si>
    <t>https://cadwr.box.com/s/qf9cqzo06jznjjiodofztzjor7w3iqxg</t>
  </si>
  <si>
    <t>Alder Reservoir Evaporation Rate</t>
  </si>
  <si>
    <t>ER_ALMNR</t>
  </si>
  <si>
    <t>Lake Almanor Evaporation Rate</t>
  </si>
  <si>
    <t>ER_ALOHA</t>
  </si>
  <si>
    <t>Lake Aloha Evaporation Rate</t>
  </si>
  <si>
    <t>ER_AMADR</t>
  </si>
  <si>
    <t>Amador Reservoir Evaporation Rate</t>
  </si>
  <si>
    <t>ER_ANTLP</t>
  </si>
  <si>
    <t>Lake Antelope Evaporation Rate</t>
  </si>
  <si>
    <t>ER_BANOS</t>
  </si>
  <si>
    <t>Banos Reservoir Evaporation Rate</t>
  </si>
  <si>
    <t>ER_BASSL</t>
  </si>
  <si>
    <t>Bass Lake Evaporation Rate</t>
  </si>
  <si>
    <t>ER_BEARD</t>
  </si>
  <si>
    <t>Beardsley Reservoir Evaporation Rate</t>
  </si>
  <si>
    <t>ER_BLKBT</t>
  </si>
  <si>
    <t>Black Butte Reservoir Evaporation Rate</t>
  </si>
  <si>
    <t>ER_BOWMN</t>
  </si>
  <si>
    <t>Bowman Lake Reservoir Evaporation Rate</t>
  </si>
  <si>
    <t>ER_BRYSA</t>
  </si>
  <si>
    <t>Lake Berryessa Evaporation Rate</t>
  </si>
  <si>
    <t>ER_BTVLY</t>
  </si>
  <si>
    <t>Butt Valley Reservoir Evaporation Rate</t>
  </si>
  <si>
    <t>ER_BUCKS</t>
  </si>
  <si>
    <t>Bucks Lake Evaporation Rate</t>
  </si>
  <si>
    <t>ER_CAPLS</t>
  </si>
  <si>
    <t>Lake Caples Evaporation Rate</t>
  </si>
  <si>
    <t>ER_CLRLK</t>
  </si>
  <si>
    <t>Clear Lake Evaporation Rate</t>
  </si>
  <si>
    <t>ER_CMBIE</t>
  </si>
  <si>
    <t>Combie Lake Evaporation Rate</t>
  </si>
  <si>
    <t>ER_CMCHE</t>
  </si>
  <si>
    <t>Camanche Reservoir Evaporation Rate</t>
  </si>
  <si>
    <t>ER_CMPFW</t>
  </si>
  <si>
    <t>Camp Far West Reservoir Evaporation Rate</t>
  </si>
  <si>
    <t>ER_CSTIC</t>
  </si>
  <si>
    <t>Lake Castaic Net Evaporation Rate</t>
  </si>
  <si>
    <t>Located in "Other" Subfolder</t>
  </si>
  <si>
    <t>ER_DAVIS</t>
  </si>
  <si>
    <t>Lake Davis Evaporation Rate</t>
  </si>
  <si>
    <t>ER_DELVE</t>
  </si>
  <si>
    <t>Del Valle Reservoir Net Evaporation Rate</t>
  </si>
  <si>
    <t>ER_DONLL</t>
  </si>
  <si>
    <t>Donnell Reservoir Evaporation Rate</t>
  </si>
  <si>
    <t>ER_ECHOL</t>
  </si>
  <si>
    <t>Echo Lake Evaporation Rate</t>
  </si>
  <si>
    <t>ER_EDSON</t>
  </si>
  <si>
    <t>Edison Reservoir Evaporation Rate</t>
  </si>
  <si>
    <t>ER_ELENR</t>
  </si>
  <si>
    <t>Eleanor Reservoir Evaporation Rate</t>
  </si>
  <si>
    <t>ER_ENGLB</t>
  </si>
  <si>
    <t>Englebright Lake Evaporation Rate</t>
  </si>
  <si>
    <t>ER_EPARK</t>
  </si>
  <si>
    <t>Estimated East Park Reservoir Evaporation Rate</t>
  </si>
  <si>
    <t>ER_ESTMN</t>
  </si>
  <si>
    <t>Eastman Lake Evaporation Rate</t>
  </si>
  <si>
    <t>ER_FLRNC</t>
  </si>
  <si>
    <t>Florence Reservoir Evaporation Rate</t>
  </si>
  <si>
    <t>ER_FOLSM</t>
  </si>
  <si>
    <t>Lake Folsom Evaporation Rate</t>
  </si>
  <si>
    <t>ER_FRDYC</t>
  </si>
  <si>
    <t>Fordyce Lake Reservoir Evaporation Rate</t>
  </si>
  <si>
    <t>ER_FRMAN</t>
  </si>
  <si>
    <t>Frenchman Reservoir Evaporation Rate</t>
  </si>
  <si>
    <t>ER_FRMDW</t>
  </si>
  <si>
    <t>French Meadows Reservoir Evaporation Rate</t>
  </si>
  <si>
    <t>ER_FRNCH</t>
  </si>
  <si>
    <t>French Lake Reservoir Evaporation Rate</t>
  </si>
  <si>
    <t>ER_GERLE</t>
  </si>
  <si>
    <t>Gerle Reservoir Evaporation Rate</t>
  </si>
  <si>
    <t>ER_HHOLE</t>
  </si>
  <si>
    <t>Hell Hole Reservoir Evaporation Rate</t>
  </si>
  <si>
    <t>ER_HNGTN</t>
  </si>
  <si>
    <t>Huntington Reservoir Evaporation Rate</t>
  </si>
  <si>
    <t>ER_HNSLY</t>
  </si>
  <si>
    <t>Hensley Lake Evaporation Rate</t>
  </si>
  <si>
    <t>ER_HTCHY</t>
  </si>
  <si>
    <t>Hetch Hetchy Reservoir Evaporation Rate</t>
  </si>
  <si>
    <t>ER_ICEHS</t>
  </si>
  <si>
    <t>Ice House Evaporation Rate</t>
  </si>
  <si>
    <t>ER_INDVL</t>
  </si>
  <si>
    <t>Indian Valley Reservoir Evaporation Rate</t>
  </si>
  <si>
    <t>ER_JKSMD</t>
  </si>
  <si>
    <t>Jackson Meadows Reservoir Evaporation Rate</t>
  </si>
  <si>
    <t>ER_JNKSN</t>
  </si>
  <si>
    <t>Jenkinson Reservoir Evaporation Rate</t>
  </si>
  <si>
    <t>ER_KSWCK</t>
  </si>
  <si>
    <t>Estimated Keswick Reservoir Evaporation Rate</t>
  </si>
  <si>
    <t>ER_LBEAR</t>
  </si>
  <si>
    <t>Lower Bear Reservoir Evaporation Rate</t>
  </si>
  <si>
    <t>ER_LCBRF</t>
  </si>
  <si>
    <t>Upper Rock, Lower Rock, Upper Lindsey, Middle Lindsey, Lower Lindsey, Culbertson, Feeley, Carr, Blue, Rucker</t>
  </si>
  <si>
    <t>ER_LGRSV</t>
  </si>
  <si>
    <t>Little Grass Valley Reservoir Evaporation Rate</t>
  </si>
  <si>
    <t>ER_LKVLY</t>
  </si>
  <si>
    <t>Lake Valley Evaporation Rate</t>
  </si>
  <si>
    <t>ER_LOONL</t>
  </si>
  <si>
    <t>Loon Lake Evaporation Rate</t>
  </si>
  <si>
    <t>ER_LOSVQ</t>
  </si>
  <si>
    <t>Los Vaqueros Reservoir Evaporation Rate</t>
  </si>
  <si>
    <t>ER_LWSTN</t>
  </si>
  <si>
    <t>Estimated Lake Lewiston Evaporation Rate</t>
  </si>
  <si>
    <t>ER_LYONS</t>
  </si>
  <si>
    <t>Lyons Reservoir Evaporation Rate</t>
  </si>
  <si>
    <t>ER_MAMTH</t>
  </si>
  <si>
    <t>Mammoth Reservoir Evaporation Rate</t>
  </si>
  <si>
    <t>ER_MCLRE</t>
  </si>
  <si>
    <t>Lake McClure Evaporation Rate</t>
  </si>
  <si>
    <t>ER_MDSTO</t>
  </si>
  <si>
    <t>Modesto Reservoir Evaporation Rate</t>
  </si>
  <si>
    <t>ER_MELON</t>
  </si>
  <si>
    <t>New Melones Reservoir Evaporation Rate</t>
  </si>
  <si>
    <t>ER_MERLC</t>
  </si>
  <si>
    <t>Merle Collins Reservoir Evaporation Rate</t>
  </si>
  <si>
    <t>ER_MLRTN</t>
  </si>
  <si>
    <t>Millerton Lake Evaporation Rate</t>
  </si>
  <si>
    <t>ER_MTMDW</t>
  </si>
  <si>
    <t>Mountain Meadows Reservoir Evaporation Rate</t>
  </si>
  <si>
    <t>ER_NBLDB</t>
  </si>
  <si>
    <t>New Bullards Dam Reservoir Evaporation Rate</t>
  </si>
  <si>
    <t>ER_NHGAN</t>
  </si>
  <si>
    <t>New Hogan Reservoir Evaporation Rate</t>
  </si>
  <si>
    <t>ER_NTOMA</t>
  </si>
  <si>
    <t>Estimated Natoma Lake Evaporation Rate</t>
  </si>
  <si>
    <t>ER_OROVL</t>
  </si>
  <si>
    <t>Lake Oroville Evaporation Rate</t>
  </si>
  <si>
    <t>ER_PARDE</t>
  </si>
  <si>
    <t>Pardee Reservoir Evaporation Rate</t>
  </si>
  <si>
    <t>ER_PCRST</t>
  </si>
  <si>
    <t>Pine Crest Reservoir Evaporation Rate</t>
  </si>
  <si>
    <t>ER_PEDRO</t>
  </si>
  <si>
    <t>New Don Pedro Reservoir Evaporation Rate</t>
  </si>
  <si>
    <t>ER_PRRIS</t>
  </si>
  <si>
    <t>Lake Perris Net Evaporation Rate</t>
  </si>
  <si>
    <t>ER_PYRMD</t>
  </si>
  <si>
    <t>Pyramid Lake Net Evaporation Rate</t>
  </si>
  <si>
    <t>ER_RDNGR</t>
  </si>
  <si>
    <t>Redinger Reservoir Evaporation Rate</t>
  </si>
  <si>
    <t>ER_RLIEF</t>
  </si>
  <si>
    <t>Relief Reservoir Evaporation Rate</t>
  </si>
  <si>
    <t>ER_RLLNS</t>
  </si>
  <si>
    <t>Rollins Reservoir Evaporation Rate</t>
  </si>
  <si>
    <t>ER_RNCHO</t>
  </si>
  <si>
    <t>Calero, Chesbro, Clementia Reservoirs Evaporation Rate</t>
  </si>
  <si>
    <t>ER_RVPHB</t>
  </si>
  <si>
    <t>Round Valley/Philbrook Reservoir Evaporation Rate</t>
  </si>
  <si>
    <t>ER_SCOTF</t>
  </si>
  <si>
    <t>Scott Flat Reservoir Evaporation Rate</t>
  </si>
  <si>
    <t>ER_SGRGE</t>
  </si>
  <si>
    <t>Estimated Stony Gorge Reservoir Evaporation Rate</t>
  </si>
  <si>
    <t>ER_SHSTA</t>
  </si>
  <si>
    <t>Estimated Shasta Lake Evaporation Rate</t>
  </si>
  <si>
    <t>ER_SHVER</t>
  </si>
  <si>
    <t>Shiver Reservoir Evaporation Rate</t>
  </si>
  <si>
    <t>ER_SILVR</t>
  </si>
  <si>
    <t>Silver Lake Evaporation Rate</t>
  </si>
  <si>
    <t>ER_SLTSP</t>
  </si>
  <si>
    <t>Salt Springs Reservoir Evaporation Rate</t>
  </si>
  <si>
    <t>ER_SLUIS</t>
  </si>
  <si>
    <t>San Luis Reservoir Evaporation Rate</t>
  </si>
  <si>
    <t>ER_SLYCK</t>
  </si>
  <si>
    <t>Sly Creek Reservoir Evaporation Rate</t>
  </si>
  <si>
    <t>ER_SPICE</t>
  </si>
  <si>
    <t>Spicer Meadows Reservoir Evaporation Rate</t>
  </si>
  <si>
    <t>ER_SPLDG</t>
  </si>
  <si>
    <t>Spaulding Reservoir Evaporation Rate</t>
  </si>
  <si>
    <t>ER_STMPY</t>
  </si>
  <si>
    <t>Stumpy Reservoir Evaporation Rate</t>
  </si>
  <si>
    <t>ER_SVRWD</t>
  </si>
  <si>
    <t>Silverwood Lake Net Evaporation Rate</t>
  </si>
  <si>
    <t>ER_THRMA</t>
  </si>
  <si>
    <t>Thermalito Afterbay Evaporation Rate</t>
  </si>
  <si>
    <t>ER_THRMF</t>
  </si>
  <si>
    <t>Thermalito Forebay Evaporation Rate</t>
  </si>
  <si>
    <t>ER_TRLCK</t>
  </si>
  <si>
    <t>Turlock Reservoir Evaporation Rate</t>
  </si>
  <si>
    <t>ER_TRNTY</t>
  </si>
  <si>
    <t>Estimated Trinity Lake Evaporation Rate</t>
  </si>
  <si>
    <t>ER_TULOC</t>
  </si>
  <si>
    <t>Tulloch Reservoir Evaporation Rate</t>
  </si>
  <si>
    <t>ER_UBEAR</t>
  </si>
  <si>
    <t>Upper Bear Reservoir Evaporation Rate</t>
  </si>
  <si>
    <t>ER_UNVLY</t>
  </si>
  <si>
    <t>Union Valley Reservoir Evaporation Rate</t>
  </si>
  <si>
    <t>ER_WDWRD</t>
  </si>
  <si>
    <t>Woodward Reservoir Evaporation Rate</t>
  </si>
  <si>
    <t>ER_WKYTN</t>
  </si>
  <si>
    <t>Estimated Whiskeytown Lake Evaporation Rate</t>
  </si>
  <si>
    <t>E_PEDRO_SV</t>
  </si>
  <si>
    <t>EVAPORATION</t>
  </si>
  <si>
    <t>Preprocessed New Don Pedro Reservoir Evaporation Rate</t>
  </si>
  <si>
    <t>Copy of ER_PEDRO; Derived from ER_PEDRO Spreadsheet; Used in Upper Tuolumne Module to estimate evaporation loss from CCSF Water Bank</t>
  </si>
  <si>
    <t>DEM_NAPA_PIN</t>
  </si>
  <si>
    <t>DEM_SCWA_PIN</t>
  </si>
  <si>
    <t>I_WLF013</t>
  </si>
  <si>
    <t>INFLOW</t>
  </si>
  <si>
    <t>Inflow Spreadsheets</t>
  </si>
  <si>
    <t>https://cadwr.box.com/s/htyuwr7vw9xsdoggaq428wl9efz9myr8</t>
  </si>
  <si>
    <t>Wolf Creek</t>
  </si>
  <si>
    <t>I_WBR001</t>
  </si>
  <si>
    <t>Weber Creek Inflow</t>
  </si>
  <si>
    <t>I_UBEAR</t>
  </si>
  <si>
    <t>Upper Bear River Reservoir Inflow</t>
  </si>
  <si>
    <t>I_TUO054</t>
  </si>
  <si>
    <t>Tuolumne River local inflow, New Don Pedro Reservoir to LaGrange Dam</t>
  </si>
  <si>
    <t>I_TGC003</t>
  </si>
  <si>
    <t>Tiger Creek above Regulation Reservoir</t>
  </si>
  <si>
    <t>I_THM028</t>
  </si>
  <si>
    <t>Thomes Creek</t>
  </si>
  <si>
    <t>EBTML_LOSS</t>
  </si>
  <si>
    <t>LOSS</t>
  </si>
  <si>
    <t xml:space="preserve">Terminal Reservoir Losses (Data received from EBMUD) </t>
  </si>
  <si>
    <t xml:space="preserve">Derived in I_EBTML spreadsheet </t>
  </si>
  <si>
    <t>I_SFY048</t>
  </si>
  <si>
    <t>South Fork Yuba River at Cisco</t>
  </si>
  <si>
    <t>I_SFR006</t>
  </si>
  <si>
    <t>South Fork Rubicon River Inflow</t>
  </si>
  <si>
    <t>I_SFM005</t>
  </si>
  <si>
    <t>South Fork Mokelumne River near West Point</t>
  </si>
  <si>
    <t>I_SLC003</t>
  </si>
  <si>
    <t>South Fork Long Canyon Creek at Diversion Tunnel</t>
  </si>
  <si>
    <t>I_LGRSV</t>
  </si>
  <si>
    <t>South Fork Feather Inflow to Little Grass Valley Reservoir</t>
  </si>
  <si>
    <t>I_SCW008</t>
  </si>
  <si>
    <t>South Fork Cottonwood Creek</t>
  </si>
  <si>
    <t>I_SFA066</t>
  </si>
  <si>
    <t>South Fork American River near Kyburz</t>
  </si>
  <si>
    <t>I_SLT009</t>
  </si>
  <si>
    <t>Slate Creek above Slate Creek Diversion Dam</t>
  </si>
  <si>
    <t>I_PCRST</t>
  </si>
  <si>
    <t>SF Stanislaus inflow to Pine Crest Reservoir</t>
  </si>
  <si>
    <t>I_LYONS</t>
  </si>
  <si>
    <t>SF Stanislaus inflow to Lyons Reservoir</t>
  </si>
  <si>
    <t>I_SFS030</t>
  </si>
  <si>
    <t>SF Stanislaus inflow near Strawberry at Diversion Dam</t>
  </si>
  <si>
    <t>I_SFS033</t>
  </si>
  <si>
    <t>SF Stanislaus inflow at Strawberry</t>
  </si>
  <si>
    <t>I_MLRTN_SJR</t>
  </si>
  <si>
    <t>FLOW-INFLOW</t>
  </si>
  <si>
    <t>San Joaquin River inflow to Temperance Flat</t>
  </si>
  <si>
    <t>Derived in the I_MLRTN Spreadsheet</t>
  </si>
  <si>
    <t>I_SLTSP</t>
  </si>
  <si>
    <t>Salt Springs Reservoir Inflow</t>
  </si>
  <si>
    <t>I_SLO007</t>
  </si>
  <si>
    <t>Salado Creek</t>
  </si>
  <si>
    <t>I_RLLNS</t>
  </si>
  <si>
    <t>Rollins Reservoir Inflows (Full Natural Flow)</t>
  </si>
  <si>
    <t>I_RCK001</t>
  </si>
  <si>
    <t>Rock Creek Inflow</t>
  </si>
  <si>
    <t>I_RLIEF</t>
  </si>
  <si>
    <t>Relief Creek inflow to Relief Reservoir</t>
  </si>
  <si>
    <t>I_QNT005</t>
  </si>
  <si>
    <t>Quinto Creek</t>
  </si>
  <si>
    <t>I_PYR001</t>
  </si>
  <si>
    <t>Pyramid Creek - accretion btwn Lake Aloha and USGS gauge at Twin Bridges</t>
  </si>
  <si>
    <t>I_BRR023</t>
  </si>
  <si>
    <t>Proposed Garden Bar Dam Site</t>
  </si>
  <si>
    <t>I_PLM001</t>
  </si>
  <si>
    <t>Plum Creek Inflow</t>
  </si>
  <si>
    <t>I_TUO105</t>
  </si>
  <si>
    <t xml:space="preserve">Placeholder - Local Inflow to the Tuolumne River near the Early Intake Diversion Dam </t>
  </si>
  <si>
    <t>Placeholder Inflow - No Source Documentation Available</t>
  </si>
  <si>
    <t>I_NFF046</t>
  </si>
  <si>
    <t>Placeholder - Local Inflow to North Fork Feather River</t>
  </si>
  <si>
    <t>I_NFF058</t>
  </si>
  <si>
    <t>I_SFT003</t>
  </si>
  <si>
    <t>Placeholder - Boundary Inflow to the South Fork Tuolumne River</t>
  </si>
  <si>
    <t>I_NFT008</t>
  </si>
  <si>
    <t>Placeholder - Boundary Inflow to the North Fork Tuolumne River</t>
  </si>
  <si>
    <t>I_MOC003</t>
  </si>
  <si>
    <t xml:space="preserve">Placeholder - Boundary Inflow to Moccassin Creek </t>
  </si>
  <si>
    <t>I_BCM003</t>
  </si>
  <si>
    <t>Placeholder - Boundary inflow to Middle Fork Mokelumne</t>
  </si>
  <si>
    <t>I_CVY009</t>
  </si>
  <si>
    <t>Placeholder - Boundary Inflow to Clavey River near Bucks Meadow</t>
  </si>
  <si>
    <t>I_CHY006</t>
  </si>
  <si>
    <t xml:space="preserve">Placeholder - Boundary Inflow to Cherry Creek </t>
  </si>
  <si>
    <t>I_MFT000</t>
  </si>
  <si>
    <t xml:space="preserve">Placeholder - Boundary Inflow at Middle Fork Tuolumne </t>
  </si>
  <si>
    <t>I_JWB001</t>
  </si>
  <si>
    <t>Placeholder - Boundary Inflow at Jawbone Creek near Tuolumne</t>
  </si>
  <si>
    <t>I_STMPY</t>
  </si>
  <si>
    <t>Pilot Creek Inflow to Stumpy Meadows Reservoir</t>
  </si>
  <si>
    <t>I_PLC007</t>
  </si>
  <si>
    <t>Pilot Creek at Diversion Dam</t>
  </si>
  <si>
    <t>I_PYN001</t>
  </si>
  <si>
    <t>Payne and Sevenmile Creeks</t>
  </si>
  <si>
    <t>I_ORG000</t>
  </si>
  <si>
    <t>Ortigalita Creek</t>
  </si>
  <si>
    <t>I_ORT014</t>
  </si>
  <si>
    <t>Orestimba Creek</t>
  </si>
  <si>
    <t>I_OGN005</t>
  </si>
  <si>
    <t>Oregon Creek at Log Cabin Diversion Dam</t>
  </si>
  <si>
    <t>I_NFY029</t>
  </si>
  <si>
    <t>North Fork Yuba at Goodyears Bar</t>
  </si>
  <si>
    <t>I_NFS009</t>
  </si>
  <si>
    <t>North Fork Stanislaus near Avery Accretion</t>
  </si>
  <si>
    <t>I_NFS033</t>
  </si>
  <si>
    <t>North Fork Stanislaus at Diversion Dam near Big Meadows</t>
  </si>
  <si>
    <t>I_NMA003</t>
  </si>
  <si>
    <t>North Fork of Middle Fork American River Inflow</t>
  </si>
  <si>
    <t>I_NFM010</t>
  </si>
  <si>
    <t>North Fork Mokelumne below Tiger Creek Reservoir</t>
  </si>
  <si>
    <t>I_NLC003</t>
  </si>
  <si>
    <t>North Fork Long Canyon Creek at Diversion Tunnel</t>
  </si>
  <si>
    <t>I_NFA022</t>
  </si>
  <si>
    <t>North Fork American River at Confluence with North Fork of North Fork</t>
  </si>
  <si>
    <t>I_NFA054</t>
  </si>
  <si>
    <t>I_NFS005</t>
  </si>
  <si>
    <t>NF Stanislaus bw McKays Point Dam</t>
  </si>
  <si>
    <t>I_WKYTN</t>
  </si>
  <si>
    <t>Natural inflow to Whiskeytown Reservoir</t>
  </si>
  <si>
    <t>I_MOK079</t>
  </si>
  <si>
    <t>Mokelumne River near Mokelumne Hill</t>
  </si>
  <si>
    <t>I_MNS000</t>
  </si>
  <si>
    <t>Minor North-East Streams: 
(a) - Salt Creek 
(b) - Little Antelope Creek, Dye Creek 
(c) - Big Dry Creek, Little Dry Creek 
(d) - Singer Creek, Pine Creek, Campbell Creek, Rock Creek, Mud Creek</t>
  </si>
  <si>
    <t>I_MIL003</t>
  </si>
  <si>
    <t>Mill Creek above Hunters Reservoir</t>
  </si>
  <si>
    <t>I_MLC006</t>
  </si>
  <si>
    <t>Mill Creek</t>
  </si>
  <si>
    <t>I_MFM008</t>
  </si>
  <si>
    <t>Middle Fork Mokelumne River near West Point</t>
  </si>
  <si>
    <t>I_MFF019</t>
  </si>
  <si>
    <t>Middle Fork Feather River near Merrimac</t>
  </si>
  <si>
    <t>I_FRMDW</t>
  </si>
  <si>
    <t>Middle Fork American River Inflow</t>
  </si>
  <si>
    <t>I_MFF087</t>
  </si>
  <si>
    <t>MFF Local Infow near Portola</t>
  </si>
  <si>
    <t>I_MFS013</t>
  </si>
  <si>
    <t>MF Stanislaus at Sand Bar Diversion Dam</t>
  </si>
  <si>
    <t>I_MFS047</t>
  </si>
  <si>
    <t>MF Stanislaus at Kennedy</t>
  </si>
  <si>
    <t>I_MCD055</t>
  </si>
  <si>
    <t>Merced River Accretion Exchequer Dam to Crocker-Huffman Dam</t>
  </si>
  <si>
    <t>I_MSH015</t>
  </si>
  <si>
    <t>Marsh Creek</t>
  </si>
  <si>
    <t>I_BANOS</t>
  </si>
  <si>
    <t>Los Banos</t>
  </si>
  <si>
    <t>I_LNG012</t>
  </si>
  <si>
    <t>Long Canyon Creek below North Fork</t>
  </si>
  <si>
    <t>I_MFY013</t>
  </si>
  <si>
    <t>Local Inflows to the Middle Fork Yuba River at Our House Dam</t>
  </si>
  <si>
    <t>I_SFY007</t>
  </si>
  <si>
    <t>Local Inflows to South Fork Yuba River</t>
  </si>
  <si>
    <t>I_SFD003</t>
  </si>
  <si>
    <t>Local Inflows to South Fork Deer Creek</t>
  </si>
  <si>
    <t>I_SFA030</t>
  </si>
  <si>
    <t>Local Inflows to South Fork American River nr Placerville</t>
  </si>
  <si>
    <t>I_SFA040</t>
  </si>
  <si>
    <t>Local Inflows to South Fork American River near Camino, below Slab Creek Reservoir</t>
  </si>
  <si>
    <t>I_SLF009</t>
  </si>
  <si>
    <t>Local Inflows to Silver Fork American River</t>
  </si>
  <si>
    <t>I_SCOTF</t>
  </si>
  <si>
    <t>Local Inflows to Scotts Flat Reservoir</t>
  </si>
  <si>
    <t>I_RUB002</t>
  </si>
  <si>
    <t>Local Inflows to Rubicon River</t>
  </si>
  <si>
    <t>I_NFA016</t>
  </si>
  <si>
    <t>Local Inflows to North Fork American above Pump Station</t>
  </si>
  <si>
    <t>I_MFA036</t>
  </si>
  <si>
    <t>Local Inflows to Middle Fork American River at Interbay Diversion Dam</t>
  </si>
  <si>
    <t>I_MFA023</t>
  </si>
  <si>
    <t>Local Inflows to Middle Fork American near Foresthill</t>
  </si>
  <si>
    <t>I_MFA001</t>
  </si>
  <si>
    <t>Local Inflows to Middle Fork American near Auburn</t>
  </si>
  <si>
    <t>I_MFA025</t>
  </si>
  <si>
    <t>Local Inflows to Middle Fork American at Ralston Afterbay</t>
  </si>
  <si>
    <t>I_OROVL</t>
  </si>
  <si>
    <t>Local Inflows to Lake Oroville</t>
  </si>
  <si>
    <t>I_HHOLE</t>
  </si>
  <si>
    <t>Local Inflows to Hell Hole Reservoir</t>
  </si>
  <si>
    <t>I_GERLE</t>
  </si>
  <si>
    <t>Local Inflows to Gerle Creek above Gerle Reservoir</t>
  </si>
  <si>
    <t>I_DER001</t>
  </si>
  <si>
    <t>Local Inflows to Deer Creek near Smartsville</t>
  </si>
  <si>
    <t>I_DER004</t>
  </si>
  <si>
    <t>Local Inflows to Deer Creek above Lake Wildwood</t>
  </si>
  <si>
    <t>I_CLR011</t>
  </si>
  <si>
    <t>Local inflows to Clear Creek downstream of Whiskeytown Dam</t>
  </si>
  <si>
    <t>I_SFA076</t>
  </si>
  <si>
    <t>Local Inflows for South Fork American at Forni Creek</t>
  </si>
  <si>
    <t>I_WBF006</t>
  </si>
  <si>
    <t>Local inflow to West Branch Feather River near Lake Oroville</t>
  </si>
  <si>
    <t>I_SGRGE</t>
  </si>
  <si>
    <t>Local inflow to Stony Gorge Reservoir</t>
  </si>
  <si>
    <t>I_STS059</t>
  </si>
  <si>
    <t>Local inflow to Stanislaus River downstream of Tulloch Reservoir</t>
  </si>
  <si>
    <t>I_TULOC</t>
  </si>
  <si>
    <t>Local inflow to Stanislaus River between New Melones Reservoir and Tullock Reservoir</t>
  </si>
  <si>
    <t>I_SFF011</t>
  </si>
  <si>
    <t>Local Inflow to South Fork Feather River at Ponderosa</t>
  </si>
  <si>
    <t>I_SFF008</t>
  </si>
  <si>
    <t>Local Inflow to South Fork Feather River at Enterprise</t>
  </si>
  <si>
    <t>I_STS072</t>
  </si>
  <si>
    <t>Local inflow to New Melones</t>
  </si>
  <si>
    <t>I_NBLDB</t>
  </si>
  <si>
    <t>Local Inflow to New Bullards Bar Reservoir</t>
  </si>
  <si>
    <t>I_LWSTN</t>
  </si>
  <si>
    <t>Local inflow to Lewiston Lake</t>
  </si>
  <si>
    <t>I_SPLDG</t>
  </si>
  <si>
    <t>Local inflow to Lake Spaulding</t>
  </si>
  <si>
    <t>I_CMBIE</t>
  </si>
  <si>
    <t>Local inflow to Lake Combie</t>
  </si>
  <si>
    <t>I_SLV015</t>
  </si>
  <si>
    <t>Local Inflow to Junction Dam</t>
  </si>
  <si>
    <t>I_FOLSM</t>
  </si>
  <si>
    <t>Local inflow to Folsom Lake</t>
  </si>
  <si>
    <t>I_ENGLB</t>
  </si>
  <si>
    <t>Local Inflow to Englebright Reservoir</t>
  </si>
  <si>
    <t>I_DAVIS</t>
  </si>
  <si>
    <t>Local Inflow to Davis Lake</t>
  </si>
  <si>
    <t>I_CHW031</t>
  </si>
  <si>
    <t>Local Inflow to Chowchilla River downstream from Buchanan Dam/Eastman Lake</t>
  </si>
  <si>
    <t>I_CMPFW</t>
  </si>
  <si>
    <t>Local inflow to Camp Far West Reservoir</t>
  </si>
  <si>
    <t>I_SLV006</t>
  </si>
  <si>
    <t>Local Inflow to Camino Dam</t>
  </si>
  <si>
    <t>I_CMCHE</t>
  </si>
  <si>
    <t>Local inflow to Camanche Reservoir on the Mokelumne River</t>
  </si>
  <si>
    <t>I_CLV026</t>
  </si>
  <si>
    <t>Local Inflow to Calaveras River D/S of New Hogan Reservoir</t>
  </si>
  <si>
    <t>I_BLKBT</t>
  </si>
  <si>
    <t>Local inflow to Black Butte Reservoir</t>
  </si>
  <si>
    <t>I_NFF029</t>
  </si>
  <si>
    <t>Local Inflow North Fork Feather River at Pulga</t>
  </si>
  <si>
    <t>I_FRS046</t>
  </si>
  <si>
    <t>Local Inflow from Fresno River downstream of Hensley Lake</t>
  </si>
  <si>
    <t>I_LRB004</t>
  </si>
  <si>
    <t>Little Rubicon River Inflow to Bucks Island Lake</t>
  </si>
  <si>
    <t>I_LPC007</t>
  </si>
  <si>
    <t>Little Panoche Creek</t>
  </si>
  <si>
    <t>I_LDC029</t>
  </si>
  <si>
    <t>Little Dry Creek</t>
  </si>
  <si>
    <t>I_LCC038</t>
  </si>
  <si>
    <t>Little Chico Creek</t>
  </si>
  <si>
    <t>I_ING008</t>
  </si>
  <si>
    <t>Ingram and Hospital Creeks</t>
  </si>
  <si>
    <t>I422</t>
  </si>
  <si>
    <t>Inflows to Los Vaqueros Reservoir</t>
  </si>
  <si>
    <t>Duplicate of I_LOSVQ</t>
  </si>
  <si>
    <t>I_LOSVQ</t>
  </si>
  <si>
    <t>I_FRNCH</t>
  </si>
  <si>
    <t>Inflows to French Lake</t>
  </si>
  <si>
    <t>I_BOWMN</t>
  </si>
  <si>
    <t>Inflows to Bowman Reservoir</t>
  </si>
  <si>
    <t>I_LCBRF</t>
  </si>
  <si>
    <t>Inflows from Texas, Fall, and Rucker Creeks</t>
  </si>
  <si>
    <t>I_UNVLY</t>
  </si>
  <si>
    <t>Inflow to Union Valley Reservoir</t>
  </si>
  <si>
    <t>I_TRNTY</t>
  </si>
  <si>
    <t>Inflow to Trinity Lake</t>
  </si>
  <si>
    <t>I_SLYCK</t>
  </si>
  <si>
    <t>Inflow to Sly Creek Reservoir</t>
  </si>
  <si>
    <t>I_SILVR</t>
  </si>
  <si>
    <t>Inflow to Silver Lake</t>
  </si>
  <si>
    <t>I_SLUIS</t>
  </si>
  <si>
    <t>Inflow to San Luis Reservoir</t>
  </si>
  <si>
    <t>I_SJR265</t>
  </si>
  <si>
    <t>Inflow to San Joaquin river from Cottonwood Creek</t>
  </si>
  <si>
    <t>I_RUB047</t>
  </si>
  <si>
    <t>Inflow to Rubicon Lake</t>
  </si>
  <si>
    <t>I_CHC000</t>
  </si>
  <si>
    <t>Inflow to Old and Middle River</t>
  </si>
  <si>
    <t>I_NHGAN</t>
  </si>
  <si>
    <t>Inflow to New Hogan Reservoir</t>
  </si>
  <si>
    <t>I_MTMDW</t>
  </si>
  <si>
    <t>Inflow to Mountain Meadows Reservior</t>
  </si>
  <si>
    <t>I_MLRTN</t>
  </si>
  <si>
    <t>Inflow to Millerton Lake</t>
  </si>
  <si>
    <t>I_MFS022</t>
  </si>
  <si>
    <t>Inflow to MF Stanislaus at Hells Half Acre Bridge</t>
  </si>
  <si>
    <t>I_MERLC</t>
  </si>
  <si>
    <t>Inflow to Merle Collins Reservoir</t>
  </si>
  <si>
    <t>I_LKVLY</t>
  </si>
  <si>
    <t>Inflow to Lake Valley Reservoir</t>
  </si>
  <si>
    <t>I_SHSTA</t>
  </si>
  <si>
    <t>Inflow to Lake Shasta</t>
  </si>
  <si>
    <t>I_MCLRE</t>
  </si>
  <si>
    <t>Inflow to Lake McClure</t>
  </si>
  <si>
    <t>I_LLOYD</t>
  </si>
  <si>
    <t>Inflow to Lake Lloyd/Cherry Lake</t>
  </si>
  <si>
    <t>I_HNSLY</t>
  </si>
  <si>
    <t>Inflow to Lake Hensley</t>
  </si>
  <si>
    <t>I_ELENR</t>
  </si>
  <si>
    <t>Inflow to Lake Eleanor</t>
  </si>
  <si>
    <t>I_ESTMN</t>
  </si>
  <si>
    <t>Inflow to Lake Eastman</t>
  </si>
  <si>
    <t>I_PTH070</t>
  </si>
  <si>
    <t>Inflow to Lake Berryessa</t>
  </si>
  <si>
    <t>I_ALOHA</t>
  </si>
  <si>
    <t>Inflow to Lake Aloha</t>
  </si>
  <si>
    <t>I_ALMNR</t>
  </si>
  <si>
    <t>Inflow to Lake Almanor exc. Mountain Meadows Reservior</t>
  </si>
  <si>
    <t>I_JNKSN</t>
  </si>
  <si>
    <t>Inflow to Jenkinson Lake</t>
  </si>
  <si>
    <t>I_JKSMD</t>
  </si>
  <si>
    <t>Inflow to Jackson Meadows Reservoir</t>
  </si>
  <si>
    <t>I_INDVL</t>
  </si>
  <si>
    <t>Inflow to Indian Valley Reservoir</t>
  </si>
  <si>
    <t>I_ICEHS</t>
  </si>
  <si>
    <t>Inflow to Ice House Reservoir</t>
  </si>
  <si>
    <t>I_HTCHY</t>
  </si>
  <si>
    <t>Inflow To Hetch Hetchy Reservoir</t>
  </si>
  <si>
    <t>I_GZL009</t>
  </si>
  <si>
    <t>Inflow to Grizzly Forebay near Storrie</t>
  </si>
  <si>
    <t>I_FRMAN</t>
  </si>
  <si>
    <t>Inflow to Frenchman Lake</t>
  </si>
  <si>
    <t>I_LJC022</t>
  </si>
  <si>
    <t>Inflow to Farmington Reservoir</t>
  </si>
  <si>
    <t>I_ECHOL</t>
  </si>
  <si>
    <t>Inflow to Echo Lake</t>
  </si>
  <si>
    <t>I_EPARK</t>
  </si>
  <si>
    <t>Inflow to East Park Reservoir</t>
  </si>
  <si>
    <t>I_DONLL</t>
  </si>
  <si>
    <t>Inflow to Donnell Lake</t>
  </si>
  <si>
    <t>I_PEDRO</t>
  </si>
  <si>
    <t>Inflow to Don Pedro Reservoir</t>
  </si>
  <si>
    <t>I_CLRLK</t>
  </si>
  <si>
    <t>Inflow to Clear Lake</t>
  </si>
  <si>
    <t>I_CAPLS</t>
  </si>
  <si>
    <t>Inflow to Caples Lake</t>
  </si>
  <si>
    <t>I_BTVLY</t>
  </si>
  <si>
    <t xml:space="preserve">Inflow to Butt Valley Reservoir </t>
  </si>
  <si>
    <t>I_BUCKS</t>
  </si>
  <si>
    <t>Inflow to Bucks Lake</t>
  </si>
  <si>
    <t>I_BEARD</t>
  </si>
  <si>
    <t>Inflow to Beardsley Lake</t>
  </si>
  <si>
    <t>I_BCK040</t>
  </si>
  <si>
    <t>Inflow to Bear Creek from Bear Reservoir</t>
  </si>
  <si>
    <t>I_ANTLP</t>
  </si>
  <si>
    <t>Inflow to Antelope Lake</t>
  </si>
  <si>
    <t>I_AMADR</t>
  </si>
  <si>
    <t>Inflow to Amador Reservoir</t>
  </si>
  <si>
    <t>I_RVPHB</t>
  </si>
  <si>
    <t>Inflow from West Branch Feather River above Hendricks Diversion Dam</t>
  </si>
  <si>
    <t>I_WBF030</t>
  </si>
  <si>
    <t>I_EBF001</t>
  </si>
  <si>
    <t>Inflow from the East Branch of North Fork Feather River below Lake Antelope</t>
  </si>
  <si>
    <t>I_OWN040</t>
  </si>
  <si>
    <t>Inflow from Owen Creek to Owens Reservoir</t>
  </si>
  <si>
    <t>I_PARDE</t>
  </si>
  <si>
    <t>Inflow from Mokelumne River to Pardee Reservoir</t>
  </si>
  <si>
    <t>I_MPS038</t>
  </si>
  <si>
    <t>Inflow from Mariposa Creek to Mariposa Reservoir</t>
  </si>
  <si>
    <t>I_SJR258</t>
  </si>
  <si>
    <t>Inflow from Little Dry Creek</t>
  </si>
  <si>
    <t>I_DED044</t>
  </si>
  <si>
    <t>Inflow from Deadman Creek</t>
  </si>
  <si>
    <t>I_COT033</t>
  </si>
  <si>
    <t>Inflow from Cottonwood Creek</t>
  </si>
  <si>
    <t>I_BUR005</t>
  </si>
  <si>
    <t>Inflow from Burns Creek to Burns Reservoir</t>
  </si>
  <si>
    <t>I_DBC024</t>
  </si>
  <si>
    <t>Inflow from Berenda and Dry Creek</t>
  </si>
  <si>
    <t>I_JBP006</t>
  </si>
  <si>
    <t>Inflow at James Bypass</t>
  </si>
  <si>
    <t>I_HON021</t>
  </si>
  <si>
    <t>Honcut Creek</t>
  </si>
  <si>
    <t>I_SPICE</t>
  </si>
  <si>
    <t>Highland Creek inflow to Spicer Meadows Reservoir</t>
  </si>
  <si>
    <t>I_LOONL</t>
  </si>
  <si>
    <t>Gerle Creek Inflow to Loon Lake</t>
  </si>
  <si>
    <t>I_GRZ012</t>
  </si>
  <si>
    <t>Garzas Creek</t>
  </si>
  <si>
    <t>I_FSL012</t>
  </si>
  <si>
    <t>Fresno Slough (distinct from James Bypass)</t>
  </si>
  <si>
    <t>I_MELON_FCST</t>
  </si>
  <si>
    <t>Forecasted inflow into New Melones Reservoir</t>
  </si>
  <si>
    <t>Preprocessed; Copy of C_STS072_SV</t>
  </si>
  <si>
    <t>I_FRDYC</t>
  </si>
  <si>
    <t>Fordyce Creek Inflow to Fordyce Lake</t>
  </si>
  <si>
    <t>I_CSM035</t>
  </si>
  <si>
    <t>Flow in the Cosumnes River</t>
  </si>
  <si>
    <t>I_DSC035</t>
  </si>
  <si>
    <t>Flow in Dry Creek and Sutter Creek</t>
  </si>
  <si>
    <t>I_MLRTN_FG</t>
  </si>
  <si>
    <t>Finegold inflow to Millerton</t>
  </si>
  <si>
    <t>FOLSM_INFLOW</t>
  </si>
  <si>
    <t>Estimated inflow to Folsom Reservoir; Developed from a prior run (Sum of C_NFA011, I_FOLSM, C_SFA011, CT_FairOaks)</t>
  </si>
  <si>
    <t>Inflow is a timeseries developed from a prior model run (C_NFA011 + I_FOLSM + C_SFA011 + CT_FairOaks)</t>
  </si>
  <si>
    <t>I_ELD027</t>
  </si>
  <si>
    <t>Elder Creek</t>
  </si>
  <si>
    <t>I_EBTML</t>
  </si>
  <si>
    <t>EBMUD Terminal Reservoirs</t>
  </si>
  <si>
    <t>I_DCC010</t>
  </si>
  <si>
    <t>Duncan Canyon Creek Inflow</t>
  </si>
  <si>
    <t>I_DCM027</t>
  </si>
  <si>
    <t>Dry Creek near Snelling</t>
  </si>
  <si>
    <t>I_DCT050</t>
  </si>
  <si>
    <t>Dry Creek - tributary to Tuolumne River</t>
  </si>
  <si>
    <t>I_DHC021</t>
  </si>
  <si>
    <t>Dry and Hutchinson Creeks</t>
  </si>
  <si>
    <t>I_DPC008</t>
  </si>
  <si>
    <t>Del Puerto Creek</t>
  </si>
  <si>
    <t>I_DEE023</t>
  </si>
  <si>
    <t>Deer Creek</t>
  </si>
  <si>
    <t>I_DRC012</t>
  </si>
  <si>
    <t>I_COW014</t>
  </si>
  <si>
    <t>Cow Creek</t>
  </si>
  <si>
    <t>I_CWD018</t>
  </si>
  <si>
    <t>Cottonwood Creek</t>
  </si>
  <si>
    <t>I_COL003</t>
  </si>
  <si>
    <t>Cole Creek</t>
  </si>
  <si>
    <t>CT_MELON_SV</t>
  </si>
  <si>
    <t>Closure Term at New Melones Reservoir</t>
  </si>
  <si>
    <t xml:space="preserve">Derived from the I_STS072 excel spreadsheet </t>
  </si>
  <si>
    <t>CT_PEDRO_SV</t>
  </si>
  <si>
    <t xml:space="preserve">Closure Term at New Don Pedro Reservoir </t>
  </si>
  <si>
    <t xml:space="preserve">Derived from the I_PEDRO excel spreadsheet </t>
  </si>
  <si>
    <t>I_CFS001</t>
  </si>
  <si>
    <t>Clark Fork inflow to Middle Stanislaus</t>
  </si>
  <si>
    <t>I_CAP000</t>
  </si>
  <si>
    <t>Capita Canyon Group</t>
  </si>
  <si>
    <t>I_CYN009</t>
  </si>
  <si>
    <t>Canyon Creek at Towle Canal Diversion Dam</t>
  </si>
  <si>
    <t>I_CMP001</t>
  </si>
  <si>
    <t>Camp Creek near Somerset</t>
  </si>
  <si>
    <t>I_CMP014</t>
  </si>
  <si>
    <t>Camp Creek at Diversion Dam</t>
  </si>
  <si>
    <t>I_CCH053</t>
  </si>
  <si>
    <t>Cache Creek Accretions</t>
  </si>
  <si>
    <t>I_BTC048</t>
  </si>
  <si>
    <t>Butte Creek</t>
  </si>
  <si>
    <t>I_BSH003</t>
  </si>
  <si>
    <t>Brush Creek</t>
  </si>
  <si>
    <t>I_BCC014</t>
  </si>
  <si>
    <t>Big Chico Creek</t>
  </si>
  <si>
    <t>I_BVC007</t>
  </si>
  <si>
    <t>Beaver Creek</t>
  </si>
  <si>
    <t>I_BRC003</t>
  </si>
  <si>
    <t>Bear Creek (Tributary to Cache Creek)</t>
  </si>
  <si>
    <t>I_BCN010</t>
  </si>
  <si>
    <t>Bear Creek (North)</t>
  </si>
  <si>
    <t>I_BTL006</t>
  </si>
  <si>
    <t>Battle Creek</t>
  </si>
  <si>
    <t>I_ANT011</t>
  </si>
  <si>
    <t>Antelope Creek</t>
  </si>
  <si>
    <t>I_ANG017</t>
  </si>
  <si>
    <t>Angels Creek above Diversion Dam</t>
  </si>
  <si>
    <t>I_ALD002</t>
  </si>
  <si>
    <t>Alder Creek Inflow</t>
  </si>
  <si>
    <t>I_ALD004</t>
  </si>
  <si>
    <t>Alder Creek</t>
  </si>
  <si>
    <t>I_WBF015</t>
  </si>
  <si>
    <t>Accretion to West Branch Feather River Hendricks Diversion Dam to Miocene Diversion Dam</t>
  </si>
  <si>
    <t>I_NNA013</t>
  </si>
  <si>
    <t>Accretion between Lake Valley Dam and downstream diversion dam</t>
  </si>
  <si>
    <t>DP_DELTA_DCD</t>
  </si>
  <si>
    <t>DCD Model</t>
  </si>
  <si>
    <t>https://cadwr.box.com/s/9w7bq9pxtepqs2ou593hluzzpjx4lcun</t>
  </si>
  <si>
    <t>DRN_50_PA2</t>
  </si>
  <si>
    <t>DRN</t>
  </si>
  <si>
    <t>DRN_MOK</t>
  </si>
  <si>
    <t>DRN_OMR</t>
  </si>
  <si>
    <t>DRN_SAC_NORTH</t>
  </si>
  <si>
    <t>DRN_SAC_SOUTH</t>
  </si>
  <si>
    <t>DRN_SAC_WEST</t>
  </si>
  <si>
    <t>DRN_SJR_EAST</t>
  </si>
  <si>
    <t>DRN_SJR_WEST</t>
  </si>
  <si>
    <t>GW_DELTA_DCD</t>
  </si>
  <si>
    <t>GW-FLOW</t>
  </si>
  <si>
    <t>GW_WBA50_DCD</t>
  </si>
  <si>
    <t>IRR_50_PA2</t>
  </si>
  <si>
    <t>IRR</t>
  </si>
  <si>
    <t>IRR_MOK</t>
  </si>
  <si>
    <t>IRR_OMR</t>
  </si>
  <si>
    <t>IRR_SAC_NORTH</t>
  </si>
  <si>
    <t>IRR_SAC_SOUTH</t>
  </si>
  <si>
    <t>IRR_SAC_WEST</t>
  </si>
  <si>
    <t>IRR_SJR_EAST</t>
  </si>
  <si>
    <t>IRR_SJR_WEST</t>
  </si>
  <si>
    <t>SEEP_50_PA2</t>
  </si>
  <si>
    <t>SEEP</t>
  </si>
  <si>
    <t>SEEP_MOK</t>
  </si>
  <si>
    <t>SEEP_OMR</t>
  </si>
  <si>
    <t>SEEP_SAC_NORTH</t>
  </si>
  <si>
    <t>SEEP_SAC_SOUTH</t>
  </si>
  <si>
    <t>SEEP_SAC_WEST</t>
  </si>
  <si>
    <t>SEEP_SJR_EAST</t>
  </si>
  <si>
    <t>SEEP_SJR_WEST</t>
  </si>
  <si>
    <t>DEM_D_CAA173_EMPIRE_PIN</t>
  </si>
  <si>
    <t>Article 21</t>
  </si>
  <si>
    <t>DEM_D_CAA181_KINGS_PIN</t>
  </si>
  <si>
    <t>DEM_D_CAA183_TULARE_PIN</t>
  </si>
  <si>
    <t>WQ406A_MS</t>
  </si>
  <si>
    <t>SALINITY</t>
  </si>
  <si>
    <t>DSM2 Model</t>
  </si>
  <si>
    <t>https://cadwr.box.com/s/hc3fowbaik04i81w272ygvrvy47efd49</t>
  </si>
  <si>
    <t>MG/L</t>
  </si>
  <si>
    <t>WQ408_OR</t>
  </si>
  <si>
    <t>WQ408_RS</t>
  </si>
  <si>
    <t>WQ408_VC</t>
  </si>
  <si>
    <t>WQ422_INFLOW</t>
  </si>
  <si>
    <t>DEM_D_CAA242_KERN_PIN</t>
  </si>
  <si>
    <t>DEM_D_CSB009_CLRTA1_DDWD_PIN</t>
  </si>
  <si>
    <t>DEM_D816_PLS</t>
  </si>
  <si>
    <t>DEMAND-SWP-LS</t>
  </si>
  <si>
    <t>Renamed in CS3: DEM_D_SBA042_SBALOS_PLS</t>
  </si>
  <si>
    <t>DEM_D_CAA220_CAALOS_PLS</t>
  </si>
  <si>
    <t>DEM_D_CAA278_CAALOS_PLS</t>
  </si>
  <si>
    <t>DEM_D_CAA280_CAALOS_PLS</t>
  </si>
  <si>
    <t>DEM_D_ESB361_ESBLOS_PLS</t>
  </si>
  <si>
    <t>DEM_D_ESB406_ESBLOS_PLS</t>
  </si>
  <si>
    <t>DEM_D_ESB425_ESBLOS_PLS</t>
  </si>
  <si>
    <t>DEM_D_SBA042_SBALOS_PLS</t>
  </si>
  <si>
    <t>DEM_D_WSB006_WSBLOS_PLS</t>
  </si>
  <si>
    <t>DEM_D_WSB026_WSBLOS_PLS</t>
  </si>
  <si>
    <t>DEM_D_WSB027_WSBLOS_PLS</t>
  </si>
  <si>
    <t>C_CBD001HIST</t>
  </si>
  <si>
    <t>FLOW</t>
  </si>
  <si>
    <t>https://cadwr.box.com/s/ft6ir20s4yicqpeslgb71elfck7j1sk8</t>
  </si>
  <si>
    <t>Flow through Colusa Basin Drain at Knights Landing/Outfall Gates</t>
  </si>
  <si>
    <t>C_KLR005HIST</t>
  </si>
  <si>
    <t xml:space="preserve">Flow through Knights Landing Ridge Cut </t>
  </si>
  <si>
    <t>ER_CHRRY</t>
  </si>
  <si>
    <t>ER_LLOYD</t>
  </si>
  <si>
    <t>DELTAACCRETIONFORNDOI</t>
  </si>
  <si>
    <t>https://cadwr.box.com/s/0qokq4w3o7mluupeoek2y3jq7wzdwzui</t>
  </si>
  <si>
    <t>UARPFORECASTRELEASE</t>
  </si>
  <si>
    <t>STORAGE-FORECAST</t>
  </si>
  <si>
    <t>Preprocessed</t>
  </si>
  <si>
    <t>https://cadwr.box.com/s/ikorpxde8rtlmufkokxvmypw5kaxzzjt</t>
  </si>
  <si>
    <t>Calculated from LOONL, UNVLY, ICEHS reservoir storage</t>
  </si>
  <si>
    <t>DELTADEPLETIONFORNDOI</t>
  </si>
  <si>
    <t>APR_FORECAST_GOODYEAR_B120</t>
  </si>
  <si>
    <t>https://cadwr.box.com/s/uijc4a6x26fqocegm3c3l80xgusjwvcm</t>
  </si>
  <si>
    <t>APR_FORECAST_SMARTVILLE_B120</t>
  </si>
  <si>
    <t>FEB_FORECAST_GOODYEAR_B120</t>
  </si>
  <si>
    <t>FEB_FORECAST_SMARTVILLE_B120</t>
  </si>
  <si>
    <t>MAR_FORECAST_GOODYEAR_B120</t>
  </si>
  <si>
    <t>MAR_FORECAST_SMARTVILLE_B120</t>
  </si>
  <si>
    <t>MAY_FORECAST_GOODYEAR_B120</t>
  </si>
  <si>
    <t>MAY_FORECAST_SMARTVILLE_B120</t>
  </si>
  <si>
    <t>Based on the sum of the change in storage at HHOLE, FRMDW</t>
  </si>
  <si>
    <t>MF_KSWCK</t>
  </si>
  <si>
    <t>FLOW-MIN-REQUIRED</t>
  </si>
  <si>
    <t>3250 CFS; State Water Resources Control Board (SWRCB) Water Right Order 90-5.</t>
  </si>
  <si>
    <t>CFS</t>
  </si>
  <si>
    <t>REST_REQ_NP</t>
  </si>
  <si>
    <t>RELEASE-HYDROGRAPH</t>
  </si>
  <si>
    <t>https://cadwr.box.com/s/w10v537ufcitnutxt8pieernnkn5p31z</t>
  </si>
  <si>
    <t>REST_REQ_P</t>
  </si>
  <si>
    <t>RUFR1_TS</t>
  </si>
  <si>
    <t>REUSE-FACTOR</t>
  </si>
  <si>
    <t>https://cadwr.box.com/s/xwn0278fnh5a2lh3bbwmjn3t2vd4fp4n</t>
  </si>
  <si>
    <t>Reuse fraction for irrigated rice - Joint Board</t>
  </si>
  <si>
    <t>NONE</t>
  </si>
  <si>
    <t>RUFR2_TS</t>
  </si>
  <si>
    <t>Reuse fraction for irrigated rice - West Canal WD</t>
  </si>
  <si>
    <t>RUFR3_TS</t>
  </si>
  <si>
    <t>Reuse fraction for irrigated rice - YCWA Service Area</t>
  </si>
  <si>
    <t>RUFR4_TS</t>
  </si>
  <si>
    <t>Reuse fraction for irrigated rice - GCID</t>
  </si>
  <si>
    <t>RUFR5_TS</t>
  </si>
  <si>
    <t>Reuse fraction for irrigated rice - Others</t>
  </si>
  <si>
    <t>RUFR6_TS</t>
  </si>
  <si>
    <t xml:space="preserve">Reuse fraction for irrigated rice - Others (added 2016) </t>
  </si>
  <si>
    <t>S_OROVLLEVEL5</t>
  </si>
  <si>
    <t>STORAGE-LEVEL</t>
  </si>
  <si>
    <t>https://cadwr.box.com/s/pdfygh8lqynecaok9h42palufk4jgjju</t>
  </si>
  <si>
    <t xml:space="preserve">The first application of the modified Oroville Level 5 storage to a DCR 2019 study used for DCP is stored in the spreadsheet Draft_CS3_OrovilleTOC_20201210.xlsx.  The timeseries used in CalSim 3 is located under the tab: “50_Output_CalSim.”
USACE TOC data was used for 1995 to 2015 (SACOPS_query.xlsx) </t>
  </si>
  <si>
    <t>S_PEDROLEVEL4</t>
  </si>
  <si>
    <t xml:space="preserve">Pedro Reservoir Level 4: Pulled from the flood control diagram </t>
  </si>
  <si>
    <t>S_FOLSMLEVEL2</t>
  </si>
  <si>
    <t>Folsom Reservoir Level 2: 300 TAF in Dry and Critical Years and 350 TAF in all other years using the Sacramento Index</t>
  </si>
  <si>
    <t>S_FOLSMLEVEL4</t>
  </si>
  <si>
    <t>Folsom Reservoir Level 4: Repeating 12 month value timeseries</t>
  </si>
  <si>
    <t>S_FOLSMLEVEL5</t>
  </si>
  <si>
    <t>Folsom Reservoir Level 5: Repeating timeseries calculated based on the new spillway criteria</t>
  </si>
  <si>
    <t>S_SHSTALEVEL2</t>
  </si>
  <si>
    <t>Shaste Reservoir Level 2: 650 TAF in Critical years, 1700 TAF in Dry years, otherwise 2000 TAF, Sacramento Valley Index; WY begins in January</t>
  </si>
  <si>
    <t>S_TRNTYLEVEL2</t>
  </si>
  <si>
    <t xml:space="preserve">Trinity Reseroivr Level 2: Other - 1100 TAF, Dry - 700 TAF, C - 500 TAF (Sacramento Valley Index) </t>
  </si>
  <si>
    <t>S_TRNTYLEVEL3</t>
  </si>
  <si>
    <t>Trinity Reservoir Level 3: W, AN - 1600 TAF, BN - 1500 TAF, D - 1300 TAF, C - 1000 TAF (Sacramento Valley Index)</t>
  </si>
  <si>
    <t>UD_GDPUD_PU</t>
  </si>
  <si>
    <t>DAY1</t>
  </si>
  <si>
    <t>VOL-FRACTION</t>
  </si>
  <si>
    <t>https://cadwr.box.com/s/urk0ynomzmx3wke8tftqjfff4tsy2cop</t>
  </si>
  <si>
    <t>DAY10</t>
  </si>
  <si>
    <t>DAY11</t>
  </si>
  <si>
    <t>DAY12</t>
  </si>
  <si>
    <t>I_MLRTN_UNIMP</t>
  </si>
  <si>
    <t>DAY13</t>
  </si>
  <si>
    <t>DAY14</t>
  </si>
  <si>
    <t>DAY15</t>
  </si>
  <si>
    <t>DAY16</t>
  </si>
  <si>
    <t>DAY17</t>
  </si>
  <si>
    <t>DAY18</t>
  </si>
  <si>
    <t>DAY19</t>
  </si>
  <si>
    <t>DAY2</t>
  </si>
  <si>
    <t>DAY20</t>
  </si>
  <si>
    <t>DAY21</t>
  </si>
  <si>
    <t>DAY22</t>
  </si>
  <si>
    <t>CAP_C_CAA238_CVC_F</t>
  </si>
  <si>
    <t>CAPACITY</t>
  </si>
  <si>
    <t xml:space="preserve">Missing Source Material </t>
  </si>
  <si>
    <t>Missing Source Materials</t>
  </si>
  <si>
    <t xml:space="preserve">Sets the capacity of of the CVP Cross Valley Canal (CAA238) in the forwards direction. Varies on a monthly basis. Original source documentation material is missing. Timeseries was extended as a repeating timeseries. </t>
  </si>
  <si>
    <t>CAP_C_CAA238_CVC_R</t>
  </si>
  <si>
    <t xml:space="preserve">Sets the capacity of of the CVP Cross Valley Canal (CAA238) in the reverse direction. Varies on a monthly basis. Original source documentation material is missing. Timeseries was extended as a repeating timeseries. </t>
  </si>
  <si>
    <t>DEM_D_CAA239_CVPRF_PRF</t>
  </si>
  <si>
    <t>DEMAND-CVP-RF</t>
  </si>
  <si>
    <t>DMD_CBC001_24_NA1_NID</t>
  </si>
  <si>
    <t>DEMAND</t>
  </si>
  <si>
    <t xml:space="preserve">Nevada Irrigation District - Bear River Diversions; Repeating 12 month value timeseries; Pre-processed from CalSimII Model </t>
  </si>
  <si>
    <t>DMD_CBC001_CCK036_NID</t>
  </si>
  <si>
    <t>D_LYONS_TCN000_DEM</t>
  </si>
  <si>
    <t>FLOW-HISTORICAL</t>
  </si>
  <si>
    <t>Upper Stanislaus - TUD Ditch System Diversion; Repeating 12 month value timeseries</t>
  </si>
  <si>
    <t>D_UTC000_CACWD_DEM</t>
  </si>
  <si>
    <t>Upper Stanislaus - Calaveras County Water District (CACWD) Diversion; Repeating 12 month value timeseries</t>
  </si>
  <si>
    <t>ER_S30</t>
  </si>
  <si>
    <t>Evaporation rate used to estimate the entire NODOS reservoir evaporation</t>
  </si>
  <si>
    <t>FSC_LOSSES</t>
  </si>
  <si>
    <t xml:space="preserve">Seepage losses from Folsom South Canal; Repeating 12 month value timeseries; Total seepage assumption is 834 AF/year - small amount of water </t>
  </si>
  <si>
    <t>I_CAA245</t>
  </si>
  <si>
    <t xml:space="preserve">Flood flow from Kern River into CA Aqueduct; past 20 yrs water has been used locally, set to 0 in data extension </t>
  </si>
  <si>
    <t>MINFLOWFEATHER</t>
  </si>
  <si>
    <t xml:space="preserve">Minimum flow requirement in the Feather River below Oroville Reservoir; Additional documentation in CALSIM\Run\NorthOfDelta\Feather\feather_special.wresl </t>
  </si>
  <si>
    <t>REST_RCH_NP</t>
  </si>
  <si>
    <t>REST_FLOW</t>
  </si>
  <si>
    <t>These timeseries represent the flow through the compact bypass (restoration reach) resulting from the required release volumes and the assumed losses in the SJR.  The CalSim2 loss assumptions (&gt; 60% of the annual 117 taf minimum plus the first 100 cfs and 5% of additional flow past Gravelly Ford) were baked into the settlement requirements.  CalSim3 losses can be very different (and can even be gains!), so it was necessary to place requirements at both the Friant release and on the restoration reach.  So to develop those, we just did the math based on the release requirements and the assumed losses.  
The settlement agreement assumes a loss of 117 taf between friant and gravelly ford (on some pattern), and a loss of the first 100 cfs plus 5% of flow above 100 cfs in the reach between Gravelly Ford and the restoration reach.  I think we just calculated it from the release with those assumptions.</t>
  </si>
  <si>
    <t>REST_RCH_P</t>
  </si>
  <si>
    <t>RUFW1_TS</t>
  </si>
  <si>
    <t>Reuse factor for refuge/wetlands; Source: Glenn Colusa Irrigation District Sacramento National Wildlife Refuge</t>
  </si>
  <si>
    <t>R_60N_NA4_SJR022_SV</t>
  </si>
  <si>
    <t>Preprocessed San Joaquin River Return Flow in Woodbridge ID - Ag (60N_NA_4)</t>
  </si>
  <si>
    <t>R_RFS71A_OMR039_SV</t>
  </si>
  <si>
    <t>Preprocessed Westside San Joaquin River Return Flow in Byron Bethany ID</t>
  </si>
  <si>
    <t>SB_DEMAND</t>
  </si>
  <si>
    <t>LV-PARTNER-DEMAND</t>
  </si>
  <si>
    <t xml:space="preserve">This is old code from CalSim 2 modeling of Los Vaqueros Expansion operations.  The diversion arcs they regulate (D_PCH000_PA_LV and D_SBA009_ACFC_LV) should be turned off (0 cfs at all times).  This is not something you should have to document other than it is not part of current operations. Set to 0 for extension. </t>
  </si>
  <si>
    <t>SF_DEMAND</t>
  </si>
  <si>
    <t>SG_DMC_LOWER</t>
  </si>
  <si>
    <t>SG_DMC_UPPER</t>
  </si>
  <si>
    <t>SG_SJR_MDOTA</t>
  </si>
  <si>
    <t>RIVER-LOSS</t>
  </si>
  <si>
    <t xml:space="preserve">Timeseries set to value of 0. </t>
  </si>
  <si>
    <t>SG_WDWRD_SEEP</t>
  </si>
  <si>
    <t>Woodward Reservoir Seepage - Repeating monthly rates presented as timeseries input to make forecasting easier in Stanislaus_op.wresl</t>
  </si>
  <si>
    <t>TULE_WET_INDX</t>
  </si>
  <si>
    <t>FRIANT-INDX</t>
  </si>
  <si>
    <t xml:space="preserve">Indication of extremely wet condition the Tulare Basin (Tule River Wetness Index &gt; 40 TAF); Allows for Friant-Kern Canal delivery reduction due to available supplementary Tule River water supply. </t>
  </si>
  <si>
    <t>MONTH_DAYS</t>
  </si>
  <si>
    <t>DAY</t>
  </si>
  <si>
    <t>https://cadwr.box.com/s/m0milla75rckrjwhh4dfm6qf8axcmr57</t>
  </si>
  <si>
    <t>Number of days in each month</t>
  </si>
  <si>
    <t>DAYS</t>
  </si>
  <si>
    <t>DAY23</t>
  </si>
  <si>
    <t>DAY24</t>
  </si>
  <si>
    <t>DAY25</t>
  </si>
  <si>
    <t>DAY26</t>
  </si>
  <si>
    <t>DAY27</t>
  </si>
  <si>
    <t>D_EPARK_SCKWD_SV</t>
  </si>
  <si>
    <t>DIVERSION</t>
  </si>
  <si>
    <t>https://cadwr.box.com/s/kzgwcs01unjxcwy85af91hkg1onffw9y</t>
  </si>
  <si>
    <t xml:space="preserve">Set to 0 </t>
  </si>
  <si>
    <t>C_DER001_SV</t>
  </si>
  <si>
    <t>CHANNEL</t>
  </si>
  <si>
    <t>Preprocessed - Lower Yuba</t>
  </si>
  <si>
    <t>C_MERLC_SV</t>
  </si>
  <si>
    <t>C_YUB022_SV</t>
  </si>
  <si>
    <t>D_FDC006_14_NA_SV</t>
  </si>
  <si>
    <t>D_YUB003_15N_NU_SV</t>
  </si>
  <si>
    <t>D_YUB011_15N_NA2_SV</t>
  </si>
  <si>
    <t>D_YUB011_15S_NA2_SV</t>
  </si>
  <si>
    <t>D_YUB013_14_NA_SV</t>
  </si>
  <si>
    <t>MF_YUB006DV_SV</t>
  </si>
  <si>
    <t>FLOW-MIN-INSTREAM</t>
  </si>
  <si>
    <t>MF_YUB006_SV</t>
  </si>
  <si>
    <t>OROVILLEFNF_WY_SV</t>
  </si>
  <si>
    <t>FNFWY</t>
  </si>
  <si>
    <t>YCWA_ALLOC_SV</t>
  </si>
  <si>
    <t>FRACTION</t>
  </si>
  <si>
    <t>C_CMP014_SV</t>
  </si>
  <si>
    <t>Preprocessed - Upper American</t>
  </si>
  <si>
    <t>C_JNKSN_SV</t>
  </si>
  <si>
    <t>C_NFA016_SV</t>
  </si>
  <si>
    <t>C_SFA011_SV</t>
  </si>
  <si>
    <t>D_FOLSM_EDCOCA_NA1_SV</t>
  </si>
  <si>
    <t>D_FOLSM_EDCOCA_NU1_SV</t>
  </si>
  <si>
    <t>D_FOLSM_WTPEDH_WR_SV</t>
  </si>
  <si>
    <t>D_NFA016_ABT002_SV</t>
  </si>
  <si>
    <t>MFPFORECASTRELEASE</t>
  </si>
  <si>
    <t>Preprocessed - Upper American; Calculated from HHOLE, FRMDW reservoir storage</t>
  </si>
  <si>
    <t>P184FORECASTRELEASE</t>
  </si>
  <si>
    <t>Preprocessed - Upper American; Calculated from ALOHA, CAPLS, SILVR reservoir storage</t>
  </si>
  <si>
    <t>PERDV_CVPMI_SYS_SV</t>
  </si>
  <si>
    <t>PERCENT-DELIVERY</t>
  </si>
  <si>
    <t>R_GDPUD_NA_NFA011_SV</t>
  </si>
  <si>
    <t>S_FRMDW_SV</t>
  </si>
  <si>
    <t>C_MRM001_SV</t>
  </si>
  <si>
    <t xml:space="preserve">Preprocessed - Upper American </t>
  </si>
  <si>
    <t>C_NFA048_SV</t>
  </si>
  <si>
    <t>D_FOLSM_EDCOCA_CVP_SV</t>
  </si>
  <si>
    <t>D_FOLSM_EDCOCA_NA2_SV</t>
  </si>
  <si>
    <t>D_FOLSM_EDCOCA_NU2_SV</t>
  </si>
  <si>
    <t>D_FOLSM_EDCOCA_SV</t>
  </si>
  <si>
    <t>D_NNA013_LVC001_SV</t>
  </si>
  <si>
    <t>D_WTPRS1_ELDID_NU3_SV</t>
  </si>
  <si>
    <t>D_WTPRSA_ELDID_NU3_SV</t>
  </si>
  <si>
    <t>FOLSOMINFLOWESTSUM_SV</t>
  </si>
  <si>
    <t>INFLOW-FORECAST</t>
  </si>
  <si>
    <t>FOLSOMINFLOWEST_SV</t>
  </si>
  <si>
    <t>S_FOLSMLEVEL3ADJ_SV</t>
  </si>
  <si>
    <t>S_HHOLE_SV</t>
  </si>
  <si>
    <t>S_ICEHS_SV</t>
  </si>
  <si>
    <t>S_LOONL_SV</t>
  </si>
  <si>
    <t>S_UNVLY_SV</t>
  </si>
  <si>
    <t>WFMITREL_SV</t>
  </si>
  <si>
    <t>D_HHOLE_MFT003_MIT_SV</t>
  </si>
  <si>
    <t xml:space="preserve">Pre-processed - Upper American </t>
  </si>
  <si>
    <t>C_FTR074_SV</t>
  </si>
  <si>
    <t>Preprocessed - Upper Feather</t>
  </si>
  <si>
    <t>C_KRT000_SV</t>
  </si>
  <si>
    <t>C_TTC002_SV</t>
  </si>
  <si>
    <t>D_MIO023_10_NA_SV</t>
  </si>
  <si>
    <t>D_MIO023_12_NU1_SV</t>
  </si>
  <si>
    <t>D_MNRRH_13_NA_SV</t>
  </si>
  <si>
    <t>D_MNRRH_13_NU2_SV</t>
  </si>
  <si>
    <t>D_OWC000_13_NA_SV</t>
  </si>
  <si>
    <t>D_SFF011_MNRRH_SV</t>
  </si>
  <si>
    <t>D_SLT009_SCT000_SV</t>
  </si>
  <si>
    <t>D_WBF030_HKC002_SV</t>
  </si>
  <si>
    <t>D_WTPMNR_13_NU1_SV</t>
  </si>
  <si>
    <t>E_UPPERFEATHER_SV</t>
  </si>
  <si>
    <t>S_LGRSV_SV</t>
  </si>
  <si>
    <t>S_SLYCK_SV</t>
  </si>
  <si>
    <t>S_UPPERFEATHER_SV</t>
  </si>
  <si>
    <t>C_MOK079_SV</t>
  </si>
  <si>
    <t>Preprocessed - Upper Mokelumne</t>
  </si>
  <si>
    <t>E_LBEAR_SV</t>
  </si>
  <si>
    <t>E_SLTSP_SV</t>
  </si>
  <si>
    <t>S_LBEAR_SV</t>
  </si>
  <si>
    <t>S_SLTSP_SV</t>
  </si>
  <si>
    <t>C_STS072_SV</t>
  </si>
  <si>
    <t>Preprocessed - Upper Stanislaus</t>
  </si>
  <si>
    <t>C_TUO073_SV</t>
  </si>
  <si>
    <t>Preprocessed - Upper Tuolumne</t>
  </si>
  <si>
    <t>S_PEDRO_SV</t>
  </si>
  <si>
    <t xml:space="preserve">Preprocessed - Upper Tuolumne; Pre-processed CS3 timeseries of New Don Pedro Storage. Used in the Upper Tuolumne Model to estimation evaporation loss for CCSF Water Bank </t>
  </si>
  <si>
    <t>C_BRR050_NID_SV</t>
  </si>
  <si>
    <t>Preprocessed - Upper Yuba Bear</t>
  </si>
  <si>
    <t>C_BRR050_PGE_SV</t>
  </si>
  <si>
    <t>C_BRR050_SV</t>
  </si>
  <si>
    <t>C_CBC000_SV</t>
  </si>
  <si>
    <t>C_CMBIE_SV</t>
  </si>
  <si>
    <t>C_LBC010_SV</t>
  </si>
  <si>
    <t>C_MFY044_SV</t>
  </si>
  <si>
    <t>C_SFY007_SV</t>
  </si>
  <si>
    <t>C_STH007_SV</t>
  </si>
  <si>
    <t>C_WLF013_SV</t>
  </si>
  <si>
    <t>C_YUB003_SV</t>
  </si>
  <si>
    <t>C_YUB006_SV</t>
  </si>
  <si>
    <t>C_YUB011_SV</t>
  </si>
  <si>
    <t>C_YUB013_SV</t>
  </si>
  <si>
    <t>D_BRR050_BEC000_NID_SV</t>
  </si>
  <si>
    <t>D_BRR050_BEC000_PGE_SV</t>
  </si>
  <si>
    <t>D_BRR050_BEC000_SV</t>
  </si>
  <si>
    <t>D_CMBIE_CBC000_SV</t>
  </si>
  <si>
    <t>D_CYN009_LBC001_SV</t>
  </si>
  <si>
    <t>D_LBR002_LBC001_SV</t>
  </si>
  <si>
    <t>D_SPLDG_DRM000_SV</t>
  </si>
  <si>
    <t>D_STH000_ABN027_NID_SV</t>
  </si>
  <si>
    <t>D_STH000_ABN027_PCWA_SV</t>
  </si>
  <si>
    <t>D_SYC002_BRR074_SV</t>
  </si>
  <si>
    <t>PGE_WY_ALLOCATION_SV</t>
  </si>
  <si>
    <t>RATIO</t>
  </si>
  <si>
    <t>SPAULDING_ACCUMULATED_INFLOW_SV</t>
  </si>
  <si>
    <t>S_CMBIE_SV</t>
  </si>
  <si>
    <t>S_LKVLY_SV</t>
  </si>
  <si>
    <t>S_RLLNS_NID_SV</t>
  </si>
  <si>
    <t>S_RLLNS_PGE_SV</t>
  </si>
  <si>
    <t>S_RLLNS_SV</t>
  </si>
  <si>
    <t>USAGE_REDUCTION_NID_SV</t>
  </si>
  <si>
    <t>WATERYEARCONDITIONS_NID_PGE_SV</t>
  </si>
  <si>
    <t>WY-TYPE</t>
  </si>
  <si>
    <t>PP_ADS</t>
  </si>
  <si>
    <t>PRISM Downloads</t>
  </si>
  <si>
    <t>https://cadwr.box.com/s/j0s52wm7bdobdqc81r6zzqfimzbz60dl</t>
  </si>
  <si>
    <t>PP_BLB</t>
  </si>
  <si>
    <t>PP_BNR</t>
  </si>
  <si>
    <t>PP_BRS</t>
  </si>
  <si>
    <t>PP_BUC</t>
  </si>
  <si>
    <t>PP_CAM</t>
  </si>
  <si>
    <t>PP_CNY</t>
  </si>
  <si>
    <t>PP_DES</t>
  </si>
  <si>
    <t>PP_HID</t>
  </si>
  <si>
    <t>PP_LGS</t>
  </si>
  <si>
    <t>PP_MGN</t>
  </si>
  <si>
    <t>PP_NHG</t>
  </si>
  <si>
    <t>PP_NLS</t>
  </si>
  <si>
    <t>PP_OKH</t>
  </si>
  <si>
    <t>PP_ORO</t>
  </si>
  <si>
    <t>PP_PRY</t>
  </si>
  <si>
    <t>PP_QCY</t>
  </si>
  <si>
    <t>PP_RRF</t>
  </si>
  <si>
    <t>PP_SBY</t>
  </si>
  <si>
    <t>PP_SHR</t>
  </si>
  <si>
    <t>PP_SVL</t>
  </si>
  <si>
    <t>PP_TRS</t>
  </si>
  <si>
    <t>PP_WST</t>
  </si>
  <si>
    <t>P_HTCHY</t>
  </si>
  <si>
    <t>P_LODI</t>
  </si>
  <si>
    <t>RUFR_24_NA2_TS</t>
  </si>
  <si>
    <t>REUSE-FRACTION</t>
  </si>
  <si>
    <t>RUFR_24_NA3_TS</t>
  </si>
  <si>
    <t>SPAULDING_PRECIP</t>
  </si>
  <si>
    <t>DAY28</t>
  </si>
  <si>
    <t>DAY29</t>
  </si>
  <si>
    <t>DAY3</t>
  </si>
  <si>
    <t>DAY30</t>
  </si>
  <si>
    <t>DAY31</t>
  </si>
  <si>
    <t>DAY4</t>
  </si>
  <si>
    <t>DAY5</t>
  </si>
  <si>
    <t>DAY6</t>
  </si>
  <si>
    <t>DAY7</t>
  </si>
  <si>
    <t>DAY8</t>
  </si>
  <si>
    <t>DAY9</t>
  </si>
  <si>
    <t>WR_DGR</t>
  </si>
  <si>
    <t>WATER-RIGHT</t>
  </si>
  <si>
    <t>Calculated in the "Yuba.xlsx" spreadsheet from YCWA Water Right</t>
  </si>
  <si>
    <t>A</t>
  </si>
  <si>
    <t>B</t>
  </si>
  <si>
    <t>C</t>
  </si>
  <si>
    <t>D</t>
  </si>
  <si>
    <t>E</t>
  </si>
  <si>
    <t>F</t>
  </si>
  <si>
    <t>UID</t>
  </si>
  <si>
    <t>Input_Category</t>
  </si>
  <si>
    <t>CS3 SV Composer</t>
  </si>
  <si>
    <t>Missing</t>
  </si>
  <si>
    <t>Constant/Rept</t>
  </si>
  <si>
    <t>Used in DCR</t>
  </si>
  <si>
    <t>Input Basis</t>
  </si>
  <si>
    <t>Input Procedure</t>
  </si>
  <si>
    <r>
      <t>R</t>
    </r>
    <r>
      <rPr>
        <vertAlign val="superscript"/>
        <sz val="11"/>
        <color theme="1"/>
        <rFont val="Aptos Narrow"/>
        <family val="2"/>
      </rPr>
      <t>2</t>
    </r>
  </si>
  <si>
    <t>*</t>
  </si>
  <si>
    <t>CalSimHydro</t>
  </si>
  <si>
    <t>T</t>
  </si>
  <si>
    <t>WGEN</t>
  </si>
  <si>
    <t>Model</t>
  </si>
  <si>
    <t>N/A</t>
  </si>
  <si>
    <t>UD_03_PU3</t>
  </si>
  <si>
    <t>UD_60S_NU2</t>
  </si>
  <si>
    <t>CalSimHydroEE</t>
  </si>
  <si>
    <t>I422_PPT</t>
  </si>
  <si>
    <t>PRECIP-RATE</t>
  </si>
  <si>
    <t>Climate</t>
  </si>
  <si>
    <t>Direct</t>
  </si>
  <si>
    <t>PPT_FOLS_UHH</t>
  </si>
  <si>
    <t>PPT_ME_UHH</t>
  </si>
  <si>
    <t>PPT_OROV_UHH</t>
  </si>
  <si>
    <t>PPT_SHAS_UHH</t>
  </si>
  <si>
    <t>PPT_SJ_UHH</t>
  </si>
  <si>
    <t>PPT_ST_UHH</t>
  </si>
  <si>
    <t>PPT_TR_UHH</t>
  </si>
  <si>
    <t>PPT_TU_UHH</t>
  </si>
  <si>
    <t>PPT_WH_UHH</t>
  </si>
  <si>
    <t>PPT_YUBA_UHH</t>
  </si>
  <si>
    <t>TFO_UHH</t>
  </si>
  <si>
    <t>TEMPERATURE</t>
  </si>
  <si>
    <t>TME_UHH</t>
  </si>
  <si>
    <t>TOR_UHH</t>
  </si>
  <si>
    <t>TSH_UHH</t>
  </si>
  <si>
    <t>TSJ_UHH</t>
  </si>
  <si>
    <t>TST_UHH</t>
  </si>
  <si>
    <t>TTR_UHH</t>
  </si>
  <si>
    <t>TTU_UHH</t>
  </si>
  <si>
    <t>TWH_UHH</t>
  </si>
  <si>
    <t>TYU_UHH</t>
  </si>
  <si>
    <t>VPDFO_UHH</t>
  </si>
  <si>
    <t>VPD</t>
  </si>
  <si>
    <t>VIC</t>
  </si>
  <si>
    <t>QMAP</t>
  </si>
  <si>
    <t>VPDME_UHH</t>
  </si>
  <si>
    <t>VPDOR_UHH</t>
  </si>
  <si>
    <t>VPDSH_UHH</t>
  </si>
  <si>
    <t>VPDSJ_UHH</t>
  </si>
  <si>
    <t>VPDST_UHH</t>
  </si>
  <si>
    <t>VPDTR_UHH</t>
  </si>
  <si>
    <t>VPDTU_UHH</t>
  </si>
  <si>
    <t>VPDWH_UHH</t>
  </si>
  <si>
    <t>VPDYU_UHH</t>
  </si>
  <si>
    <t>Closure Terms</t>
  </si>
  <si>
    <t>Copy</t>
  </si>
  <si>
    <t>Day-Volume Fraction</t>
  </si>
  <si>
    <t>Delta Channel Depletion</t>
  </si>
  <si>
    <t>Instream Flows</t>
  </si>
  <si>
    <t>Spreadsheet</t>
  </si>
  <si>
    <t>Other</t>
  </si>
  <si>
    <t>WYT-MonthlyAVG+QMAP</t>
  </si>
  <si>
    <t>D_CVT005_UTC000_DEM</t>
  </si>
  <si>
    <t>D_FOLSM_EDCOCA</t>
  </si>
  <si>
    <t>DIVERSION-CVP</t>
  </si>
  <si>
    <t>DEM_D_ESB355_LROCK_PIN</t>
  </si>
  <si>
    <t>DEM_D_ESB403_MOJVE_PIN</t>
  </si>
  <si>
    <t>WYT-MonthlyAVG</t>
  </si>
  <si>
    <t>ER_S17</t>
  </si>
  <si>
    <t>UD_EDCOCA_NU4</t>
  </si>
  <si>
    <t>WYT_SAC_VA_</t>
  </si>
  <si>
    <t>WATERYEARTYPE</t>
  </si>
  <si>
    <t>YUBA_TRANS</t>
  </si>
  <si>
    <t>Reservoir Evaporation</t>
  </si>
  <si>
    <t>Reservoir Storage Curves</t>
  </si>
  <si>
    <t>WYT-Index</t>
  </si>
  <si>
    <t>Precip-Index</t>
  </si>
  <si>
    <t>Rim Inflow</t>
  </si>
  <si>
    <t>FOLSOM_INFLOW</t>
  </si>
  <si>
    <t>I_MLRTN_IMP</t>
  </si>
  <si>
    <t>UNIMP_FOLS_UHH</t>
  </si>
  <si>
    <t>UNIMP_ME_UHH</t>
  </si>
  <si>
    <t>UNIMP_OROV_UHH</t>
  </si>
  <si>
    <t>UNIMP_SHAS_UHH</t>
  </si>
  <si>
    <t>UNIMP_SJ_UHH</t>
  </si>
  <si>
    <t>UNIMP_SRBB_UHH</t>
  </si>
  <si>
    <t>UNIMP_ST_UHH</t>
  </si>
  <si>
    <t>UNIMP_TRIN_UHH</t>
  </si>
  <si>
    <t>UNIMP_TU_UHH</t>
  </si>
  <si>
    <t>UNIMP_WH</t>
  </si>
  <si>
    <t>UNIMP_WH_UHH</t>
  </si>
  <si>
    <t>UNIMP_YUBA_UHH</t>
  </si>
  <si>
    <t>Salinity</t>
  </si>
  <si>
    <t>Small Watersheds</t>
  </si>
  <si>
    <t>Tulare Groundwater Terms</t>
  </si>
  <si>
    <t>Upper Watershed Modules</t>
  </si>
  <si>
    <t>Status</t>
  </si>
  <si>
    <t>Input Category</t>
  </si>
  <si>
    <t>Total Count (Generate)</t>
  </si>
  <si>
    <t>Missing Values</t>
  </si>
  <si>
    <t>Constant or Repeating Values</t>
  </si>
  <si>
    <t>Not Used in DCR 2023
or Dynamic</t>
  </si>
  <si>
    <t>Total Count</t>
  </si>
  <si>
    <t>Total Pct</t>
  </si>
  <si>
    <t>x</t>
  </si>
  <si>
    <t>uid</t>
  </si>
  <si>
    <t>csv</t>
  </si>
  <si>
    <t>dss</t>
  </si>
  <si>
    <t>L2015</t>
  </si>
  <si>
    <t>idx</t>
  </si>
  <si>
    <t>L2020</t>
  </si>
  <si>
    <t>Part A</t>
  </si>
  <si>
    <t>Part B</t>
  </si>
  <si>
    <t>Part C</t>
  </si>
  <si>
    <t>Part D</t>
  </si>
  <si>
    <t>Part E</t>
  </si>
  <si>
    <t>Part F</t>
  </si>
  <si>
    <t>Duplicated?</t>
  </si>
  <si>
    <t>Match in Inventory?</t>
  </si>
  <si>
    <t>LTO_Hydro_L2015A_to_L2020A_SJRrebal_cp.csv</t>
  </si>
  <si>
    <t>RebalancedSJR_AW_TW_DP.dss</t>
  </si>
  <si>
    <t>/CALSIM/AWO_50_PA1/APPLIED-WATER//1MON/L2015A/</t>
  </si>
  <si>
    <t>/CALSIM/AWO_50_PA1/APPLIED-WATER//1MON/L2020A/</t>
  </si>
  <si>
    <t>/CALSIM/AWO_64_XA/APPLIED-WATER//1MON/L2015A/</t>
  </si>
  <si>
    <t>/CALSIM/AWO_64_XA/APPLIED-WATER//1MON/L2020A/</t>
  </si>
  <si>
    <t>/CALSIM/AWO_71_PA1/APPLIED-WATER//1MON/L2015A/</t>
  </si>
  <si>
    <t>/CALSIM/AWO_71_PA1/APPLIED-WATER//1MON/L2020A/</t>
  </si>
  <si>
    <t>/CALSIM/AWO_71_PA2/APPLIED-WATER//1MON/L2015A/</t>
  </si>
  <si>
    <t>/CALSIM/AWO_71_PA2/APPLIED-WATER//1MON/L2020A/</t>
  </si>
  <si>
    <t>/CALSIM/AWO_71_PA3/APPLIED-WATER//1MON/L2015A/</t>
  </si>
  <si>
    <t>/CALSIM/AWO_71_PA3/APPLIED-WATER//1MON/L2020A/</t>
  </si>
  <si>
    <t>/CALSIM/AWO_71_PA4/APPLIED-WATER//1MON/L2015A/</t>
  </si>
  <si>
    <t>/CALSIM/AWO_71_PA4/APPLIED-WATER//1MON/L2020A/</t>
  </si>
  <si>
    <t>/CALSIM/AWO_71_PA5/APPLIED-WATER//1MON/L2015A/</t>
  </si>
  <si>
    <t>/CALSIM/AWO_71_PA5/APPLIED-WATER//1MON/L2020A/</t>
  </si>
  <si>
    <t>/CALSIM/AWO_71_PA6/APPLIED-WATER//1MON/L2015A/</t>
  </si>
  <si>
    <t>/CALSIM/AWO_71_PA6/APPLIED-WATER//1MON/L2020A/</t>
  </si>
  <si>
    <t>/CALSIM/AWO_71_PA7/APPLIED-WATER//1MON/L2015A/</t>
  </si>
  <si>
    <t>/CALSIM/AWO_71_PA7/APPLIED-WATER//1MON/L2020A/</t>
  </si>
  <si>
    <t>/CALSIM/AWO_71_PA8/APPLIED-WATER//1MON/L2015A/</t>
  </si>
  <si>
    <t>/CALSIM/AWO_71_PA8/APPLIED-WATER//1MON/L2020A/</t>
  </si>
  <si>
    <t>/CALSIM/AWO_72_PA/APPLIED-WATER//1MON/L2015A/</t>
  </si>
  <si>
    <t>/CALSIM/AWO_72_PA/APPLIED-WATER//1MON/L2020A/</t>
  </si>
  <si>
    <t>/CALSIM/AWO_72_PR1/APPLIED-WATER//1MON/L2015A/</t>
  </si>
  <si>
    <t>/CALSIM/AWO_72_PR1/APPLIED-WATER//1MON/L2020A/</t>
  </si>
  <si>
    <t>/CALSIM/AWO_72_PR2/APPLIED-WATER//1MON/L2015A/</t>
  </si>
  <si>
    <t>/CALSIM/AWO_72_PR2/APPLIED-WATER//1MON/L2020A/</t>
  </si>
  <si>
    <t>/CALSIM/AWO_72_PR3/APPLIED-WATER//1MON/L2015A/</t>
  </si>
  <si>
    <t>/CALSIM/AWO_72_PR3/APPLIED-WATER//1MON/L2020A/</t>
  </si>
  <si>
    <t>/CALSIM/AWO_72_PR4/APPLIED-WATER//1MON/L2015A/</t>
  </si>
  <si>
    <t>/CALSIM/AWO_72_PR4/APPLIED-WATER//1MON/L2020A/</t>
  </si>
  <si>
    <t>/CALSIM/AWO_72_PR5/APPLIED-WATER//1MON/L2015A/</t>
  </si>
  <si>
    <t>/CALSIM/AWO_72_PR5/APPLIED-WATER//1MON/L2020A/</t>
  </si>
  <si>
    <t>/CALSIM/AWO_72_PR6/APPLIED-WATER//1MON/L2015A/</t>
  </si>
  <si>
    <t>/CALSIM/AWO_72_PR6/APPLIED-WATER//1MON/L2020A/</t>
  </si>
  <si>
    <t>/CALSIM/AWO_72_XA1/APPLIED-WATER//1MON/L2015A/</t>
  </si>
  <si>
    <t>/CALSIM/AWO_72_XA1/APPLIED-WATER//1MON/L2020A/</t>
  </si>
  <si>
    <t>/CALSIM/AWO_72_XA2/APPLIED-WATER//1MON/L2015A/</t>
  </si>
  <si>
    <t>/CALSIM/AWO_72_XA2/APPLIED-WATER//1MON/L2020A/</t>
  </si>
  <si>
    <t>/CALSIM/AWO_72_XA3/APPLIED-WATER//1MON/L2015A/</t>
  </si>
  <si>
    <t>/CALSIM/AWO_72_XA3/APPLIED-WATER//1MON/L2020A/</t>
  </si>
  <si>
    <t>/CALSIM/AWO_73_PA1/APPLIED-WATER//1MON/L2015A/</t>
  </si>
  <si>
    <t>/CALSIM/AWO_73_PA1/APPLIED-WATER//1MON/L2020A/</t>
  </si>
  <si>
    <t>/CALSIM/AWO_73_PA2/APPLIED-WATER//1MON/L2015A/</t>
  </si>
  <si>
    <t>/CALSIM/AWO_73_PA2/APPLIED-WATER//1MON/L2020A/</t>
  </si>
  <si>
    <t>/CALSIM/AWO_73_PA3/APPLIED-WATER//1MON/L2015A/</t>
  </si>
  <si>
    <t>/CALSIM/AWO_73_PA3/APPLIED-WATER//1MON/L2020A/</t>
  </si>
  <si>
    <t>/CALSIM/AWO_73_XA/APPLIED-WATER//1MON/L2015A/</t>
  </si>
  <si>
    <t>/CALSIM/AWO_73_XA/APPLIED-WATER//1MON/L2020A/</t>
  </si>
  <si>
    <t>/CALSIM/AWO_90_PA1/APPLIED-WATER//1MON/L2015A/</t>
  </si>
  <si>
    <t>/CALSIM/AWO_90_PA1/APPLIED-WATER//1MON/L2020A/</t>
  </si>
  <si>
    <t>/CALSIM/AWO_90_PA2/APPLIED-WATER//1MON/L2015A/</t>
  </si>
  <si>
    <t>/CALSIM/AWO_90_PA2/APPLIED-WATER//1MON/L2020A/</t>
  </si>
  <si>
    <t>/CALSIM/AWO_91_PA/APPLIED-WATER//1MON/L2015A/</t>
  </si>
  <si>
    <t>/CALSIM/AWO_91_PA/APPLIED-WATER//1MON/L2020A/</t>
  </si>
  <si>
    <t>/CALSIM/AWO_91_PR/APPLIED-WATER//1MON/L2015A/</t>
  </si>
  <si>
    <t>/CALSIM/AWO_91_PR/APPLIED-WATER//1MON/L2020A/</t>
  </si>
  <si>
    <t>/CALSIM/AWR_50_PA1/APPLIED-WATER//1MON/L2015A/</t>
  </si>
  <si>
    <t>/CALSIM/AWR_50_PA1/APPLIED-WATER//1MON/L2020A/</t>
  </si>
  <si>
    <t>/CALSIM/AWR_64_XA/APPLIED-WATER//1MON/L2015A/</t>
  </si>
  <si>
    <t>/CALSIM/AWR_64_XA/APPLIED-WATER//1MON/L2020A/</t>
  </si>
  <si>
    <t>/CALSIM/AWR_71_PA1/APPLIED-WATER//1MON/L2015A/</t>
  </si>
  <si>
    <t>/CALSIM/AWR_71_PA1/APPLIED-WATER//1MON/L2020A/</t>
  </si>
  <si>
    <t>/CALSIM/AWR_71_PA2/APPLIED-WATER//1MON/L2015A/</t>
  </si>
  <si>
    <t>/CALSIM/AWR_71_PA2/APPLIED-WATER//1MON/L2020A/</t>
  </si>
  <si>
    <t>/CALSIM/AWR_71_PA3/APPLIED-WATER//1MON/L2015A/</t>
  </si>
  <si>
    <t>/CALSIM/AWR_71_PA3/APPLIED-WATER//1MON/L2020A/</t>
  </si>
  <si>
    <t>/CALSIM/AWR_71_PA4/APPLIED-WATER//1MON/L2015A/</t>
  </si>
  <si>
    <t>/CALSIM/AWR_71_PA4/APPLIED-WATER//1MON/L2020A/</t>
  </si>
  <si>
    <t>/CALSIM/AWR_71_PA5/APPLIED-WATER//1MON/L2015A/</t>
  </si>
  <si>
    <t>/CALSIM/AWR_71_PA5/APPLIED-WATER//1MON/L2020A/</t>
  </si>
  <si>
    <t>/CALSIM/AWR_71_PA6/APPLIED-WATER//1MON/L2015A/</t>
  </si>
  <si>
    <t>/CALSIM/AWR_71_PA6/APPLIED-WATER//1MON/L2020A/</t>
  </si>
  <si>
    <t>/CALSIM/AWR_71_PA7/APPLIED-WATER//1MON/L2015A/</t>
  </si>
  <si>
    <t>/CALSIM/AWR_71_PA7/APPLIED-WATER//1MON/L2020A/</t>
  </si>
  <si>
    <t>/CALSIM/AWR_71_PA8/APPLIED-WATER//1MON/L2015A/</t>
  </si>
  <si>
    <t>/CALSIM/AWR_71_PA8/APPLIED-WATER//1MON/L2020A/</t>
  </si>
  <si>
    <t>/CALSIM/AWR_72_PA/APPLIED-WATER//1MON/L2015A/</t>
  </si>
  <si>
    <t>/CALSIM/AWR_72_PA/APPLIED-WATER//1MON/L2020A/</t>
  </si>
  <si>
    <t>/CALSIM/AWR_72_PR1/APPLIED-WATER//1MON/L2015A/</t>
  </si>
  <si>
    <t>/CALSIM/AWR_72_PR1/APPLIED-WATER//1MON/L2020A/</t>
  </si>
  <si>
    <t>/CALSIM/AWR_72_PR2/APPLIED-WATER//1MON/L2015A/</t>
  </si>
  <si>
    <t>/CALSIM/AWR_72_PR2/APPLIED-WATER//1MON/L2020A/</t>
  </si>
  <si>
    <t>/CALSIM/AWR_72_PR3/APPLIED-WATER//1MON/L2015A/</t>
  </si>
  <si>
    <t>/CALSIM/AWR_72_PR3/APPLIED-WATER//1MON/L2020A/</t>
  </si>
  <si>
    <t>/CALSIM/AWR_72_PR4/APPLIED-WATER//1MON/L2015A/</t>
  </si>
  <si>
    <t>/CALSIM/AWR_72_PR4/APPLIED-WATER//1MON/L2020A/</t>
  </si>
  <si>
    <t>/CALSIM/AWR_72_PR5/APPLIED-WATER//1MON/L2015A/</t>
  </si>
  <si>
    <t>/CALSIM/AWR_72_PR5/APPLIED-WATER//1MON/L2020A/</t>
  </si>
  <si>
    <t>/CALSIM/AWR_72_PR6/APPLIED-WATER//1MON/L2015A/</t>
  </si>
  <si>
    <t>/CALSIM/AWR_72_PR6/APPLIED-WATER//1MON/L2020A/</t>
  </si>
  <si>
    <t>/CALSIM/AWR_72_XA1/APPLIED-WATER//1MON/L2015A/</t>
  </si>
  <si>
    <t>/CALSIM/AWR_72_XA1/APPLIED-WATER//1MON/L2020A/</t>
  </si>
  <si>
    <t>/CALSIM/AWR_72_XA2/APPLIED-WATER//1MON/L2015A/</t>
  </si>
  <si>
    <t>/CALSIM/AWR_72_XA2/APPLIED-WATER//1MON/L2020A/</t>
  </si>
  <si>
    <t>/CALSIM/AWR_72_XA3/APPLIED-WATER//1MON/L2015A/</t>
  </si>
  <si>
    <t>/CALSIM/AWR_72_XA3/APPLIED-WATER//1MON/L2020A/</t>
  </si>
  <si>
    <t>/CALSIM/AWR_73_PA1/APPLIED-WATER//1MON/L2015A/</t>
  </si>
  <si>
    <t>/CALSIM/AWR_73_PA1/APPLIED-WATER//1MON/L2020A/</t>
  </si>
  <si>
    <t>/CALSIM/AWR_73_PA2/APPLIED-WATER//1MON/L2015A/</t>
  </si>
  <si>
    <t>/CALSIM/AWR_73_PA2/APPLIED-WATER//1MON/L2020A/</t>
  </si>
  <si>
    <t>/CALSIM/AWR_73_PA3/APPLIED-WATER//1MON/L2015A/</t>
  </si>
  <si>
    <t>/CALSIM/AWR_73_PA3/APPLIED-WATER//1MON/L2020A/</t>
  </si>
  <si>
    <t>/CALSIM/AWR_73_XA/APPLIED-WATER//1MON/L2015A/</t>
  </si>
  <si>
    <t>/CALSIM/AWR_73_XA/APPLIED-WATER//1MON/L2020A/</t>
  </si>
  <si>
    <t>/CALSIM/AWR_90_PA1/APPLIED-WATER//1MON/L2015A/</t>
  </si>
  <si>
    <t>/CALSIM/AWR_90_PA1/APPLIED-WATER//1MON/L2020A/</t>
  </si>
  <si>
    <t>/CALSIM/AWR_90_PA2/APPLIED-WATER//1MON/L2015A/</t>
  </si>
  <si>
    <t>/CALSIM/AWR_90_PA2/APPLIED-WATER//1MON/L2020A/</t>
  </si>
  <si>
    <t>/CALSIM/AWR_91_PA/APPLIED-WATER//1MON/L2015A/</t>
  </si>
  <si>
    <t>/CALSIM/AWR_91_PA/APPLIED-WATER//1MON/L2020A/</t>
  </si>
  <si>
    <t>/CALSIM/AWR_91_PR/APPLIED-WATER//1MON/L2015A/</t>
  </si>
  <si>
    <t>/CALSIM/AWR_91_PR/APPLIED-WATER//1MON/L2020A/</t>
  </si>
  <si>
    <t>/CALSIM/AWW_72_PR1/APPLIED-WATER//1MON/L2015A/</t>
  </si>
  <si>
    <t>/CALSIM/AWW_72_PR1/APPLIED-WATER//1MON/L2020A/</t>
  </si>
  <si>
    <t>/CALSIM/AWW_72_PR2/APPLIED-WATER//1MON/L2015A/</t>
  </si>
  <si>
    <t>/CALSIM/AWW_72_PR2/APPLIED-WATER//1MON/L2020A/</t>
  </si>
  <si>
    <t>/CALSIM/AWW_72_PR3/APPLIED-WATER//1MON/L2015A/</t>
  </si>
  <si>
    <t>/CALSIM/AWW_72_PR3/APPLIED-WATER//1MON/L2020A/</t>
  </si>
  <si>
    <t>/CALSIM/AWW_72_PR4/APPLIED-WATER//1MON/L2015A/</t>
  </si>
  <si>
    <t>/CALSIM/AWW_72_PR4/APPLIED-WATER//1MON/L2020A/</t>
  </si>
  <si>
    <t>/CALSIM/AWW_72_PR5/APPLIED-WATER//1MON/L2015A/</t>
  </si>
  <si>
    <t>/CALSIM/AWW_72_PR5/APPLIED-WATER//1MON/L2020A/</t>
  </si>
  <si>
    <t>/CALSIM/AWW_72_PR6/APPLIED-WATER//1MON/L2015A/</t>
  </si>
  <si>
    <t>/CALSIM/AWW_72_PR6/APPLIED-WATER//1MON/L2020A/</t>
  </si>
  <si>
    <t>/CALSIM/AWW_91_PR/APPLIED-WATER//1MON/L2015A/</t>
  </si>
  <si>
    <t>/CALSIM/AWW_91_PR/APPLIED-WATER//1MON/L2020A/</t>
  </si>
  <si>
    <t>/CALSIM/DP_50_INT/DEEP-PERCOLATION//1MON/L2015A/</t>
  </si>
  <si>
    <t>/CALSIM/DP_50_INT/DEEP-PERCOLATION//1MON/L2020A/</t>
  </si>
  <si>
    <t>/CALSIM/DP_71_INT/DEEP-PERCOLATION//1MON/L2015A/</t>
  </si>
  <si>
    <t>/CALSIM/DP_71_INT/DEEP-PERCOLATION//1MON/L2020A/</t>
  </si>
  <si>
    <t>/CALSIM/DP_72_INT/DEEP-PERCOLATION//1MON/L2015A/</t>
  </si>
  <si>
    <t>/CALSIM/DP_72_INT/DEEP-PERCOLATION//1MON/L2020A/</t>
  </si>
  <si>
    <t>/CALSIM/DP_73_INT/DEEP-PERCOLATION//1MON/L2015A/</t>
  </si>
  <si>
    <t>/CALSIM/DP_73_INT/DEEP-PERCOLATION//1MON/L2020A/</t>
  </si>
  <si>
    <t>/CALSIM/DP_90_INT/DEEP-PERCOLATION//1MON/L2015A/</t>
  </si>
  <si>
    <t>/CALSIM/DP_90_INT/DEEP-PERCOLATION//1MON/L2020A/</t>
  </si>
  <si>
    <t>/CALSIM/DP_91_INT/DEEP-PERCOLATION//1MON/L2015A/</t>
  </si>
  <si>
    <t>/CALSIM/DP_91_INT/DEEP-PERCOLATION//1MON/L2020A/</t>
  </si>
  <si>
    <t>/CALSIM/TW_50_PA1/TAILWATER//1MON/L2015A/</t>
  </si>
  <si>
    <t>/CALSIM/TW_50_PA1/TAILWATER//1MON/L2020A/</t>
  </si>
  <si>
    <t>/CALSIM/TW_64_XA/TAILWATER//1MON/L2015A/</t>
  </si>
  <si>
    <t>/CALSIM/TW_64_XA/TAILWATER//1MON/L2020A/</t>
  </si>
  <si>
    <t>/CALSIM/TW_71_PA1/TAILWATER//1MON/L2015A/</t>
  </si>
  <si>
    <t>/CALSIM/TW_71_PA1/TAILWATER//1MON/L2020A/</t>
  </si>
  <si>
    <t>/CALSIM/TW_71_PA2/TAILWATER//1MON/L2015A/</t>
  </si>
  <si>
    <t>/CALSIM/TW_71_PA2/TAILWATER//1MON/L2020A/</t>
  </si>
  <si>
    <t>/CALSIM/TW_71_PA3/TAILWATER//1MON/L2015A/</t>
  </si>
  <si>
    <t>/CALSIM/TW_71_PA3/TAILWATER//1MON/L2020A/</t>
  </si>
  <si>
    <t>/CALSIM/TW_71_PA4/TAILWATER//1MON/L2015A/</t>
  </si>
  <si>
    <t>/CALSIM/TW_71_PA4/TAILWATER//1MON/L2020A/</t>
  </si>
  <si>
    <t>/CALSIM/TW_71_PA5/TAILWATER//1MON/L2015A/</t>
  </si>
  <si>
    <t>/CALSIM/TW_71_PA5/TAILWATER//1MON/L2020A/</t>
  </si>
  <si>
    <t>/CALSIM/TW_71_PA6/TAILWATER//1MON/L2015A/</t>
  </si>
  <si>
    <t>/CALSIM/TW_71_PA6/TAILWATER//1MON/L2020A/</t>
  </si>
  <si>
    <t>/CALSIM/TW_71_PA7/TAILWATER//1MON/L2015A/</t>
  </si>
  <si>
    <t>/CALSIM/TW_71_PA7/TAILWATER//1MON/L2020A/</t>
  </si>
  <si>
    <t>/CALSIM/TW_71_PA8/TAILWATER//1MON/L2015A/</t>
  </si>
  <si>
    <t>/CALSIM/TW_71_PA8/TAILWATER//1MON/L2020A/</t>
  </si>
  <si>
    <t>/CALSIM/TW_72_PA/TAILWATER//1MON/L2015A/</t>
  </si>
  <si>
    <t>/CALSIM/TW_72_PA/TAILWATER//1MON/L2020A/</t>
  </si>
  <si>
    <t>/CALSIM/TW_72_PR1/TAILWATER//1MON/L2015A/</t>
  </si>
  <si>
    <t>/CALSIM/TW_72_PR1/TAILWATER//1MON/L2020A/</t>
  </si>
  <si>
    <t>/CALSIM/TW_72_PR2/TAILWATER//1MON/L2015A/</t>
  </si>
  <si>
    <t>/CALSIM/TW_72_PR2/TAILWATER//1MON/L2020A/</t>
  </si>
  <si>
    <t>/CALSIM/TW_72_PR3/TAILWATER//1MON/L2015A/</t>
  </si>
  <si>
    <t>/CALSIM/TW_72_PR3/TAILWATER//1MON/L2020A/</t>
  </si>
  <si>
    <t>/CALSIM/TW_72_PR4/TAILWATER//1MON/L2015A/</t>
  </si>
  <si>
    <t>/CALSIM/TW_72_PR4/TAILWATER//1MON/L2020A/</t>
  </si>
  <si>
    <t>/CALSIM/TW_72_PR5/TAILWATER//1MON/L2015A/</t>
  </si>
  <si>
    <t>/CALSIM/TW_72_PR5/TAILWATER//1MON/L2020A/</t>
  </si>
  <si>
    <t>/CALSIM/TW_72_PR6/TAILWATER//1MON/L2015A/</t>
  </si>
  <si>
    <t>/CALSIM/TW_72_PR6/TAILWATER//1MON/L2020A/</t>
  </si>
  <si>
    <t>/CALSIM/TW_72_XA1/TAILWATER//1MON/L2015A/</t>
  </si>
  <si>
    <t>/CALSIM/TW_72_XA1/TAILWATER//1MON/L2020A/</t>
  </si>
  <si>
    <t>/CALSIM/TW_72_XA2/TAILWATER//1MON/L2015A/</t>
  </si>
  <si>
    <t>/CALSIM/TW_72_XA2/TAILWATER//1MON/L2020A/</t>
  </si>
  <si>
    <t>/CALSIM/TW_72_XA3/TAILWATER//1MON/L2015A/</t>
  </si>
  <si>
    <t>/CALSIM/TW_72_XA3/TAILWATER//1MON/L2020A/</t>
  </si>
  <si>
    <t>/CALSIM/TW_73_PA1/TAILWATER//1MON/L2015A/</t>
  </si>
  <si>
    <t>/CALSIM/TW_73_PA1/TAILWATER//1MON/L2020A/</t>
  </si>
  <si>
    <t>/CALSIM/TW_73_PA2/TAILWATER//1MON/L2015A/</t>
  </si>
  <si>
    <t>/CALSIM/TW_73_PA2/TAILWATER//1MON/L2020A/</t>
  </si>
  <si>
    <t>/CALSIM/TW_73_PA3/TAILWATER//1MON/L2015A/</t>
  </si>
  <si>
    <t>/CALSIM/TW_73_PA3/TAILWATER//1MON/L2020A/</t>
  </si>
  <si>
    <t>/CALSIM/TW_73_XA/TAILWATER//1MON/L2015A/</t>
  </si>
  <si>
    <t>/CALSIM/TW_73_XA/TAILWATER//1MON/L2020A/</t>
  </si>
  <si>
    <t>/CALSIM/TW_90_PA1/TAILWATER//1MON/L2015A/</t>
  </si>
  <si>
    <t>/CALSIM/TW_90_PA1/TAILWATER//1MON/L2020A/</t>
  </si>
  <si>
    <t>/CALSIM/TW_90_PA2/TAILWATER//1MON/L2015A/</t>
  </si>
  <si>
    <t>/CALSIM/TW_90_PA2/TAILWATER//1MON/L2020A/</t>
  </si>
  <si>
    <t>/CALSIM/TW_91_PA/TAILWATER//1MON/L2015A/</t>
  </si>
  <si>
    <t>/CALSIM/TW_91_PA/TAILWATER//1MON/L2020A/</t>
  </si>
  <si>
    <t>/CALSIM/TW_91_PR/TAILWATER//1MON/L2015A/</t>
  </si>
  <si>
    <t>/CALSIM/TW_91_PR/TAILWATER//1MON/L2020A/</t>
  </si>
  <si>
    <t>LTO_Hydro_L2015A_to_L2020A_SJRother_cp</t>
  </si>
  <si>
    <t>CS3L2015V0Hydro_SV.dss</t>
  </si>
  <si>
    <t>/CALSIM/AWO_60N_NA1/APPLIED-WATER//1MON/L2015A/</t>
  </si>
  <si>
    <t>/CALSIM/AWO_60N_NA1/APPLIED-WATER//1MON/L2020A/</t>
  </si>
  <si>
    <t>/CALSIM/AWO_60N_NA2/APPLIED-WATER//1MON/L2015A/</t>
  </si>
  <si>
    <t>/CALSIM/AWO_60N_NA2/APPLIED-WATER//1MON/L2020A/</t>
  </si>
  <si>
    <t>/CALSIM/AWO_60N_NA3/APPLIED-WATER//1MON/L2015A/</t>
  </si>
  <si>
    <t>/CALSIM/AWO_60N_NA3/APPLIED-WATER//1MON/L2020A/</t>
  </si>
  <si>
    <t>/CALSIM/AWO_60N_NA4/APPLIED-WATER//1MON/L2015A/</t>
  </si>
  <si>
    <t>/CALSIM/AWO_60N_NA4/APPLIED-WATER//1MON/L2020A/</t>
  </si>
  <si>
    <t>/CALSIM/AWO_60N_NA5/APPLIED-WATER//1MON/L2015A/</t>
  </si>
  <si>
    <t>/CALSIM/AWO_60N_NA5/APPLIED-WATER//1MON/L2020A/</t>
  </si>
  <si>
    <t>/CALSIM/AWO_60S_NA1/APPLIED-WATER//1MON/L2015A/</t>
  </si>
  <si>
    <t>/CALSIM/AWO_60S_NA1/APPLIED-WATER//1MON/L2020A/</t>
  </si>
  <si>
    <t>/CALSIM/AWO_60S_NA2/APPLIED-WATER//1MON/L2015A/</t>
  </si>
  <si>
    <t>/CALSIM/AWO_60S_NA2/APPLIED-WATER//1MON/L2020A/</t>
  </si>
  <si>
    <t>/CALSIM/AWO_60S_PA1/APPLIED-WATER//1MON/L2015A/</t>
  </si>
  <si>
    <t>/CALSIM/AWO_60S_PA1/APPLIED-WATER//1MON/L2020A/</t>
  </si>
  <si>
    <t>/CALSIM/AWO_60S_PA2/APPLIED-WATER//1MON/L2015A/</t>
  </si>
  <si>
    <t>/CALSIM/AWO_60S_PA2/APPLIED-WATER//1MON/L2020A/</t>
  </si>
  <si>
    <t>/CALSIM/AWO_61_NA1/APPLIED-WATER//1MON/L2015A/</t>
  </si>
  <si>
    <t>/CALSIM/AWO_61_NA1/APPLIED-WATER//1MON/L2020A/</t>
  </si>
  <si>
    <t>/CALSIM/AWO_61_NA2/APPLIED-WATER//1MON/L2015A/</t>
  </si>
  <si>
    <t>/CALSIM/AWO_61_NA2/APPLIED-WATER//1MON/L2020A/</t>
  </si>
  <si>
    <t>/CALSIM/AWO_61_NA3/APPLIED-WATER//1MON/L2015A/</t>
  </si>
  <si>
    <t>/CALSIM/AWO_61_NA3/APPLIED-WATER//1MON/L2020A/</t>
  </si>
  <si>
    <t>/CALSIM/AWO_61_NA4/APPLIED-WATER//1MON/L2015A/</t>
  </si>
  <si>
    <t>/CALSIM/AWO_61_NA4/APPLIED-WATER//1MON/L2020A/</t>
  </si>
  <si>
    <t>/CALSIM/AWO_61_NA5/APPLIED-WATER//1MON/L2015A/</t>
  </si>
  <si>
    <t>/CALSIM/AWO_61_NA5/APPLIED-WATER//1MON/L2020A/</t>
  </si>
  <si>
    <t>/CALSIM/AWO_61_NA6/APPLIED-WATER//1MON/L2015A/</t>
  </si>
  <si>
    <t>/CALSIM/AWO_61_NA6/APPLIED-WATER//1MON/L2020A/</t>
  </si>
  <si>
    <t>/CALSIM/AWO_61_PA1/APPLIED-WATER//1MON/L2015A/</t>
  </si>
  <si>
    <t>/CALSIM/AWO_61_PA1/APPLIED-WATER//1MON/L2020A/</t>
  </si>
  <si>
    <t>/CALSIM/AWO_61_PA2/APPLIED-WATER//1MON/L2015A/</t>
  </si>
  <si>
    <t>/CALSIM/AWO_61_PA2/APPLIED-WATER//1MON/L2020A/</t>
  </si>
  <si>
    <t>/CALSIM/AWO_61_PA3/APPLIED-WATER//1MON/L2015A/</t>
  </si>
  <si>
    <t>/CALSIM/AWO_61_PA3/APPLIED-WATER//1MON/L2020A/</t>
  </si>
  <si>
    <t>/CALSIM/AWO_62_NA1/APPLIED-WATER//1MON/L2015A/</t>
  </si>
  <si>
    <t>/CALSIM/AWO_62_NA1/APPLIED-WATER//1MON/L2020A/</t>
  </si>
  <si>
    <t>/CALSIM/AWO_62_NA2/APPLIED-WATER//1MON/L2015A/</t>
  </si>
  <si>
    <t>/CALSIM/AWO_62_NA2/APPLIED-WATER//1MON/L2020A/</t>
  </si>
  <si>
    <t>/CALSIM/AWO_62_NA3/APPLIED-WATER//1MON/L2015A/</t>
  </si>
  <si>
    <t>/CALSIM/AWO_62_NA3/APPLIED-WATER//1MON/L2020A/</t>
  </si>
  <si>
    <t>/CALSIM/AWO_62_NA4/APPLIED-WATER//1MON/L2015A/</t>
  </si>
  <si>
    <t>/CALSIM/AWO_62_NA4/APPLIED-WATER//1MON/L2020A/</t>
  </si>
  <si>
    <t>/CALSIM/AWO_62_NA5/APPLIED-WATER//1MON/L2015A/</t>
  </si>
  <si>
    <t>/CALSIM/AWO_62_NA5/APPLIED-WATER//1MON/L2020A/</t>
  </si>
  <si>
    <t>/CALSIM/AWO_62_NA6/APPLIED-WATER//1MON/L2015A/</t>
  </si>
  <si>
    <t>/CALSIM/AWO_62_NA6/APPLIED-WATER//1MON/L2020A/</t>
  </si>
  <si>
    <t>/CALSIM/AWO_63_NA1/APPLIED-WATER//1MON/L2015A/</t>
  </si>
  <si>
    <t>/CALSIM/AWO_63_NA1/APPLIED-WATER//1MON/L2020A/</t>
  </si>
  <si>
    <t>/CALSIM/AWO_63_NA2/APPLIED-WATER//1MON/L2015A/</t>
  </si>
  <si>
    <t>/CALSIM/AWO_63_NA2/APPLIED-WATER//1MON/L2020A/</t>
  </si>
  <si>
    <t>/CALSIM/AWO_63_NA3/APPLIED-WATER//1MON/L2015A/</t>
  </si>
  <si>
    <t>/CALSIM/AWO_63_NA3/APPLIED-WATER//1MON/L2020A/</t>
  </si>
  <si>
    <t>/CALSIM/AWO_63_NA4/APPLIED-WATER//1MON/L2015A/</t>
  </si>
  <si>
    <t>/CALSIM/AWO_63_NA4/APPLIED-WATER//1MON/L2020A/</t>
  </si>
  <si>
    <t>/CALSIM/AWO_63_NA5/APPLIED-WATER//1MON/L2015A/</t>
  </si>
  <si>
    <t>/CALSIM/AWO_63_NA5/APPLIED-WATER//1MON/L2020A/</t>
  </si>
  <si>
    <t>/CALSIM/AWO_63_PR1/APPLIED-WATER//1MON/L2015A/</t>
  </si>
  <si>
    <t>/CALSIM/AWO_63_PR1/APPLIED-WATER//1MON/L2020A/</t>
  </si>
  <si>
    <t>/CALSIM/AWO_63_PR2/APPLIED-WATER//1MON/L2015A/</t>
  </si>
  <si>
    <t>/CALSIM/AWO_63_PR2/APPLIED-WATER//1MON/L2020A/</t>
  </si>
  <si>
    <t>/CALSIM/AWO_63_PR3/APPLIED-WATER//1MON/L2015A/</t>
  </si>
  <si>
    <t>/CALSIM/AWO_63_PR3/APPLIED-WATER//1MON/L2020A/</t>
  </si>
  <si>
    <t>/CALSIM/AWO_64_NA1/APPLIED-WATER//1MON/L2015A/</t>
  </si>
  <si>
    <t>/CALSIM/AWO_64_NA1/APPLIED-WATER//1MON/L2020A/</t>
  </si>
  <si>
    <t>/CALSIM/AWO_64_NA2/APPLIED-WATER//1MON/L2015A/</t>
  </si>
  <si>
    <t>/CALSIM/AWO_64_NA2/APPLIED-WATER//1MON/L2020A/</t>
  </si>
  <si>
    <t>/CALSIM/AWO_64_PA1/APPLIED-WATER//1MON/L2015A/</t>
  </si>
  <si>
    <t>/CALSIM/AWO_64_PA1/APPLIED-WATER//1MON/L2020A/</t>
  </si>
  <si>
    <t>/CALSIM/AWO_64_PA2/APPLIED-WATER//1MON/L2015A/</t>
  </si>
  <si>
    <t>/CALSIM/AWO_64_PA2/APPLIED-WATER//1MON/L2020A/</t>
  </si>
  <si>
    <t>/CALSIM/AWO_64_PA3/APPLIED-WATER//1MON/L2015A/</t>
  </si>
  <si>
    <t>/CALSIM/AWO_64_PA3/APPLIED-WATER//1MON/L2020A/</t>
  </si>
  <si>
    <t>/CALSIM/AWO_71_NA1/APPLIED-WATER//1MON/L2015A/</t>
  </si>
  <si>
    <t>/CALSIM/AWO_71_NA1/APPLIED-WATER//1MON/L2020A/</t>
  </si>
  <si>
    <t>/CALSIM/AWO_71_NA2/APPLIED-WATER//1MON/L2015A/</t>
  </si>
  <si>
    <t>/CALSIM/AWO_71_NA2/APPLIED-WATER//1MON/L2020A/</t>
  </si>
  <si>
    <t>/CALSIM/AWO_71_NA3/APPLIED-WATER//1MON/L2015A/</t>
  </si>
  <si>
    <t>/CALSIM/AWO_71_NA3/APPLIED-WATER//1MON/L2020A/</t>
  </si>
  <si>
    <t>/CALSIM/AWO_72_NA1/APPLIED-WATER//1MON/L2015A/</t>
  </si>
  <si>
    <t>/CALSIM/AWO_72_NA1/APPLIED-WATER//1MON/L2020A/</t>
  </si>
  <si>
    <t>/CALSIM/AWO_72_NA2/APPLIED-WATER//1MON/L2015A/</t>
  </si>
  <si>
    <t>/CALSIM/AWO_72_NA2/APPLIED-WATER//1MON/L2020A/</t>
  </si>
  <si>
    <t>/CALSIM/AWO_73_NA/APPLIED-WATER//1MON/L2015A/</t>
  </si>
  <si>
    <t>/CALSIM/AWO_73_NA/APPLIED-WATER//1MON/L2020A/</t>
  </si>
  <si>
    <t>/CALSIM/AWO_90_NA/APPLIED-WATER//1MON/L2015A/</t>
  </si>
  <si>
    <t>/CALSIM/AWO_90_NA/APPLIED-WATER//1MON/L2020A/</t>
  </si>
  <si>
    <t>/CALSIM/AWR_60N_NA1/APPLIED-WATER//1MON/L2015A/</t>
  </si>
  <si>
    <t>/CALSIM/AWR_60N_NA1/APPLIED-WATER//1MON/L2020A/</t>
  </si>
  <si>
    <t>/CALSIM/AWR_60N_NA2/APPLIED-WATER//1MON/L2015A/</t>
  </si>
  <si>
    <t>/CALSIM/AWR_60N_NA2/APPLIED-WATER//1MON/L2020A/</t>
  </si>
  <si>
    <t>/CALSIM/AWR_60N_NA3/APPLIED-WATER//1MON/L2015A/</t>
  </si>
  <si>
    <t>/CALSIM/AWR_60N_NA3/APPLIED-WATER//1MON/L2020A/</t>
  </si>
  <si>
    <t>/CALSIM/AWR_60N_NA4/APPLIED-WATER//1MON/L2015A/</t>
  </si>
  <si>
    <t>/CALSIM/AWR_60N_NA4/APPLIED-WATER//1MON/L2020A/</t>
  </si>
  <si>
    <t>/CALSIM/AWR_60N_NA5/APPLIED-WATER//1MON/L2015A/</t>
  </si>
  <si>
    <t>/CALSIM/AWR_60N_NA5/APPLIED-WATER//1MON/L2020A/</t>
  </si>
  <si>
    <t>/CALSIM/AWR_60S_NA1/APPLIED-WATER//1MON/L2015A/</t>
  </si>
  <si>
    <t>/CALSIM/AWR_60S_NA1/APPLIED-WATER//1MON/L2020A/</t>
  </si>
  <si>
    <t>/CALSIM/AWR_60S_NA2/APPLIED-WATER//1MON/L2015A/</t>
  </si>
  <si>
    <t>/CALSIM/AWR_60S_NA2/APPLIED-WATER//1MON/L2020A/</t>
  </si>
  <si>
    <t>/CALSIM/AWR_60S_PA1/APPLIED-WATER//1MON/L2015A/</t>
  </si>
  <si>
    <t>/CALSIM/AWR_60S_PA1/APPLIED-WATER//1MON/L2020A/</t>
  </si>
  <si>
    <t>/CALSIM/AWR_60S_PA2/APPLIED-WATER//1MON/L2015A/</t>
  </si>
  <si>
    <t>/CALSIM/AWR_60S_PA2/APPLIED-WATER//1MON/L2020A/</t>
  </si>
  <si>
    <t>/CALSIM/AWR_61_NA1/APPLIED-WATER//1MON/L2015A/</t>
  </si>
  <si>
    <t>/CALSIM/AWR_61_NA1/APPLIED-WATER//1MON/L2020A/</t>
  </si>
  <si>
    <t>/CALSIM/AWR_61_NA2/APPLIED-WATER//1MON/L2015A/</t>
  </si>
  <si>
    <t>/CALSIM/AWR_61_NA2/APPLIED-WATER//1MON/L2020A/</t>
  </si>
  <si>
    <t>/CALSIM/AWR_61_NA3/APPLIED-WATER//1MON/L2015A/</t>
  </si>
  <si>
    <t>/CALSIM/AWR_61_NA3/APPLIED-WATER//1MON/L2020A/</t>
  </si>
  <si>
    <t>/CALSIM/AWR_61_NA4/APPLIED-WATER//1MON/L2015A/</t>
  </si>
  <si>
    <t>/CALSIM/AWR_61_NA4/APPLIED-WATER//1MON/L2020A/</t>
  </si>
  <si>
    <t>/CALSIM/AWR_61_NA5/APPLIED-WATER//1MON/L2015A/</t>
  </si>
  <si>
    <t>/CALSIM/AWR_61_NA5/APPLIED-WATER//1MON/L2020A/</t>
  </si>
  <si>
    <t>/CALSIM/AWR_61_NA6/APPLIED-WATER//1MON/L2015A/</t>
  </si>
  <si>
    <t>/CALSIM/AWR_61_NA6/APPLIED-WATER//1MON/L2020A/</t>
  </si>
  <si>
    <t>/CALSIM/AWR_61_PA1/APPLIED-WATER//1MON/L2015A/</t>
  </si>
  <si>
    <t>/CALSIM/AWR_61_PA1/APPLIED-WATER//1MON/L2020A/</t>
  </si>
  <si>
    <t>/CALSIM/AWR_61_PA2/APPLIED-WATER//1MON/L2015A/</t>
  </si>
  <si>
    <t>/CALSIM/AWR_61_PA2/APPLIED-WATER//1MON/L2020A/</t>
  </si>
  <si>
    <t>/CALSIM/AWR_61_PA3/APPLIED-WATER//1MON/L2015A/</t>
  </si>
  <si>
    <t>/CALSIM/AWR_61_PA3/APPLIED-WATER//1MON/L2020A/</t>
  </si>
  <si>
    <t>/CALSIM/AWR_62_NA1/APPLIED-WATER//1MON/L2015A/</t>
  </si>
  <si>
    <t>/CALSIM/AWR_62_NA1/APPLIED-WATER//1MON/L2020A/</t>
  </si>
  <si>
    <t>/CALSIM/AWR_62_NA2/APPLIED-WATER//1MON/L2015A/</t>
  </si>
  <si>
    <t>/CALSIM/AWR_62_NA2/APPLIED-WATER//1MON/L2020A/</t>
  </si>
  <si>
    <t>/CALSIM/AWR_62_NA3/APPLIED-WATER//1MON/L2015A/</t>
  </si>
  <si>
    <t>/CALSIM/AWR_62_NA3/APPLIED-WATER//1MON/L2020A/</t>
  </si>
  <si>
    <t>/CALSIM/AWR_62_NA4/APPLIED-WATER//1MON/L2015A/</t>
  </si>
  <si>
    <t>/CALSIM/AWR_62_NA4/APPLIED-WATER//1MON/L2020A/</t>
  </si>
  <si>
    <t>/CALSIM/AWR_62_NA5/APPLIED-WATER//1MON/L2015A/</t>
  </si>
  <si>
    <t>/CALSIM/AWR_62_NA5/APPLIED-WATER//1MON/L2020A/</t>
  </si>
  <si>
    <t>/CALSIM/AWR_62_NA6/APPLIED-WATER//1MON/L2015A/</t>
  </si>
  <si>
    <t>/CALSIM/AWR_62_NA6/APPLIED-WATER//1MON/L2020A/</t>
  </si>
  <si>
    <t>/CALSIM/AWR_63_NA1/APPLIED-WATER//1MON/L2015A/</t>
  </si>
  <si>
    <t>/CALSIM/AWR_63_NA1/APPLIED-WATER//1MON/L2020A/</t>
  </si>
  <si>
    <t>/CALSIM/AWR_63_NA2/APPLIED-WATER//1MON/L2015A/</t>
  </si>
  <si>
    <t>/CALSIM/AWR_63_NA2/APPLIED-WATER//1MON/L2020A/</t>
  </si>
  <si>
    <t>/CALSIM/AWR_63_NA3/APPLIED-WATER//1MON/L2015A/</t>
  </si>
  <si>
    <t>/CALSIM/AWR_63_NA3/APPLIED-WATER//1MON/L2020A/</t>
  </si>
  <si>
    <t>/CALSIM/AWR_63_NA4/APPLIED-WATER//1MON/L2015A/</t>
  </si>
  <si>
    <t>/CALSIM/AWR_63_NA4/APPLIED-WATER//1MON/L2020A/</t>
  </si>
  <si>
    <t>/CALSIM/AWR_63_NA5/APPLIED-WATER//1MON/L2015A/</t>
  </si>
  <si>
    <t>/CALSIM/AWR_63_NA5/APPLIED-WATER//1MON/L2020A/</t>
  </si>
  <si>
    <t>/CALSIM/AWR_63_PR1/APPLIED-WATER//1MON/L2015A/</t>
  </si>
  <si>
    <t>/CALSIM/AWR_63_PR1/APPLIED-WATER//1MON/L2020A/</t>
  </si>
  <si>
    <t>/CALSIM/AWR_63_PR2/APPLIED-WATER//1MON/L2015A/</t>
  </si>
  <si>
    <t>/CALSIM/AWR_63_PR2/APPLIED-WATER//1MON/L2020A/</t>
  </si>
  <si>
    <t>/CALSIM/AWR_63_PR3/APPLIED-WATER//1MON/L2015A/</t>
  </si>
  <si>
    <t>/CALSIM/AWR_63_PR3/APPLIED-WATER//1MON/L2020A/</t>
  </si>
  <si>
    <t>/CALSIM/AWR_64_NA1/APPLIED-WATER//1MON/L2015A/</t>
  </si>
  <si>
    <t>/CALSIM/AWR_64_NA1/APPLIED-WATER//1MON/L2020A/</t>
  </si>
  <si>
    <t>/CALSIM/AWR_64_NA2/APPLIED-WATER//1MON/L2015A/</t>
  </si>
  <si>
    <t>/CALSIM/AWR_64_NA2/APPLIED-WATER//1MON/L2020A/</t>
  </si>
  <si>
    <t>/CALSIM/AWR_64_PA1/APPLIED-WATER//1MON/L2015A/</t>
  </si>
  <si>
    <t>/CALSIM/AWR_64_PA1/APPLIED-WATER//1MON/L2020A/</t>
  </si>
  <si>
    <t>/CALSIM/AWR_64_PA2/APPLIED-WATER//1MON/L2015A/</t>
  </si>
  <si>
    <t>/CALSIM/AWR_64_PA2/APPLIED-WATER//1MON/L2020A/</t>
  </si>
  <si>
    <t>/CALSIM/AWR_64_PA3/APPLIED-WATER//1MON/L2015A/</t>
  </si>
  <si>
    <t>/CALSIM/AWR_64_PA3/APPLIED-WATER//1MON/L2020A/</t>
  </si>
  <si>
    <t>/CALSIM/AWR_71_NA1/APPLIED-WATER//1MON/L2015A/</t>
  </si>
  <si>
    <t>/CALSIM/AWR_71_NA1/APPLIED-WATER//1MON/L2020A/</t>
  </si>
  <si>
    <t>/CALSIM/AWR_71_NA2/APPLIED-WATER//1MON/L2015A/</t>
  </si>
  <si>
    <t>/CALSIM/AWR_71_NA2/APPLIED-WATER//1MON/L2020A/</t>
  </si>
  <si>
    <t>/CALSIM/AWR_71_NA3/APPLIED-WATER//1MON/L2015A/</t>
  </si>
  <si>
    <t>/CALSIM/AWR_71_NA3/APPLIED-WATER//1MON/L2020A/</t>
  </si>
  <si>
    <t>/CALSIM/AWR_72_NA1/APPLIED-WATER//1MON/L2015A/</t>
  </si>
  <si>
    <t>/CALSIM/AWR_72_NA1/APPLIED-WATER//1MON/L2020A/</t>
  </si>
  <si>
    <t>/CALSIM/AWR_72_NA2/APPLIED-WATER//1MON/L2015A/</t>
  </si>
  <si>
    <t>/CALSIM/AWR_72_NA2/APPLIED-WATER//1MON/L2020A/</t>
  </si>
  <si>
    <t>/CALSIM/AWR_73_NA/APPLIED-WATER//1MON/L2015A/</t>
  </si>
  <si>
    <t>/CALSIM/AWR_73_NA/APPLIED-WATER//1MON/L2020A/</t>
  </si>
  <si>
    <t>/CALSIM/AWR_90_NA/APPLIED-WATER//1MON/L2015A/</t>
  </si>
  <si>
    <t>/CALSIM/AWR_90_NA/APPLIED-WATER//1MON/L2020A/</t>
  </si>
  <si>
    <t>/CALSIM/AWW_63_PR1/APPLIED-WATER//1MON/L2015A/</t>
  </si>
  <si>
    <t>/CALSIM/AWW_63_PR1/APPLIED-WATER//1MON/L2020A/</t>
  </si>
  <si>
    <t>/CALSIM/AWW_63_PR2/APPLIED-WATER//1MON/L2015A/</t>
  </si>
  <si>
    <t>/CALSIM/AWW_63_PR2/APPLIED-WATER//1MON/L2020A/</t>
  </si>
  <si>
    <t>/CALSIM/AWW_63_PR3/APPLIED-WATER//1MON/L2015A/</t>
  </si>
  <si>
    <t>/CALSIM/AWW_63_PR3/APPLIED-WATER//1MON/L2020A/</t>
  </si>
  <si>
    <t>/CALSIM/DP_60N_INT/DEEP-PERCOLATION//1MON/L2015A/</t>
  </si>
  <si>
    <t>/CALSIM/DP_60N_INT/DEEP-PERCOLATION//1MON/L2020A/</t>
  </si>
  <si>
    <t>/CALSIM/DP_60S_INT/DEEP-PERCOLATION//1MON/L2015A/</t>
  </si>
  <si>
    <t>/CALSIM/DP_60S_INT/DEEP-PERCOLATION//1MON/L2020A/</t>
  </si>
  <si>
    <t>/CALSIM/DP_61_INT/DEEP-PERCOLATION//1MON/L2015A/</t>
  </si>
  <si>
    <t>/CALSIM/DP_61_INT/DEEP-PERCOLATION//1MON/L2020A/</t>
  </si>
  <si>
    <t>/CALSIM/DP_62_INT/DEEP-PERCOLATION//1MON/L2015A/</t>
  </si>
  <si>
    <t>/CALSIM/DP_62_INT/DEEP-PERCOLATION//1MON/L2020A/</t>
  </si>
  <si>
    <t>/CALSIM/DP_63_INT/DEEP-PERCOLATION//1MON/L2015A/</t>
  </si>
  <si>
    <t>/CALSIM/DP_63_INT/DEEP-PERCOLATION//1MON/L2020A/</t>
  </si>
  <si>
    <t>/CALSIM/DP_64_INT/DEEP-PERCOLATION//1MON/L2015A/</t>
  </si>
  <si>
    <t>/CALSIM/DP_64_INT/DEEP-PERCOLATION//1MON/L2020A/</t>
  </si>
  <si>
    <t>/CALSIM/SR_50/SURFACE-RUNOFF//1MON/L2015A/</t>
  </si>
  <si>
    <t>/CALSIM/SR_50/SURFACE-RUNOFF//1MON/L2020A/</t>
  </si>
  <si>
    <t>/CALSIM/SR_60N/SURFACE-RUNOFF//1MON/L2015A/</t>
  </si>
  <si>
    <t>/CALSIM/SR_60N/SURFACE-RUNOFF//1MON/L2020A/</t>
  </si>
  <si>
    <t>/CALSIM/SR_60S/SURFACE-RUNOFF//1MON/L2015A/</t>
  </si>
  <si>
    <t>/CALSIM/SR_60S/SURFACE-RUNOFF//1MON/L2020A/</t>
  </si>
  <si>
    <t>/CALSIM/SR_61/SURFACE-RUNOFF//1MON/L2015A/</t>
  </si>
  <si>
    <t>/CALSIM/SR_61/SURFACE-RUNOFF//1MON/L2020A/</t>
  </si>
  <si>
    <t>/CALSIM/SR_62/SURFACE-RUNOFF//1MON/L2015A/</t>
  </si>
  <si>
    <t>/CALSIM/SR_62/SURFACE-RUNOFF//1MON/L2020A/</t>
  </si>
  <si>
    <t>/CALSIM/SR_63/SURFACE-RUNOFF//1MON/L2015A/</t>
  </si>
  <si>
    <t>/CALSIM/SR_63/SURFACE-RUNOFF//1MON/L2020A/</t>
  </si>
  <si>
    <t>/CALSIM/SR_64/SURFACE-RUNOFF//1MON/L2015A/</t>
  </si>
  <si>
    <t>/CALSIM/SR_64/SURFACE-RUNOFF//1MON/L2020A/</t>
  </si>
  <si>
    <t>/CALSIM/SR_71/SURFACE-RUNOFF//1MON/L2015A/</t>
  </si>
  <si>
    <t>/CALSIM/SR_71/SURFACE-RUNOFF//1MON/L2020A/</t>
  </si>
  <si>
    <t>/CALSIM/SR_72/SURFACE-RUNOFF//1MON/L2015A/</t>
  </si>
  <si>
    <t>/CALSIM/SR_72/SURFACE-RUNOFF//1MON/L2020A/</t>
  </si>
  <si>
    <t>/CALSIM/SR_73/SURFACE-RUNOFF//1MON/L2015A/</t>
  </si>
  <si>
    <t>/CALSIM/SR_73/SURFACE-RUNOFF//1MON/L2020A/</t>
  </si>
  <si>
    <t>/CALSIM/SR_90/SURFACE-RUNOFF//1MON/L2015A/</t>
  </si>
  <si>
    <t>/CALSIM/SR_90/SURFACE-RUNOFF//1MON/L2020A/</t>
  </si>
  <si>
    <t>/CALSIM/SR_91/SURFACE-RUNOFF//1MON/L2015A/</t>
  </si>
  <si>
    <t>/CALSIM/SR_91/SURFACE-RUNOFF//1MON/L2020A/</t>
  </si>
  <si>
    <t>/CALSIM/TW_60N_NA1/TAILWATER//1MON/L2015A/</t>
  </si>
  <si>
    <t>/CALSIM/TW_60N_NA1/TAILWATER//1MON/L2020A/</t>
  </si>
  <si>
    <t>/CALSIM/TW_60N_NA2/TAILWATER//1MON/L2015A/</t>
  </si>
  <si>
    <t>/CALSIM/TW_60N_NA2/TAILWATER//1MON/L2020A/</t>
  </si>
  <si>
    <t>/CALSIM/TW_60N_NA3/TAILWATER//1MON/L2015A/</t>
  </si>
  <si>
    <t>/CALSIM/TW_60N_NA3/TAILWATER//1MON/L2020A/</t>
  </si>
  <si>
    <t>/CALSIM/TW_60N_NA4/TAILWATER//1MON/L2015A/</t>
  </si>
  <si>
    <t>/CALSIM/TW_60N_NA4/TAILWATER//1MON/L2020A/</t>
  </si>
  <si>
    <t>/CALSIM/TW_60N_NA5/TAILWATER//1MON/L2015A/</t>
  </si>
  <si>
    <t>/CALSIM/TW_60N_NA5/TAILWATER//1MON/L2020A/</t>
  </si>
  <si>
    <t>/CALSIM/TW_60S_NA1/TAILWATER//1MON/L2015A/</t>
  </si>
  <si>
    <t>/CALSIM/TW_60S_NA1/TAILWATER//1MON/L2020A/</t>
  </si>
  <si>
    <t>/CALSIM/TW_60S_NA2/TAILWATER//1MON/L2015A/</t>
  </si>
  <si>
    <t>/CALSIM/TW_60S_NA2/TAILWATER//1MON/L2020A/</t>
  </si>
  <si>
    <t>/CALSIM/TW_60S_PA1/TAILWATER//1MON/L2015A/</t>
  </si>
  <si>
    <t>/CALSIM/TW_60S_PA1/TAILWATER//1MON/L2020A/</t>
  </si>
  <si>
    <t>/CALSIM/TW_60S_PA2/TAILWATER//1MON/L2015A/</t>
  </si>
  <si>
    <t>/CALSIM/TW_60S_PA2/TAILWATER//1MON/L2020A/</t>
  </si>
  <si>
    <t>/CALSIM/TW_61_NA1/TAILWATER//1MON/L2015A/</t>
  </si>
  <si>
    <t>/CALSIM/TW_61_NA1/TAILWATER//1MON/L2020A/</t>
  </si>
  <si>
    <t>/CALSIM/TW_61_NA2/TAILWATER//1MON/L2015A/</t>
  </si>
  <si>
    <t>/CALSIM/TW_61_NA2/TAILWATER//1MON/L2020A/</t>
  </si>
  <si>
    <t>/CALSIM/TW_61_NA3/TAILWATER//1MON/L2015A/</t>
  </si>
  <si>
    <t>/CALSIM/TW_61_NA3/TAILWATER//1MON/L2020A/</t>
  </si>
  <si>
    <t>/CALSIM/TW_61_NA4/TAILWATER//1MON/L2015A/</t>
  </si>
  <si>
    <t>/CALSIM/TW_61_NA4/TAILWATER//1MON/L2020A/</t>
  </si>
  <si>
    <t>/CALSIM/TW_61_NA5/TAILWATER//1MON/L2015A/</t>
  </si>
  <si>
    <t>/CALSIM/TW_61_NA5/TAILWATER//1MON/L2020A/</t>
  </si>
  <si>
    <t>/CALSIM/TW_61_NA6/TAILWATER//1MON/L2015A/</t>
  </si>
  <si>
    <t>/CALSIM/TW_61_NA6/TAILWATER//1MON/L2020A/</t>
  </si>
  <si>
    <t>/CALSIM/TW_61_PA1/TAILWATER//1MON/L2015A/</t>
  </si>
  <si>
    <t>/CALSIM/TW_61_PA1/TAILWATER//1MON/L2020A/</t>
  </si>
  <si>
    <t>/CALSIM/TW_61_PA2/TAILWATER//1MON/L2015A/</t>
  </si>
  <si>
    <t>/CALSIM/TW_61_PA2/TAILWATER//1MON/L2020A/</t>
  </si>
  <si>
    <t>/CALSIM/TW_61_PA3/TAILWATER//1MON/L2015A/</t>
  </si>
  <si>
    <t>/CALSIM/TW_61_PA3/TAILWATER//1MON/L2020A/</t>
  </si>
  <si>
    <t>/CALSIM/TW_62_NA1/TAILWATER//1MON/L2015A/</t>
  </si>
  <si>
    <t>/CALSIM/TW_62_NA1/TAILWATER//1MON/L2020A/</t>
  </si>
  <si>
    <t>/CALSIM/TW_62_NA2/TAILWATER//1MON/L2015A/</t>
  </si>
  <si>
    <t>/CALSIM/TW_62_NA2/TAILWATER//1MON/L2020A/</t>
  </si>
  <si>
    <t>/CALSIM/TW_62_NA3/TAILWATER//1MON/L2015A/</t>
  </si>
  <si>
    <t>/CALSIM/TW_62_NA3/TAILWATER//1MON/L2020A/</t>
  </si>
  <si>
    <t>/CALSIM/TW_62_NA4/TAILWATER//1MON/L2015A/</t>
  </si>
  <si>
    <t>/CALSIM/TW_62_NA4/TAILWATER//1MON/L2020A/</t>
  </si>
  <si>
    <t>/CALSIM/TW_62_NA5/TAILWATER//1MON/L2015A/</t>
  </si>
  <si>
    <t>/CALSIM/TW_62_NA5/TAILWATER//1MON/L2020A/</t>
  </si>
  <si>
    <t>/CALSIM/TW_62_NA6/TAILWATER//1MON/L2015A/</t>
  </si>
  <si>
    <t>/CALSIM/TW_62_NA6/TAILWATER//1MON/L2020A/</t>
  </si>
  <si>
    <t>/CALSIM/TW_63_NA1/TAILWATER//1MON/L2015A/</t>
  </si>
  <si>
    <t>/CALSIM/TW_63_NA1/TAILWATER//1MON/L2020A/</t>
  </si>
  <si>
    <t>/CALSIM/TW_63_NA2/TAILWATER//1MON/L2015A/</t>
  </si>
  <si>
    <t>/CALSIM/TW_63_NA2/TAILWATER//1MON/L2020A/</t>
  </si>
  <si>
    <t>/CALSIM/TW_63_NA3/TAILWATER//1MON/L2015A/</t>
  </si>
  <si>
    <t>/CALSIM/TW_63_NA3/TAILWATER//1MON/L2020A/</t>
  </si>
  <si>
    <t>/CALSIM/TW_63_NA4/TAILWATER//1MON/L2015A/</t>
  </si>
  <si>
    <t>/CALSIM/TW_63_NA4/TAILWATER//1MON/L2020A/</t>
  </si>
  <si>
    <t>/CALSIM/TW_63_PR1/TAILWATER//1MON/L2015A/</t>
  </si>
  <si>
    <t>/CALSIM/TW_63_PR1/TAILWATER//1MON/L2020A/</t>
  </si>
  <si>
    <t>/CALSIM/TW_63_PR2/TAILWATER//1MON/L2015A/</t>
  </si>
  <si>
    <t>/CALSIM/TW_63_PR2/TAILWATER//1MON/L2020A/</t>
  </si>
  <si>
    <t>/CALSIM/TW_63_PR3/TAILWATER//1MON/L2015A/</t>
  </si>
  <si>
    <t>/CALSIM/TW_63_PR3/TAILWATER//1MON/L2020A/</t>
  </si>
  <si>
    <t>/CALSIM/TW_64_NA1/TAILWATER//1MON/L2015A/</t>
  </si>
  <si>
    <t>/CALSIM/TW_64_NA1/TAILWATER//1MON/L2020A/</t>
  </si>
  <si>
    <t>/CALSIM/TW_64_NA2/TAILWATER//1MON/L2015A/</t>
  </si>
  <si>
    <t>/CALSIM/TW_64_NA2/TAILWATER//1MON/L2020A/</t>
  </si>
  <si>
    <t>/CALSIM/TW_64_PA1/TAILWATER//1MON/L2015A/</t>
  </si>
  <si>
    <t>/CALSIM/TW_64_PA1/TAILWATER//1MON/L2020A/</t>
  </si>
  <si>
    <t>/CALSIM/TW_64_PA2/TAILWATER//1MON/L2015A/</t>
  </si>
  <si>
    <t>/CALSIM/TW_64_PA2/TAILWATER//1MON/L2020A/</t>
  </si>
  <si>
    <t>/CALSIM/TW_64_PA3/TAILWATER//1MON/L2015A/</t>
  </si>
  <si>
    <t>/CALSIM/TW_64_PA3/TAILWATER//1MON/L2020A/</t>
  </si>
  <si>
    <t>/CALSIM/TW_71_NA1/TAILWATER//1MON/L2015A/</t>
  </si>
  <si>
    <t>/CALSIM/TW_71_NA1/TAILWATER//1MON/L2020A/</t>
  </si>
  <si>
    <t>/CALSIM/TW_71_NA2/TAILWATER//1MON/L2015A/</t>
  </si>
  <si>
    <t>/CALSIM/TW_71_NA2/TAILWATER//1MON/L2020A/</t>
  </si>
  <si>
    <t>/CALSIM/TW_71_NA3/TAILWATER//1MON/L2015A/</t>
  </si>
  <si>
    <t>/CALSIM/TW_71_NA3/TAILWATER//1MON/L2020A/</t>
  </si>
  <si>
    <t>/CALSIM/TW_72_NA1/TAILWATER//1MON/L2015A/</t>
  </si>
  <si>
    <t>/CALSIM/TW_72_NA1/TAILWATER//1MON/L2020A/</t>
  </si>
  <si>
    <t>/CALSIM/TW_72_NA2/TAILWATER//1MON/L2015A/</t>
  </si>
  <si>
    <t>/CALSIM/TW_72_NA2/TAILWATER//1MON/L2020A/</t>
  </si>
  <si>
    <t>/CALSIM/TW_73_NA/TAILWATER//1MON/L2015A/</t>
  </si>
  <si>
    <t>/CALSIM/TW_73_NA/TAILWATER//1MON/L2020A/</t>
  </si>
  <si>
    <t>/CALSIM/TW_90_NA/TAILWATER//1MON/L2015A/</t>
  </si>
  <si>
    <t>/CALSIM/TW_90_NA/TAILWATER//1MON/L2020A/</t>
  </si>
  <si>
    <t>/CALSIM/UD_60N_NU1/URBAN-DEMAND//1MON/L2015A/</t>
  </si>
  <si>
    <t>/CALSIM/UD_60N_NU1/URBAN-DEMAND//1MON/L2020A/</t>
  </si>
  <si>
    <t>/CALSIM/UD_60N_NU2/URBAN-DEMAND//1MON/L2015A/</t>
  </si>
  <si>
    <t>/CALSIM/UD_60N_NU2/URBAN-DEMAND//1MON/L2020A/</t>
  </si>
  <si>
    <t>/CALSIM/UD_60N_PU/URBAN-DEMAND//1MON/L2015A/</t>
  </si>
  <si>
    <t>/CALSIM/UD_60N_PU/URBAN-DEMAND//1MON/L2020A/</t>
  </si>
  <si>
    <t>/CALSIM/UD_60S_NU1/URBAN-DEMAND//1MON/L2015A/</t>
  </si>
  <si>
    <t>/CALSIM/UD_60S_NU1/URBAN-DEMAND//1MON/L2020A/</t>
  </si>
  <si>
    <t>/CALSIM/UD_60S_NU2/URBAN-DEMAND//1MON/L2015A/</t>
  </si>
  <si>
    <t>/CALSIM/UD_60S_NU2/URBAN-DEMAND//1MON/L2020A/</t>
  </si>
  <si>
    <t>/CALSIM/UD_61_NU1/URBAN-DEMAND//1MON/L2015A/</t>
  </si>
  <si>
    <t>/CALSIM/UD_61_NU1/URBAN-DEMAND//1MON/L2020A/</t>
  </si>
  <si>
    <t>/CALSIM/UD_61_NU2/URBAN-DEMAND//1MON/L2015A/</t>
  </si>
  <si>
    <t>/CALSIM/UD_61_NU2/URBAN-DEMAND//1MON/L2020A/</t>
  </si>
  <si>
    <t>/CALSIM/UD_61_NU3/URBAN-DEMAND//1MON/L2015A/</t>
  </si>
  <si>
    <t>/CALSIM/UD_61_NU3/URBAN-DEMAND//1MON/L2020A/</t>
  </si>
  <si>
    <t>/CALSIM/UD_62_NU/URBAN-DEMAND//1MON/L2015A/</t>
  </si>
  <si>
    <t>/CALSIM/UD_62_NU/URBAN-DEMAND//1MON/L2020A/</t>
  </si>
  <si>
    <t>/CALSIM/UD_63_NU/URBAN-DEMAND//1MON/L2015A/</t>
  </si>
  <si>
    <t>/CALSIM/UD_63_NU/URBAN-DEMAND//1MON/L2020A/</t>
  </si>
  <si>
    <t>/CALSIM/UD_64_NU/URBAN-DEMAND//1MON/L2015A/</t>
  </si>
  <si>
    <t>/CALSIM/UD_64_NU/URBAN-DEMAND//1MON/L2020A/</t>
  </si>
  <si>
    <t>/CALSIM/UD_71_NU/URBAN-DEMAND//1MON/L2015A/</t>
  </si>
  <si>
    <t>/CALSIM/UD_71_NU/URBAN-DEMAND//1MON/L2020A/</t>
  </si>
  <si>
    <t>/CALSIM/UD_72_NU/URBAN-DEMAND//1MON/L2015A/</t>
  </si>
  <si>
    <t>/CALSIM/UD_72_NU/URBAN-DEMAND//1MON/L2020A/</t>
  </si>
  <si>
    <t>/CALSIM/UD_73_NU/URBAN-DEMAND//1MON/L2015A/</t>
  </si>
  <si>
    <t>/CALSIM/UD_73_NU/URBAN-DEMAND//1MON/L2020A/</t>
  </si>
  <si>
    <t>/CALSIM/WW_60N_NU1/WASTEWATER//1MON/L2015A/</t>
  </si>
  <si>
    <t>/CALSIM/WW_60N_NU1/WASTEWATER//1MON/L2020A/</t>
  </si>
  <si>
    <t>/CALSIM/WW_60N_NU2/WASTEWATER//1MON/L2015A/</t>
  </si>
  <si>
    <t>/CALSIM/WW_60N_NU2/WASTEWATER//1MON/L2020A/</t>
  </si>
  <si>
    <t>/CALSIM/WW_60N_PU/WASTEWATER//1MON/L2015A/</t>
  </si>
  <si>
    <t>/CALSIM/WW_60N_PU/WASTEWATER//1MON/L2020A/</t>
  </si>
  <si>
    <t>/CALSIM/WW_60S_NU1/WASTEWATER//1MON/L2015A/</t>
  </si>
  <si>
    <t>/CALSIM/WW_60S_NU1/WASTEWATER//1MON/L2020A/</t>
  </si>
  <si>
    <t>/CALSIM/WW_60S_NU2/WASTEWATER//1MON/L2015A/</t>
  </si>
  <si>
    <t>/CALSIM/WW_60S_NU2/WASTEWATER//1MON/L2020A/</t>
  </si>
  <si>
    <t>/CALSIM/WW_61_NU1/WASTEWATER//1MON/L2015A/</t>
  </si>
  <si>
    <t>/CALSIM/WW_61_NU1/WASTEWATER//1MON/L2020A/</t>
  </si>
  <si>
    <t>/CALSIM/WW_61_NU2/WASTEWATER//1MON/L2015A/</t>
  </si>
  <si>
    <t>/CALSIM/WW_61_NU2/WASTEWATER//1MON/L2020A/</t>
  </si>
  <si>
    <t>/CALSIM/WW_61_NU3/WASTEWATER//1MON/L2015A/</t>
  </si>
  <si>
    <t>/CALSIM/WW_61_NU3/WASTEWATER//1MON/L2020A/</t>
  </si>
  <si>
    <t>/CALSIM/WW_62_NU/WASTEWATER//1MON/L2015A/</t>
  </si>
  <si>
    <t>/CALSIM/WW_62_NU/WASTEWATER//1MON/L2020A/</t>
  </si>
  <si>
    <t>/CALSIM/WW_63_NU/WASTEWATER//1MON/L2015A/</t>
  </si>
  <si>
    <t>/CALSIM/WW_63_NU/WASTEWATER//1MON/L2020A/</t>
  </si>
  <si>
    <t>/CALSIM/WW_64_NU/WASTEWATER//1MON/L2015A/</t>
  </si>
  <si>
    <t>/CALSIM/WW_64_NU/WASTEWATER//1MON/L2020A/</t>
  </si>
  <si>
    <t>/CALSIM/WW_71_NU/WASTEWATER//1MON/L2015A/</t>
  </si>
  <si>
    <t>/CALSIM/WW_71_NU/WASTEWATER//1MON/L2020A/</t>
  </si>
  <si>
    <t>/CALSIM/WW_71_PU1/WASTEWATER//1MON/L2015A/</t>
  </si>
  <si>
    <t>/CALSIM/WW_71_PU1/WASTEWATER//1MON/L2020A/</t>
  </si>
  <si>
    <t>/CALSIM/WW_71_PU2/WASTEWATER//1MON/L2015A/</t>
  </si>
  <si>
    <t>/CALSIM/WW_71_PU2/WASTEWATER//1MON/L2020A/</t>
  </si>
  <si>
    <t>/CALSIM/WW_72_NU/WASTEWATER//1MON/L2015A/</t>
  </si>
  <si>
    <t>/CALSIM/WW_72_NU/WASTEWATER//1MON/L2020A/</t>
  </si>
  <si>
    <t>/CALSIM/WW_72_PU/WASTEWATER//1MON/L2015A/</t>
  </si>
  <si>
    <t>/CALSIM/WW_72_PU/WASTEWATER//1MON/L2020A/</t>
  </si>
  <si>
    <t>/CALSIM/WW_73_NU/WASTEWATER//1MON/L2015A/</t>
  </si>
  <si>
    <t>/CALSIM/WW_73_NU/WASTEWATER//1MON/L2020A/</t>
  </si>
  <si>
    <t>/CALSIM/WW_90_PU/WASTEWATER//1MON/L2015A/</t>
  </si>
  <si>
    <t>/CALSIM/WW_90_PU/WASTEWATER//1MON/L2020A/</t>
  </si>
  <si>
    <t>/CALSIM/UD_71_PU1/URBAN-DEMAND//1MON/L2015A/</t>
  </si>
  <si>
    <t>/CALSIM/UD_71_PU1/URBAN-DEMAND//1MON/L2020A/</t>
  </si>
  <si>
    <t>/CALSIM/UD_71_PU2/URBAN-DEMAND//1MON/L2015A/</t>
  </si>
  <si>
    <t>/CALSIM/UD_71_PU2/URBAN-DEMAND//1MON/L2020A/</t>
  </si>
  <si>
    <t>/CALSIM/UD_72_PU/URBAN-DEMAND//1MON/L2015A/</t>
  </si>
  <si>
    <t>/CALSIM/UD_72_PU/URBAN-DEMAND//1MON/L2020A/</t>
  </si>
  <si>
    <t>/CALSIM/UD_90_PU/URBAN-DEMAND//1MON/L2015A/</t>
  </si>
  <si>
    <t>/CALSIM/UD_90_PU/URBAN-DEMAND//1MON/L2020A/</t>
  </si>
  <si>
    <t>LTO_Hydro_L2015A_to_L2020A_Sac_cp</t>
  </si>
  <si>
    <t>/CALSIM/AWO_02_NA/APPLIED-WATER//1MON/L2015A/</t>
  </si>
  <si>
    <t>/CALSIM/AWO_02_NA/APPLIED-WATER//1MON/L2020A/</t>
  </si>
  <si>
    <t>/CALSIM/AWO_02_PA/APPLIED-WATER//1MON/L2015A/</t>
  </si>
  <si>
    <t>/CALSIM/AWO_02_PA/APPLIED-WATER//1MON/L2020A/</t>
  </si>
  <si>
    <t>/CALSIM/AWO_02_SA/APPLIED-WATER//1MON/L2015A/</t>
  </si>
  <si>
    <t>/CALSIM/AWO_02_SA/APPLIED-WATER//1MON/L2020A/</t>
  </si>
  <si>
    <t>/CALSIM/AWO_03_NA/APPLIED-WATER//1MON/L2015A/</t>
  </si>
  <si>
    <t>/CALSIM/AWO_03_NA/APPLIED-WATER//1MON/L2020A/</t>
  </si>
  <si>
    <t>/CALSIM/AWO_03_PA/APPLIED-WATER//1MON/L2015A/</t>
  </si>
  <si>
    <t>/CALSIM/AWO_03_PA/APPLIED-WATER//1MON/L2020A/</t>
  </si>
  <si>
    <t>/CALSIM/AWO_03_SA/APPLIED-WATER//1MON/L2015A/</t>
  </si>
  <si>
    <t>/CALSIM/AWO_03_SA/APPLIED-WATER//1MON/L2020A/</t>
  </si>
  <si>
    <t>/CALSIM/AWO_04_NA/APPLIED-WATER//1MON/L2015A/</t>
  </si>
  <si>
    <t>/CALSIM/AWO_04_NA/APPLIED-WATER//1MON/L2020A/</t>
  </si>
  <si>
    <t>/CALSIM/AWO_04_PA1/APPLIED-WATER//1MON/L2015A/</t>
  </si>
  <si>
    <t>/CALSIM/AWO_04_PA1/APPLIED-WATER//1MON/L2020A/</t>
  </si>
  <si>
    <t>/CALSIM/AWO_04_PA2/APPLIED-WATER//1MON/L2015A/</t>
  </si>
  <si>
    <t>/CALSIM/AWO_04_PA2/APPLIED-WATER//1MON/L2020A/</t>
  </si>
  <si>
    <t>/CALSIM/AWO_05_NA/APPLIED-WATER//1MON/L2015A/</t>
  </si>
  <si>
    <t>/CALSIM/AWO_05_NA/APPLIED-WATER//1MON/L2020A/</t>
  </si>
  <si>
    <t>/CALSIM/AWO_06_NA/APPLIED-WATER//1MON/L2015A/</t>
  </si>
  <si>
    <t>/CALSIM/AWO_06_NA/APPLIED-WATER//1MON/L2020A/</t>
  </si>
  <si>
    <t>/CALSIM/AWO_06_PA/APPLIED-WATER//1MON/L2015A/</t>
  </si>
  <si>
    <t>/CALSIM/AWO_06_PA/APPLIED-WATER//1MON/L2020A/</t>
  </si>
  <si>
    <t>/CALSIM/AWO_07N_NA/APPLIED-WATER//1MON/L2015A/</t>
  </si>
  <si>
    <t>/CALSIM/AWO_07N_NA/APPLIED-WATER//1MON/L2020A/</t>
  </si>
  <si>
    <t>/CALSIM/AWO_07N_PA/APPLIED-WATER//1MON/L2015A/</t>
  </si>
  <si>
    <t>/CALSIM/AWO_07N_PA/APPLIED-WATER//1MON/L2020A/</t>
  </si>
  <si>
    <t>/CALSIM/AWO_07S_NA/APPLIED-WATER//1MON/L2015A/</t>
  </si>
  <si>
    <t>/CALSIM/AWO_07S_NA/APPLIED-WATER//1MON/L2020A/</t>
  </si>
  <si>
    <t>/CALSIM/AWO_07S_PA/APPLIED-WATER//1MON/L2015A/</t>
  </si>
  <si>
    <t>/CALSIM/AWO_07S_PA/APPLIED-WATER//1MON/L2020A/</t>
  </si>
  <si>
    <t>/CALSIM/AWO_08N_NA/APPLIED-WATER//1MON/L2015A/</t>
  </si>
  <si>
    <t>/CALSIM/AWO_08N_NA/APPLIED-WATER//1MON/L2020A/</t>
  </si>
  <si>
    <t>/CALSIM/AWO_08N_PA/APPLIED-WATER//1MON/L2015A/</t>
  </si>
  <si>
    <t>/CALSIM/AWO_08N_PA/APPLIED-WATER//1MON/L2020A/</t>
  </si>
  <si>
    <t>/CALSIM/AWO_08N_PR1/APPLIED-WATER//1MON/L2015A/</t>
  </si>
  <si>
    <t>/CALSIM/AWO_08N_PR1/APPLIED-WATER//1MON/L2020A/</t>
  </si>
  <si>
    <t>/CALSIM/AWO_08N_PR2/APPLIED-WATER//1MON/L2015A/</t>
  </si>
  <si>
    <t>/CALSIM/AWO_08N_PR2/APPLIED-WATER//1MON/L2020A/</t>
  </si>
  <si>
    <t>/CALSIM/AWO_08N_SA1/APPLIED-WATER//1MON/L2015A/</t>
  </si>
  <si>
    <t>/CALSIM/AWO_08N_SA1/APPLIED-WATER//1MON/L2020A/</t>
  </si>
  <si>
    <t>/CALSIM/AWO_08N_SA2/APPLIED-WATER//1MON/L2015A/</t>
  </si>
  <si>
    <t>/CALSIM/AWO_08N_SA2/APPLIED-WATER//1MON/L2020A/</t>
  </si>
  <si>
    <t>/CALSIM/AWO_08S_NA1/APPLIED-WATER//1MON/L2015A/</t>
  </si>
  <si>
    <t>/CALSIM/AWO_08S_NA1/APPLIED-WATER//1MON/L2020A/</t>
  </si>
  <si>
    <t>/CALSIM/AWO_08S_NA2/APPLIED-WATER//1MON/L2015A/</t>
  </si>
  <si>
    <t>/CALSIM/AWO_08S_NA2/APPLIED-WATER//1MON/L2020A/</t>
  </si>
  <si>
    <t>/CALSIM/AWO_08S_PA/APPLIED-WATER//1MON/L2015A/</t>
  </si>
  <si>
    <t>/CALSIM/AWO_08S_PA/APPLIED-WATER//1MON/L2020A/</t>
  </si>
  <si>
    <t>/CALSIM/AWO_08S_PR/APPLIED-WATER//1MON/L2015A/</t>
  </si>
  <si>
    <t>/CALSIM/AWO_08S_PR/APPLIED-WATER//1MON/L2020A/</t>
  </si>
  <si>
    <t>/CALSIM/AWO_08S_SA1/APPLIED-WATER//1MON/L2015A/</t>
  </si>
  <si>
    <t>/CALSIM/AWO_08S_SA1/APPLIED-WATER//1MON/L2020A/</t>
  </si>
  <si>
    <t>/CALSIM/AWO_08S_SA2/APPLIED-WATER//1MON/L2015A/</t>
  </si>
  <si>
    <t>/CALSIM/AWO_08S_SA2/APPLIED-WATER//1MON/L2020A/</t>
  </si>
  <si>
    <t>/CALSIM/AWO_08S_SA3/APPLIED-WATER//1MON/L2015A/</t>
  </si>
  <si>
    <t>/CALSIM/AWO_08S_SA3/APPLIED-WATER//1MON/L2020A/</t>
  </si>
  <si>
    <t>/CALSIM/AWO_09_NA/APPLIED-WATER//1MON/L2015A/</t>
  </si>
  <si>
    <t>/CALSIM/AWO_09_NA/APPLIED-WATER//1MON/L2020A/</t>
  </si>
  <si>
    <t>/CALSIM/AWO_09_PR/APPLIED-WATER//1MON/L2015A/</t>
  </si>
  <si>
    <t>/CALSIM/AWO_09_PR/APPLIED-WATER//1MON/L2020A/</t>
  </si>
  <si>
    <t>/CALSIM/AWO_09_SA1/APPLIED-WATER//1MON/L2015A/</t>
  </si>
  <si>
    <t>/CALSIM/AWO_09_SA1/APPLIED-WATER//1MON/L2020A/</t>
  </si>
  <si>
    <t>/CALSIM/AWO_09_SA2/APPLIED-WATER//1MON/L2015A/</t>
  </si>
  <si>
    <t>/CALSIM/AWO_09_SA2/APPLIED-WATER//1MON/L2020A/</t>
  </si>
  <si>
    <t>/CALSIM/AWO_10_NA/APPLIED-WATER//1MON/L2015A/</t>
  </si>
  <si>
    <t>/CALSIM/AWO_10_NA/APPLIED-WATER//1MON/L2020A/</t>
  </si>
  <si>
    <t>/CALSIM/AWO_11_NA/APPLIED-WATER//1MON/L2015A/</t>
  </si>
  <si>
    <t>/CALSIM/AWO_11_NA/APPLIED-WATER//1MON/L2020A/</t>
  </si>
  <si>
    <t>/CALSIM/AWO_11_PR/APPLIED-WATER//1MON/L2015A/</t>
  </si>
  <si>
    <t>/CALSIM/AWO_11_PR/APPLIED-WATER//1MON/L2020A/</t>
  </si>
  <si>
    <t>/CALSIM/AWO_11_SA1/APPLIED-WATER//1MON/L2015A/</t>
  </si>
  <si>
    <t>/CALSIM/AWO_11_SA1/APPLIED-WATER//1MON/L2020A/</t>
  </si>
  <si>
    <t>/CALSIM/AWO_11_SA2/APPLIED-WATER//1MON/L2015A/</t>
  </si>
  <si>
    <t>/CALSIM/AWO_11_SA2/APPLIED-WATER//1MON/L2020A/</t>
  </si>
  <si>
    <t>/CALSIM/AWO_11_SA3/APPLIED-WATER//1MON/L2015A/</t>
  </si>
  <si>
    <t>/CALSIM/AWO_11_SA3/APPLIED-WATER//1MON/L2020A/</t>
  </si>
  <si>
    <t>/CALSIM/AWO_11_SA4/APPLIED-WATER//1MON/L2015A/</t>
  </si>
  <si>
    <t>/CALSIM/AWO_11_SA4/APPLIED-WATER//1MON/L2020A/</t>
  </si>
  <si>
    <t>/CALSIM/AWO_12_NA/APPLIED-WATER//1MON/L2015A/</t>
  </si>
  <si>
    <t>/CALSIM/AWO_12_NA/APPLIED-WATER//1MON/L2020A/</t>
  </si>
  <si>
    <t>/CALSIM/AWO_12_SA/APPLIED-WATER//1MON/L2015A/</t>
  </si>
  <si>
    <t>/CALSIM/AWO_12_SA/APPLIED-WATER//1MON/L2020A/</t>
  </si>
  <si>
    <t>/CALSIM/AWO_13_NA/APPLIED-WATER//1MON/L2015A/</t>
  </si>
  <si>
    <t>/CALSIM/AWO_13_NA/APPLIED-WATER//1MON/L2020A/</t>
  </si>
  <si>
    <t>/CALSIM/AWO_14_NA/APPLIED-WATER//1MON/L2015A/</t>
  </si>
  <si>
    <t>/CALSIM/AWO_14_NA/APPLIED-WATER//1MON/L2020A/</t>
  </si>
  <si>
    <t>/CALSIM/AWO_15N_NA1/APPLIED-WATER//1MON/L2015A/</t>
  </si>
  <si>
    <t>/CALSIM/AWO_15N_NA1/APPLIED-WATER//1MON/L2020A/</t>
  </si>
  <si>
    <t>/CALSIM/AWO_15N_NA2/APPLIED-WATER//1MON/L2015A/</t>
  </si>
  <si>
    <t>/CALSIM/AWO_15N_NA2/APPLIED-WATER//1MON/L2020A/</t>
  </si>
  <si>
    <t>/CALSIM/AWO_15N_SA/APPLIED-WATER//1MON/L2015A/</t>
  </si>
  <si>
    <t>/CALSIM/AWO_15N_SA/APPLIED-WATER//1MON/L2020A/</t>
  </si>
  <si>
    <t>/CALSIM/AWO_15S_NA1/APPLIED-WATER//1MON/L2015A/</t>
  </si>
  <si>
    <t>/CALSIM/AWO_15S_NA1/APPLIED-WATER//1MON/L2020A/</t>
  </si>
  <si>
    <t>/CALSIM/AWO_15S_NA2/APPLIED-WATER//1MON/L2015A/</t>
  </si>
  <si>
    <t>/CALSIM/AWO_15S_NA2/APPLIED-WATER//1MON/L2020A/</t>
  </si>
  <si>
    <t>/CALSIM/AWO_15S_SA/APPLIED-WATER//1MON/L2015A/</t>
  </si>
  <si>
    <t>/CALSIM/AWO_15S_SA/APPLIED-WATER//1MON/L2020A/</t>
  </si>
  <si>
    <t>/CALSIM/AWO_16_NA1/APPLIED-WATER//1MON/L2015A/</t>
  </si>
  <si>
    <t>/CALSIM/AWO_16_NA1/APPLIED-WATER//1MON/L2020A/</t>
  </si>
  <si>
    <t>/CALSIM/AWO_16_NA2/APPLIED-WATER//1MON/L2015A/</t>
  </si>
  <si>
    <t>/CALSIM/AWO_16_NA2/APPLIED-WATER//1MON/L2020A/</t>
  </si>
  <si>
    <t>/CALSIM/AWO_16_PA/APPLIED-WATER//1MON/L2015A/</t>
  </si>
  <si>
    <t>/CALSIM/AWO_16_PA/APPLIED-WATER//1MON/L2020A/</t>
  </si>
  <si>
    <t>/CALSIM/AWO_16_SA/APPLIED-WATER//1MON/L2015A/</t>
  </si>
  <si>
    <t>/CALSIM/AWO_16_SA/APPLIED-WATER//1MON/L2020A/</t>
  </si>
  <si>
    <t>/CALSIM/AWO_17N_NA/APPLIED-WATER//1MON/L2015A/</t>
  </si>
  <si>
    <t>/CALSIM/AWO_17N_NA/APPLIED-WATER//1MON/L2020A/</t>
  </si>
  <si>
    <t>/CALSIM/AWO_17N_NR/APPLIED-WATER//1MON/L2015A/</t>
  </si>
  <si>
    <t>/CALSIM/AWO_17N_NR/APPLIED-WATER//1MON/L2020A/</t>
  </si>
  <si>
    <t>/CALSIM/AWO_17N_PR/APPLIED-WATER//1MON/L2015A/</t>
  </si>
  <si>
    <t>/CALSIM/AWO_17N_PR/APPLIED-WATER//1MON/L2020A/</t>
  </si>
  <si>
    <t>/CALSIM/AWO_17S_NA/APPLIED-WATER//1MON/L2015A/</t>
  </si>
  <si>
    <t>/CALSIM/AWO_17S_NA/APPLIED-WATER//1MON/L2020A/</t>
  </si>
  <si>
    <t>/CALSIM/AWO_17S_PR/APPLIED-WATER//1MON/L2015A/</t>
  </si>
  <si>
    <t>/CALSIM/AWO_17S_PR/APPLIED-WATER//1MON/L2020A/</t>
  </si>
  <si>
    <t>/CALSIM/AWO_17S_SA/APPLIED-WATER//1MON/L2015A/</t>
  </si>
  <si>
    <t>/CALSIM/AWO_17S_SA/APPLIED-WATER//1MON/L2020A/</t>
  </si>
  <si>
    <t>/CALSIM/AWO_18_NA/APPLIED-WATER//1MON/L2015A/</t>
  </si>
  <si>
    <t>/CALSIM/AWO_18_NA/APPLIED-WATER//1MON/L2020A/</t>
  </si>
  <si>
    <t>/CALSIM/AWO_18_SA/APPLIED-WATER//1MON/L2015A/</t>
  </si>
  <si>
    <t>/CALSIM/AWO_18_SA/APPLIED-WATER//1MON/L2020A/</t>
  </si>
  <si>
    <t>/CALSIM/AWO_19_SA/APPLIED-WATER//1MON/L2015A/</t>
  </si>
  <si>
    <t>/CALSIM/AWO_19_SA/APPLIED-WATER//1MON/L2020A/</t>
  </si>
  <si>
    <t>/CALSIM/AWO_20_NA1/APPLIED-WATER//1MON/L2015A/</t>
  </si>
  <si>
    <t>/CALSIM/AWO_20_NA1/APPLIED-WATER//1MON/L2020A/</t>
  </si>
  <si>
    <t>/CALSIM/AWO_20_NA2/APPLIED-WATER//1MON/L2015A/</t>
  </si>
  <si>
    <t>/CALSIM/AWO_20_NA2/APPLIED-WATER//1MON/L2020A/</t>
  </si>
  <si>
    <t>/CALSIM/AWO_20_PA/APPLIED-WATER//1MON/L2015A/</t>
  </si>
  <si>
    <t>/CALSIM/AWO_20_PA/APPLIED-WATER//1MON/L2020A/</t>
  </si>
  <si>
    <t>/CALSIM/AWO_21_NA/APPLIED-WATER//1MON/L2015A/</t>
  </si>
  <si>
    <t>/CALSIM/AWO_21_NA/APPLIED-WATER//1MON/L2020A/</t>
  </si>
  <si>
    <t>/CALSIM/AWO_21_PA/APPLIED-WATER//1MON/L2015A/</t>
  </si>
  <si>
    <t>/CALSIM/AWO_21_PA/APPLIED-WATER//1MON/L2020A/</t>
  </si>
  <si>
    <t>/CALSIM/AWO_21_SA/APPLIED-WATER//1MON/L2015A/</t>
  </si>
  <si>
    <t>/CALSIM/AWO_21_SA/APPLIED-WATER//1MON/L2020A/</t>
  </si>
  <si>
    <t>/CALSIM/AWO_22_NA/APPLIED-WATER//1MON/L2015A/</t>
  </si>
  <si>
    <t>/CALSIM/AWO_22_NA/APPLIED-WATER//1MON/L2020A/</t>
  </si>
  <si>
    <t>/CALSIM/AWO_22_SA1/APPLIED-WATER//1MON/L2015A/</t>
  </si>
  <si>
    <t>/CALSIM/AWO_22_SA1/APPLIED-WATER//1MON/L2020A/</t>
  </si>
  <si>
    <t>/CALSIM/AWO_22_SA2/APPLIED-WATER//1MON/L2015A/</t>
  </si>
  <si>
    <t>/CALSIM/AWO_22_SA2/APPLIED-WATER//1MON/L2020A/</t>
  </si>
  <si>
    <t>/CALSIM/AWO_23_NA/APPLIED-WATER//1MON/L2015A/</t>
  </si>
  <si>
    <t>/CALSIM/AWO_23_NA/APPLIED-WATER//1MON/L2020A/</t>
  </si>
  <si>
    <t>/CALSIM/AWO_24_NA1/APPLIED-WATER//1MON/L2015A/</t>
  </si>
  <si>
    <t>/CALSIM/AWO_24_NA1/APPLIED-WATER//1MON/L2020A/</t>
  </si>
  <si>
    <t>/CALSIM/AWO_24_NA2/APPLIED-WATER//1MON/L2015A/</t>
  </si>
  <si>
    <t>/CALSIM/AWO_24_NA2/APPLIED-WATER//1MON/L2020A/</t>
  </si>
  <si>
    <t>/CALSIM/AWO_24_NA3/APPLIED-WATER//1MON/L2015A/</t>
  </si>
  <si>
    <t>/CALSIM/AWO_24_NA3/APPLIED-WATER//1MON/L2020A/</t>
  </si>
  <si>
    <t>/CALSIM/AWO_25_NA/APPLIED-WATER//1MON/L2015A/</t>
  </si>
  <si>
    <t>/CALSIM/AWO_25_NA/APPLIED-WATER//1MON/L2020A/</t>
  </si>
  <si>
    <t>/CALSIM/AWO_25_PA1/APPLIED-WATER//1MON/L2015A/</t>
  </si>
  <si>
    <t>/CALSIM/AWO_25_PA1/APPLIED-WATER//1MON/L2020A/</t>
  </si>
  <si>
    <t>/CALSIM/AWO_25_PA2/APPLIED-WATER//1MON/L2015A/</t>
  </si>
  <si>
    <t>/CALSIM/AWO_25_PA2/APPLIED-WATER//1MON/L2020A/</t>
  </si>
  <si>
    <t>/CALSIM/AWO_26N_NA/APPLIED-WATER//1MON/L2015A/</t>
  </si>
  <si>
    <t>/CALSIM/AWO_26N_NA/APPLIED-WATER//1MON/L2020A/</t>
  </si>
  <si>
    <t>/CALSIM/AWO_26S_NA/APPLIED-WATER//1MON/L2015A/</t>
  </si>
  <si>
    <t>/CALSIM/AWO_26S_NA/APPLIED-WATER//1MON/L2020A/</t>
  </si>
  <si>
    <t>/CALSIM/AWR_02_NA/APPLIED-WATER//1MON/L2015A/</t>
  </si>
  <si>
    <t>/CALSIM/AWR_02_NA/APPLIED-WATER//1MON/L2020A/</t>
  </si>
  <si>
    <t>/CALSIM/AWR_02_PA/APPLIED-WATER//1MON/L2015A/</t>
  </si>
  <si>
    <t>/CALSIM/AWR_02_PA/APPLIED-WATER//1MON/L2020A/</t>
  </si>
  <si>
    <t>/CALSIM/AWR_02_SA/APPLIED-WATER//1MON/L2015A/</t>
  </si>
  <si>
    <t>/CALSIM/AWR_02_SA/APPLIED-WATER//1MON/L2020A/</t>
  </si>
  <si>
    <t>/CALSIM/AWR_03_NA/APPLIED-WATER//1MON/L2015A/</t>
  </si>
  <si>
    <t>/CALSIM/AWR_03_NA/APPLIED-WATER//1MON/L2020A/</t>
  </si>
  <si>
    <t>/CALSIM/AWR_03_PA/APPLIED-WATER//1MON/L2015A/</t>
  </si>
  <si>
    <t>/CALSIM/AWR_03_PA/APPLIED-WATER//1MON/L2020A/</t>
  </si>
  <si>
    <t>/CALSIM/AWR_03_SA/APPLIED-WATER//1MON/L2015A/</t>
  </si>
  <si>
    <t>/CALSIM/AWR_03_SA/APPLIED-WATER//1MON/L2020A/</t>
  </si>
  <si>
    <t>/CALSIM/AWR_04_NA/APPLIED-WATER//1MON/L2015A/</t>
  </si>
  <si>
    <t>/CALSIM/AWR_04_NA/APPLIED-WATER//1MON/L2020A/</t>
  </si>
  <si>
    <t>/CALSIM/AWR_04_PA1/APPLIED-WATER//1MON/L2015A/</t>
  </si>
  <si>
    <t>/CALSIM/AWR_04_PA1/APPLIED-WATER//1MON/L2020A/</t>
  </si>
  <si>
    <t>/CALSIM/AWR_04_PA2/APPLIED-WATER//1MON/L2015A/</t>
  </si>
  <si>
    <t>/CALSIM/AWR_04_PA2/APPLIED-WATER//1MON/L2020A/</t>
  </si>
  <si>
    <t>/CALSIM/AWR_05_NA/APPLIED-WATER//1MON/L2015A/</t>
  </si>
  <si>
    <t>/CALSIM/AWR_05_NA/APPLIED-WATER//1MON/L2020A/</t>
  </si>
  <si>
    <t>/CALSIM/AWR_06_NA/APPLIED-WATER//1MON/L2015A/</t>
  </si>
  <si>
    <t>/CALSIM/AWR_06_NA/APPLIED-WATER//1MON/L2020A/</t>
  </si>
  <si>
    <t>/CALSIM/AWR_06_PA/APPLIED-WATER//1MON/L2015A/</t>
  </si>
  <si>
    <t>/CALSIM/AWR_06_PA/APPLIED-WATER//1MON/L2020A/</t>
  </si>
  <si>
    <t>/CALSIM/AWR_07N_NA/APPLIED-WATER//1MON/L2015A/</t>
  </si>
  <si>
    <t>/CALSIM/AWR_07N_NA/APPLIED-WATER//1MON/L2020A/</t>
  </si>
  <si>
    <t>/CALSIM/AWR_07N_PA/APPLIED-WATER//1MON/L2015A/</t>
  </si>
  <si>
    <t>/CALSIM/AWR_07N_PA/APPLIED-WATER//1MON/L2020A/</t>
  </si>
  <si>
    <t>/CALSIM/AWR_07S_NA/APPLIED-WATER//1MON/L2015A/</t>
  </si>
  <si>
    <t>/CALSIM/AWR_07S_NA/APPLIED-WATER//1MON/L2020A/</t>
  </si>
  <si>
    <t>/CALSIM/AWR_07S_PA/APPLIED-WATER//1MON/L2015A/</t>
  </si>
  <si>
    <t>/CALSIM/AWR_07S_PA/APPLIED-WATER//1MON/L2020A/</t>
  </si>
  <si>
    <t>/CALSIM/AWR_08N_NA/APPLIED-WATER//1MON/L2015A/</t>
  </si>
  <si>
    <t>/CALSIM/AWR_08N_NA/APPLIED-WATER//1MON/L2020A/</t>
  </si>
  <si>
    <t>/CALSIM/AWR_08N_PA/APPLIED-WATER//1MON/L2015A/</t>
  </si>
  <si>
    <t>/CALSIM/AWR_08N_PA/APPLIED-WATER//1MON/L2020A/</t>
  </si>
  <si>
    <t>/CALSIM/AWR_08N_PR1/APPLIED-WATER//1MON/L2015A/</t>
  </si>
  <si>
    <t>/CALSIM/AWR_08N_PR1/APPLIED-WATER//1MON/L2020A/</t>
  </si>
  <si>
    <t>/CALSIM/AWR_08N_PR2/APPLIED-WATER//1MON/L2015A/</t>
  </si>
  <si>
    <t>/CALSIM/AWR_08N_PR2/APPLIED-WATER//1MON/L2020A/</t>
  </si>
  <si>
    <t>/CALSIM/AWR_08N_SA1/APPLIED-WATER//1MON/L2015A/</t>
  </si>
  <si>
    <t>/CALSIM/AWR_08N_SA1/APPLIED-WATER//1MON/L2020A/</t>
  </si>
  <si>
    <t>/CALSIM/AWR_08N_SA2/APPLIED-WATER//1MON/L2015A/</t>
  </si>
  <si>
    <t>/CALSIM/AWR_08N_SA2/APPLIED-WATER//1MON/L2020A/</t>
  </si>
  <si>
    <t>/CALSIM/AWR_08S_NA1/APPLIED-WATER//1MON/L2015A/</t>
  </si>
  <si>
    <t>/CALSIM/AWR_08S_NA1/APPLIED-WATER//1MON/L2020A/</t>
  </si>
  <si>
    <t>/CALSIM/AWR_08S_NA2/APPLIED-WATER//1MON/L2015A/</t>
  </si>
  <si>
    <t>/CALSIM/AWR_08S_NA2/APPLIED-WATER//1MON/L2020A/</t>
  </si>
  <si>
    <t>/CALSIM/AWR_08S_PA/APPLIED-WATER//1MON/L2015A/</t>
  </si>
  <si>
    <t>/CALSIM/AWR_08S_PA/APPLIED-WATER//1MON/L2020A/</t>
  </si>
  <si>
    <t>/CALSIM/AWR_08S_PR/APPLIED-WATER//1MON/L2015A/</t>
  </si>
  <si>
    <t>/CALSIM/AWR_08S_PR/APPLIED-WATER//1MON/L2020A/</t>
  </si>
  <si>
    <t>/CALSIM/AWR_08S_SA1/APPLIED-WATER//1MON/L2015A/</t>
  </si>
  <si>
    <t>/CALSIM/AWR_08S_SA1/APPLIED-WATER//1MON/L2020A/</t>
  </si>
  <si>
    <t>/CALSIM/AWR_08S_SA2/APPLIED-WATER//1MON/L2015A/</t>
  </si>
  <si>
    <t>/CALSIM/AWR_08S_SA2/APPLIED-WATER//1MON/L2020A/</t>
  </si>
  <si>
    <t>/CALSIM/AWR_08S_SA3/APPLIED-WATER//1MON/L2015A/</t>
  </si>
  <si>
    <t>/CALSIM/AWR_08S_SA3/APPLIED-WATER//1MON/L2020A/</t>
  </si>
  <si>
    <t>/CALSIM/AWR_09_NA/APPLIED-WATER//1MON/L2015A/</t>
  </si>
  <si>
    <t>/CALSIM/AWR_09_NA/APPLIED-WATER//1MON/L2020A/</t>
  </si>
  <si>
    <t>/CALSIM/AWR_09_PR/APPLIED-WATER//1MON/L2015A/</t>
  </si>
  <si>
    <t>/CALSIM/AWR_09_PR/APPLIED-WATER//1MON/L2020A/</t>
  </si>
  <si>
    <t>/CALSIM/AWR_09_SA1/APPLIED-WATER//1MON/L2015A/</t>
  </si>
  <si>
    <t>/CALSIM/AWR_09_SA1/APPLIED-WATER//1MON/L2020A/</t>
  </si>
  <si>
    <t>/CALSIM/AWR_09_SA2/APPLIED-WATER//1MON/L2015A/</t>
  </si>
  <si>
    <t>/CALSIM/AWR_09_SA2/APPLIED-WATER//1MON/L2020A/</t>
  </si>
  <si>
    <t>/CALSIM/AWR_10_NA/APPLIED-WATER//1MON/L2015A/</t>
  </si>
  <si>
    <t>/CALSIM/AWR_10_NA/APPLIED-WATER//1MON/L2020A/</t>
  </si>
  <si>
    <t>/CALSIM/AWR_11_NA/APPLIED-WATER//1MON/L2015A/</t>
  </si>
  <si>
    <t>/CALSIM/AWR_11_NA/APPLIED-WATER//1MON/L2020A/</t>
  </si>
  <si>
    <t>/CALSIM/AWR_11_PR/APPLIED-WATER//1MON/L2015A/</t>
  </si>
  <si>
    <t>/CALSIM/AWR_11_PR/APPLIED-WATER//1MON/L2020A/</t>
  </si>
  <si>
    <t>/CALSIM/AWR_11_SA1/APPLIED-WATER//1MON/L2015A/</t>
  </si>
  <si>
    <t>/CALSIM/AWR_11_SA1/APPLIED-WATER//1MON/L2020A/</t>
  </si>
  <si>
    <t>/CALSIM/AWR_11_SA2/APPLIED-WATER//1MON/L2015A/</t>
  </si>
  <si>
    <t>/CALSIM/AWR_11_SA2/APPLIED-WATER//1MON/L2020A/</t>
  </si>
  <si>
    <t>/CALSIM/AWR_11_SA3/APPLIED-WATER//1MON/L2015A/</t>
  </si>
  <si>
    <t>/CALSIM/AWR_11_SA3/APPLIED-WATER//1MON/L2020A/</t>
  </si>
  <si>
    <t>/CALSIM/AWR_11_SA4/APPLIED-WATER//1MON/L2015A/</t>
  </si>
  <si>
    <t>/CALSIM/AWR_11_SA4/APPLIED-WATER//1MON/L2020A/</t>
  </si>
  <si>
    <t>/CALSIM/AWR_12_NA/APPLIED-WATER//1MON/L2015A/</t>
  </si>
  <si>
    <t>/CALSIM/AWR_12_NA/APPLIED-WATER//1MON/L2020A/</t>
  </si>
  <si>
    <t>/CALSIM/AWR_12_SA/APPLIED-WATER//1MON/L2015A/</t>
  </si>
  <si>
    <t>/CALSIM/AWR_12_SA/APPLIED-WATER//1MON/L2020A/</t>
  </si>
  <si>
    <t>/CALSIM/AWR_13_NA/APPLIED-WATER//1MON/L2015A/</t>
  </si>
  <si>
    <t>/CALSIM/AWR_13_NA/APPLIED-WATER//1MON/L2020A/</t>
  </si>
  <si>
    <t>/CALSIM/AWR_14_NA/APPLIED-WATER//1MON/L2015A/</t>
  </si>
  <si>
    <t>/CALSIM/AWR_14_NA/APPLIED-WATER//1MON/L2020A/</t>
  </si>
  <si>
    <t>/CALSIM/AWR_15N_NA1/APPLIED-WATER//1MON/L2015A/</t>
  </si>
  <si>
    <t>/CALSIM/AWR_15N_NA1/APPLIED-WATER//1MON/L2020A/</t>
  </si>
  <si>
    <t>/CALSIM/AWR_15N_NA2/APPLIED-WATER//1MON/L2015A/</t>
  </si>
  <si>
    <t>/CALSIM/AWR_15N_NA2/APPLIED-WATER//1MON/L2020A/</t>
  </si>
  <si>
    <t>/CALSIM/AWR_15N_SA/APPLIED-WATER//1MON/L2015A/</t>
  </si>
  <si>
    <t>/CALSIM/AWR_15N_SA/APPLIED-WATER//1MON/L2020A/</t>
  </si>
  <si>
    <t>/CALSIM/AWR_15S_NA1/APPLIED-WATER//1MON/L2015A/</t>
  </si>
  <si>
    <t>/CALSIM/AWR_15S_NA1/APPLIED-WATER//1MON/L2020A/</t>
  </si>
  <si>
    <t>/CALSIM/AWR_15S_NA2/APPLIED-WATER//1MON/L2015A/</t>
  </si>
  <si>
    <t>/CALSIM/AWR_15S_NA2/APPLIED-WATER//1MON/L2020A/</t>
  </si>
  <si>
    <t>/CALSIM/AWR_15S_SA/APPLIED-WATER//1MON/L2015A/</t>
  </si>
  <si>
    <t>/CALSIM/AWR_15S_SA/APPLIED-WATER//1MON/L2020A/</t>
  </si>
  <si>
    <t>/CALSIM/AWR_16_NA1/APPLIED-WATER//1MON/L2015A/</t>
  </si>
  <si>
    <t>/CALSIM/AWR_16_NA1/APPLIED-WATER//1MON/L2020A/</t>
  </si>
  <si>
    <t>/CALSIM/AWR_16_NA2/APPLIED-WATER//1MON/L2015A/</t>
  </si>
  <si>
    <t>/CALSIM/AWR_16_NA2/APPLIED-WATER//1MON/L2020A/</t>
  </si>
  <si>
    <t>/CALSIM/AWR_16_PA/APPLIED-WATER//1MON/L2015A/</t>
  </si>
  <si>
    <t>/CALSIM/AWR_16_PA/APPLIED-WATER//1MON/L2020A/</t>
  </si>
  <si>
    <t>/CALSIM/AWR_16_SA/APPLIED-WATER//1MON/L2015A/</t>
  </si>
  <si>
    <t>/CALSIM/AWR_16_SA/APPLIED-WATER//1MON/L2020A/</t>
  </si>
  <si>
    <t>/CALSIM/AWR_17N_NA/APPLIED-WATER//1MON/L2015A/</t>
  </si>
  <si>
    <t>/CALSIM/AWR_17N_NA/APPLIED-WATER//1MON/L2020A/</t>
  </si>
  <si>
    <t>/CALSIM/AWR_17N_NR/APPLIED-WATER//1MON/L2015A/</t>
  </si>
  <si>
    <t>/CALSIM/AWR_17N_NR/APPLIED-WATER//1MON/L2020A/</t>
  </si>
  <si>
    <t>/CALSIM/AWR_17N_PR/APPLIED-WATER//1MON/L2015A/</t>
  </si>
  <si>
    <t>/CALSIM/AWR_17N_PR/APPLIED-WATER//1MON/L2020A/</t>
  </si>
  <si>
    <t>/CALSIM/AWR_17S_NA/APPLIED-WATER//1MON/L2015A/</t>
  </si>
  <si>
    <t>/CALSIM/AWR_17S_NA/APPLIED-WATER//1MON/L2020A/</t>
  </si>
  <si>
    <t>/CALSIM/AWR_17S_PR/APPLIED-WATER//1MON/L2015A/</t>
  </si>
  <si>
    <t>/CALSIM/AWR_17S_PR/APPLIED-WATER//1MON/L2020A/</t>
  </si>
  <si>
    <t>/CALSIM/AWR_17S_SA/APPLIED-WATER//1MON/L2015A/</t>
  </si>
  <si>
    <t>/CALSIM/AWR_17S_SA/APPLIED-WATER//1MON/L2020A/</t>
  </si>
  <si>
    <t>/CALSIM/AWR_18_NA/APPLIED-WATER//1MON/L2015A/</t>
  </si>
  <si>
    <t>/CALSIM/AWR_18_NA/APPLIED-WATER//1MON/L2020A/</t>
  </si>
  <si>
    <t>/CALSIM/AWR_18_SA/APPLIED-WATER//1MON/L2015A/</t>
  </si>
  <si>
    <t>/CALSIM/AWR_18_SA/APPLIED-WATER//1MON/L2020A/</t>
  </si>
  <si>
    <t>/CALSIM/AWR_19_SA/APPLIED-WATER//1MON/L2015A/</t>
  </si>
  <si>
    <t>/CALSIM/AWR_19_SA/APPLIED-WATER//1MON/L2020A/</t>
  </si>
  <si>
    <t>/CALSIM/AWR_20_NA1/APPLIED-WATER//1MON/L2015A/</t>
  </si>
  <si>
    <t>/CALSIM/AWR_20_NA1/APPLIED-WATER//1MON/L2020A/</t>
  </si>
  <si>
    <t>/CALSIM/AWR_20_NA2/APPLIED-WATER//1MON/L2015A/</t>
  </si>
  <si>
    <t>/CALSIM/AWR_20_NA2/APPLIED-WATER//1MON/L2020A/</t>
  </si>
  <si>
    <t>/CALSIM/AWR_20_PA/APPLIED-WATER//1MON/L2015A/</t>
  </si>
  <si>
    <t>/CALSIM/AWR_20_PA/APPLIED-WATER//1MON/L2020A/</t>
  </si>
  <si>
    <t>/CALSIM/AWR_21_NA/APPLIED-WATER//1MON/L2015A/</t>
  </si>
  <si>
    <t>/CALSIM/AWR_21_NA/APPLIED-WATER//1MON/L2020A/</t>
  </si>
  <si>
    <t>/CALSIM/AWR_21_PA/APPLIED-WATER//1MON/L2015A/</t>
  </si>
  <si>
    <t>/CALSIM/AWR_21_PA/APPLIED-WATER//1MON/L2020A/</t>
  </si>
  <si>
    <t>/CALSIM/AWR_21_SA/APPLIED-WATER//1MON/L2015A/</t>
  </si>
  <si>
    <t>/CALSIM/AWR_21_SA/APPLIED-WATER//1MON/L2020A/</t>
  </si>
  <si>
    <t>/CALSIM/AWR_22_NA/APPLIED-WATER//1MON/L2015A/</t>
  </si>
  <si>
    <t>/CALSIM/AWR_22_NA/APPLIED-WATER//1MON/L2020A/</t>
  </si>
  <si>
    <t>/CALSIM/AWR_22_SA1/APPLIED-WATER//1MON/L2015A/</t>
  </si>
  <si>
    <t>/CALSIM/AWR_22_SA1/APPLIED-WATER//1MON/L2020A/</t>
  </si>
  <si>
    <t>/CALSIM/AWR_22_SA2/APPLIED-WATER//1MON/L2015A/</t>
  </si>
  <si>
    <t>/CALSIM/AWR_22_SA2/APPLIED-WATER//1MON/L2020A/</t>
  </si>
  <si>
    <t>/CALSIM/AWR_23_NA/APPLIED-WATER//1MON/L2015A/</t>
  </si>
  <si>
    <t>/CALSIM/AWR_23_NA/APPLIED-WATER//1MON/L2020A/</t>
  </si>
  <si>
    <t>/CALSIM/AWR_24_NA1/APPLIED-WATER//1MON/L2015A/</t>
  </si>
  <si>
    <t>/CALSIM/AWR_24_NA1/APPLIED-WATER//1MON/L2020A/</t>
  </si>
  <si>
    <t>/CALSIM/AWR_24_NA2/APPLIED-WATER//1MON/L2015A/</t>
  </si>
  <si>
    <t>/CALSIM/AWR_24_NA2/APPLIED-WATER//1MON/L2020A/</t>
  </si>
  <si>
    <t>/CALSIM/AWR_24_NA3/APPLIED-WATER//1MON/L2015A/</t>
  </si>
  <si>
    <t>/CALSIM/AWR_24_NA3/APPLIED-WATER//1MON/L2020A/</t>
  </si>
  <si>
    <t>/CALSIM/AWR_25_NA/APPLIED-WATER//1MON/L2015A/</t>
  </si>
  <si>
    <t>/CALSIM/AWR_25_NA/APPLIED-WATER//1MON/L2020A/</t>
  </si>
  <si>
    <t>/CALSIM/AWR_25_PA1/APPLIED-WATER//1MON/L2015A/</t>
  </si>
  <si>
    <t>/CALSIM/AWR_25_PA1/APPLIED-WATER//1MON/L2020A/</t>
  </si>
  <si>
    <t>/CALSIM/AWR_25_PA2/APPLIED-WATER//1MON/L2015A/</t>
  </si>
  <si>
    <t>/CALSIM/AWR_25_PA2/APPLIED-WATER//1MON/L2020A/</t>
  </si>
  <si>
    <t>/CALSIM/AWR_26N_NA/APPLIED-WATER//1MON/L2015A/</t>
  </si>
  <si>
    <t>/CALSIM/AWR_26N_NA/APPLIED-WATER//1MON/L2020A/</t>
  </si>
  <si>
    <t>/CALSIM/AWR_26S_NA/APPLIED-WATER//1MON/L2015A/</t>
  </si>
  <si>
    <t>/CALSIM/AWR_26S_NA/APPLIED-WATER//1MON/L2020A/</t>
  </si>
  <si>
    <t>/CALSIM/AWW_05_NA/APPLIED-WATER//1MON/L2015A/</t>
  </si>
  <si>
    <t>/CALSIM/AWW_05_NA/APPLIED-WATER//1MON/L2020A/</t>
  </si>
  <si>
    <t>/CALSIM/AWW_08N_PA/APPLIED-WATER//1MON/L2015A/</t>
  </si>
  <si>
    <t>/CALSIM/AWW_08N_PA/APPLIED-WATER//1MON/L2020A/</t>
  </si>
  <si>
    <t>/CALSIM/AWW_08N_PR1/APPLIED-WATER//1MON/L2015A/</t>
  </si>
  <si>
    <t>/CALSIM/AWW_08N_PR1/APPLIED-WATER//1MON/L2020A/</t>
  </si>
  <si>
    <t>/CALSIM/AWW_08N_PR2/APPLIED-WATER//1MON/L2015A/</t>
  </si>
  <si>
    <t>/CALSIM/AWW_08N_PR2/APPLIED-WATER//1MON/L2020A/</t>
  </si>
  <si>
    <t>/CALSIM/AWW_08N_SA1/APPLIED-WATER//1MON/L2015A/</t>
  </si>
  <si>
    <t>/CALSIM/AWW_08N_SA1/APPLIED-WATER//1MON/L2020A/</t>
  </si>
  <si>
    <t>/CALSIM/AWW_08N_SA2/APPLIED-WATER//1MON/L2015A/</t>
  </si>
  <si>
    <t>/CALSIM/AWW_08N_SA2/APPLIED-WATER//1MON/L2020A/</t>
  </si>
  <si>
    <t>/CALSIM/AWW_08S_PA/APPLIED-WATER//1MON/L2015A/</t>
  </si>
  <si>
    <t>/CALSIM/AWW_08S_PA/APPLIED-WATER//1MON/L2020A/</t>
  </si>
  <si>
    <t>/CALSIM/AWW_08S_PR/APPLIED-WATER//1MON/L2015A/</t>
  </si>
  <si>
    <t>/CALSIM/AWW_08S_PR/APPLIED-WATER//1MON/L2020A/</t>
  </si>
  <si>
    <t>/CALSIM/AWW_08S_SA1/APPLIED-WATER//1MON/L2015A/</t>
  </si>
  <si>
    <t>/CALSIM/AWW_08S_SA1/APPLIED-WATER//1MON/L2020A/</t>
  </si>
  <si>
    <t>/CALSIM/AWW_08S_SA2/APPLIED-WATER//1MON/L2015A/</t>
  </si>
  <si>
    <t>/CALSIM/AWW_08S_SA2/APPLIED-WATER//1MON/L2020A/</t>
  </si>
  <si>
    <t>/CALSIM/AWW_09_NA/APPLIED-WATER//1MON/L2015A/</t>
  </si>
  <si>
    <t>/CALSIM/AWW_09_NA/APPLIED-WATER//1MON/L2020A/</t>
  </si>
  <si>
    <t>/CALSIM/AWW_09_PR/APPLIED-WATER//1MON/L2015A/</t>
  </si>
  <si>
    <t>/CALSIM/AWW_09_PR/APPLIED-WATER//1MON/L2020A/</t>
  </si>
  <si>
    <t>/CALSIM/AWW_09_SA2/APPLIED-WATER//1MON/L2015A/</t>
  </si>
  <si>
    <t>/CALSIM/AWW_09_SA2/APPLIED-WATER//1MON/L2020A/</t>
  </si>
  <si>
    <t>/CALSIM/AWW_10_NA/APPLIED-WATER//1MON/L2015A/</t>
  </si>
  <si>
    <t>/CALSIM/AWW_10_NA/APPLIED-WATER//1MON/L2020A/</t>
  </si>
  <si>
    <t>/CALSIM/AWW_11_NA/APPLIED-WATER//1MON/L2015A/</t>
  </si>
  <si>
    <t>/CALSIM/AWW_11_NA/APPLIED-WATER//1MON/L2020A/</t>
  </si>
  <si>
    <t>/CALSIM/AWW_11_PR/APPLIED-WATER//1MON/L2015A/</t>
  </si>
  <si>
    <t>/CALSIM/AWW_11_PR/APPLIED-WATER//1MON/L2020A/</t>
  </si>
  <si>
    <t>/CALSIM/AWW_11_SA1/APPLIED-WATER//1MON/L2015A/</t>
  </si>
  <si>
    <t>/CALSIM/AWW_11_SA1/APPLIED-WATER//1MON/L2020A/</t>
  </si>
  <si>
    <t>/CALSIM/AWW_11_SA2/APPLIED-WATER//1MON/L2015A/</t>
  </si>
  <si>
    <t>/CALSIM/AWW_11_SA2/APPLIED-WATER//1MON/L2020A/</t>
  </si>
  <si>
    <t>/CALSIM/AWW_11_SA3/APPLIED-WATER//1MON/L2015A/</t>
  </si>
  <si>
    <t>/CALSIM/AWW_11_SA3/APPLIED-WATER//1MON/L2020A/</t>
  </si>
  <si>
    <t>/CALSIM/AWW_11_SA4/APPLIED-WATER//1MON/L2015A/</t>
  </si>
  <si>
    <t>/CALSIM/AWW_11_SA4/APPLIED-WATER//1MON/L2020A/</t>
  </si>
  <si>
    <t>/CALSIM/AWW_12_NA/APPLIED-WATER//1MON/L2015A/</t>
  </si>
  <si>
    <t>/CALSIM/AWW_12_NA/APPLIED-WATER//1MON/L2020A/</t>
  </si>
  <si>
    <t>/CALSIM/AWW_17N_NR/APPLIED-WATER//1MON/L2015A/</t>
  </si>
  <si>
    <t>/CALSIM/AWW_17N_NR/APPLIED-WATER//1MON/L2020A/</t>
  </si>
  <si>
    <t>/CALSIM/AWW_17N_PR/APPLIED-WATER//1MON/L2015A/</t>
  </si>
  <si>
    <t>/CALSIM/AWW_17N_PR/APPLIED-WATER//1MON/L2020A/</t>
  </si>
  <si>
    <t>/CALSIM/AWW_17S_PR/APPLIED-WATER//1MON/L2015A/</t>
  </si>
  <si>
    <t>/CALSIM/AWW_17S_PR/APPLIED-WATER//1MON/L2020A/</t>
  </si>
  <si>
    <t>/CALSIM/AWW_21_PA/APPLIED-WATER//1MON/L2015A/</t>
  </si>
  <si>
    <t>/CALSIM/AWW_21_PA/APPLIED-WATER//1MON/L2020A/</t>
  </si>
  <si>
    <t>/CALSIM/DP_02_INT/DEEP-PERCOLATION//1MON/L2015A/</t>
  </si>
  <si>
    <t>/CALSIM/DP_02_INT/DEEP-PERCOLATION//1MON/L2020A/</t>
  </si>
  <si>
    <t>/CALSIM/DP_03_INT/DEEP-PERCOLATION//1MON/L2015A/</t>
  </si>
  <si>
    <t>/CALSIM/DP_03_INT/DEEP-PERCOLATION//1MON/L2020A/</t>
  </si>
  <si>
    <t>/CALSIM/DP_04_INT/DEEP-PERCOLATION//1MON/L2015A/</t>
  </si>
  <si>
    <t>/CALSIM/DP_04_INT/DEEP-PERCOLATION//1MON/L2020A/</t>
  </si>
  <si>
    <t>/CALSIM/DP_05_INT/DEEP-PERCOLATION//1MON/L2015A/</t>
  </si>
  <si>
    <t>/CALSIM/DP_05_INT/DEEP-PERCOLATION//1MON/L2020A/</t>
  </si>
  <si>
    <t>/CALSIM/DP_06_INT/DEEP-PERCOLATION//1MON/L2015A/</t>
  </si>
  <si>
    <t>/CALSIM/DP_06_INT/DEEP-PERCOLATION//1MON/L2020A/</t>
  </si>
  <si>
    <t>/CALSIM/DP_07N_INT/DEEP-PERCOLATION//1MON/L2015A/</t>
  </si>
  <si>
    <t>/CALSIM/DP_07N_INT/DEEP-PERCOLATION//1MON/L2020A/</t>
  </si>
  <si>
    <t>/CALSIM/DP_07S_INT/DEEP-PERCOLATION//1MON/L2015A/</t>
  </si>
  <si>
    <t>/CALSIM/DP_07S_INT/DEEP-PERCOLATION//1MON/L2020A/</t>
  </si>
  <si>
    <t>/CALSIM/DP_08N_INT/DEEP-PERCOLATION//1MON/L2015A/</t>
  </si>
  <si>
    <t>/CALSIM/DP_08N_INT/DEEP-PERCOLATION//1MON/L2020A/</t>
  </si>
  <si>
    <t>/CALSIM/DP_08S_INT/DEEP-PERCOLATION//1MON/L2015A/</t>
  </si>
  <si>
    <t>/CALSIM/DP_08S_INT/DEEP-PERCOLATION//1MON/L2020A/</t>
  </si>
  <si>
    <t>/CALSIM/DP_09_INT/DEEP-PERCOLATION//1MON/L2015A/</t>
  </si>
  <si>
    <t>/CALSIM/DP_09_INT/DEEP-PERCOLATION//1MON/L2020A/</t>
  </si>
  <si>
    <t>/CALSIM/DP_10_INT/DEEP-PERCOLATION//1MON/L2015A/</t>
  </si>
  <si>
    <t>/CALSIM/DP_10_INT/DEEP-PERCOLATION//1MON/L2020A/</t>
  </si>
  <si>
    <t>/CALSIM/DP_11_INT/DEEP-PERCOLATION//1MON/L2015A/</t>
  </si>
  <si>
    <t>/CALSIM/DP_11_INT/DEEP-PERCOLATION//1MON/L2020A/</t>
  </si>
  <si>
    <t>/CALSIM/DP_12_INT/DEEP-PERCOLATION//1MON/L2015A/</t>
  </si>
  <si>
    <t>/CALSIM/DP_12_INT/DEEP-PERCOLATION//1MON/L2020A/</t>
  </si>
  <si>
    <t>/CALSIM/DP_13_INT/DEEP-PERCOLATION//1MON/L2015A/</t>
  </si>
  <si>
    <t>/CALSIM/DP_13_INT/DEEP-PERCOLATION//1MON/L2020A/</t>
  </si>
  <si>
    <t>/CALSIM/DP_14_INT/DEEP-PERCOLATION//1MON/L2015A/</t>
  </si>
  <si>
    <t>/CALSIM/DP_14_INT/DEEP-PERCOLATION//1MON/L2020A/</t>
  </si>
  <si>
    <t>/CALSIM/DP_15N_INT/DEEP-PERCOLATION//1MON/L2015A/</t>
  </si>
  <si>
    <t>/CALSIM/DP_15N_INT/DEEP-PERCOLATION//1MON/L2020A/</t>
  </si>
  <si>
    <t>/CALSIM/DP_15S_INT/DEEP-PERCOLATION//1MON/L2015A/</t>
  </si>
  <si>
    <t>/CALSIM/DP_15S_INT/DEEP-PERCOLATION//1MON/L2020A/</t>
  </si>
  <si>
    <t>/CALSIM/DP_16_INT/DEEP-PERCOLATION//1MON/L2015A/</t>
  </si>
  <si>
    <t>/CALSIM/DP_16_INT/DEEP-PERCOLATION//1MON/L2020A/</t>
  </si>
  <si>
    <t>/CALSIM/DP_17N_INT/DEEP-PERCOLATION//1MON/L2015A/</t>
  </si>
  <si>
    <t>/CALSIM/DP_17N_INT/DEEP-PERCOLATION//1MON/L2020A/</t>
  </si>
  <si>
    <t>/CALSIM/DP_17S_INT/DEEP-PERCOLATION//1MON/L2015A/</t>
  </si>
  <si>
    <t>/CALSIM/DP_17S_INT/DEEP-PERCOLATION//1MON/L2020A/</t>
  </si>
  <si>
    <t>/CALSIM/DP_18_INT/DEEP-PERCOLATION//1MON/L2015A/</t>
  </si>
  <si>
    <t>/CALSIM/DP_18_INT/DEEP-PERCOLATION//1MON/L2020A/</t>
  </si>
  <si>
    <t>/CALSIM/DP_19_INT/DEEP-PERCOLATION//1MON/L2015A/</t>
  </si>
  <si>
    <t>/CALSIM/DP_19_INT/DEEP-PERCOLATION//1MON/L2020A/</t>
  </si>
  <si>
    <t>/CALSIM/DP_20_INT/DEEP-PERCOLATION//1MON/L2015A/</t>
  </si>
  <si>
    <t>/CALSIM/DP_20_INT/DEEP-PERCOLATION//1MON/L2020A/</t>
  </si>
  <si>
    <t>/CALSIM/DP_21_INT/DEEP-PERCOLATION//1MON/L2015A/</t>
  </si>
  <si>
    <t>/CALSIM/DP_21_INT/DEEP-PERCOLATION//1MON/L2020A/</t>
  </si>
  <si>
    <t>/CALSIM/DP_22_INT/DEEP-PERCOLATION//1MON/L2015A/</t>
  </si>
  <si>
    <t>/CALSIM/DP_22_INT/DEEP-PERCOLATION//1MON/L2020A/</t>
  </si>
  <si>
    <t>/CALSIM/DP_23_INT/DEEP-PERCOLATION//1MON/L2015A/</t>
  </si>
  <si>
    <t>/CALSIM/DP_23_INT/DEEP-PERCOLATION//1MON/L2020A/</t>
  </si>
  <si>
    <t>/CALSIM/DP_24_INT/DEEP-PERCOLATION//1MON/L2015A/</t>
  </si>
  <si>
    <t>/CALSIM/DP_24_INT/DEEP-PERCOLATION//1MON/L2020A/</t>
  </si>
  <si>
    <t>/CALSIM/DP_25_INT/DEEP-PERCOLATION//1MON/L2015A/</t>
  </si>
  <si>
    <t>/CALSIM/DP_25_INT/DEEP-PERCOLATION//1MON/L2020A/</t>
  </si>
  <si>
    <t>/CALSIM/DP_26N_INT/DEEP-PERCOLATION//1MON/L2015A/</t>
  </si>
  <si>
    <t>/CALSIM/DP_26N_INT/DEEP-PERCOLATION//1MON/L2020A/</t>
  </si>
  <si>
    <t>/CALSIM/DP_26S_INT/DEEP-PERCOLATION//1MON/L2015A/</t>
  </si>
  <si>
    <t>/CALSIM/DP_26S_INT/DEEP-PERCOLATION//1MON/L2020A/</t>
  </si>
  <si>
    <t>/CALSIM/SR_02/SURFACE-RUNOFF//1MON/L2015A/</t>
  </si>
  <si>
    <t>/CALSIM/SR_02/SURFACE-RUNOFF//1MON/L2020A/</t>
  </si>
  <si>
    <t>/CALSIM/SR_03/SURFACE-RUNOFF//1MON/L2015A/</t>
  </si>
  <si>
    <t>/CALSIM/SR_03/SURFACE-RUNOFF//1MON/L2020A/</t>
  </si>
  <si>
    <t>/CALSIM/SR_04/SURFACE-RUNOFF//1MON/L2015A/</t>
  </si>
  <si>
    <t>/CALSIM/SR_04/SURFACE-RUNOFF//1MON/L2020A/</t>
  </si>
  <si>
    <t>/CALSIM/SR_05/SURFACE-RUNOFF//1MON/L2015A/</t>
  </si>
  <si>
    <t>/CALSIM/SR_05/SURFACE-RUNOFF//1MON/L2020A/</t>
  </si>
  <si>
    <t>/CALSIM/SR_06/SURFACE-RUNOFF//1MON/L2015A/</t>
  </si>
  <si>
    <t>/CALSIM/SR_06/SURFACE-RUNOFF//1MON/L2020A/</t>
  </si>
  <si>
    <t>/CALSIM/SR_07N/SURFACE-RUNOFF//1MON/L2015A/</t>
  </si>
  <si>
    <t>/CALSIM/SR_07N/SURFACE-RUNOFF//1MON/L2020A/</t>
  </si>
  <si>
    <t>/CALSIM/SR_07S/SURFACE-RUNOFF//1MON/L2015A/</t>
  </si>
  <si>
    <t>/CALSIM/SR_07S/SURFACE-RUNOFF//1MON/L2020A/</t>
  </si>
  <si>
    <t>/CALSIM/SR_08N/SURFACE-RUNOFF//1MON/L2015A/</t>
  </si>
  <si>
    <t>/CALSIM/SR_08N/SURFACE-RUNOFF//1MON/L2020A/</t>
  </si>
  <si>
    <t>/CALSIM/SR_08S/SURFACE-RUNOFF//1MON/L2015A/</t>
  </si>
  <si>
    <t>/CALSIM/SR_08S/SURFACE-RUNOFF//1MON/L2020A/</t>
  </si>
  <si>
    <t>/CALSIM/SR_09/SURFACE-RUNOFF//1MON/L2015A/</t>
  </si>
  <si>
    <t>/CALSIM/SR_09/SURFACE-RUNOFF//1MON/L2020A/</t>
  </si>
  <si>
    <t>/CALSIM/SR_10/SURFACE-RUNOFF//1MON/L2015A/</t>
  </si>
  <si>
    <t>/CALSIM/SR_10/SURFACE-RUNOFF//1MON/L2020A/</t>
  </si>
  <si>
    <t>/CALSIM/SR_11/SURFACE-RUNOFF//1MON/L2015A/</t>
  </si>
  <si>
    <t>/CALSIM/SR_11/SURFACE-RUNOFF//1MON/L2020A/</t>
  </si>
  <si>
    <t>/CALSIM/SR_12/SURFACE-RUNOFF//1MON/L2015A/</t>
  </si>
  <si>
    <t>/CALSIM/SR_12/SURFACE-RUNOFF//1MON/L2020A/</t>
  </si>
  <si>
    <t>/CALSIM/SR_13/SURFACE-RUNOFF//1MON/L2015A/</t>
  </si>
  <si>
    <t>/CALSIM/SR_13/SURFACE-RUNOFF//1MON/L2020A/</t>
  </si>
  <si>
    <t>/CALSIM/SR_14/SURFACE-RUNOFF//1MON/L2015A/</t>
  </si>
  <si>
    <t>/CALSIM/SR_14/SURFACE-RUNOFF//1MON/L2020A/</t>
  </si>
  <si>
    <t>/CALSIM/SR_15N/SURFACE-RUNOFF//1MON/L2015A/</t>
  </si>
  <si>
    <t>/CALSIM/SR_15N/SURFACE-RUNOFF//1MON/L2020A/</t>
  </si>
  <si>
    <t>/CALSIM/SR_15S/SURFACE-RUNOFF//1MON/L2015A/</t>
  </si>
  <si>
    <t>/CALSIM/SR_15S/SURFACE-RUNOFF//1MON/L2020A/</t>
  </si>
  <si>
    <t>/CALSIM/SR_16/SURFACE-RUNOFF//1MON/L2015A/</t>
  </si>
  <si>
    <t>/CALSIM/SR_16/SURFACE-RUNOFF//1MON/L2020A/</t>
  </si>
  <si>
    <t>/CALSIM/SR_17N/SURFACE-RUNOFF//1MON/L2015A/</t>
  </si>
  <si>
    <t>/CALSIM/SR_17N/SURFACE-RUNOFF//1MON/L2020A/</t>
  </si>
  <si>
    <t>/CALSIM/SR_17S/SURFACE-RUNOFF//1MON/L2015A/</t>
  </si>
  <si>
    <t>/CALSIM/SR_17S/SURFACE-RUNOFF//1MON/L2020A/</t>
  </si>
  <si>
    <t>/CALSIM/SR_18/SURFACE-RUNOFF//1MON/L2015A/</t>
  </si>
  <si>
    <t>/CALSIM/SR_18/SURFACE-RUNOFF//1MON/L2020A/</t>
  </si>
  <si>
    <t>/CALSIM/SR_19/SURFACE-RUNOFF//1MON/L2015A/</t>
  </si>
  <si>
    <t>/CALSIM/SR_19/SURFACE-RUNOFF//1MON/L2020A/</t>
  </si>
  <si>
    <t>/CALSIM/SR_20/SURFACE-RUNOFF//1MON/L2015A/</t>
  </si>
  <si>
    <t>/CALSIM/SR_20/SURFACE-RUNOFF//1MON/L2020A/</t>
  </si>
  <si>
    <t>/CALSIM/SR_21/SURFACE-RUNOFF//1MON/L2015A/</t>
  </si>
  <si>
    <t>/CALSIM/SR_21/SURFACE-RUNOFF//1MON/L2020A/</t>
  </si>
  <si>
    <t>/CALSIM/SR_22/SURFACE-RUNOFF//1MON/L2015A/</t>
  </si>
  <si>
    <t>/CALSIM/SR_22/SURFACE-RUNOFF//1MON/L2020A/</t>
  </si>
  <si>
    <t>/CALSIM/SR_23/SURFACE-RUNOFF//1MON/L2015A/</t>
  </si>
  <si>
    <t>/CALSIM/SR_23/SURFACE-RUNOFF//1MON/L2020A/</t>
  </si>
  <si>
    <t>/CALSIM/SR_24/SURFACE-RUNOFF//1MON/L2015A/</t>
  </si>
  <si>
    <t>/CALSIM/SR_24/SURFACE-RUNOFF//1MON/L2020A/</t>
  </si>
  <si>
    <t>/CALSIM/SR_25/SURFACE-RUNOFF//1MON/L2015A/</t>
  </si>
  <si>
    <t>/CALSIM/SR_25/SURFACE-RUNOFF//1MON/L2020A/</t>
  </si>
  <si>
    <t>/CALSIM/SR_26N/SURFACE-RUNOFF//1MON/L2015A/</t>
  </si>
  <si>
    <t>/CALSIM/SR_26N/SURFACE-RUNOFF//1MON/L2020A/</t>
  </si>
  <si>
    <t>/CALSIM/SR_26S/SURFACE-RUNOFF//1MON/L2015A/</t>
  </si>
  <si>
    <t>/CALSIM/SR_26S/SURFACE-RUNOFF//1MON/L2020A/</t>
  </si>
  <si>
    <t>/CALSIM/TW_02_NA/TAILWATER//1MON/L2015A/</t>
  </si>
  <si>
    <t>/CALSIM/TW_02_NA/TAILWATER//1MON/L2020A/</t>
  </si>
  <si>
    <t>/CALSIM/TW_02_PA/TAILWATER//1MON/L2015A/</t>
  </si>
  <si>
    <t>/CALSIM/TW_02_PA/TAILWATER//1MON/L2020A/</t>
  </si>
  <si>
    <t>/CALSIM/TW_02_SA/TAILWATER//1MON/L2015A/</t>
  </si>
  <si>
    <t>/CALSIM/TW_02_SA/TAILWATER//1MON/L2020A/</t>
  </si>
  <si>
    <t>/CALSIM/TW_03_NA/TAILWATER//1MON/L2015A/</t>
  </si>
  <si>
    <t>/CALSIM/TW_03_NA/TAILWATER//1MON/L2020A/</t>
  </si>
  <si>
    <t>/CALSIM/TW_03_PA/TAILWATER//1MON/L2015A/</t>
  </si>
  <si>
    <t>/CALSIM/TW_03_PA/TAILWATER//1MON/L2020A/</t>
  </si>
  <si>
    <t>/CALSIM/TW_03_SA/TAILWATER//1MON/L2015A/</t>
  </si>
  <si>
    <t>/CALSIM/TW_03_SA/TAILWATER//1MON/L2020A/</t>
  </si>
  <si>
    <t>/CALSIM/TW_04_NA/TAILWATER//1MON/L2015A/</t>
  </si>
  <si>
    <t>/CALSIM/TW_04_NA/TAILWATER//1MON/L2020A/</t>
  </si>
  <si>
    <t>/CALSIM/TW_04_PA1/TAILWATER//1MON/L2015A/</t>
  </si>
  <si>
    <t>/CALSIM/TW_04_PA1/TAILWATER//1MON/L2020A/</t>
  </si>
  <si>
    <t>/CALSIM/TW_04_PA2/TAILWATER//1MON/L2015A/</t>
  </si>
  <si>
    <t>/CALSIM/TW_04_PA2/TAILWATER//1MON/L2020A/</t>
  </si>
  <si>
    <t>/CALSIM/TW_05_NA/TAILWATER//1MON/L2015A/</t>
  </si>
  <si>
    <t>/CALSIM/TW_05_NA/TAILWATER//1MON/L2020A/</t>
  </si>
  <si>
    <t>/CALSIM/TW_06_NA/TAILWATER//1MON/L2015A/</t>
  </si>
  <si>
    <t>/CALSIM/TW_06_NA/TAILWATER//1MON/L2020A/</t>
  </si>
  <si>
    <t>/CALSIM/TW_06_PA/TAILWATER//1MON/L2015A/</t>
  </si>
  <si>
    <t>/CALSIM/TW_06_PA/TAILWATER//1MON/L2020A/</t>
  </si>
  <si>
    <t>/CALSIM/TW_07N_NA/TAILWATER//1MON/L2015A/</t>
  </si>
  <si>
    <t>/CALSIM/TW_07N_NA/TAILWATER//1MON/L2020A/</t>
  </si>
  <si>
    <t>/CALSIM/TW_07N_PA/TAILWATER//1MON/L2015A/</t>
  </si>
  <si>
    <t>/CALSIM/TW_07N_PA/TAILWATER//1MON/L2020A/</t>
  </si>
  <si>
    <t>/CALSIM/TW_07S_NA/TAILWATER//1MON/L2015A/</t>
  </si>
  <si>
    <t>/CALSIM/TW_07S_NA/TAILWATER//1MON/L2020A/</t>
  </si>
  <si>
    <t>/CALSIM/TW_07S_PA/TAILWATER//1MON/L2015A/</t>
  </si>
  <si>
    <t>/CALSIM/TW_07S_PA/TAILWATER//1MON/L2020A/</t>
  </si>
  <si>
    <t>/CALSIM/TW_08N_NA/TAILWATER//1MON/L2015A/</t>
  </si>
  <si>
    <t>/CALSIM/TW_08N_NA/TAILWATER//1MON/L2020A/</t>
  </si>
  <si>
    <t>/CALSIM/TW_08N_PA/TAILWATER//1MON/L2015A/</t>
  </si>
  <si>
    <t>/CALSIM/TW_08N_PA/TAILWATER//1MON/L2020A/</t>
  </si>
  <si>
    <t>/CALSIM/TW_08N_PR1/TAILWATER//1MON/L2015A/</t>
  </si>
  <si>
    <t>/CALSIM/TW_08N_PR1/TAILWATER//1MON/L2020A/</t>
  </si>
  <si>
    <t>/CALSIM/TW_08N_PR2/TAILWATER//1MON/L2015A/</t>
  </si>
  <si>
    <t>/CALSIM/TW_08N_PR2/TAILWATER//1MON/L2020A/</t>
  </si>
  <si>
    <t>/CALSIM/TW_08N_SA1/TAILWATER//1MON/L2015A/</t>
  </si>
  <si>
    <t>/CALSIM/TW_08N_SA1/TAILWATER//1MON/L2020A/</t>
  </si>
  <si>
    <t>/CALSIM/TW_08N_SA2/TAILWATER//1MON/L2015A/</t>
  </si>
  <si>
    <t>/CALSIM/TW_08N_SA2/TAILWATER//1MON/L2020A/</t>
  </si>
  <si>
    <t>/CALSIM/TW_08S_NA1/TAILWATER//1MON/L2015A/</t>
  </si>
  <si>
    <t>/CALSIM/TW_08S_NA1/TAILWATER//1MON/L2020A/</t>
  </si>
  <si>
    <t>/CALSIM/TW_08S_NA2/TAILWATER//1MON/L2015A/</t>
  </si>
  <si>
    <t>/CALSIM/TW_08S_NA2/TAILWATER//1MON/L2020A/</t>
  </si>
  <si>
    <t>/CALSIM/TW_08S_PA/TAILWATER//1MON/L2015A/</t>
  </si>
  <si>
    <t>/CALSIM/TW_08S_PA/TAILWATER//1MON/L2020A/</t>
  </si>
  <si>
    <t>/CALSIM/TW_08S_PR/TAILWATER//1MON/L2015A/</t>
  </si>
  <si>
    <t>/CALSIM/TW_08S_PR/TAILWATER//1MON/L2020A/</t>
  </si>
  <si>
    <t>/CALSIM/TW_08S_SA1/TAILWATER//1MON/L2015A/</t>
  </si>
  <si>
    <t>/CALSIM/TW_08S_SA1/TAILWATER//1MON/L2020A/</t>
  </si>
  <si>
    <t>/CALSIM/TW_08S_SA2/TAILWATER//1MON/L2015A/</t>
  </si>
  <si>
    <t>/CALSIM/TW_08S_SA2/TAILWATER//1MON/L2020A/</t>
  </si>
  <si>
    <t>/CALSIM/TW_08S_SA3/TAILWATER//1MON/L2015A/</t>
  </si>
  <si>
    <t>/CALSIM/TW_08S_SA3/TAILWATER//1MON/L2020A/</t>
  </si>
  <si>
    <t>/CALSIM/TW_09_NA/TAILWATER//1MON/L2015A/</t>
  </si>
  <si>
    <t>/CALSIM/TW_09_NA/TAILWATER//1MON/L2020A/</t>
  </si>
  <si>
    <t>/CALSIM/TW_09_PR/TAILWATER//1MON/L2015A/</t>
  </si>
  <si>
    <t>/CALSIM/TW_09_PR/TAILWATER//1MON/L2020A/</t>
  </si>
  <si>
    <t>/CALSIM/TW_09_SA1/TAILWATER//1MON/L2015A/</t>
  </si>
  <si>
    <t>/CALSIM/TW_09_SA1/TAILWATER//1MON/L2020A/</t>
  </si>
  <si>
    <t>/CALSIM/TW_09_SA2/TAILWATER//1MON/L2015A/</t>
  </si>
  <si>
    <t>/CALSIM/TW_09_SA2/TAILWATER//1MON/L2020A/</t>
  </si>
  <si>
    <t>/CALSIM/TW_10_NA/TAILWATER//1MON/L2015A/</t>
  </si>
  <si>
    <t>/CALSIM/TW_10_NA/TAILWATER//1MON/L2020A/</t>
  </si>
  <si>
    <t>/CALSIM/TW_11_NA/TAILWATER//1MON/L2015A/</t>
  </si>
  <si>
    <t>/CALSIM/TW_11_NA/TAILWATER//1MON/L2020A/</t>
  </si>
  <si>
    <t>/CALSIM/TW_11_PR/TAILWATER//1MON/L2015A/</t>
  </si>
  <si>
    <t>/CALSIM/TW_11_PR/TAILWATER//1MON/L2020A/</t>
  </si>
  <si>
    <t>/CALSIM/TW_11_SA1/TAILWATER//1MON/L2015A/</t>
  </si>
  <si>
    <t>/CALSIM/TW_11_SA1/TAILWATER//1MON/L2020A/</t>
  </si>
  <si>
    <t>/CALSIM/TW_11_SA2/TAILWATER//1MON/L2015A/</t>
  </si>
  <si>
    <t>/CALSIM/TW_11_SA2/TAILWATER//1MON/L2020A/</t>
  </si>
  <si>
    <t>/CALSIM/TW_11_SA3/TAILWATER//1MON/L2015A/</t>
  </si>
  <si>
    <t>/CALSIM/TW_11_SA3/TAILWATER//1MON/L2020A/</t>
  </si>
  <si>
    <t>/CALSIM/TW_11_SA4/TAILWATER//1MON/L2015A/</t>
  </si>
  <si>
    <t>/CALSIM/TW_11_SA4/TAILWATER//1MON/L2020A/</t>
  </si>
  <si>
    <t>/CALSIM/TW_12_NA/TAILWATER//1MON/L2015A/</t>
  </si>
  <si>
    <t>/CALSIM/TW_12_NA/TAILWATER//1MON/L2020A/</t>
  </si>
  <si>
    <t>/CALSIM/TW_12_SA/TAILWATER//1MON/L2015A/</t>
  </si>
  <si>
    <t>/CALSIM/TW_12_SA/TAILWATER//1MON/L2020A/</t>
  </si>
  <si>
    <t>/CALSIM/TW_13_NA/TAILWATER//1MON/L2015A/</t>
  </si>
  <si>
    <t>/CALSIM/TW_13_NA/TAILWATER//1MON/L2020A/</t>
  </si>
  <si>
    <t>/CALSIM/TW_14_NA/TAILWATER//1MON/L2015A/</t>
  </si>
  <si>
    <t>/CALSIM/TW_14_NA/TAILWATER//1MON/L2020A/</t>
  </si>
  <si>
    <t>/CALSIM/TW_15N_NA1/TAILWATER//1MON/L2015A/</t>
  </si>
  <si>
    <t>/CALSIM/TW_15N_NA1/TAILWATER//1MON/L2020A/</t>
  </si>
  <si>
    <t>/CALSIM/TW_15N_NA2/TAILWATER//1MON/L2015A/</t>
  </si>
  <si>
    <t>/CALSIM/TW_15N_NA2/TAILWATER//1MON/L2020A/</t>
  </si>
  <si>
    <t>/CALSIM/TW_15N_SA/TAILWATER//1MON/L2015A/</t>
  </si>
  <si>
    <t>/CALSIM/TW_15N_SA/TAILWATER//1MON/L2020A/</t>
  </si>
  <si>
    <t>/CALSIM/TW_15S_NA1/TAILWATER//1MON/L2015A/</t>
  </si>
  <si>
    <t>/CALSIM/TW_15S_NA1/TAILWATER//1MON/L2020A/</t>
  </si>
  <si>
    <t>/CALSIM/TW_15S_NA2/TAILWATER//1MON/L2015A/</t>
  </si>
  <si>
    <t>/CALSIM/TW_15S_NA2/TAILWATER//1MON/L2020A/</t>
  </si>
  <si>
    <t>/CALSIM/TW_15S_SA/TAILWATER//1MON/L2015A/</t>
  </si>
  <si>
    <t>/CALSIM/TW_15S_SA/TAILWATER//1MON/L2020A/</t>
  </si>
  <si>
    <t>/CALSIM/TW_16_NA1/TAILWATER//1MON/L2015A/</t>
  </si>
  <si>
    <t>/CALSIM/TW_16_NA1/TAILWATER//1MON/L2020A/</t>
  </si>
  <si>
    <t>/CALSIM/TW_16_NA2/TAILWATER//1MON/L2015A/</t>
  </si>
  <si>
    <t>/CALSIM/TW_16_NA2/TAILWATER//1MON/L2020A/</t>
  </si>
  <si>
    <t>/CALSIM/TW_16_PA/TAILWATER//1MON/L2015A/</t>
  </si>
  <si>
    <t>/CALSIM/TW_16_PA/TAILWATER//1MON/L2020A/</t>
  </si>
  <si>
    <t>/CALSIM/TW_16_SA/TAILWATER//1MON/L2015A/</t>
  </si>
  <si>
    <t>/CALSIM/TW_16_SA/TAILWATER//1MON/L2020A/</t>
  </si>
  <si>
    <t>/CALSIM/TW_17N_NA/TAILWATER//1MON/L2015A/</t>
  </si>
  <si>
    <t>/CALSIM/TW_17N_NA/TAILWATER//1MON/L2020A/</t>
  </si>
  <si>
    <t>/CALSIM/TW_17N_NR/TAILWATER//1MON/L2015A/</t>
  </si>
  <si>
    <t>/CALSIM/TW_17N_NR/TAILWATER//1MON/L2020A/</t>
  </si>
  <si>
    <t>/CALSIM/TW_17N_PR/TAILWATER//1MON/L2015A/</t>
  </si>
  <si>
    <t>/CALSIM/TW_17N_PR/TAILWATER//1MON/L2020A/</t>
  </si>
  <si>
    <t>/CALSIM/TW_17S_NA/TAILWATER//1MON/L2015A/</t>
  </si>
  <si>
    <t>/CALSIM/TW_17S_NA/TAILWATER//1MON/L2020A/</t>
  </si>
  <si>
    <t>/CALSIM/TW_17S_PR/TAILWATER//1MON/L2015A/</t>
  </si>
  <si>
    <t>/CALSIM/TW_17S_PR/TAILWATER//1MON/L2020A/</t>
  </si>
  <si>
    <t>/CALSIM/TW_17S_SA/TAILWATER//1MON/L2015A/</t>
  </si>
  <si>
    <t>/CALSIM/TW_17S_SA/TAILWATER//1MON/L2020A/</t>
  </si>
  <si>
    <t>/CALSIM/TW_18_NA/TAILWATER//1MON/L2015A/</t>
  </si>
  <si>
    <t>/CALSIM/TW_18_NA/TAILWATER//1MON/L2020A/</t>
  </si>
  <si>
    <t>/CALSIM/TW_18_SA/TAILWATER//1MON/L2015A/</t>
  </si>
  <si>
    <t>/CALSIM/TW_18_SA/TAILWATER//1MON/L2020A/</t>
  </si>
  <si>
    <t>/CALSIM/TW_19_SA/TAILWATER//1MON/L2015A/</t>
  </si>
  <si>
    <t>/CALSIM/TW_19_SA/TAILWATER//1MON/L2020A/</t>
  </si>
  <si>
    <t>/CALSIM/TW_20_NA1/TAILWATER//1MON/L2015A/</t>
  </si>
  <si>
    <t>/CALSIM/TW_20_NA1/TAILWATER//1MON/L2020A/</t>
  </si>
  <si>
    <t>/CALSIM/TW_20_NA2/TAILWATER//1MON/L2015A/</t>
  </si>
  <si>
    <t>/CALSIM/TW_20_NA2/TAILWATER//1MON/L2020A/</t>
  </si>
  <si>
    <t>/CALSIM/TW_20_PA/TAILWATER//1MON/L2015A/</t>
  </si>
  <si>
    <t>/CALSIM/TW_20_PA/TAILWATER//1MON/L2020A/</t>
  </si>
  <si>
    <t>/CALSIM/TW_21_NA/TAILWATER//1MON/L2015A/</t>
  </si>
  <si>
    <t>/CALSIM/TW_21_NA/TAILWATER//1MON/L2020A/</t>
  </si>
  <si>
    <t>/CALSIM/TW_21_PA/TAILWATER//1MON/L2015A/</t>
  </si>
  <si>
    <t>/CALSIM/TW_21_PA/TAILWATER//1MON/L2020A/</t>
  </si>
  <si>
    <t>/CALSIM/TW_21_SA/TAILWATER//1MON/L2015A/</t>
  </si>
  <si>
    <t>/CALSIM/TW_21_SA/TAILWATER//1MON/L2020A/</t>
  </si>
  <si>
    <t>/CALSIM/TW_22_NA/TAILWATER//1MON/L2015A/</t>
  </si>
  <si>
    <t>/CALSIM/TW_22_NA/TAILWATER//1MON/L2020A/</t>
  </si>
  <si>
    <t>/CALSIM/TW_22_SA1/TAILWATER//1MON/L2015A/</t>
  </si>
  <si>
    <t>/CALSIM/TW_22_SA1/TAILWATER//1MON/L2020A/</t>
  </si>
  <si>
    <t>/CALSIM/TW_22_SA2/TAILWATER//1MON/L2015A/</t>
  </si>
  <si>
    <t>/CALSIM/TW_22_SA2/TAILWATER//1MON/L2020A/</t>
  </si>
  <si>
    <t>/CALSIM/TW_23_NA/TAILWATER//1MON/L2015A/</t>
  </si>
  <si>
    <t>/CALSIM/TW_23_NA/TAILWATER//1MON/L2020A/</t>
  </si>
  <si>
    <t>/CALSIM/TW_24_NA1/TAILWATER//1MON/L2015A/</t>
  </si>
  <si>
    <t>/CALSIM/TW_24_NA1/TAILWATER//1MON/L2020A/</t>
  </si>
  <si>
    <t>/CALSIM/TW_24_NA2/TAILWATER//1MON/L2015A/</t>
  </si>
  <si>
    <t>/CALSIM/TW_24_NA2/TAILWATER//1MON/L2020A/</t>
  </si>
  <si>
    <t>/CALSIM/TW_24_NA3/TAILWATER//1MON/L2015A/</t>
  </si>
  <si>
    <t>/CALSIM/TW_24_NA3/TAILWATER//1MON/L2020A/</t>
  </si>
  <si>
    <t>/CALSIM/TW_25_NA/TAILWATER//1MON/L2015A/</t>
  </si>
  <si>
    <t>/CALSIM/TW_25_NA/TAILWATER//1MON/L2020A/</t>
  </si>
  <si>
    <t>/CALSIM/TW_25_PA1/TAILWATER//1MON/L2015A/</t>
  </si>
  <si>
    <t>/CALSIM/TW_25_PA1/TAILWATER//1MON/L2020A/</t>
  </si>
  <si>
    <t>/CALSIM/TW_25_PA2/TAILWATER//1MON/L2015A/</t>
  </si>
  <si>
    <t>/CALSIM/TW_25_PA2/TAILWATER//1MON/L2020A/</t>
  </si>
  <si>
    <t>/CALSIM/TW_26N_NA/TAILWATER//1MON/L2015A/</t>
  </si>
  <si>
    <t>/CALSIM/TW_26N_NA/TAILWATER//1MON/L2020A/</t>
  </si>
  <si>
    <t>/CALSIM/TW_26S_NA/TAILWATER//1MON/L2015A/</t>
  </si>
  <si>
    <t>/CALSIM/TW_26S_NA/TAILWATER//1MON/L2020A/</t>
  </si>
  <si>
    <t>/CALSIM/UD_02_NU/URBAN-DEMAND//1MON/L2015A/</t>
  </si>
  <si>
    <t>/CALSIM/UD_02_NU/URBAN-DEMAND//1MON/L2020A/</t>
  </si>
  <si>
    <t>/CALSIM/UD_02_PU/URBAN-DEMAND//1MON/L2015A/</t>
  </si>
  <si>
    <t>/CALSIM/UD_02_PU/URBAN-DEMAND//1MON/L2020A/</t>
  </si>
  <si>
    <t>/CALSIM/UD_02_SU/URBAN-DEMAND//1MON/L2015A/</t>
  </si>
  <si>
    <t>/CALSIM/UD_02_SU/URBAN-DEMAND//1MON/L2020A/</t>
  </si>
  <si>
    <t>/CALSIM/UD_03_NU/URBAN-DEMAND//1MON/L2015A/</t>
  </si>
  <si>
    <t>/CALSIM/UD_03_NU/URBAN-DEMAND//1MON/L2020A/</t>
  </si>
  <si>
    <t>/CALSIM/UD_03_PU1/URBAN-DEMAND//1MON/L2015A/</t>
  </si>
  <si>
    <t>/CALSIM/UD_03_PU1/URBAN-DEMAND//1MON/L2020A/</t>
  </si>
  <si>
    <t>/CALSIM/UD_03_PU2/URBAN-DEMAND//1MON/L2015A/</t>
  </si>
  <si>
    <t>/CALSIM/UD_03_PU2/URBAN-DEMAND//1MON/L2020A/</t>
  </si>
  <si>
    <t>/CALSIM/UD_03_PU3/URBAN-DEMAND//1MON/L2015A/</t>
  </si>
  <si>
    <t>/CALSIM/UD_03_PU3/URBAN-DEMAND//1MON/L2020A/</t>
  </si>
  <si>
    <t>/CALSIM/UD_03_SU/URBAN-DEMAND//1MON/L2015A/</t>
  </si>
  <si>
    <t>/CALSIM/UD_03_SU/URBAN-DEMAND//1MON/L2020A/</t>
  </si>
  <si>
    <t>/CALSIM/UD_04_NU1/URBAN-DEMAND//1MON/L2015A/</t>
  </si>
  <si>
    <t>/CALSIM/UD_04_NU1/URBAN-DEMAND//1MON/L2020A/</t>
  </si>
  <si>
    <t>/CALSIM/UD_04_NU2/URBAN-DEMAND//1MON/L2015A/</t>
  </si>
  <si>
    <t>/CALSIM/UD_04_NU2/URBAN-DEMAND//1MON/L2020A/</t>
  </si>
  <si>
    <t>/CALSIM/UD_05_NU/URBAN-DEMAND//1MON/L2015A/</t>
  </si>
  <si>
    <t>/CALSIM/UD_05_NU/URBAN-DEMAND//1MON/L2020A/</t>
  </si>
  <si>
    <t>/CALSIM/UD_06_NU/URBAN-DEMAND//1MON/L2015A/</t>
  </si>
  <si>
    <t>/CALSIM/UD_06_NU/URBAN-DEMAND//1MON/L2020A/</t>
  </si>
  <si>
    <t>/CALSIM/UD_07N_NU/URBAN-DEMAND//1MON/L2015A/</t>
  </si>
  <si>
    <t>/CALSIM/UD_07N_NU/URBAN-DEMAND//1MON/L2020A/</t>
  </si>
  <si>
    <t>/CALSIM/UD_07S_NU/URBAN-DEMAND//1MON/L2015A/</t>
  </si>
  <si>
    <t>/CALSIM/UD_07S_NU/URBAN-DEMAND//1MON/L2020A/</t>
  </si>
  <si>
    <t>/CALSIM/UD_08N_NU/URBAN-DEMAND//1MON/L2015A/</t>
  </si>
  <si>
    <t>/CALSIM/UD_08N_NU/URBAN-DEMAND//1MON/L2020A/</t>
  </si>
  <si>
    <t>/CALSIM/UD_08S_NU/URBAN-DEMAND//1MON/L2015A/</t>
  </si>
  <si>
    <t>/CALSIM/UD_08S_NU/URBAN-DEMAND//1MON/L2020A/</t>
  </si>
  <si>
    <t>/CALSIM/UD_09_NU/URBAN-DEMAND//1MON/L2015A/</t>
  </si>
  <si>
    <t>/CALSIM/UD_09_NU/URBAN-DEMAND//1MON/L2020A/</t>
  </si>
  <si>
    <t>/CALSIM/UD_10_NU1/URBAN-DEMAND//1MON/L2015A/</t>
  </si>
  <si>
    <t>/CALSIM/UD_10_NU1/URBAN-DEMAND//1MON/L2020A/</t>
  </si>
  <si>
    <t>/CALSIM/UD_10_NU2/URBAN-DEMAND//1MON/L2015A/</t>
  </si>
  <si>
    <t>/CALSIM/UD_10_NU2/URBAN-DEMAND//1MON/L2020A/</t>
  </si>
  <si>
    <t>/CALSIM/UD_11_NU1/URBAN-DEMAND//1MON/L2015A/</t>
  </si>
  <si>
    <t>/CALSIM/UD_11_NU1/URBAN-DEMAND//1MON/L2020A/</t>
  </si>
  <si>
    <t>/CALSIM/UD_11_NU2/URBAN-DEMAND//1MON/L2015A/</t>
  </si>
  <si>
    <t>/CALSIM/UD_11_NU2/URBAN-DEMAND//1MON/L2020A/</t>
  </si>
  <si>
    <t>/CALSIM/UD_12_NU1/URBAN-DEMAND//1MON/L2015A/</t>
  </si>
  <si>
    <t>/CALSIM/UD_12_NU1/URBAN-DEMAND//1MON/L2020A/</t>
  </si>
  <si>
    <t>/CALSIM/UD_12_NU2/URBAN-DEMAND//1MON/L2015A/</t>
  </si>
  <si>
    <t>/CALSIM/UD_12_NU2/URBAN-DEMAND//1MON/L2020A/</t>
  </si>
  <si>
    <t>/CALSIM/UD_13_NU1/URBAN-DEMAND//1MON/L2015A/</t>
  </si>
  <si>
    <t>/CALSIM/UD_13_NU1/URBAN-DEMAND//1MON/L2020A/</t>
  </si>
  <si>
    <t>/CALSIM/UD_13_NU2/URBAN-DEMAND//1MON/L2015A/</t>
  </si>
  <si>
    <t>/CALSIM/UD_13_NU2/URBAN-DEMAND//1MON/L2020A/</t>
  </si>
  <si>
    <t>/CALSIM/UD_14_NU/URBAN-DEMAND//1MON/L2015A/</t>
  </si>
  <si>
    <t>/CALSIM/UD_14_NU/URBAN-DEMAND//1MON/L2020A/</t>
  </si>
  <si>
    <t>/CALSIM/UD_15N_NU/URBAN-DEMAND//1MON/L2015A/</t>
  </si>
  <si>
    <t>/CALSIM/UD_15N_NU/URBAN-DEMAND//1MON/L2020A/</t>
  </si>
  <si>
    <t>/CALSIM/UD_15S_NU/URBAN-DEMAND//1MON/L2015A/</t>
  </si>
  <si>
    <t>/CALSIM/UD_15S_NU/URBAN-DEMAND//1MON/L2020A/</t>
  </si>
  <si>
    <t>/CALSIM/UD_16_NU/URBAN-DEMAND//1MON/L2015A/</t>
  </si>
  <si>
    <t>/CALSIM/UD_16_NU/URBAN-DEMAND//1MON/L2020A/</t>
  </si>
  <si>
    <t>/CALSIM/UD_16_PU/URBAN-DEMAND//1MON/L2015A/</t>
  </si>
  <si>
    <t>/CALSIM/UD_16_PU/URBAN-DEMAND//1MON/L2020A/</t>
  </si>
  <si>
    <t>/CALSIM/UD_17N_NU/URBAN-DEMAND//1MON/L2015A/</t>
  </si>
  <si>
    <t>/CALSIM/UD_17N_NU/URBAN-DEMAND//1MON/L2020A/</t>
  </si>
  <si>
    <t>/CALSIM/UD_17S_NU/URBAN-DEMAND//1MON/L2015A/</t>
  </si>
  <si>
    <t>/CALSIM/UD_17S_NU/URBAN-DEMAND//1MON/L2020A/</t>
  </si>
  <si>
    <t>/CALSIM/UD_18_NU/URBAN-DEMAND//1MON/L2015A/</t>
  </si>
  <si>
    <t>/CALSIM/UD_18_NU/URBAN-DEMAND//1MON/L2020A/</t>
  </si>
  <si>
    <t>/CALSIM/UD_19_NU/URBAN-DEMAND//1MON/L2015A/</t>
  </si>
  <si>
    <t>/CALSIM/UD_19_NU/URBAN-DEMAND//1MON/L2020A/</t>
  </si>
  <si>
    <t>/CALSIM/UD_20_NU1/URBAN-DEMAND//1MON/L2015A/</t>
  </si>
  <si>
    <t>/CALSIM/UD_20_NU1/URBAN-DEMAND//1MON/L2020A/</t>
  </si>
  <si>
    <t>/CALSIM/UD_20_NU2/URBAN-DEMAND//1MON/L2015A/</t>
  </si>
  <si>
    <t>/CALSIM/UD_20_NU2/URBAN-DEMAND//1MON/L2020A/</t>
  </si>
  <si>
    <t>/CALSIM/UD_21_NU/URBAN-DEMAND//1MON/L2015A/</t>
  </si>
  <si>
    <t>/CALSIM/UD_21_NU/URBAN-DEMAND//1MON/L2020A/</t>
  </si>
  <si>
    <t>/CALSIM/UD_21_PU/URBAN-DEMAND//1MON/L2015A/</t>
  </si>
  <si>
    <t>/CALSIM/UD_21_PU/URBAN-DEMAND//1MON/L2020A/</t>
  </si>
  <si>
    <t>/CALSIM/UD_22_NU/URBAN-DEMAND//1MON/L2015A/</t>
  </si>
  <si>
    <t>/CALSIM/UD_22_NU/URBAN-DEMAND//1MON/L2020A/</t>
  </si>
  <si>
    <t>/CALSIM/UD_23_NU/URBAN-DEMAND//1MON/L2015A/</t>
  </si>
  <si>
    <t>/CALSIM/UD_23_NU/URBAN-DEMAND//1MON/L2020A/</t>
  </si>
  <si>
    <t>/CALSIM/UD_24_NU1/URBAN-DEMAND//1MON/L2015A/</t>
  </si>
  <si>
    <t>/CALSIM/UD_24_NU1/URBAN-DEMAND//1MON/L2020A/</t>
  </si>
  <si>
    <t>/CALSIM/UD_24_NU2/URBAN-DEMAND//1MON/L2015A/</t>
  </si>
  <si>
    <t>/CALSIM/UD_24_NU2/URBAN-DEMAND//1MON/L2020A/</t>
  </si>
  <si>
    <t>/CALSIM/UD_24_NU3/URBAN-DEMAND//1MON/L2015A/</t>
  </si>
  <si>
    <t>/CALSIM/UD_24_NU3/URBAN-DEMAND//1MON/L2020A/</t>
  </si>
  <si>
    <t>/CALSIM/UD_24_NU4/URBAN-DEMAND//1MON/L2015A/</t>
  </si>
  <si>
    <t>/CALSIM/UD_24_NU4/URBAN-DEMAND//1MON/L2020A/</t>
  </si>
  <si>
    <t>/CALSIM/UD_25_NU/URBAN-DEMAND//1MON/L2015A/</t>
  </si>
  <si>
    <t>/CALSIM/UD_25_NU/URBAN-DEMAND//1MON/L2020A/</t>
  </si>
  <si>
    <t>/CALSIM/UD_25_PU/URBAN-DEMAND//1MON/L2015A/</t>
  </si>
  <si>
    <t>/CALSIM/UD_25_PU/URBAN-DEMAND//1MON/L2020A/</t>
  </si>
  <si>
    <t>/CALSIM/UD_26N_NU1/URBAN-DEMAND//1MON/L2015A/</t>
  </si>
  <si>
    <t>/CALSIM/UD_26N_NU1/URBAN-DEMAND//1MON/L2020A/</t>
  </si>
  <si>
    <t>/CALSIM/UD_26N_NU2/URBAN-DEMAND//1MON/L2015A/</t>
  </si>
  <si>
    <t>/CALSIM/UD_26N_NU2/URBAN-DEMAND//1MON/L2020A/</t>
  </si>
  <si>
    <t>/CALSIM/UD_26N_NU3/URBAN-DEMAND//1MON/L2015A/</t>
  </si>
  <si>
    <t>/CALSIM/UD_26N_NU3/URBAN-DEMAND//1MON/L2020A/</t>
  </si>
  <si>
    <t>/CALSIM/UD_26N_NU4/URBAN-DEMAND//1MON/L2015A/</t>
  </si>
  <si>
    <t>/CALSIM/UD_26N_NU4/URBAN-DEMAND//1MON/L2020A/</t>
  </si>
  <si>
    <t>/CALSIM/UD_26N_NU5/URBAN-DEMAND//1MON/L2015A/</t>
  </si>
  <si>
    <t>/CALSIM/UD_26N_NU5/URBAN-DEMAND//1MON/L2020A/</t>
  </si>
  <si>
    <t>/CALSIM/UD_26N_PU1/URBAN-DEMAND//1MON/L2015A/</t>
  </si>
  <si>
    <t>/CALSIM/UD_26N_PU1/URBAN-DEMAND//1MON/L2020A/</t>
  </si>
  <si>
    <t>/CALSIM/UD_26N_PU2/URBAN-DEMAND//1MON/L2015A/</t>
  </si>
  <si>
    <t>/CALSIM/UD_26N_PU2/URBAN-DEMAND//1MON/L2020A/</t>
  </si>
  <si>
    <t>/CALSIM/UD_26N_PU3/URBAN-DEMAND//1MON/L2015A/</t>
  </si>
  <si>
    <t>/CALSIM/UD_26N_PU3/URBAN-DEMAND//1MON/L2020A/</t>
  </si>
  <si>
    <t>/CALSIM/UD_26S_NU1/URBAN-DEMAND//1MON/L2015A/</t>
  </si>
  <si>
    <t>/CALSIM/UD_26S_NU1/URBAN-DEMAND//1MON/L2020A/</t>
  </si>
  <si>
    <t>/CALSIM/UD_26S_NU2/URBAN-DEMAND//1MON/L2015A/</t>
  </si>
  <si>
    <t>/CALSIM/UD_26S_NU2/URBAN-DEMAND//1MON/L2020A/</t>
  </si>
  <si>
    <t>/CALSIM/UD_26S_NU3/URBAN-DEMAND//1MON/L2015A/</t>
  </si>
  <si>
    <t>/CALSIM/UD_26S_NU3/URBAN-DEMAND//1MON/L2020A/</t>
  </si>
  <si>
    <t>/CALSIM/UD_26S_NU4/URBAN-DEMAND//1MON/L2015A/</t>
  </si>
  <si>
    <t>/CALSIM/UD_26S_NU4/URBAN-DEMAND//1MON/L2020A/</t>
  </si>
  <si>
    <t>/CALSIM/UD_26S_PU1/URBAN-DEMAND//1MON/L2015A/</t>
  </si>
  <si>
    <t>/CALSIM/UD_26S_PU1/URBAN-DEMAND//1MON/L2020A/</t>
  </si>
  <si>
    <t>/CALSIM/UD_26S_PU2/URBAN-DEMAND//1MON/L2015A/</t>
  </si>
  <si>
    <t>/CALSIM/UD_26S_PU2/URBAN-DEMAND//1MON/L2020A/</t>
  </si>
  <si>
    <t>/CALSIM/UD_26S_PU3/URBAN-DEMAND//1MON/L2015A/</t>
  </si>
  <si>
    <t>/CALSIM/UD_26S_PU3/URBAN-DEMAND//1MON/L2020A/</t>
  </si>
  <si>
    <t>/CALSIM/UD_26S_PU4/URBAN-DEMAND//1MON/L2015A/</t>
  </si>
  <si>
    <t>/CALSIM/UD_26S_PU4/URBAN-DEMAND//1MON/L2020A/</t>
  </si>
  <si>
    <t>/CALSIM/UD_26S_PU5/URBAN-DEMAND//1MON/L2015A/</t>
  </si>
  <si>
    <t>/CALSIM/UD_26S_PU5/URBAN-DEMAND//1MON/L2020A/</t>
  </si>
  <si>
    <t>/CALSIM/UD_26S_PU6/URBAN-DEMAND//1MON/L2015A/</t>
  </si>
  <si>
    <t>/CALSIM/UD_26S_PU6/URBAN-DEMAND//1MON/L2020A/</t>
  </si>
  <si>
    <t>/CALSIM/WW_02_NU/WASTEWATER//1MON/L2015A/</t>
  </si>
  <si>
    <t>/CALSIM/WW_02_NU/WASTEWATER//1MON/L2020A/</t>
  </si>
  <si>
    <t>/CALSIM/WW_02_PU/WASTEWATER//1MON/L2015A/</t>
  </si>
  <si>
    <t>/CALSIM/WW_02_PU/WASTEWATER//1MON/L2020A/</t>
  </si>
  <si>
    <t>/CALSIM/WW_02_SU/WASTEWATER//1MON/L2015A/</t>
  </si>
  <si>
    <t>/CALSIM/WW_02_SU/WASTEWATER//1MON/L2020A/</t>
  </si>
  <si>
    <t>/CALSIM/WW_03_NU/WASTEWATER//1MON/L2015A/</t>
  </si>
  <si>
    <t>/CALSIM/WW_03_NU/WASTEWATER//1MON/L2020A/</t>
  </si>
  <si>
    <t>/CALSIM/WW_03_PU1/WASTEWATER//1MON/L2015A/</t>
  </si>
  <si>
    <t>/CALSIM/WW_03_PU1/WASTEWATER//1MON/L2020A/</t>
  </si>
  <si>
    <t>/CALSIM/WW_03_PU2/WASTEWATER//1MON/L2015A/</t>
  </si>
  <si>
    <t>/CALSIM/WW_03_PU2/WASTEWATER//1MON/L2020A/</t>
  </si>
  <si>
    <t>/CALSIM/WW_03_PU3/WASTEWATER//1MON/L2015A/</t>
  </si>
  <si>
    <t>/CALSIM/WW_03_PU3/WASTEWATER//1MON/L2020A/</t>
  </si>
  <si>
    <t>/CALSIM/WW_03_SU/WASTEWATER//1MON/L2015A/</t>
  </si>
  <si>
    <t>/CALSIM/WW_03_SU/WASTEWATER//1MON/L2020A/</t>
  </si>
  <si>
    <t>/CALSIM/WW_04_NU1/WASTEWATER//1MON/L2015A/</t>
  </si>
  <si>
    <t>/CALSIM/WW_04_NU1/WASTEWATER//1MON/L2020A/</t>
  </si>
  <si>
    <t>/CALSIM/WW_04_NU2/WASTEWATER//1MON/L2015A/</t>
  </si>
  <si>
    <t>/CALSIM/WW_04_NU2/WASTEWATER//1MON/L2020A/</t>
  </si>
  <si>
    <t>/CALSIM/WW_05_NU/WASTEWATER//1MON/L2015A/</t>
  </si>
  <si>
    <t>/CALSIM/WW_05_NU/WASTEWATER//1MON/L2020A/</t>
  </si>
  <si>
    <t>/CALSIM/WW_06_NU/WASTEWATER//1MON/L2015A/</t>
  </si>
  <si>
    <t>/CALSIM/WW_06_NU/WASTEWATER//1MON/L2020A/</t>
  </si>
  <si>
    <t>/CALSIM/WW_07N_NU/WASTEWATER//1MON/L2015A/</t>
  </si>
  <si>
    <t>/CALSIM/WW_07N_NU/WASTEWATER//1MON/L2020A/</t>
  </si>
  <si>
    <t>/CALSIM/WW_07S_NU/WASTEWATER//1MON/L2015A/</t>
  </si>
  <si>
    <t>/CALSIM/WW_07S_NU/WASTEWATER//1MON/L2020A/</t>
  </si>
  <si>
    <t>/CALSIM/WW_08N_NU/WASTEWATER//1MON/L2015A/</t>
  </si>
  <si>
    <t>/CALSIM/WW_08N_NU/WASTEWATER//1MON/L2020A/</t>
  </si>
  <si>
    <t>/CALSIM/WW_08S_NU/WASTEWATER//1MON/L2015A/</t>
  </si>
  <si>
    <t>/CALSIM/WW_08S_NU/WASTEWATER//1MON/L2020A/</t>
  </si>
  <si>
    <t>/CALSIM/WW_09_NU/WASTEWATER//1MON/L2015A/</t>
  </si>
  <si>
    <t>/CALSIM/WW_09_NU/WASTEWATER//1MON/L2020A/</t>
  </si>
  <si>
    <t>/CALSIM/WW_10_NU1/WASTEWATER//1MON/L2015A/</t>
  </si>
  <si>
    <t>/CALSIM/WW_10_NU1/WASTEWATER//1MON/L2020A/</t>
  </si>
  <si>
    <t>/CALSIM/WW_10_NU2/WASTEWATER//1MON/L2015A/</t>
  </si>
  <si>
    <t>/CALSIM/WW_10_NU2/WASTEWATER//1MON/L2020A/</t>
  </si>
  <si>
    <t>/CALSIM/WW_11_NU1/WASTEWATER//1MON/L2015A/</t>
  </si>
  <si>
    <t>/CALSIM/WW_11_NU1/WASTEWATER//1MON/L2020A/</t>
  </si>
  <si>
    <t>/CALSIM/WW_11_NU2/WASTEWATER//1MON/L2015A/</t>
  </si>
  <si>
    <t>/CALSIM/WW_11_NU2/WASTEWATER//1MON/L2020A/</t>
  </si>
  <si>
    <t>/CALSIM/WW_12_NU1/WASTEWATER//1MON/L2015A/</t>
  </si>
  <si>
    <t>/CALSIM/WW_12_NU1/WASTEWATER//1MON/L2020A/</t>
  </si>
  <si>
    <t>/CALSIM/WW_12_NU2/WASTEWATER//1MON/L2015A/</t>
  </si>
  <si>
    <t>/CALSIM/WW_12_NU2/WASTEWATER//1MON/L2020A/</t>
  </si>
  <si>
    <t>/CALSIM/WW_13_NU1/WASTEWATER//1MON/L2015A/</t>
  </si>
  <si>
    <t>/CALSIM/WW_13_NU1/WASTEWATER//1MON/L2020A/</t>
  </si>
  <si>
    <t>/CALSIM/WW_13_NU2/WASTEWATER//1MON/L2015A/</t>
  </si>
  <si>
    <t>/CALSIM/WW_13_NU2/WASTEWATER//1MON/L2020A/</t>
  </si>
  <si>
    <t>/CALSIM/WW_14_NU/WASTEWATER//1MON/L2015A/</t>
  </si>
  <si>
    <t>/CALSIM/WW_14_NU/WASTEWATER//1MON/L2020A/</t>
  </si>
  <si>
    <t>/CALSIM/WW_15N_NU/WASTEWATER//1MON/L2015A/</t>
  </si>
  <si>
    <t>/CALSIM/WW_15N_NU/WASTEWATER//1MON/L2020A/</t>
  </si>
  <si>
    <t>/CALSIM/WW_15S_NU/WASTEWATER//1MON/L2015A/</t>
  </si>
  <si>
    <t>/CALSIM/WW_15S_NU/WASTEWATER//1MON/L2020A/</t>
  </si>
  <si>
    <t>/CALSIM/WW_16_NU/WASTEWATER//1MON/L2015A/</t>
  </si>
  <si>
    <t>/CALSIM/WW_16_NU/WASTEWATER//1MON/L2020A/</t>
  </si>
  <si>
    <t>/CALSIM/WW_16_PU/WASTEWATER//1MON/L2015A/</t>
  </si>
  <si>
    <t>/CALSIM/WW_16_PU/WASTEWATER//1MON/L2020A/</t>
  </si>
  <si>
    <t>/CALSIM/WW_17N_NU/WASTEWATER//1MON/L2015A/</t>
  </si>
  <si>
    <t>/CALSIM/WW_17N_NU/WASTEWATER//1MON/L2020A/</t>
  </si>
  <si>
    <t>/CALSIM/WW_17S_NU/WASTEWATER//1MON/L2015A/</t>
  </si>
  <si>
    <t>/CALSIM/WW_17S_NU/WASTEWATER//1MON/L2020A/</t>
  </si>
  <si>
    <t>/CALSIM/WW_18_NU/WASTEWATER//1MON/L2015A/</t>
  </si>
  <si>
    <t>/CALSIM/WW_18_NU/WASTEWATER//1MON/L2020A/</t>
  </si>
  <si>
    <t>/CALSIM/WW_19_NU/WASTEWATER//1MON/L2015A/</t>
  </si>
  <si>
    <t>/CALSIM/WW_19_NU/WASTEWATER//1MON/L2020A/</t>
  </si>
  <si>
    <t>/CALSIM/WW_20_NU1/WASTEWATER//1MON/L2015A/</t>
  </si>
  <si>
    <t>/CALSIM/WW_20_NU1/WASTEWATER//1MON/L2020A/</t>
  </si>
  <si>
    <t>/CALSIM/WW_20_NU2/WASTEWATER//1MON/L2015A/</t>
  </si>
  <si>
    <t>/CALSIM/WW_20_NU2/WASTEWATER//1MON/L2020A/</t>
  </si>
  <si>
    <t>/CALSIM/WW_21_NU/WASTEWATER//1MON/L2015A/</t>
  </si>
  <si>
    <t>/CALSIM/WW_21_NU/WASTEWATER//1MON/L2020A/</t>
  </si>
  <si>
    <t>/CALSIM/WW_21_PU/WASTEWATER//1MON/L2015A/</t>
  </si>
  <si>
    <t>/CALSIM/WW_21_PU/WASTEWATER//1MON/L2020A/</t>
  </si>
  <si>
    <t>/CALSIM/WW_22_NU/WASTEWATER//1MON/L2015A/</t>
  </si>
  <si>
    <t>/CALSIM/WW_22_NU/WASTEWATER//1MON/L2020A/</t>
  </si>
  <si>
    <t>/CALSIM/WW_23_NU/WASTEWATER//1MON/L2015A/</t>
  </si>
  <si>
    <t>/CALSIM/WW_23_NU/WASTEWATER//1MON/L2020A/</t>
  </si>
  <si>
    <t>/CALSIM/WW_24_NU1/WASTEWATER//1MON/L2015A/</t>
  </si>
  <si>
    <t>/CALSIM/WW_24_NU1/WASTEWATER//1MON/L2020A/</t>
  </si>
  <si>
    <t>/CALSIM/WW_24_NU2/WASTEWATER//1MON/L2015A/</t>
  </si>
  <si>
    <t>/CALSIM/WW_24_NU2/WASTEWATER//1MON/L2020A/</t>
  </si>
  <si>
    <t>/CALSIM/WW_24_NU3/WASTEWATER//1MON/L2015A/</t>
  </si>
  <si>
    <t>/CALSIM/WW_24_NU3/WASTEWATER//1MON/L2020A/</t>
  </si>
  <si>
    <t>/CALSIM/WW_24_NU4/WASTEWATER//1MON/L2015A/</t>
  </si>
  <si>
    <t>/CALSIM/WW_24_NU4/WASTEWATER//1MON/L2020A/</t>
  </si>
  <si>
    <t>/CALSIM/WW_25_NU/WASTEWATER//1MON/L2015A/</t>
  </si>
  <si>
    <t>/CALSIM/WW_25_NU/WASTEWATER//1MON/L2020A/</t>
  </si>
  <si>
    <t>/CALSIM/WW_25_PU/WASTEWATER//1MON/L2015A/</t>
  </si>
  <si>
    <t>/CALSIM/WW_25_PU/WASTEWATER//1MON/L2020A/</t>
  </si>
  <si>
    <t>/CALSIM/WW_26N_NU1/WASTEWATER//1MON/L2015A/</t>
  </si>
  <si>
    <t>/CALSIM/WW_26N_NU1/WASTEWATER//1MON/L2020A/</t>
  </si>
  <si>
    <t>/CALSIM/WW_26N_NU2/WASTEWATER//1MON/L2015A/</t>
  </si>
  <si>
    <t>/CALSIM/WW_26N_NU2/WASTEWATER//1MON/L2020A/</t>
  </si>
  <si>
    <t>/CALSIM/WW_26N_NU3/WASTEWATER//1MON/L2015A/</t>
  </si>
  <si>
    <t>/CALSIM/WW_26N_NU3/WASTEWATER//1MON/L2020A/</t>
  </si>
  <si>
    <t>/CALSIM/WW_26N_NU4/WASTEWATER//1MON/L2015A/</t>
  </si>
  <si>
    <t>/CALSIM/WW_26N_NU4/WASTEWATER//1MON/L2020A/</t>
  </si>
  <si>
    <t>/CALSIM/WW_26N_NU5/WASTEWATER//1MON/L2015A/</t>
  </si>
  <si>
    <t>/CALSIM/WW_26N_NU5/WASTEWATER//1MON/L2020A/</t>
  </si>
  <si>
    <t>/CALSIM/WW_26N_PU1/WASTEWATER//1MON/L2015A/</t>
  </si>
  <si>
    <t>/CALSIM/WW_26N_PU1/WASTEWATER//1MON/L2020A/</t>
  </si>
  <si>
    <t>/CALSIM/WW_26N_PU2/WASTEWATER//1MON/L2015A/</t>
  </si>
  <si>
    <t>/CALSIM/WW_26N_PU2/WASTEWATER//1MON/L2020A/</t>
  </si>
  <si>
    <t>/CALSIM/WW_26N_PU3/WASTEWATER//1MON/L2015A/</t>
  </si>
  <si>
    <t>/CALSIM/WW_26N_PU3/WASTEWATER//1MON/L2020A/</t>
  </si>
  <si>
    <t>/CALSIM/WW_26S_NU1/WASTEWATER//1MON/L2015A/</t>
  </si>
  <si>
    <t>/CALSIM/WW_26S_NU1/WASTEWATER//1MON/L2020A/</t>
  </si>
  <si>
    <t>/CALSIM/WW_26S_NU2/WASTEWATER//1MON/L2015A/</t>
  </si>
  <si>
    <t>/CALSIM/WW_26S_NU2/WASTEWATER//1MON/L2020A/</t>
  </si>
  <si>
    <t>/CALSIM/WW_26S_NU3/WASTEWATER//1MON/L2015A/</t>
  </si>
  <si>
    <t>/CALSIM/WW_26S_NU3/WASTEWATER//1MON/L2020A/</t>
  </si>
  <si>
    <t>/CALSIM/WW_26S_NU4/WASTEWATER//1MON/L2015A/</t>
  </si>
  <si>
    <t>/CALSIM/WW_26S_NU4/WASTEWATER//1MON/L2020A/</t>
  </si>
  <si>
    <t>/CALSIM/WW_26S_PU1/WASTEWATER//1MON/L2015A/</t>
  </si>
  <si>
    <t>/CALSIM/WW_26S_PU1/WASTEWATER//1MON/L2020A/</t>
  </si>
  <si>
    <t>/CALSIM/WW_26S_PU2/WASTEWATER//1MON/L2015A/</t>
  </si>
  <si>
    <t>/CALSIM/WW_26S_PU2/WASTEWATER//1MON/L2020A/</t>
  </si>
  <si>
    <t>/CALSIM/WW_26S_PU3/WASTEWATER//1MON/L2015A/</t>
  </si>
  <si>
    <t>/CALSIM/WW_26S_PU3/WASTEWATER//1MON/L2020A/</t>
  </si>
  <si>
    <t>/CALSIM/WW_26S_PU4/WASTEWATER//1MON/L2015A/</t>
  </si>
  <si>
    <t>/CALSIM/WW_26S_PU4/WASTEWATER//1MON/L2020A/</t>
  </si>
  <si>
    <t>/CALSIM/WW_26S_PU5/WASTEWATER//1MON/L2015A/</t>
  </si>
  <si>
    <t>/CALSIM/WW_26S_PU5/WASTEWATER//1MON/L2020A/</t>
  </si>
  <si>
    <t>/CALSIM/WW_26S_PU6/WASTEWATER//1MON/L2015A/</t>
  </si>
  <si>
    <t>/CALSIM/WW_26S_PU6/WASTEWATER//1MON/L2020A/</t>
  </si>
  <si>
    <t>LTO_Hydro_L2015A_to_L2020A_RiceRF_cp</t>
  </si>
  <si>
    <t>RiceOutput.dss</t>
  </si>
  <si>
    <t>/CALSIM/R_11_SA1/RETURN-FLOW//1MON/L2015A/</t>
  </si>
  <si>
    <t>/CALSIM/R_11_SA1/RETURN-FLOW//1MON/L2020A/</t>
  </si>
  <si>
    <t>/CALSIM/R_11_SA2/RETURN-FLOW//1MON/L2015A/</t>
  </si>
  <si>
    <t>/CALSIM/R_11_SA2/RETURN-FLOW//1MON/L2020A/</t>
  </si>
  <si>
    <t>/CALSIM/R_11_SA3/RETURN-FLOW//1MON/L2015A/</t>
  </si>
  <si>
    <t>/CALSIM/R_11_SA3/RETURN-FLOW//1MON/L2020A/</t>
  </si>
  <si>
    <t>/CALSIM/R_11_SA4/RETURN-FLOW//1MON/L2015A/</t>
  </si>
  <si>
    <t>/CALSIM/R_11_SA4/RETURN-FLOW//1MON/L2020A/</t>
  </si>
  <si>
    <t>LTOhis_SJRClosureTerms_cp</t>
  </si>
  <si>
    <t>CS3_SJCT_08032023_dwr_v.00_04152024.dss</t>
  </si>
  <si>
    <t>/CALSIM/CT_GRAVELLYFORD_SV/CLOSURE-TERM//1MON/L2020A/</t>
  </si>
  <si>
    <t>/CALSIM/CT_MERCED_SV/CLOSURE-TERM//1MON/L2020A/</t>
  </si>
  <si>
    <t>/CALSIM/CT_MODESTO_SV/CLOSURE-TERM//1MON/L2020A/</t>
  </si>
  <si>
    <t>/CALSIM/CT_MUDSLOUGH_SV/CLOSURE-TERM//1MON/L2020A/</t>
  </si>
  <si>
    <t>/CALSIM/CT_RIPON_SV/CLOSURE-TERM//1MON/L2020A/</t>
  </si>
  <si>
    <t>/CALSIM/CT_SALTSLOUGH_SV/CLOSURE-TERM//1MON/L2020A/</t>
  </si>
  <si>
    <t>/CALSIM/CT_STEVINSON_SV/CLOSURE-TERM//1MON/L2020A/</t>
  </si>
  <si>
    <t>/CALSIM/CT_VERNALIS_SV/CLOSURE-TERM//1MON/L2020A/</t>
  </si>
  <si>
    <t>LTOhis_SacClosureTerms_cp</t>
  </si>
  <si>
    <t>ClosureTerms.dss</t>
  </si>
  <si>
    <t>/CALSIM/CT_BENDBRIDGE_SV/CLOSURE-TERM//1MON/L2020A/</t>
  </si>
  <si>
    <t>/CALSIM/CT_BUTTECITY_SV/CLOSURE-TERM//1MON/L2020A/</t>
  </si>
  <si>
    <t>/CALSIM/CT_COLUSA_SV/CLOSURE-TERM//1MON/L2020A/</t>
  </si>
  <si>
    <t>/CALSIM/CT_DAVIS_SV/CLOSURE-TERM//1MON/L2020A/</t>
  </si>
  <si>
    <t>/CALSIM/CT_FAIROAKS_SV/CLOSURE-TERM//1MON/L2020A/</t>
  </si>
  <si>
    <t>/CALSIM/CT_FREEPORT_SV/CLOSURE-TERM//1MON/L2020A/</t>
  </si>
  <si>
    <t>/CALSIM/CT_NICOLAUS_SV/CLOSURE-TERM//1MON/L2020A/</t>
  </si>
  <si>
    <t>/CALSIM/CT_OROVILLE_SV/CLOSURE-TERM//1MON/L2020A/</t>
  </si>
  <si>
    <t>/CALSIM/CT_SACSLOUGH_SV/CLOSURE-TERM//1MON/L2020A/</t>
  </si>
  <si>
    <t>/CALSIM/CT_SMARTVILLE_SV/CLOSURE-TERM//1MON/L2020A/</t>
  </si>
  <si>
    <t>/CALSIM/CT_VERONA_SV/CLOSURE-TERM//1MON/L2020A/</t>
  </si>
  <si>
    <t>/CALSIM/CT_WHEATLAND_SV/CLOSURE-TERM//1MON/L2020A/</t>
  </si>
  <si>
    <t>/CALSIM/CT_WILKINSSL_SV/CLOSURE-TERM//1MON/L2020A/</t>
  </si>
  <si>
    <t>/CALSIM/CT_WOODLAND_SV/CLOSURE-TERM//1MON/L2020A/</t>
  </si>
  <si>
    <t>/CALSIM/CT_YOLO_SV/CLOSURE-TERM//1MON/L2020A/</t>
  </si>
  <si>
    <t>LTOhis_SmallWatershedBUGW_L2020A_cp</t>
  </si>
  <si>
    <t>CVSWShed_FlowContribution3pcntWBA24_2013Init_2021.dss</t>
  </si>
  <si>
    <t>/CALSIM/GW1_N2/BUGW-INFLOW//1MON/L2015A/</t>
  </si>
  <si>
    <t>/CALSIM/GW1_N2/BUGW-INFLOW//1MON/L2020A/</t>
  </si>
  <si>
    <t>/CALSIM/GW1_N3/BUGW-INFLOW//1MON/L2015A/</t>
  </si>
  <si>
    <t>/CALSIM/GW1_N3/BUGW-INFLOW//1MON/L2020A/</t>
  </si>
  <si>
    <t>/CALSIM/GW1_N8/BUGW-INFLOW//1MON/L2015A/</t>
  </si>
  <si>
    <t>/CALSIM/GW1_N8/BUGW-INFLOW//1MON/L2020A/</t>
  </si>
  <si>
    <t>/CALSIM/GW1_N13/BUGW-INFLOW//1MON/L2015A/</t>
  </si>
  <si>
    <t>/CALSIM/GW1_N13/BUGW-INFLOW//1MON/L2020A/</t>
  </si>
  <si>
    <t>/CALSIM/GW1_N14/BUGW-INFLOW//1MON/L2015A/</t>
  </si>
  <si>
    <t>/CALSIM/GW1_N14/BUGW-INFLOW//1MON/L2020A/</t>
  </si>
  <si>
    <t>/CALSIM/GW1_N18/BUGW-INFLOW//1MON/L2015A/</t>
  </si>
  <si>
    <t>/CALSIM/GW1_N18/BUGW-INFLOW//1MON/L2020A/</t>
  </si>
  <si>
    <t>/CALSIM/GW1_N19/BUGW-INFLOW//1MON/L2015A/</t>
  </si>
  <si>
    <t>/CALSIM/GW1_N19/BUGW-INFLOW//1MON/L2020A/</t>
  </si>
  <si>
    <t>/CALSIM/GW1_N24/BUGW-INFLOW//1MON/L2015A/</t>
  </si>
  <si>
    <t>/CALSIM/GW1_N24/BUGW-INFLOW//1MON/L2020A/</t>
  </si>
  <si>
    <t>/CALSIM/GW1_N25/BUGW-INFLOW//1MON/L2015A/</t>
  </si>
  <si>
    <t>/CALSIM/GW1_N25/BUGW-INFLOW//1MON/L2020A/</t>
  </si>
  <si>
    <t>/CALSIM/GW1_N30/BUGW-INFLOW//1MON/L2015A/</t>
  </si>
  <si>
    <t>/CALSIM/GW1_N30/BUGW-INFLOW//1MON/L2020A/</t>
  </si>
  <si>
    <t>/CALSIM/GW1_N31/BUGW-INFLOW//1MON/L2015A/</t>
  </si>
  <si>
    <t>/CALSIM/GW1_N31/BUGW-INFLOW//1MON/L2020A/</t>
  </si>
  <si>
    <t>/CALSIM/GW1_N39/BUGW-INFLOW//1MON/L2015A/</t>
  </si>
  <si>
    <t>/CALSIM/GW1_N39/BUGW-INFLOW//1MON/L2020A/</t>
  </si>
  <si>
    <t>/CALSIM/GW1_N48/BUGW-INFLOW//1MON/L2015A/</t>
  </si>
  <si>
    <t>/CALSIM/GW1_N48/BUGW-INFLOW//1MON/L2020A/</t>
  </si>
  <si>
    <t>/CALSIM/GW1_N50/BUGW-INFLOW//1MON/L2015A/</t>
  </si>
  <si>
    <t>/CALSIM/GW1_N50/BUGW-INFLOW//1MON/L2020A/</t>
  </si>
  <si>
    <t>/CALSIM/GW1_N57/BUGW-INFLOW//1MON/L2015A/</t>
  </si>
  <si>
    <t>/CALSIM/GW1_N57/BUGW-INFLOW//1MON/L2020A/</t>
  </si>
  <si>
    <t>/CALSIM/GW1_N62/BUGW-INFLOW//1MON/L2015A/</t>
  </si>
  <si>
    <t>/CALSIM/GW1_N62/BUGW-INFLOW//1MON/L2020A/</t>
  </si>
  <si>
    <t>/CALSIM/GW1_N74/BUGW-INFLOW//1MON/L2015A/</t>
  </si>
  <si>
    <t>/CALSIM/GW1_N74/BUGW-INFLOW//1MON/L2020A/</t>
  </si>
  <si>
    <t>/CALSIM/GW1_N80/BUGW-INFLOW//1MON/L2015A/</t>
  </si>
  <si>
    <t>/CALSIM/GW1_N80/BUGW-INFLOW//1MON/L2020A/</t>
  </si>
  <si>
    <t>/CALSIM/GW1_N89/BUGW-INFLOW//1MON/L2015A/</t>
  </si>
  <si>
    <t>/CALSIM/GW1_N89/BUGW-INFLOW//1MON/L2020A/</t>
  </si>
  <si>
    <t>/CALSIM/GW1_N107/BUGW-INFLOW//1MON/L2015A/</t>
  </si>
  <si>
    <t>/CALSIM/GW1_N107/BUGW-INFLOW//1MON/L2020A/</t>
  </si>
  <si>
    <t>/CALSIM/GW1_N115/BUGW-INFLOW//1MON/L2015A/</t>
  </si>
  <si>
    <t>/CALSIM/GW1_N115/BUGW-INFLOW//1MON/L2020A/</t>
  </si>
  <si>
    <t>/CALSIM/GW1_N118/BUGW-INFLOW//1MON/L2015A/</t>
  </si>
  <si>
    <t>/CALSIM/GW1_N118/BUGW-INFLOW//1MON/L2020A/</t>
  </si>
  <si>
    <t>/CALSIM/GW1_N121/BUGW-INFLOW//1MON/L2015A/</t>
  </si>
  <si>
    <t>/CALSIM/GW1_N121/BUGW-INFLOW//1MON/L2020A/</t>
  </si>
  <si>
    <t>/CALSIM/GW1_N122/BUGW-INFLOW//1MON/L2015A/</t>
  </si>
  <si>
    <t>/CALSIM/GW1_N122/BUGW-INFLOW//1MON/L2020A/</t>
  </si>
  <si>
    <t>/CALSIM/GW1_N148/BUGW-INFLOW//1MON/L2015A/</t>
  </si>
  <si>
    <t>/CALSIM/GW1_N148/BUGW-INFLOW//1MON/L2020A/</t>
  </si>
  <si>
    <t>/CALSIM/GW1_N150/BUGW-INFLOW//1MON/L2015A/</t>
  </si>
  <si>
    <t>/CALSIM/GW1_N150/BUGW-INFLOW//1MON/L2020A/</t>
  </si>
  <si>
    <t>/CALSIM/GW1_N152/BUGW-INFLOW//1MON/L2015A/</t>
  </si>
  <si>
    <t>/CALSIM/GW1_N152/BUGW-INFLOW//1MON/L2020A/</t>
  </si>
  <si>
    <t>/CALSIM/GW1_N163/BUGW-INFLOW//1MON/L2015A/</t>
  </si>
  <si>
    <t>/CALSIM/GW1_N163/BUGW-INFLOW//1MON/L2020A/</t>
  </si>
  <si>
    <t>/CALSIM/GW1_N164/BUGW-INFLOW//1MON/L2015A/</t>
  </si>
  <si>
    <t>/CALSIM/GW1_N164/BUGW-INFLOW//1MON/L2020A/</t>
  </si>
  <si>
    <t>/CALSIM/GW1_N178/BUGW-INFLOW//1MON/L2015A/</t>
  </si>
  <si>
    <t>/CALSIM/GW1_N178/BUGW-INFLOW//1MON/L2020A/</t>
  </si>
  <si>
    <t>/CALSIM/GW1_N180/BUGW-INFLOW//1MON/L2015A/</t>
  </si>
  <si>
    <t>/CALSIM/GW1_N180/BUGW-INFLOW//1MON/L2020A/</t>
  </si>
  <si>
    <t>/CALSIM/GW1_N194/BUGW-INFLOW//1MON/L2015A/</t>
  </si>
  <si>
    <t>/CALSIM/GW1_N194/BUGW-INFLOW//1MON/L2020A/</t>
  </si>
  <si>
    <t>/CALSIM/GW1_N195/BUGW-INFLOW//1MON/L2015A/</t>
  </si>
  <si>
    <t>/CALSIM/GW1_N195/BUGW-INFLOW//1MON/L2020A/</t>
  </si>
  <si>
    <t>/CALSIM/GW1_N196/BUGW-INFLOW//1MON/L2015A/</t>
  </si>
  <si>
    <t>/CALSIM/GW1_N196/BUGW-INFLOW//1MON/L2020A/</t>
  </si>
  <si>
    <t>/CALSIM/GW1_N197/BUGW-INFLOW//1MON/L2015A/</t>
  </si>
  <si>
    <t>/CALSIM/GW1_N197/BUGW-INFLOW//1MON/L2020A/</t>
  </si>
  <si>
    <t>/CALSIM/GW1_N210/BUGW-INFLOW//1MON/L2015A/</t>
  </si>
  <si>
    <t>/CALSIM/GW1_N210/BUGW-INFLOW//1MON/L2020A/</t>
  </si>
  <si>
    <t>/CALSIM/GW1_N215/BUGW-INFLOW//1MON/L2015A/</t>
  </si>
  <si>
    <t>/CALSIM/GW1_N215/BUGW-INFLOW//1MON/L2020A/</t>
  </si>
  <si>
    <t>/CALSIM/GW1_N226/BUGW-INFLOW//1MON/L2015A/</t>
  </si>
  <si>
    <t>/CALSIM/GW1_N226/BUGW-INFLOW//1MON/L2020A/</t>
  </si>
  <si>
    <t>/CALSIM/GW1_N234/BUGW-INFLOW//1MON/L2015A/</t>
  </si>
  <si>
    <t>/CALSIM/GW1_N234/BUGW-INFLOW//1MON/L2020A/</t>
  </si>
  <si>
    <t>/CALSIM/GW1_N235/BUGW-INFLOW//1MON/L2015A/</t>
  </si>
  <si>
    <t>/CALSIM/GW1_N235/BUGW-INFLOW//1MON/L2020A/</t>
  </si>
  <si>
    <t>/CALSIM/GW1_N243/BUGW-INFLOW//1MON/L2015A/</t>
  </si>
  <si>
    <t>/CALSIM/GW1_N243/BUGW-INFLOW//1MON/L2020A/</t>
  </si>
  <si>
    <t>/CALSIM/GW1_N244/BUGW-INFLOW//1MON/L2015A/</t>
  </si>
  <si>
    <t>/CALSIM/GW1_N244/BUGW-INFLOW//1MON/L2020A/</t>
  </si>
  <si>
    <t>/CALSIM/GW1_N245/BUGW-INFLOW//1MON/L2015A/</t>
  </si>
  <si>
    <t>/CALSIM/GW1_N245/BUGW-INFLOW//1MON/L2020A/</t>
  </si>
  <si>
    <t>/CALSIM/GW1_N248/BUGW-INFLOW//1MON/L2015A/</t>
  </si>
  <si>
    <t>/CALSIM/GW1_N248/BUGW-INFLOW//1MON/L2020A/</t>
  </si>
  <si>
    <t>/CALSIM/GW1_N249/BUGW-INFLOW//1MON/L2015A/</t>
  </si>
  <si>
    <t>/CALSIM/GW1_N249/BUGW-INFLOW//1MON/L2020A/</t>
  </si>
  <si>
    <t>/CALSIM/GW1_N256/BUGW-INFLOW//1MON/L2015A/</t>
  </si>
  <si>
    <t>/CALSIM/GW1_N256/BUGW-INFLOW//1MON/L2020A/</t>
  </si>
  <si>
    <t>/CALSIM/GW1_N257/BUGW-INFLOW//1MON/L2015A/</t>
  </si>
  <si>
    <t>/CALSIM/GW1_N257/BUGW-INFLOW//1MON/L2020A/</t>
  </si>
  <si>
    <t>/CALSIM/GW1_N263/BUGW-INFLOW//1MON/L2015A/</t>
  </si>
  <si>
    <t>/CALSIM/GW1_N263/BUGW-INFLOW//1MON/L2020A/</t>
  </si>
  <si>
    <t>/CALSIM/GW1_N264/BUGW-INFLOW//1MON/L2015A/</t>
  </si>
  <si>
    <t>/CALSIM/GW1_N264/BUGW-INFLOW//1MON/L2020A/</t>
  </si>
  <si>
    <t>/CALSIM/GW1_N270/BUGW-INFLOW//1MON/L2015A/</t>
  </si>
  <si>
    <t>/CALSIM/GW1_N270/BUGW-INFLOW//1MON/L2020A/</t>
  </si>
  <si>
    <t>/CALSIM/GW1_N271/BUGW-INFLOW//1MON/L2015A/</t>
  </si>
  <si>
    <t>/CALSIM/GW1_N271/BUGW-INFLOW//1MON/L2020A/</t>
  </si>
  <si>
    <t>/CALSIM/GW1_N272/BUGW-INFLOW//1MON/L2015A/</t>
  </si>
  <si>
    <t>/CALSIM/GW1_N272/BUGW-INFLOW//1MON/L2020A/</t>
  </si>
  <si>
    <t>/CALSIM/GW1_N286/BUGW-INFLOW//1MON/L2015A/</t>
  </si>
  <si>
    <t>/CALSIM/GW1_N286/BUGW-INFLOW//1MON/L2020A/</t>
  </si>
  <si>
    <t>/CALSIM/GW1_N297/BUGW-INFLOW//1MON/L2015A/</t>
  </si>
  <si>
    <t>/CALSIM/GW1_N297/BUGW-INFLOW//1MON/L2020A/</t>
  </si>
  <si>
    <t>/CALSIM/GW1_N298/BUGW-INFLOW//1MON/L2015A/</t>
  </si>
  <si>
    <t>/CALSIM/GW1_N298/BUGW-INFLOW//1MON/L2020A/</t>
  </si>
  <si>
    <t>/CALSIM/GW1_N299/BUGW-INFLOW//1MON/L2015A/</t>
  </si>
  <si>
    <t>/CALSIM/GW1_N299/BUGW-INFLOW//1MON/L2020A/</t>
  </si>
  <si>
    <t>/CALSIM/GW1_N310/BUGW-INFLOW//1MON/L2015A/</t>
  </si>
  <si>
    <t>/CALSIM/GW1_N310/BUGW-INFLOW//1MON/L2020A/</t>
  </si>
  <si>
    <t>/CALSIM/GW1_N311/BUGW-INFLOW//1MON/L2015A/</t>
  </si>
  <si>
    <t>/CALSIM/GW1_N311/BUGW-INFLOW//1MON/L2020A/</t>
  </si>
  <si>
    <t>/CALSIM/GW1_N321/BUGW-INFLOW//1MON/L2015A/</t>
  </si>
  <si>
    <t>/CALSIM/GW1_N321/BUGW-INFLOW//1MON/L2020A/</t>
  </si>
  <si>
    <t>/CALSIM/GW1_N322/BUGW-INFLOW//1MON/L2015A/</t>
  </si>
  <si>
    <t>/CALSIM/GW1_N322/BUGW-INFLOW//1MON/L2020A/</t>
  </si>
  <si>
    <t>/CALSIM/GW1_N346/BUGW-INFLOW//1MON/L2015A/</t>
  </si>
  <si>
    <t>/CALSIM/GW1_N346/BUGW-INFLOW//1MON/L2020A/</t>
  </si>
  <si>
    <t>/CALSIM/GW1_N357/BUGW-INFLOW//1MON/L2015A/</t>
  </si>
  <si>
    <t>/CALSIM/GW1_N357/BUGW-INFLOW//1MON/L2020A/</t>
  </si>
  <si>
    <t>/CALSIM/GW1_N369/BUGW-INFLOW//1MON/L2015A/</t>
  </si>
  <si>
    <t>/CALSIM/GW1_N369/BUGW-INFLOW//1MON/L2020A/</t>
  </si>
  <si>
    <t>/CALSIM/GW1_N390/BUGW-INFLOW//1MON/L2015A/</t>
  </si>
  <si>
    <t>/CALSIM/GW1_N390/BUGW-INFLOW//1MON/L2020A/</t>
  </si>
  <si>
    <t>/CALSIM/GW1_N393/BUGW-INFLOW//1MON/L2015A/</t>
  </si>
  <si>
    <t>/CALSIM/GW1_N393/BUGW-INFLOW//1MON/L2020A/</t>
  </si>
  <si>
    <t>/CALSIM/GW1_N396/BUGW-INFLOW//1MON/L2015A/</t>
  </si>
  <si>
    <t>/CALSIM/GW1_N396/BUGW-INFLOW//1MON/L2020A/</t>
  </si>
  <si>
    <t>/CALSIM/GW1_N402/BUGW-INFLOW//1MON/L2015A/</t>
  </si>
  <si>
    <t>/CALSIM/GW1_N402/BUGW-INFLOW//1MON/L2020A/</t>
  </si>
  <si>
    <t>/CALSIM/GW1_N409/BUGW-INFLOW//1MON/L2015A/</t>
  </si>
  <si>
    <t>/CALSIM/GW1_N409/BUGW-INFLOW//1MON/L2020A/</t>
  </si>
  <si>
    <t>/CALSIM/GW1_N423/BUGW-INFLOW//1MON/L2015A/</t>
  </si>
  <si>
    <t>/CALSIM/GW1_N423/BUGW-INFLOW//1MON/L2020A/</t>
  </si>
  <si>
    <t>/CALSIM/GW1_N427/BUGW-INFLOW//1MON/L2015A/</t>
  </si>
  <si>
    <t>/CALSIM/GW1_N427/BUGW-INFLOW//1MON/L2020A/</t>
  </si>
  <si>
    <t>/CALSIM/GW1_N444/BUGW-INFLOW//1MON/L2015A/</t>
  </si>
  <si>
    <t>/CALSIM/GW1_N444/BUGW-INFLOW//1MON/L2020A/</t>
  </si>
  <si>
    <t>/CALSIM/GW1_N456/BUGW-INFLOW//1MON/L2015A/</t>
  </si>
  <si>
    <t>/CALSIM/GW1_N456/BUGW-INFLOW//1MON/L2020A/</t>
  </si>
  <si>
    <t>/CALSIM/GW1_N468/BUGW-INFLOW//1MON/L2015A/</t>
  </si>
  <si>
    <t>/CALSIM/GW1_N468/BUGW-INFLOW//1MON/L2020A/</t>
  </si>
  <si>
    <t>/CALSIM/GW1_N469/BUGW-INFLOW//1MON/L2015A/</t>
  </si>
  <si>
    <t>/CALSIM/GW1_N469/BUGW-INFLOW//1MON/L2020A/</t>
  </si>
  <si>
    <t>/CALSIM/GW1_N485/BUGW-INFLOW//1MON/L2015A/</t>
  </si>
  <si>
    <t>/CALSIM/GW1_N485/BUGW-INFLOW//1MON/L2020A/</t>
  </si>
  <si>
    <t>/CALSIM/GW1_N501/BUGW-INFLOW//1MON/L2015A/</t>
  </si>
  <si>
    <t>/CALSIM/GW1_N501/BUGW-INFLOW//1MON/L2020A/</t>
  </si>
  <si>
    <t>/CALSIM/GW1_N507/BUGW-INFLOW//1MON/L2015A/</t>
  </si>
  <si>
    <t>/CALSIM/GW1_N507/BUGW-INFLOW//1MON/L2020A/</t>
  </si>
  <si>
    <t>/CALSIM/GW1_N510/BUGW-INFLOW//1MON/L2015A/</t>
  </si>
  <si>
    <t>/CALSIM/GW1_N510/BUGW-INFLOW//1MON/L2020A/</t>
  </si>
  <si>
    <t>/CALSIM/GW1_N518/BUGW-INFLOW//1MON/L2015A/</t>
  </si>
  <si>
    <t>/CALSIM/GW1_N518/BUGW-INFLOW//1MON/L2020A/</t>
  </si>
  <si>
    <t>/CALSIM/GW1_N530/BUGW-INFLOW//1MON/L2015A/</t>
  </si>
  <si>
    <t>/CALSIM/GW1_N530/BUGW-INFLOW//1MON/L2020A/</t>
  </si>
  <si>
    <t>/CALSIM/GW1_N535/BUGW-INFLOW//1MON/L2015A/</t>
  </si>
  <si>
    <t>/CALSIM/GW1_N535/BUGW-INFLOW//1MON/L2020A/</t>
  </si>
  <si>
    <t>/CALSIM/GW1_N536/BUGW-INFLOW//1MON/L2015A/</t>
  </si>
  <si>
    <t>/CALSIM/GW1_N536/BUGW-INFLOW//1MON/L2020A/</t>
  </si>
  <si>
    <t>/CALSIM/GW1_N537/BUGW-INFLOW//1MON/L2015A/</t>
  </si>
  <si>
    <t>/CALSIM/GW1_N537/BUGW-INFLOW//1MON/L2020A/</t>
  </si>
  <si>
    <t>/CALSIM/GW1_N554/BUGW-INFLOW//1MON/L2015A/</t>
  </si>
  <si>
    <t>/CALSIM/GW1_N554/BUGW-INFLOW//1MON/L2020A/</t>
  </si>
  <si>
    <t>/CALSIM/GW1_N573/BUGW-INFLOW//1MON/L2015A/</t>
  </si>
  <si>
    <t>/CALSIM/GW1_N573/BUGW-INFLOW//1MON/L2020A/</t>
  </si>
  <si>
    <t>/CALSIM/GW1_N583/BUGW-INFLOW//1MON/L2015A/</t>
  </si>
  <si>
    <t>/CALSIM/GW1_N583/BUGW-INFLOW//1MON/L2020A/</t>
  </si>
  <si>
    <t>/CALSIM/GW1_N588/BUGW-INFLOW//1MON/L2015A/</t>
  </si>
  <si>
    <t>/CALSIM/GW1_N588/BUGW-INFLOW//1MON/L2020A/</t>
  </si>
  <si>
    <t>/CALSIM/GW1_N589/BUGW-INFLOW//1MON/L2015A/</t>
  </si>
  <si>
    <t>/CALSIM/GW1_N589/BUGW-INFLOW//1MON/L2020A/</t>
  </si>
  <si>
    <t>/CALSIM/GW1_N600/BUGW-INFLOW//1MON/L2015A/</t>
  </si>
  <si>
    <t>/CALSIM/GW1_N600/BUGW-INFLOW//1MON/L2020A/</t>
  </si>
  <si>
    <t>/CALSIM/GW1_N601/BUGW-INFLOW//1MON/L2015A/</t>
  </si>
  <si>
    <t>/CALSIM/GW1_N601/BUGW-INFLOW//1MON/L2020A/</t>
  </si>
  <si>
    <t>/CALSIM/GW1_N607/BUGW-INFLOW//1MON/L2015A/</t>
  </si>
  <si>
    <t>/CALSIM/GW1_N607/BUGW-INFLOW//1MON/L2020A/</t>
  </si>
  <si>
    <t>/CALSIM/GW1_N609/BUGW-INFLOW//1MON/L2015A/</t>
  </si>
  <si>
    <t>/CALSIM/GW1_N609/BUGW-INFLOW//1MON/L2020A/</t>
  </si>
  <si>
    <t>/CALSIM/GW1_N611/BUGW-INFLOW//1MON/L2015A/</t>
  </si>
  <si>
    <t>/CALSIM/GW1_N611/BUGW-INFLOW//1MON/L2020A/</t>
  </si>
  <si>
    <t>/CALSIM/GW1_N613/BUGW-INFLOW//1MON/L2015A/</t>
  </si>
  <si>
    <t>/CALSIM/GW1_N613/BUGW-INFLOW//1MON/L2020A/</t>
  </si>
  <si>
    <t>/CALSIM/GW1_N630/BUGW-INFLOW//1MON/L2015A/</t>
  </si>
  <si>
    <t>/CALSIM/GW1_N630/BUGW-INFLOW//1MON/L2020A/</t>
  </si>
  <si>
    <t>/CALSIM/GW1_N631/BUGW-INFLOW//1MON/L2015A/</t>
  </si>
  <si>
    <t>/CALSIM/GW1_N631/BUGW-INFLOW//1MON/L2020A/</t>
  </si>
  <si>
    <t>/CALSIM/GW1_N641/BUGW-INFLOW//1MON/L2015A/</t>
  </si>
  <si>
    <t>/CALSIM/GW1_N641/BUGW-INFLOW//1MON/L2020A/</t>
  </si>
  <si>
    <t>/CALSIM/GW1_N646/BUGW-INFLOW//1MON/L2015A/</t>
  </si>
  <si>
    <t>/CALSIM/GW1_N646/BUGW-INFLOW//1MON/L2020A/</t>
  </si>
  <si>
    <t>/CALSIM/GW1_N647/BUGW-INFLOW//1MON/L2015A/</t>
  </si>
  <si>
    <t>/CALSIM/GW1_N647/BUGW-INFLOW//1MON/L2020A/</t>
  </si>
  <si>
    <t>/CALSIM/GW1_N658/BUGW-INFLOW//1MON/L2015A/</t>
  </si>
  <si>
    <t>/CALSIM/GW1_N658/BUGW-INFLOW//1MON/L2020A/</t>
  </si>
  <si>
    <t>/CALSIM/GW1_N669/BUGW-INFLOW//1MON/L2015A/</t>
  </si>
  <si>
    <t>/CALSIM/GW1_N669/BUGW-INFLOW//1MON/L2020A/</t>
  </si>
  <si>
    <t>/CALSIM/GW1_N679/BUGW-INFLOW//1MON/L2015A/</t>
  </si>
  <si>
    <t>/CALSIM/GW1_N679/BUGW-INFLOW//1MON/L2020A/</t>
  </si>
  <si>
    <t>/CALSIM/GW1_N680/BUGW-INFLOW//1MON/L2015A/</t>
  </si>
  <si>
    <t>/CALSIM/GW1_N680/BUGW-INFLOW//1MON/L2020A/</t>
  </si>
  <si>
    <t>/CALSIM/GW1_N691/BUGW-INFLOW//1MON/L2015A/</t>
  </si>
  <si>
    <t>/CALSIM/GW1_N691/BUGW-INFLOW//1MON/L2020A/</t>
  </si>
  <si>
    <t>/CALSIM/GW1_N710/BUGW-INFLOW//1MON/L2015A/</t>
  </si>
  <si>
    <t>/CALSIM/GW1_N710/BUGW-INFLOW//1MON/L2020A/</t>
  </si>
  <si>
    <t>/CALSIM/GW1_N711/BUGW-INFLOW//1MON/L2015A/</t>
  </si>
  <si>
    <t>/CALSIM/GW1_N711/BUGW-INFLOW//1MON/L2020A/</t>
  </si>
  <si>
    <t>/CALSIM/GW1_N722/BUGW-INFLOW//1MON/L2015A/</t>
  </si>
  <si>
    <t>/CALSIM/GW1_N722/BUGW-INFLOW//1MON/L2020A/</t>
  </si>
  <si>
    <t>/CALSIM/GW1_N723/BUGW-INFLOW//1MON/L2015A/</t>
  </si>
  <si>
    <t>/CALSIM/GW1_N723/BUGW-INFLOW//1MON/L2020A/</t>
  </si>
  <si>
    <t>/CALSIM/GW1_N735/BUGW-INFLOW//1MON/L2015A/</t>
  </si>
  <si>
    <t>/CALSIM/GW1_N735/BUGW-INFLOW//1MON/L2020A/</t>
  </si>
  <si>
    <t>/CALSIM/GW1_N748/BUGW-INFLOW//1MON/L2015A/</t>
  </si>
  <si>
    <t>/CALSIM/GW1_N748/BUGW-INFLOW//1MON/L2020A/</t>
  </si>
  <si>
    <t>/CALSIM/GW1_N758/BUGW-INFLOW//1MON/L2015A/</t>
  </si>
  <si>
    <t>/CALSIM/GW1_N758/BUGW-INFLOW//1MON/L2020A/</t>
  </si>
  <si>
    <t>/CALSIM/GW1_N763/BUGW-INFLOW//1MON/L2015A/</t>
  </si>
  <si>
    <t>/CALSIM/GW1_N763/BUGW-INFLOW//1MON/L2020A/</t>
  </si>
  <si>
    <t>/CALSIM/GW1_N764/BUGW-INFLOW//1MON/L2015A/</t>
  </si>
  <si>
    <t>/CALSIM/GW1_N764/BUGW-INFLOW//1MON/L2020A/</t>
  </si>
  <si>
    <t>/CALSIM/GW1_N779/BUGW-INFLOW//1MON/L2015A/</t>
  </si>
  <si>
    <t>/CALSIM/GW1_N779/BUGW-INFLOW//1MON/L2020A/</t>
  </si>
  <si>
    <t>/CALSIM/GW1_N780/BUGW-INFLOW//1MON/L2015A/</t>
  </si>
  <si>
    <t>/CALSIM/GW1_N780/BUGW-INFLOW//1MON/L2020A/</t>
  </si>
  <si>
    <t>/CALSIM/GW1_N793/BUGW-INFLOW//1MON/L2015A/</t>
  </si>
  <si>
    <t>/CALSIM/GW1_N793/BUGW-INFLOW//1MON/L2020A/</t>
  </si>
  <si>
    <t>/CALSIM/GW1_N806/BUGW-INFLOW//1MON/L2015A/</t>
  </si>
  <si>
    <t>/CALSIM/GW1_N806/BUGW-INFLOW//1MON/L2020A/</t>
  </si>
  <si>
    <t>/CALSIM/GW1_N813/BUGW-INFLOW//1MON/L2015A/</t>
  </si>
  <si>
    <t>/CALSIM/GW1_N813/BUGW-INFLOW//1MON/L2020A/</t>
  </si>
  <si>
    <t>/CALSIM/GW1_N814/BUGW-INFLOW//1MON/L2015A/</t>
  </si>
  <si>
    <t>/CALSIM/GW1_N814/BUGW-INFLOW//1MON/L2020A/</t>
  </si>
  <si>
    <t>/CALSIM/GW1_N837/BUGW-INFLOW//1MON/L2015A/</t>
  </si>
  <si>
    <t>/CALSIM/GW1_N837/BUGW-INFLOW//1MON/L2020A/</t>
  </si>
  <si>
    <t>/CALSIM/GW1_N838/BUGW-INFLOW//1MON/L2015A/</t>
  </si>
  <si>
    <t>/CALSIM/GW1_N838/BUGW-INFLOW//1MON/L2020A/</t>
  </si>
  <si>
    <t>/CALSIM/GW1_N839/BUGW-INFLOW//1MON/L2015A/</t>
  </si>
  <si>
    <t>/CALSIM/GW1_N839/BUGW-INFLOW//1MON/L2020A/</t>
  </si>
  <si>
    <t>/CALSIM/GW1_N851/BUGW-INFLOW//1MON/L2015A/</t>
  </si>
  <si>
    <t>/CALSIM/GW1_N851/BUGW-INFLOW//1MON/L2020A/</t>
  </si>
  <si>
    <t>/CALSIM/GW1_N852/BUGW-INFLOW//1MON/L2015A/</t>
  </si>
  <si>
    <t>/CALSIM/GW1_N852/BUGW-INFLOW//1MON/L2020A/</t>
  </si>
  <si>
    <t>/CALSIM/GW1_N853/BUGW-INFLOW//1MON/L2015A/</t>
  </si>
  <si>
    <t>/CALSIM/GW1_N853/BUGW-INFLOW//1MON/L2020A/</t>
  </si>
  <si>
    <t>/CALSIM/GW1_N861/BUGW-INFLOW//1MON/L2015A/</t>
  </si>
  <si>
    <t>/CALSIM/GW1_N861/BUGW-INFLOW//1MON/L2020A/</t>
  </si>
  <si>
    <t>/CALSIM/GW1_N864/BUGW-INFLOW//1MON/L2015A/</t>
  </si>
  <si>
    <t>/CALSIM/GW1_N864/BUGW-INFLOW//1MON/L2020A/</t>
  </si>
  <si>
    <t>/CALSIM/GW1_N881/BUGW-INFLOW//1MON/L2015A/</t>
  </si>
  <si>
    <t>/CALSIM/GW1_N881/BUGW-INFLOW//1MON/L2020A/</t>
  </si>
  <si>
    <t>/CALSIM/GW1_N887/BUGW-INFLOW//1MON/L2015A/</t>
  </si>
  <si>
    <t>/CALSIM/GW1_N887/BUGW-INFLOW//1MON/L2020A/</t>
  </si>
  <si>
    <t>/CALSIM/GW1_N901/BUGW-INFLOW//1MON/L2015A/</t>
  </si>
  <si>
    <t>/CALSIM/GW1_N901/BUGW-INFLOW//1MON/L2020A/</t>
  </si>
  <si>
    <t>/CALSIM/GW1_N902/BUGW-INFLOW//1MON/L2015A/</t>
  </si>
  <si>
    <t>/CALSIM/GW1_N902/BUGW-INFLOW//1MON/L2020A/</t>
  </si>
  <si>
    <t>/CALSIM/GW1_N917/BUGW-INFLOW//1MON/L2015A/</t>
  </si>
  <si>
    <t>/CALSIM/GW1_N917/BUGW-INFLOW//1MON/L2020A/</t>
  </si>
  <si>
    <t>/CALSIM/GW1_N918/BUGW-INFLOW//1MON/L2015A/</t>
  </si>
  <si>
    <t>/CALSIM/GW1_N918/BUGW-INFLOW//1MON/L2020A/</t>
  </si>
  <si>
    <t>/CALSIM/GW1_N935/BUGW-INFLOW//1MON/L2015A/</t>
  </si>
  <si>
    <t>/CALSIM/GW1_N935/BUGW-INFLOW//1MON/L2020A/</t>
  </si>
  <si>
    <t>/CALSIM/GW1_N936/BUGW-INFLOW//1MON/L2015A/</t>
  </si>
  <si>
    <t>/CALSIM/GW1_N936/BUGW-INFLOW//1MON/L2020A/</t>
  </si>
  <si>
    <t>/CALSIM/GW1_N944/BUGW-INFLOW//1MON/L2015A/</t>
  </si>
  <si>
    <t>/CALSIM/GW1_N944/BUGW-INFLOW//1MON/L2020A/</t>
  </si>
  <si>
    <t>/CALSIM/GW1_N952/BUGW-INFLOW//1MON/L2015A/</t>
  </si>
  <si>
    <t>/CALSIM/GW1_N952/BUGW-INFLOW//1MON/L2020A/</t>
  </si>
  <si>
    <t>/CALSIM/GW1_N960/BUGW-INFLOW//1MON/L2015A/</t>
  </si>
  <si>
    <t>/CALSIM/GW1_N960/BUGW-INFLOW//1MON/L2020A/</t>
  </si>
  <si>
    <t>/CALSIM/GW1_N975/BUGW-INFLOW//1MON/L2015A/</t>
  </si>
  <si>
    <t>/CALSIM/GW1_N975/BUGW-INFLOW//1MON/L2020A/</t>
  </si>
  <si>
    <t>/CALSIM/GW1_N976/BUGW-INFLOW//1MON/L2015A/</t>
  </si>
  <si>
    <t>/CALSIM/GW1_N976/BUGW-INFLOW//1MON/L2020A/</t>
  </si>
  <si>
    <t>/CALSIM/GW1_N988/BUGW-INFLOW//1MON/L2015A/</t>
  </si>
  <si>
    <t>/CALSIM/GW1_N988/BUGW-INFLOW//1MON/L2020A/</t>
  </si>
  <si>
    <t>/CALSIM/GW1_N1003/BUGW-INFLOW//1MON/L2015A/</t>
  </si>
  <si>
    <t>/CALSIM/GW1_N1003/BUGW-INFLOW//1MON/L2020A/</t>
  </si>
  <si>
    <t>/CALSIM/GW1_N1004/BUGW-INFLOW//1MON/L2015A/</t>
  </si>
  <si>
    <t>/CALSIM/GW1_N1004/BUGW-INFLOW//1MON/L2020A/</t>
  </si>
  <si>
    <t>/CALSIM/GW1_N1005/BUGW-INFLOW//1MON/L2015A/</t>
  </si>
  <si>
    <t>/CALSIM/GW1_N1005/BUGW-INFLOW//1MON/L2020A/</t>
  </si>
  <si>
    <t>/CALSIM/GW1_N1006/BUGW-INFLOW//1MON/L2015A/</t>
  </si>
  <si>
    <t>/CALSIM/GW1_N1006/BUGW-INFLOW//1MON/L2020A/</t>
  </si>
  <si>
    <t>/CALSIM/GW1_N1007/BUGW-INFLOW//1MON/L2015A/</t>
  </si>
  <si>
    <t>/CALSIM/GW1_N1007/BUGW-INFLOW//1MON/L2020A/</t>
  </si>
  <si>
    <t>/CALSIM/GW1_N1017/BUGW-INFLOW//1MON/L2015A/</t>
  </si>
  <si>
    <t>/CALSIM/GW1_N1017/BUGW-INFLOW//1MON/L2020A/</t>
  </si>
  <si>
    <t>/CALSIM/GW1_N1034/BUGW-INFLOW//1MON/L2015A/</t>
  </si>
  <si>
    <t>/CALSIM/GW1_N1034/BUGW-INFLOW//1MON/L2020A/</t>
  </si>
  <si>
    <t>/CALSIM/GW1_N1035/BUGW-INFLOW//1MON/L2015A/</t>
  </si>
  <si>
    <t>/CALSIM/GW1_N1035/BUGW-INFLOW//1MON/L2020A/</t>
  </si>
  <si>
    <t>/CALSIM/GW1_N1036/BUGW-INFLOW//1MON/L2015A/</t>
  </si>
  <si>
    <t>/CALSIM/GW1_N1036/BUGW-INFLOW//1MON/L2020A/</t>
  </si>
  <si>
    <t>/CALSIM/GW1_N1051/BUGW-INFLOW//1MON/L2015A/</t>
  </si>
  <si>
    <t>/CALSIM/GW1_N1051/BUGW-INFLOW//1MON/L2020A/</t>
  </si>
  <si>
    <t>/CALSIM/GW1_N1052/BUGW-INFLOW//1MON/L2015A/</t>
  </si>
  <si>
    <t>/CALSIM/GW1_N1052/BUGW-INFLOW//1MON/L2020A/</t>
  </si>
  <si>
    <t>/CALSIM/GW1_N1061/BUGW-INFLOW//1MON/L2015A/</t>
  </si>
  <si>
    <t>/CALSIM/GW1_N1061/BUGW-INFLOW//1MON/L2020A/</t>
  </si>
  <si>
    <t>/CALSIM/GW1_N1078/BUGW-INFLOW//1MON/L2015A/</t>
  </si>
  <si>
    <t>/CALSIM/GW1_N1078/BUGW-INFLOW//1MON/L2020A/</t>
  </si>
  <si>
    <t>/CALSIM/GW1_N1083/BUGW-INFLOW//1MON/L2015A/</t>
  </si>
  <si>
    <t>/CALSIM/GW1_N1083/BUGW-INFLOW//1MON/L2020A/</t>
  </si>
  <si>
    <t>/CALSIM/GW1_N1086/BUGW-INFLOW//1MON/L2015A/</t>
  </si>
  <si>
    <t>/CALSIM/GW1_N1086/BUGW-INFLOW//1MON/L2020A/</t>
  </si>
  <si>
    <t>/CALSIM/GW1_N1093/BUGW-INFLOW//1MON/L2015A/</t>
  </si>
  <si>
    <t>/CALSIM/GW1_N1093/BUGW-INFLOW//1MON/L2020A/</t>
  </si>
  <si>
    <t>/CALSIM/GW1_N1097/BUGW-INFLOW//1MON/L2015A/</t>
  </si>
  <si>
    <t>/CALSIM/GW1_N1097/BUGW-INFLOW//1MON/L2020A/</t>
  </si>
  <si>
    <t>/CALSIM/GW1_N1103/BUGW-INFLOW//1MON/L2015A/</t>
  </si>
  <si>
    <t>/CALSIM/GW1_N1103/BUGW-INFLOW//1MON/L2020A/</t>
  </si>
  <si>
    <t>/CALSIM/GW1_N1104/BUGW-INFLOW//1MON/L2015A/</t>
  </si>
  <si>
    <t>/CALSIM/GW1_N1104/BUGW-INFLOW//1MON/L2020A/</t>
  </si>
  <si>
    <t>/CALSIM/GW1_N1112/BUGW-INFLOW//1MON/L2015A/</t>
  </si>
  <si>
    <t>/CALSIM/GW1_N1112/BUGW-INFLOW//1MON/L2020A/</t>
  </si>
  <si>
    <t>/CALSIM/GW1_N1113/BUGW-INFLOW//1MON/L2015A/</t>
  </si>
  <si>
    <t>/CALSIM/GW1_N1113/BUGW-INFLOW//1MON/L2020A/</t>
  </si>
  <si>
    <t>/CALSIM/GW1_N1136/BUGW-INFLOW//1MON/L2015A/</t>
  </si>
  <si>
    <t>/CALSIM/GW1_N1136/BUGW-INFLOW//1MON/L2020A/</t>
  </si>
  <si>
    <t>/CALSIM/GW1_N1151/BUGW-INFLOW//1MON/L2015A/</t>
  </si>
  <si>
    <t>/CALSIM/GW1_N1151/BUGW-INFLOW//1MON/L2020A/</t>
  </si>
  <si>
    <t>/CALSIM/GW1_N1152/BUGW-INFLOW//1MON/L2015A/</t>
  </si>
  <si>
    <t>/CALSIM/GW1_N1152/BUGW-INFLOW//1MON/L2020A/</t>
  </si>
  <si>
    <t>/CALSIM/GW1_N1174/BUGW-INFLOW//1MON/L2015A/</t>
  </si>
  <si>
    <t>/CALSIM/GW1_N1174/BUGW-INFLOW//1MON/L2020A/</t>
  </si>
  <si>
    <t>/CALSIM/GW1_N1186/BUGW-INFLOW//1MON/L2015A/</t>
  </si>
  <si>
    <t>/CALSIM/GW1_N1186/BUGW-INFLOW//1MON/L2020A/</t>
  </si>
  <si>
    <t>/CALSIM/GW1_N1187/BUGW-INFLOW//1MON/L2015A/</t>
  </si>
  <si>
    <t>/CALSIM/GW1_N1187/BUGW-INFLOW//1MON/L2020A/</t>
  </si>
  <si>
    <t>/CALSIM/GW1_N1194/BUGW-INFLOW//1MON/L2015A/</t>
  </si>
  <si>
    <t>/CALSIM/GW1_N1194/BUGW-INFLOW//1MON/L2020A/</t>
  </si>
  <si>
    <t>/CALSIM/GW1_N1207/BUGW-INFLOW//1MON/L2015A/</t>
  </si>
  <si>
    <t>/CALSIM/GW1_N1207/BUGW-INFLOW//1MON/L2020A/</t>
  </si>
  <si>
    <t>/CALSIM/GW1_N1208/BUGW-INFLOW//1MON/L2015A/</t>
  </si>
  <si>
    <t>/CALSIM/GW1_N1208/BUGW-INFLOW//1MON/L2020A/</t>
  </si>
  <si>
    <t>/CALSIM/GW1_N1209/BUGW-INFLOW//1MON/L2015A/</t>
  </si>
  <si>
    <t>/CALSIM/GW1_N1209/BUGW-INFLOW//1MON/L2020A/</t>
  </si>
  <si>
    <t>/CALSIM/GW1_N1210/BUGW-INFLOW//1MON/L2015A/</t>
  </si>
  <si>
    <t>/CALSIM/GW1_N1210/BUGW-INFLOW//1MON/L2020A/</t>
  </si>
  <si>
    <t>/CALSIM/GW1_N1212/BUGW-INFLOW//1MON/L2015A/</t>
  </si>
  <si>
    <t>/CALSIM/GW1_N1212/BUGW-INFLOW//1MON/L2020A/</t>
  </si>
  <si>
    <t>/CALSIM/GW1_N1213/BUGW-INFLOW//1MON/L2015A/</t>
  </si>
  <si>
    <t>/CALSIM/GW1_N1213/BUGW-INFLOW//1MON/L2020A/</t>
  </si>
  <si>
    <t>/CALSIM/GW1_N1214/BUGW-INFLOW//1MON/L2015A/</t>
  </si>
  <si>
    <t>/CALSIM/GW1_N1214/BUGW-INFLOW//1MON/L2020A/</t>
  </si>
  <si>
    <t>/CALSIM/GW1_N1227/BUGW-INFLOW//1MON/L2015A/</t>
  </si>
  <si>
    <t>/CALSIM/GW1_N1227/BUGW-INFLOW//1MON/L2020A/</t>
  </si>
  <si>
    <t>/CALSIM/GW1_N1228/BUGW-INFLOW//1MON/L2015A/</t>
  </si>
  <si>
    <t>/CALSIM/GW1_N1228/BUGW-INFLOW//1MON/L2020A/</t>
  </si>
  <si>
    <t>/CALSIM/GW1_N1243/BUGW-INFLOW//1MON/L2015A/</t>
  </si>
  <si>
    <t>/CALSIM/GW1_N1243/BUGW-INFLOW//1MON/L2020A/</t>
  </si>
  <si>
    <t>/CALSIM/GW1_N1244/BUGW-INFLOW//1MON/L2015A/</t>
  </si>
  <si>
    <t>/CALSIM/GW1_N1244/BUGW-INFLOW//1MON/L2020A/</t>
  </si>
  <si>
    <t>/CALSIM/GW1_N1253/BUGW-INFLOW//1MON/L2015A/</t>
  </si>
  <si>
    <t>/CALSIM/GW1_N1253/BUGW-INFLOW//1MON/L2020A/</t>
  </si>
  <si>
    <t>/CALSIM/GW1_N1255/BUGW-INFLOW//1MON/L2015A/</t>
  </si>
  <si>
    <t>/CALSIM/GW1_N1255/BUGW-INFLOW//1MON/L2020A/</t>
  </si>
  <si>
    <t>/CALSIM/GW1_N1266/BUGW-INFLOW//1MON/L2015A/</t>
  </si>
  <si>
    <t>/CALSIM/GW1_N1266/BUGW-INFLOW//1MON/L2020A/</t>
  </si>
  <si>
    <t>/CALSIM/GW1_N1267/BUGW-INFLOW//1MON/L2015A/</t>
  </si>
  <si>
    <t>/CALSIM/GW1_N1267/BUGW-INFLOW//1MON/L2020A/</t>
  </si>
  <si>
    <t>/CALSIM/GW1_N1279/BUGW-INFLOW//1MON/L2015A/</t>
  </si>
  <si>
    <t>/CALSIM/GW1_N1279/BUGW-INFLOW//1MON/L2020A/</t>
  </si>
  <si>
    <t>/CALSIM/GW1_N1280/BUGW-INFLOW//1MON/L2015A/</t>
  </si>
  <si>
    <t>/CALSIM/GW1_N1280/BUGW-INFLOW//1MON/L2020A/</t>
  </si>
  <si>
    <t>/CALSIM/GW1_N1292/BUGW-INFLOW//1MON/L2015A/</t>
  </si>
  <si>
    <t>/CALSIM/GW1_N1292/BUGW-INFLOW//1MON/L2020A/</t>
  </si>
  <si>
    <t>/CALSIM/GW1_N1293/BUGW-INFLOW//1MON/L2015A/</t>
  </si>
  <si>
    <t>/CALSIM/GW1_N1293/BUGW-INFLOW//1MON/L2020A/</t>
  </si>
  <si>
    <t>/CALSIM/GW1_N1305/BUGW-INFLOW//1MON/L2015A/</t>
  </si>
  <si>
    <t>/CALSIM/GW1_N1305/BUGW-INFLOW//1MON/L2020A/</t>
  </si>
  <si>
    <t>/CALSIM/GW1_N1316/BUGW-INFLOW//1MON/L2015A/</t>
  </si>
  <si>
    <t>/CALSIM/GW1_N1316/BUGW-INFLOW//1MON/L2020A/</t>
  </si>
  <si>
    <t>/CALSIM/GW1_N1318/BUGW-INFLOW//1MON/L2015A/</t>
  </si>
  <si>
    <t>/CALSIM/GW1_N1318/BUGW-INFLOW//1MON/L2020A/</t>
  </si>
  <si>
    <t>/CALSIM/GW1_N1329/BUGW-INFLOW//1MON/L2015A/</t>
  </si>
  <si>
    <t>/CALSIM/GW1_N1329/BUGW-INFLOW//1MON/L2020A/</t>
  </si>
  <si>
    <t>/CALSIM/GW1_N1338/BUGW-INFLOW//1MON/L2015A/</t>
  </si>
  <si>
    <t>/CALSIM/GW1_N1338/BUGW-INFLOW//1MON/L2020A/</t>
  </si>
  <si>
    <t>/CALSIM/GW1_N1339/BUGW-INFLOW//1MON/L2015A/</t>
  </si>
  <si>
    <t>/CALSIM/GW1_N1339/BUGW-INFLOW//1MON/L2020A/</t>
  </si>
  <si>
    <t>/CALSIM/GW1_N1349/BUGW-INFLOW//1MON/L2015A/</t>
  </si>
  <si>
    <t>/CALSIM/GW1_N1349/BUGW-INFLOW//1MON/L2020A/</t>
  </si>
  <si>
    <t>/CALSIM/GW1_N1359/BUGW-INFLOW//1MON/L2015A/</t>
  </si>
  <si>
    <t>/CALSIM/GW1_N1359/BUGW-INFLOW//1MON/L2020A/</t>
  </si>
  <si>
    <t>/CALSIM/GW1_N1360/BUGW-INFLOW//1MON/L2015A/</t>
  </si>
  <si>
    <t>/CALSIM/GW1_N1360/BUGW-INFLOW//1MON/L2020A/</t>
  </si>
  <si>
    <t>/CALSIM/GW1_N1368/BUGW-INFLOW//1MON/L2015A/</t>
  </si>
  <si>
    <t>/CALSIM/GW1_N1368/BUGW-INFLOW//1MON/L2020A/</t>
  </si>
  <si>
    <t>/CALSIM/GW1_N1371/BUGW-INFLOW//1MON/L2015A/</t>
  </si>
  <si>
    <t>/CALSIM/GW1_N1371/BUGW-INFLOW//1MON/L2020A/</t>
  </si>
  <si>
    <t>/CALSIM/GW1_N1374/BUGW-INFLOW//1MON/L2015A/</t>
  </si>
  <si>
    <t>/CALSIM/GW1_N1374/BUGW-INFLOW//1MON/L2020A/</t>
  </si>
  <si>
    <t>/CALSIM/GW1_N1380/BUGW-INFLOW//1MON/L2015A/</t>
  </si>
  <si>
    <t>/CALSIM/GW1_N1380/BUGW-INFLOW//1MON/L2020A/</t>
  </si>
  <si>
    <t>/CALSIM/GW1_N1381/BUGW-INFLOW//1MON/L2015A/</t>
  </si>
  <si>
    <t>/CALSIM/GW1_N1381/BUGW-INFLOW//1MON/L2020A/</t>
  </si>
  <si>
    <t>/CALSIM/GW1_N1382/BUGW-INFLOW//1MON/L2015A/</t>
  </si>
  <si>
    <t>/CALSIM/GW1_N1382/BUGW-INFLOW//1MON/L2020A/</t>
  </si>
  <si>
    <t>/CALSIM/GW1_N1385/BUGW-INFLOW//1MON/L2015A/</t>
  </si>
  <si>
    <t>/CALSIM/GW1_N1385/BUGW-INFLOW//1MON/L2020A/</t>
  </si>
  <si>
    <t>/CALSIM/GW1_N1386/BUGW-INFLOW//1MON/L2015A/</t>
  </si>
  <si>
    <t>/CALSIM/GW1_N1386/BUGW-INFLOW//1MON/L2020A/</t>
  </si>
  <si>
    <t>/CALSIM/GW1_N1389/BUGW-INFLOW//1MON/L2015A/</t>
  </si>
  <si>
    <t>/CALSIM/GW1_N1389/BUGW-INFLOW//1MON/L2020A/</t>
  </si>
  <si>
    <t>/CALSIM/GW1_N1390/BUGW-INFLOW//1MON/L2015A/</t>
  </si>
  <si>
    <t>/CALSIM/GW1_N1390/BUGW-INFLOW//1MON/L2020A/</t>
  </si>
  <si>
    <t>/CALSIM/GW1_N1391/BUGW-INFLOW//1MON/L2015A/</t>
  </si>
  <si>
    <t>/CALSIM/GW1_N1391/BUGW-INFLOW//1MON/L2020A/</t>
  </si>
  <si>
    <t>/CALSIM/GW1_N1392/BUGW-INFLOW//1MON/L2015A/</t>
  </si>
  <si>
    <t>/CALSIM/GW1_N1392/BUGW-INFLOW//1MON/L2020A/</t>
  </si>
  <si>
    <t>/CALSIM/GW1_N1393/BUGW-INFLOW//1MON/L2015A/</t>
  </si>
  <si>
    <t>/CALSIM/GW1_N1393/BUGW-INFLOW//1MON/L2020A/</t>
  </si>
  <si>
    <t>LTOhis_ExteriorElement_DP_mg</t>
  </si>
  <si>
    <t>IDCOutputEE.dss</t>
  </si>
  <si>
    <t>/CALSIM/DP_EA_02/DEEP-PERCOLATION//1MON/L2020A/</t>
  </si>
  <si>
    <t>/CALSIM/DP_EA_03/DEEP-PERCOLATION//1MON/L2020A/</t>
  </si>
  <si>
    <t>/CALSIM/DP_EA_05/DEEP-PERCOLATION//1MON/L2020A/</t>
  </si>
  <si>
    <t>/CALSIM/DP_EA_06/DEEP-PERCOLATION//1MON/L2020A/</t>
  </si>
  <si>
    <t>/CALSIM/DP_EA_15S/DEEP-PERCOLATION//1MON/L2020A/</t>
  </si>
  <si>
    <t>/CALSIM/DP_EA_50/DEEP-PERCOLATION//1MON/L2020A/</t>
  </si>
  <si>
    <t>/CALSIM/DP_EA_60N/DEEP-PERCOLATION//1MON/L2020A/</t>
  </si>
  <si>
    <t>/CALSIM/DP_EA_60S/DEEP-PERCOLATION//1MON/L2020A/</t>
  </si>
  <si>
    <t>/CALSIM/DP_EA_61/DEEP-PERCOLATION//1MON/L2020A/</t>
  </si>
  <si>
    <t>/CALSIM/DP_EA_62/DEEP-PERCOLATION//1MON/L2020A/</t>
  </si>
  <si>
    <t>/CALSIM/DP_EA_63/DEEP-PERCOLATION//1MON/L2020A/</t>
  </si>
  <si>
    <t>/CALSIM/DP_EA_64/DEEP-PERCOLATION//1MON/L2020A/</t>
  </si>
  <si>
    <t>/CALSIM/DP_EA_71/DEEP-PERCOLATION//1MON/L2020A/</t>
  </si>
  <si>
    <t>/CALSIM/DP_EA_73/DEEP-PERCOLATION//1MON/L2020A/</t>
  </si>
  <si>
    <t>/CALSIM/DP_EA_90/DEEP-PERCOLATION//1MON/L2020A/</t>
  </si>
  <si>
    <t>/CALSIM/DP_EA_DETAW/DEEP-PERCOLATION//1MON/L2020A/</t>
  </si>
  <si>
    <t>/CALSIM/DP_EA_NBAY/DEEP-PERCOLATION//1MON/L2020A/</t>
  </si>
  <si>
    <t>LTOhis_DeltaSEEP_IRR_DRN_L2015A_cp</t>
  </si>
  <si>
    <t>DCD_island_month.dss</t>
  </si>
  <si>
    <t>/CALSIM/DRN_50_PA2/DRN//1MON/L2015A/</t>
  </si>
  <si>
    <t>/CALSIM/DRN_50_PA2/DRN//1MON/L2020A/</t>
  </si>
  <si>
    <t>/CALSIM/DRN_MOK/DRN//1MON/L2015A/</t>
  </si>
  <si>
    <t>/CALSIM/DRN_MOK/DRN//1MON/L2020A/</t>
  </si>
  <si>
    <t>/CALSIM/DRN_OMR/DRN//1MON/L2015A/</t>
  </si>
  <si>
    <t>/CALSIM/DRN_OMR/DRN//1MON/L2020A/</t>
  </si>
  <si>
    <t>/CALSIM/DRN_SAC_NORTH/DRN//1MON/L2015A/</t>
  </si>
  <si>
    <t>/CALSIM/DRN_SAC_NORTH/DRN//1MON/L2020A/</t>
  </si>
  <si>
    <t>/CALSIM/DRN_SAC_SOUTH/DRN//1MON/L2015A/</t>
  </si>
  <si>
    <t>/CALSIM/DRN_SAC_SOUTH/DRN//1MON/L2020A/</t>
  </si>
  <si>
    <t>/CALSIM/DRN_SAC_WEST/DRN//1MON/L2015A/</t>
  </si>
  <si>
    <t>/CALSIM/DRN_SAC_WEST/DRN//1MON/L2020A/</t>
  </si>
  <si>
    <t>/CALSIM/DRN_SJR_EAST/DRN//1MON/L2015A/</t>
  </si>
  <si>
    <t>/CALSIM/DRN_SJR_EAST/DRN//1MON/L2020A/</t>
  </si>
  <si>
    <t>/CALSIM/DRN_SJR_WEST/DRN//1MON/L2015A/</t>
  </si>
  <si>
    <t>/CALSIM/DRN_SJR_WEST/DRN//1MON/L2020A/</t>
  </si>
  <si>
    <t>/CALSIM/IRR_50_PA2/IRR//1MON/L2015A/</t>
  </si>
  <si>
    <t>/CALSIM/IRR_50_PA2/IRR//1MON/L2020A/</t>
  </si>
  <si>
    <t>/CALSIM/IRR_MOK/IRR//1MON/L2015A/</t>
  </si>
  <si>
    <t>/CALSIM/IRR_MOK/IRR//1MON/L2020A/</t>
  </si>
  <si>
    <t>/CALSIM/IRR_OMR/IRR//1MON/L2015A/</t>
  </si>
  <si>
    <t>/CALSIM/IRR_OMR/IRR//1MON/L2020A/</t>
  </si>
  <si>
    <t>/CALSIM/IRR_SAC_NORTH/IRR//1MON/L2015A/</t>
  </si>
  <si>
    <t>/CALSIM/IRR_SAC_NORTH/IRR//1MON/L2020A/</t>
  </si>
  <si>
    <t>/CALSIM/IRR_SAC_SOUTH/IRR//1MON/L2015A/</t>
  </si>
  <si>
    <t>/CALSIM/IRR_SAC_SOUTH/IRR//1MON/L2020A/</t>
  </si>
  <si>
    <t>/CALSIM/IRR_SAC_WEST/IRR//1MON/L2015A/</t>
  </si>
  <si>
    <t>/CALSIM/IRR_SAC_WEST/IRR//1MON/L2020A/</t>
  </si>
  <si>
    <t>/CALSIM/IRR_SJR_EAST/IRR//1MON/L2015A/</t>
  </si>
  <si>
    <t>/CALSIM/IRR_SJR_EAST/IRR//1MON/L2020A/</t>
  </si>
  <si>
    <t>/CALSIM/IRR_SJR_WEST/IRR//1MON/L2015A/</t>
  </si>
  <si>
    <t>/CALSIM/IRR_SJR_WEST/IRR//1MON/L2020A/</t>
  </si>
  <si>
    <t>/CALSIM/SEEP_50_PA2/SEEP//1MON/L2015A/</t>
  </si>
  <si>
    <t>/CALSIM/SEEP_50_PA2/SEEP//1MON/L2020A/</t>
  </si>
  <si>
    <t>/CALSIM/SEEP_MOK/SEEP//1MON/L2015A/</t>
  </si>
  <si>
    <t>/CALSIM/SEEP_MOK/SEEP//1MON/L2020A/</t>
  </si>
  <si>
    <t>/CALSIM/SEEP_OMR/SEEP//1MON/L2015A/</t>
  </si>
  <si>
    <t>/CALSIM/SEEP_OMR/SEEP//1MON/L2020A/</t>
  </si>
  <si>
    <t>/CALSIM/SEEP_SAC_NORTH/SEEP//1MON/L2015A/</t>
  </si>
  <si>
    <t>/CALSIM/SEEP_SAC_NORTH/SEEP//1MON/L2020A/</t>
  </si>
  <si>
    <t>/CALSIM/SEEP_SAC_SOUTH/SEEP//1MON/L2015A/</t>
  </si>
  <si>
    <t>/CALSIM/SEEP_SAC_SOUTH/SEEP//1MON/L2020A/</t>
  </si>
  <si>
    <t>/CALSIM/SEEP_SAC_WEST/SEEP//1MON/L2015A/</t>
  </si>
  <si>
    <t>/CALSIM/SEEP_SAC_WEST/SEEP//1MON/L2020A/</t>
  </si>
  <si>
    <t>/CALSIM/SEEP_SJR_EAST/SEEP//1MON/L2015A/</t>
  </si>
  <si>
    <t>/CALSIM/SEEP_SJR_EAST/SEEP//1MON/L2020A/</t>
  </si>
  <si>
    <t>/CALSIM/SEEP_SJR_WEST/SEEP//1MON/L2015A/</t>
  </si>
  <si>
    <t>/CALSIM/SEEP_SJR_WEST/SEEP//1MON/L2020A/</t>
  </si>
  <si>
    <t>LTOhis_DeltaDCD_DP_mg</t>
  </si>
  <si>
    <t>/CALSIM/DP_DELTA_DCD/DP-FLOW//1MON/L2020A/</t>
  </si>
  <si>
    <t>/CALSIM/DP_WBA50_DCD/DP-FLOW//1MON/L2020A/</t>
  </si>
  <si>
    <t>LTOhis_DeltaDCD_GW_mg</t>
  </si>
  <si>
    <t>/CALSIM/GW_DELTA_DCD/GW-FLOW//1MON/L2020A/</t>
  </si>
  <si>
    <t>/CALSIM/GW_WBA50_DCD/GW-FLOW//1MON/L2020A/</t>
  </si>
  <si>
    <t>LTOhis_CS3SV_SelectedOther_Oct2021_2022cp</t>
  </si>
  <si>
    <t>DCR2023_SV_Danube_Hist_v3.dss</t>
  </si>
  <si>
    <t>/CALSIM/CL_DGR/CONTRACT-LIMIT//1MON/L2020A/</t>
  </si>
  <si>
    <t>/CALSIM/WR_DGR/WATER-RIGHT//1MON/L2020A/</t>
  </si>
  <si>
    <t>LTOhis_CS3SV_SelectedOther_cp</t>
  </si>
  <si>
    <t>/CALSIM/APR_FORECAST_GOODYEAR_B120/FLOW//1MON/L2020A/</t>
  </si>
  <si>
    <t>/CALSIM/APR_FORECAST_SMARTVILLE_B120/FLOW//1MON/L2020A/</t>
  </si>
  <si>
    <t>/CALSIM/AW_EDCOCA_NA1/AG-DEMAND//1MON/L2020A/</t>
  </si>
  <si>
    <t>/CALSIM/AW_EDCOCA_NA2/AG-DEMAND//1MON/L2020A/</t>
  </si>
  <si>
    <t>/CALSIM/AW_EDCOCA_NA3/AG-DEMAND//1MON/L2020A/</t>
  </si>
  <si>
    <t>/CALSIM/AW_ELDID_NA1/AG-DEMAND//1MON/L2020A/</t>
  </si>
  <si>
    <t>/CALSIM/AW_ELDID_NA2/AG-DEMAND//1MON/L2020A/</t>
  </si>
  <si>
    <t>/CALSIM/AW_ELDID_NA3/AG-DEMAND//1MON/L2020A/</t>
  </si>
  <si>
    <t>/CALSIM/AW_GDPUD_NA/AG-DEMAND//1MON/L2020A/</t>
  </si>
  <si>
    <t>/CALSIM/AW_NIDBR_NA/APPLIED-WATER//1MON/L2020A/</t>
  </si>
  <si>
    <t>/CALSIM/AW_NIDDC_NA1/APPLIED-WATER//1MON/L2020A/</t>
  </si>
  <si>
    <t>/CALSIM/AW_NIDDC_NA2/APPLIED-WATER//1MON/L2020A/</t>
  </si>
  <si>
    <t>/CALSIM/AW_NIDDC_NA3/APPLIED-WATER//1MON/L2020A/</t>
  </si>
  <si>
    <t>/CALSIM/CAP_C_CAA238_CVC_F/CAPACITY//1MON/L2020A/</t>
  </si>
  <si>
    <t>/CALSIM/CAP_C_CAA238_CVC_R/CAPACITY//1MON/L2020A/</t>
  </si>
  <si>
    <t>/CALSIM/COSMA_MIDMD/COSMA-DEMAND//1MON/L2020A/</t>
  </si>
  <si>
    <t>COSMA_MIDMD</t>
  </si>
  <si>
    <t>COSMA-DEMAND</t>
  </si>
  <si>
    <t>/CALSIM/C_BRR050_NID_SV/CHANNEL//1MON/L2020A/</t>
  </si>
  <si>
    <t>/CALSIM/C_BRR050_PGE_SV/CHANNEL//1MON/L2020A/</t>
  </si>
  <si>
    <t>/CALSIM/C_BRR050_SV/CHANNEL//1MON/L2020A/</t>
  </si>
  <si>
    <t>/CALSIM/C_CBC000_SV/CHANNEL//1MON/L2020A/</t>
  </si>
  <si>
    <t>/CALSIM/C_CBD001HIST/FLOW//1MON/L2020A/</t>
  </si>
  <si>
    <t>/CALSIM/C_CMBIE_SV/CHANNEL//1MON/L2020A/</t>
  </si>
  <si>
    <t>/CALSIM/C_CMP014_SV/CHANNEL//1MON/L2020A/</t>
  </si>
  <si>
    <t>/CALSIM/C_DER001_SV/CHANNEL//1MON/L2020A/</t>
  </si>
  <si>
    <t>/CALSIM/C_FTR074_SV/CHANNEL//1MON/L2020A/</t>
  </si>
  <si>
    <t>/CALSIM/C_JNKSN_SV/CHANNEL//1MON/L2020A/</t>
  </si>
  <si>
    <t>/CALSIM/C_KLR005HIST/FLOW//1MON/L2020A/</t>
  </si>
  <si>
    <t>/CALSIM/C_KRT000_SV/CHANNEL//1MON/L2020A/</t>
  </si>
  <si>
    <t>/CALSIM/C_LBC010_SV/CHANNEL//1MON/L2020A/</t>
  </si>
  <si>
    <t>/CALSIM/C_MERLC_SV/CHANNEL//1MON/L2020A/</t>
  </si>
  <si>
    <t>/CALSIM/C_MFY044_SV/CHANNEL//1MON/L2020A/</t>
  </si>
  <si>
    <t>/CALSIM/C_MOK079_SV/CHANNEL//1MON/L2020A/</t>
  </si>
  <si>
    <t>/CALSIM/C_MRM001_SV/CHANNEL//1MON/L2020A/</t>
  </si>
  <si>
    <t>/CALSIM/C_NFA016_SV/CHANNEL//1MON/L2020A/</t>
  </si>
  <si>
    <t>/CALSIM/C_NFA048_SV/CHANNEL//1MON/L2020A/</t>
  </si>
  <si>
    <t>/CALSIM/C_SFA011_SV/CHANNEL//1MON/L2020A/</t>
  </si>
  <si>
    <t>/CALSIM/C_SFY007_SV/CHANNEL//1MON/L2020A/</t>
  </si>
  <si>
    <t>/CALSIM/C_STH007_SV/CHANNEL//1MON/L2020A/</t>
  </si>
  <si>
    <t>/CALSIM/C_STS072_SV/CHANNEL//1MON/L2020A/</t>
  </si>
  <si>
    <t>/CALSIM/C_TTC002_SV/CHANNEL//1MON/L2020A/</t>
  </si>
  <si>
    <t>/CALSIM/C_TUO073_SV/CHANNEL//1MON/L2020A/</t>
  </si>
  <si>
    <t>/CALSIM/C_WLF013_SV/CHANNEL//1MON/L2020A/</t>
  </si>
  <si>
    <t>/CALSIM/C_YUB003_SV/CHANNEL//1MON/L2020A/</t>
  </si>
  <si>
    <t>/CALSIM/C_YUB006_SV/CHANNEL//1MON/L2020A/</t>
  </si>
  <si>
    <t>/CALSIM/C_YUB011_SV/CHANNEL//1MON/L2020A/</t>
  </si>
  <si>
    <t>/CALSIM/C_YUB013_SV/CHANNEL//1MON/L2020A/</t>
  </si>
  <si>
    <t>/CALSIM/C_YUB022_SV/CHANNEL//1MON/L2020A/</t>
  </si>
  <si>
    <t>/CALSIM/DAY1/VOL-FRACTION//1MON/L2020A/</t>
  </si>
  <si>
    <t>/CALSIM/DAY10/VOL-FRACTION//1MON/L2020A/</t>
  </si>
  <si>
    <t>/CALSIM/DAY11/VOL-FRACTION//1MON/L2020A/</t>
  </si>
  <si>
    <t>/CALSIM/DAY12/VOL-FRACTION//1MON/L2020A/</t>
  </si>
  <si>
    <t>/CALSIM/DAY13/VOL-FRACTION//1MON/L2020A/</t>
  </si>
  <si>
    <t>/CALSIM/DAY14/VOL-FRACTION//1MON/L2020A/</t>
  </si>
  <si>
    <t>/CALSIM/DAY15/VOL-FRACTION//1MON/L2020A/</t>
  </si>
  <si>
    <t>/CALSIM/DAY16/VOL-FRACTION//1MON/L2020A/</t>
  </si>
  <si>
    <t>/CALSIM/DAY17/VOL-FRACTION//1MON/L2020A/</t>
  </si>
  <si>
    <t>/CALSIM/DAY18/VOL-FRACTION//1MON/L2020A/</t>
  </si>
  <si>
    <t>/CALSIM/DAY19/VOL-FRACTION//1MON/L2020A/</t>
  </si>
  <si>
    <t>/CALSIM/DAY2/VOL-FRACTION//1MON/L2020A/</t>
  </si>
  <si>
    <t>/CALSIM/DAY20/VOL-FRACTION//1MON/L2020A/</t>
  </si>
  <si>
    <t>/CALSIM/DAY21/VOL-FRACTION//1MON/L2020A/</t>
  </si>
  <si>
    <t>/CALSIM/DAY22/VOL-FRACTION//1MON/L2020A/</t>
  </si>
  <si>
    <t>/CALSIM/DAY23/VOL-FRACTION//1MON/L2020A/</t>
  </si>
  <si>
    <t>/CALSIM/DAY24/VOL-FRACTION//1MON/L2020A/</t>
  </si>
  <si>
    <t>/CALSIM/DAY25/VOL-FRACTION//1MON/L2020A/</t>
  </si>
  <si>
    <t>/CALSIM/DAY26/VOL-FRACTION//1MON/L2020A/</t>
  </si>
  <si>
    <t>/CALSIM/DAY27/VOL-FRACTION//1MON/L2020A/</t>
  </si>
  <si>
    <t>/CALSIM/DAY28/VOL-FRACTION//1MON/L2020A/</t>
  </si>
  <si>
    <t>/CALSIM/DAY29/VOL-FRACTION//1MON/L2020A/</t>
  </si>
  <si>
    <t>/CALSIM/DAY3/VOL-FRACTION//1MON/L2020A/</t>
  </si>
  <si>
    <t>/CALSIM/DAY30/VOL-FRACTION//1MON/L2020A/</t>
  </si>
  <si>
    <t>/CALSIM/DAY31/VOL-FRACTION//1MON/L2020A/</t>
  </si>
  <si>
    <t>/CALSIM/DAY4/VOL-FRACTION//1MON/L2020A/</t>
  </si>
  <si>
    <t>/CALSIM/DAY5/VOL-FRACTION//1MON/L2020A/</t>
  </si>
  <si>
    <t>/CALSIM/DAY6/VOL-FRACTION//1MON/L2020A/</t>
  </si>
  <si>
    <t>/CALSIM/DAY7/VOL-FRACTION//1MON/L2020A/</t>
  </si>
  <si>
    <t>/CALSIM/DAY8/VOL-FRACTION//1MON/L2020A/</t>
  </si>
  <si>
    <t>/CALSIM/DAY9/VOL-FRACTION//1MON/L2020A/</t>
  </si>
  <si>
    <t>/CALSIM/DELTAACCRETIONFORNDOI/FLOW//1MON/L2020A/</t>
  </si>
  <si>
    <t>/CALSIM/DELTADEPLETIONFORNDOI/FLOW//1MON/L2020A/</t>
  </si>
  <si>
    <t>/CALSIM/DEM_D810_PIN/DEMAND-SWP-IN//1MON/L2020A/</t>
  </si>
  <si>
    <t>/CALSIM/DEM_D814_PIN/DEMAND-SWP-IN//1MON/L2020A/</t>
  </si>
  <si>
    <t>/CALSIM/DEM_D815_PIN/DEMAND-SWP-IN//1MON/L2020A/</t>
  </si>
  <si>
    <t>/CALSIM/DEM_D816_PLS/DEMAND-SWP-LS//1MON/L2020A/</t>
  </si>
  <si>
    <t>/CALSIM/DEM_D_CAA046_71_PA7_PIN/DEMAND-SWP-IN//1MON/L2020A/</t>
  </si>
  <si>
    <t>/CALSIM/DEM_D_CAA173_EMPIRE_PIN/DEMAND-SWP-IN//1MON/L2020A/</t>
  </si>
  <si>
    <t>/CALSIM/DEM_D_CAA181_KINGS_PIN/DEMAND-SWP-IN//1MON/L2020A/</t>
  </si>
  <si>
    <t>/CALSIM/DEM_D_CAA183_TULARE_PIN/DEMAND-SWP-IN//1MON/L2020A/</t>
  </si>
  <si>
    <t>/CALSIM/DEM_D_CAA184_DUDLEY_PIN/DEMAND-SWP-IN//1MON/L2020A/</t>
  </si>
  <si>
    <t>/CALSIM/DEM_D_CAA220_CAALOS_PLS/DEMAND-SWP-LS//1MON/L2020A/</t>
  </si>
  <si>
    <t>/CALSIM/DEM_D_CAA239_CVPRF_PRF/DEMAND-CVP-RF//1MON/L2020A/</t>
  </si>
  <si>
    <t>/CALSIM/DEM_D_CAA242_KERN_PIN/DEMAND-SWP-IN//1MON/L2020A/</t>
  </si>
  <si>
    <t>/CALSIM/DEM_D_CAA278_CAALOS_PLS/DEMAND-SWP-LS//1MON/L2020A/</t>
  </si>
  <si>
    <t>/CALSIM/DEM_D_CAA280_CAALOS_PLS/DEMAND-SWP-LS//1MON/L2020A/</t>
  </si>
  <si>
    <t>/CALSIM/DEM_D_CSB009_CLRTA1_DDWD_PIN/DEMAND-SWP-IN//1MON/L2020A/</t>
  </si>
  <si>
    <t>/CALSIM/DEM_D_CSB038_OBISPO_PIN/DEMAND-SWP-IN//1MON/L2020A/</t>
  </si>
  <si>
    <t>/CALSIM/DEM_D_CSB103_BRBRA_PIN/DEMAND-SWP-IN//1MON/L2020A/</t>
  </si>
  <si>
    <t>/CALSIM/DEM_D_CSTIC_VNTRA_PIN/DEMAND-SWP-IN//1MON/L2020A/</t>
  </si>
  <si>
    <t>/CALSIM/DEM_D_ESB324_AVEK_PIN/DEMAND-SWP-IN//1MON/L2020A/</t>
  </si>
  <si>
    <t>/CALSIM/DEM_D_ESB347_PLMDL_PIN/DEMAND-SWP-IN//1MON/L2020A/</t>
  </si>
  <si>
    <t>/CALSIM/DEM_D_ESB361_ESBLOS_PLS/DEMAND-SWP-LS//1MON/L2020A/</t>
  </si>
  <si>
    <t>/CALSIM/DEM_D_ESB406_ESBLOS_PLS/DEMAND-SWP-LS//1MON/L2020A/</t>
  </si>
  <si>
    <t>/CALSIM/DEM_D_ESB407_CCHLA_PIN/DEMAND-SWP-IN//1MON/L2020A/</t>
  </si>
  <si>
    <t>/CALSIM/DEM_D_ESB408_DESRT_PIN/DEMAND-SWP-IN//1MON/L2020A/</t>
  </si>
  <si>
    <t>/CALSIM/DEM_D_ESB413_MWDSC_PIN/DEMAND-SWP-IN//1MON/L2020A/</t>
  </si>
  <si>
    <t>/CALSIM/DEM_D_ESB414_BRDNO_PIN/DEMAND-SWP-IN//1MON/L2020A/</t>
  </si>
  <si>
    <t>/CALSIM/DEM_D_ESB415_GABRL_PIN/DEMAND-SWP-IN//1MON/L2020A/</t>
  </si>
  <si>
    <t>/CALSIM/DEM_D_ESB420_GRGNO_PIN/DEMAND-SWP-IN//1MON/L2020A/</t>
  </si>
  <si>
    <t>/CALSIM/DEM_D_ESB425_ESBLOS_PLS/DEMAND-SWP-LS//1MON/L2020A/</t>
  </si>
  <si>
    <t>/CALSIM/DEM_D_ESB433_MWDSC_PIN/DEMAND-SWP-IN//1MON/L2020A/</t>
  </si>
  <si>
    <t>/CALSIM/DEM_D_PRRIS_MWDSC_PIN/DEMAND-SWP-IN//1MON/L2020A/</t>
  </si>
  <si>
    <t>/CALSIM/DEM_D_SBA009_ACFC_PIN/DEMAND-SWP-IN//1MON/L2020A/</t>
  </si>
  <si>
    <t>/CALSIM/DEM_D_SBA029_ACWD_PIN/DEMAND-SWP-IN//1MON/L2020A/</t>
  </si>
  <si>
    <t>/CALSIM/DEM_D_SBA036_SCVWD_PIN/DEMAND-SWP-IN//1MON/L2020A/</t>
  </si>
  <si>
    <t>/CALSIM/DEM_D_SBA042_SBALOS_PLS/DEMAND-SWP-LS//1MON/L2020A/</t>
  </si>
  <si>
    <t>/CALSIM/DEM_D_WSB006_WSBLOS_PLS/DEMAND-SWP-LS//1MON/L2020A/</t>
  </si>
  <si>
    <t>/CALSIM/DEM_D_WSB026_WSBLOS_PLS/DEMAND-SWP-LS//1MON/L2020A/</t>
  </si>
  <si>
    <t>/CALSIM/DEM_D_WSB027_WSBLOS_PLS/DEMAND-SWP-LS//1MON/L2020A/</t>
  </si>
  <si>
    <t>/CALSIM/DEM_D_WSB031_MWDSC_PIN/DEMAND-SWP-IN//1MON/L2020A/</t>
  </si>
  <si>
    <t>/CALSIM/DEM_D_WTPCYC_16_PU_SWP_PIN/DEMAND-SWP-IN//1MON/L2020A/</t>
  </si>
  <si>
    <t>/CALSIM/DEM_NAPA_PIN/DEMAND-SWP-IN//1MON/L2020A/</t>
  </si>
  <si>
    <t>/CALSIM/DEM_SCWA_PIN/DEMAND-SWP-IN//1MON/L2020A/</t>
  </si>
  <si>
    <t>/CALSIM/DMD_CBC001_24_NA1_NID/DEMAND//1MON/L2020A/</t>
  </si>
  <si>
    <t>/CALSIM/DMD_CBC001_CCK036_NID/DEMAND//1MON/L2020A/</t>
  </si>
  <si>
    <t>/CALSIM/DP_GWR15/DEEP-PERCOLATION//1MON/L2020A/</t>
  </si>
  <si>
    <t>/CALSIM/DP_GWR16/DEEP-PERCOLATION//1MON/L2020A/</t>
  </si>
  <si>
    <t>/CALSIM/DP_GWR17/DEEP-PERCOLATION//1MON/L2020A/</t>
  </si>
  <si>
    <t>/CALSIM/DP_GWR18/DEEP-PERCOLATION//1MON/L2020A/</t>
  </si>
  <si>
    <t>/CALSIM/DP_GWR19/DEEP-PERCOLATION//1MON/L2020A/</t>
  </si>
  <si>
    <t>/CALSIM/DP_GWR20/DEEP-PERCOLATION//1MON/L2020A/</t>
  </si>
  <si>
    <t>/CALSIM/DP_GWR21/DEEP-PERCOLATION//1MON/L2020A/</t>
  </si>
  <si>
    <t>/CALSIM/D_ANG007_UPANG_DEM/FLOW-HISTORICAL//1MON/L2020A/</t>
  </si>
  <si>
    <t>D_ANG007_UPANG_DEM</t>
  </si>
  <si>
    <t>/CALSIM/D_ANG015_UPANG_DEM/FLOW-HISTORICAL//1MON/L2020A/</t>
  </si>
  <si>
    <t>D_ANG015_UPANG_DEM</t>
  </si>
  <si>
    <t>/CALSIM/D_LYONS_TCN00_DEM/FLOW-HISTORICAL//1MON/L2020A/</t>
  </si>
  <si>
    <t>D_LYONS_TCN00_DEM</t>
  </si>
  <si>
    <t>/CALSIM/D_UTC000_CACWD_DEM/FLOW-HISTORICAL//1MON/L2020A/</t>
  </si>
  <si>
    <t>/CALSIM/D_BRR050_BEC000_NID_SV/DIVERSION//1MON/L2020A/</t>
  </si>
  <si>
    <t>/CALSIM/D_BRR050_BEC000_PGE_SV/DIVERSION//1MON/L2020A/</t>
  </si>
  <si>
    <t>/CALSIM/D_BRR050_BEC000_SV/DIVERSION//1MON/L2020A/</t>
  </si>
  <si>
    <t>/CALSIM/D_CMBIE_CBC000_SV/DIVERSION//1MON/L2020A/</t>
  </si>
  <si>
    <t>/CALSIM/D_COL009_UTC000_DEM/FLOW-HISTORICAL//1MON/L2020A/</t>
  </si>
  <si>
    <t>D_COL009_UTC000_DEM</t>
  </si>
  <si>
    <t>/CALSIM/D_CVT005_UTC001_DEM/FLOW-HISTORICAL//1MON/L2020A/</t>
  </si>
  <si>
    <t>D_CVT005_UTC001_DEM</t>
  </si>
  <si>
    <t>/CALSIM/D_CYN009_LBC001_SV/DIVERSION//1MON/L2020A/</t>
  </si>
  <si>
    <t>/CALSIM/D_EPARK_SCKWD_SV/DIVERSION//1MON/L2020A/</t>
  </si>
  <si>
    <t>/CALSIM/D_FDC006_14_NA_SV/DIVERSION//1MON/L2020A/</t>
  </si>
  <si>
    <t>/CALSIM/D_FOLSM_EDCOCA_CVP_SV/DIVERSION//1MON/L2020A/</t>
  </si>
  <si>
    <t>/CALSIM/D_FOLSM_EDCOCA_NA1_SV/DIVERSION//1MON/L2020A/</t>
  </si>
  <si>
    <t>/CALSIM/D_FOLSM_EDCOCA_NA2_SV/DIVERSION//1MON/L2020A/</t>
  </si>
  <si>
    <t>/CALSIM/D_FOLSM_EDCOCA_NU1_SV/DIVERSION//1MON/L2020A/</t>
  </si>
  <si>
    <t>/CALSIM/D_FOLSM_EDCOCA_NU2_SV/DIVERSION//1MON/L2020A/</t>
  </si>
  <si>
    <t>/CALSIM/D_FOLSM_EDCOCA_SV/DIVERSION//1MON/L2020A/</t>
  </si>
  <si>
    <t>/CALSIM/D_FOLSM_WTPEDH_WR_SV/DIVERSION//1MON/L2020A/</t>
  </si>
  <si>
    <t>/CALSIM/D_LBR002_LBC001_SV/DIVERSION//1MON/L2020A/</t>
  </si>
  <si>
    <t>/CALSIM/D_LYONS_TCN000_DEM/FLOW-HISTORICAL//1MON/L2020A/</t>
  </si>
  <si>
    <t>/CALSIM/D_MIO023_10_NA_SV/DIVERSION//1MON/L2020A/</t>
  </si>
  <si>
    <t>/CALSIM/D_MIO023_12_NU1_SV/DIVERSION//1MON/L2020A/</t>
  </si>
  <si>
    <t>/CALSIM/D_MNRRH_13_NA_SV/DIVERSION//1MON/L2020A/</t>
  </si>
  <si>
    <t>/CALSIM/D_MNRRH_13_NU2_SV/DIVERSION//1MON/L2020A/</t>
  </si>
  <si>
    <t>/CALSIM/D_NFA016_ABT002_SV/DIVERSION//1MON/L2020A/</t>
  </si>
  <si>
    <t>/CALSIM/D_NNA013_LVC001_SV/DIVERSION//1MON/L2020A/</t>
  </si>
  <si>
    <t>/CALSIM/D_OWC000_13_NA_SV/DIVERSION//1MON/L2020A/</t>
  </si>
  <si>
    <t>/CALSIM/D_SFF011_MNRRH_SV/DIVERSION//1MON/L2020A/</t>
  </si>
  <si>
    <t>/CALSIM/D_SLT009_SCT000_SV/DIVERSION//1MON/L2020A/</t>
  </si>
  <si>
    <t>/CALSIM/D_SPLDG_DRM000_SV/DIVERSION//1MON/L2020A/</t>
  </si>
  <si>
    <t>/CALSIM/D_STH000_ABN027_NID_SV/DIVERSION//1MON/L2020A/</t>
  </si>
  <si>
    <t>/CALSIM/D_STH000_ABN027_PCWA_SV/DIVERSION//1MON/L2020A/</t>
  </si>
  <si>
    <t>/CALSIM/D_SYC002_BRR074_SV/DIVERSION//1MON/L2020A/</t>
  </si>
  <si>
    <t>/CALSIM/D_UTC014_CACWDI_DEM/FLOW-HISTORICAL//1MON/L2020A/</t>
  </si>
  <si>
    <t>D_UTC014_CACWDI_DEM</t>
  </si>
  <si>
    <t>/CALSIM/D_WBF030_HKC002_SV/DIVERSION//1MON/L2020A/</t>
  </si>
  <si>
    <t>/CALSIM/D_WTPMNR_13_NU1_SV/DIVERSION//1MON/L2020A/</t>
  </si>
  <si>
    <t>/CALSIM/D_WTPRS1_ELDID_NU3_SV/DIVERSION//1MON/L2020A/</t>
  </si>
  <si>
    <t>/CALSIM/D_WTPRSA_ELDID_NU3_SV/DIVERSION//1MON/L2020A/</t>
  </si>
  <si>
    <t>/CALSIM/D_YUB003_15N_NU_SV/DIVERSION//1MON/L2020A/</t>
  </si>
  <si>
    <t>/CALSIM/D_YUB011_15N_NA2_SV/DIVERSION//1MON/L2020A/</t>
  </si>
  <si>
    <t>/CALSIM/D_YUB011_15S_NA2_SV/DIVERSION//1MON/L2020A/</t>
  </si>
  <si>
    <t>/CALSIM/D_YUB013_14_NA_SV/DIVERSION//1MON/L2020A/</t>
  </si>
  <si>
    <t>/CALSIM/EBTML_LOSS/LOSS//1MON/L2020A/</t>
  </si>
  <si>
    <t>/CALSIM/E_PEDRO_SV/EVAPORATION//1MON/L2020A/</t>
  </si>
  <si>
    <t>/CALSIM/ER_ALDER/EVAPORATION-RATE//1MON/L2020A/</t>
  </si>
  <si>
    <t>/CALSIM/ER_ALMNR/EVAPORATION-RATE//1MON/L2020A/</t>
  </si>
  <si>
    <t>/CALSIM/ER_ALOHA/EVAPORATION-RATE//1MON/L2020A/</t>
  </si>
  <si>
    <t>/CALSIM/ER_AMADR/EVAPORATION-RATE//1MON/L2020A/</t>
  </si>
  <si>
    <t>/CALSIM/ER_ANTLP/EVAPORATION-RATE//1MON/L2020A/</t>
  </si>
  <si>
    <t>/CALSIM/ER_BANOS/EVAPORATION-RATE//1MON/L2020A/</t>
  </si>
  <si>
    <t>/CALSIM/ER_BASSL/EVAPORATION-RATE//1MON/L2020A/</t>
  </si>
  <si>
    <t>/CALSIM/ER_BEARD/EVAPORATION-RATE//1MON/L2020A/</t>
  </si>
  <si>
    <t>/CALSIM/ER_BLKBT/EVAPORATION-RATE//1MON/L2020A/</t>
  </si>
  <si>
    <t>/CALSIM/ER_BOWMN/EVAPORATION-RATE//1MON/L2020A/</t>
  </si>
  <si>
    <t>/CALSIM/ER_BRYSA/EVAPORATION-RATE//1MON/L2020A/</t>
  </si>
  <si>
    <t>/CALSIM/ER_BTVLY/EVAPORATION-RATE//1MON/L2020A/</t>
  </si>
  <si>
    <t>/CALSIM/ER_BUCKS/EVAPORATION-RATE//1MON/L2020A/</t>
  </si>
  <si>
    <t>/CALSIM/ER_CAPLS/EVAPORATION-RATE//1MON/L2020A/</t>
  </si>
  <si>
    <t>/CALSIM/ER_CHRRY/EVAPORATION-RATE//1MON/L2020A/</t>
  </si>
  <si>
    <t>/CALSIM/ER_CLRLK/EVAPORATION-RATE//1MON/L2020A/</t>
  </si>
  <si>
    <t>/CALSIM/ER_CMBIE/EVAPORATION-RATE//1MON/L2020A/</t>
  </si>
  <si>
    <t>/CALSIM/ER_CMCHE/EVAPORATION-RATE//1MON/L2020A/</t>
  </si>
  <si>
    <t>/CALSIM/ER_CMPFW/EVAPORATION-RATE//1MON/L2020A/</t>
  </si>
  <si>
    <t>/CALSIM/ER_CSTIC/EVAPORATION-RATE//1MON/L2020A/</t>
  </si>
  <si>
    <t>/CALSIM/ER_DAVIS/EVAPORATION-RATE//1MON/L2020A/</t>
  </si>
  <si>
    <t>/CALSIM/ER_DELVE/EVAPORATION-RATE//1MON/L2020A/</t>
  </si>
  <si>
    <t>/CALSIM/ER_DONLL/EVAPORATION-RATE//1MON/L2020A/</t>
  </si>
  <si>
    <t>/CALSIM/ER_ECHOL/EVAPORATION-RATE//1MON/L2020A/</t>
  </si>
  <si>
    <t>/CALSIM/ER_EDSON/EVAPORATION-RATE//1MON/L2020A/</t>
  </si>
  <si>
    <t>/CALSIM/ER_ELENR/EVAPORATION-RATE//1MON/L2020A/</t>
  </si>
  <si>
    <t>/CALSIM/ER_ENGLB/EVAPORATION-RATE//1MON/L2020A/</t>
  </si>
  <si>
    <t>/CALSIM/ER_EPARK/EVAPORATION-RATE//1MON/L2020A/</t>
  </si>
  <si>
    <t>/CALSIM/ER_ESTMN/EVAPORATION-RATE//1MON/L2020A/</t>
  </si>
  <si>
    <t>/CALSIM/ER_FLRNC/EVAPORATION-RATE//1MON/L2020A/</t>
  </si>
  <si>
    <t>/CALSIM/ER_FOLSM/EVAPORATION-RATE//1MON/L2020A/</t>
  </si>
  <si>
    <t>/CALSIM/ER_FRDYC/EVAPORATION-RATE//1MON/L2020A/</t>
  </si>
  <si>
    <t>/CALSIM/ER_FRMAN/EVAPORATION-RATE//1MON/L2020A/</t>
  </si>
  <si>
    <t>/CALSIM/ER_FRMDW/EVAPORATION-RATE//1MON/L2020A/</t>
  </si>
  <si>
    <t>/CALSIM/ER_FRNCH/EVAPORATION-RATE//1MON/L2020A/</t>
  </si>
  <si>
    <t>/CALSIM/ER_GERLE/EVAPORATION-RATE//1MON/L2020A/</t>
  </si>
  <si>
    <t>/CALSIM/ER_HHOLE/EVAPORATION-RATE//1MON/L2020A/</t>
  </si>
  <si>
    <t>/CALSIM/ER_HNGTN/EVAPORATION-RATE//1MON/L2020A/</t>
  </si>
  <si>
    <t>/CALSIM/ER_HNSLY/EVAPORATION-RATE//1MON/L2020A/</t>
  </si>
  <si>
    <t>/CALSIM/ER_HTCHY/EVAPORATION-RATE//1MON/L2020A/</t>
  </si>
  <si>
    <t>/CALSIM/ER_ICEHS/EVAPORATION-RATE//1MON/L2020A/</t>
  </si>
  <si>
    <t>/CALSIM/ER_INDVL/EVAPORATION-RATE//1MON/L2020A/</t>
  </si>
  <si>
    <t>/CALSIM/ER_JKSMD/EVAPORATION-RATE//1MON/L2020A/</t>
  </si>
  <si>
    <t>/CALSIM/ER_JNKSN/EVAPORATION-RATE//1MON/L2020A/</t>
  </si>
  <si>
    <t>/CALSIM/ER_KSWCK/EVAPORATION-RATE//1MON/L2020A/</t>
  </si>
  <si>
    <t>/CALSIM/ER_LBEAR/EVAPORATION-RATE//1MON/L2020A/</t>
  </si>
  <si>
    <t>/CALSIM/ER_LCBRF/EVAPORATION-RATE//1MON/L2020A/</t>
  </si>
  <si>
    <t>/CALSIM/ER_LGRSV/EVAPORATION-RATE//1MON/L2020A/</t>
  </si>
  <si>
    <t>/CALSIM/ER_LKVLY/EVAPORATION-RATE//1MON/L2020A/</t>
  </si>
  <si>
    <t>/CALSIM/ER_LLOYD/EVAPORATION-RATE//1MON/L2020A/</t>
  </si>
  <si>
    <t>/CALSIM/ER_LOONL/EVAPORATION-RATE//1MON/L2020A/</t>
  </si>
  <si>
    <t>/CALSIM/ER_LOSVQ/EVAPORATION-RATE//1MON/L2020A/</t>
  </si>
  <si>
    <t>/CALSIM/ER_LWSTN/EVAPORATION-RATE//1MON/L2020A/</t>
  </si>
  <si>
    <t>/CALSIM/ER_LYONS/EVAPORATION-RATE//1MON/L2020A/</t>
  </si>
  <si>
    <t>/CALSIM/ER_MAMTH/EVAPORATION-RATE//1MON/L2020A/</t>
  </si>
  <si>
    <t>/CALSIM/ER_MCLRE/EVAPORATION-RATE//1MON/L2020A/</t>
  </si>
  <si>
    <t>/CALSIM/ER_MDSTO/EVAPORATION-RATE//1MON/L2020A/</t>
  </si>
  <si>
    <t>/CALSIM/ER_MELON/EVAPORATION-RATE//1MON/L2020A/</t>
  </si>
  <si>
    <t>/CALSIM/ER_MERLC/EVAPORATION-RATE//1MON/L2020A/</t>
  </si>
  <si>
    <t>/CALSIM/ER_MLRTN/EVAPORATION-RATE//1MON/L2020A/</t>
  </si>
  <si>
    <t>/CALSIM/ER_MTMDW/EVAPORATION-RATE//1MON/L2020A/</t>
  </si>
  <si>
    <t>/CALSIM/ER_NBLDB/EVAPORATION-RATE//1MON/L2020A/</t>
  </si>
  <si>
    <t>/CALSIM/ER_NHGAN/EVAPORATION-RATE//1MON/L2020A/</t>
  </si>
  <si>
    <t>/CALSIM/ER_NTOMA/EVAPORATION-RATE//1MON/L2020A/</t>
  </si>
  <si>
    <t>/CALSIM/ER_OROVL/EVAPORATION-RATE//1MON/L2020A/</t>
  </si>
  <si>
    <t>/CALSIM/ER_PARDE/EVAPORATION-RATE//1MON/L2020A/</t>
  </si>
  <si>
    <t>/CALSIM/ER_PCRST/EVAPORATION-RATE//1MON/L2020A/</t>
  </si>
  <si>
    <t>/CALSIM/ER_PEDRO/EVAPORATION-RATE//1MON/L2020A/</t>
  </si>
  <si>
    <t>/CALSIM/ER_PRRIS/EVAPORATION-RATE//1MON/L2020A/</t>
  </si>
  <si>
    <t>/CALSIM/ER_PYRMD/EVAPORATION-RATE//1MON/L2020A/</t>
  </si>
  <si>
    <t>/CALSIM/ER_RDNGR/EVAPORATION-RATE//1MON/L2020A/</t>
  </si>
  <si>
    <t>/CALSIM/ER_RLIEF/EVAPORATION-RATE//1MON/L2020A/</t>
  </si>
  <si>
    <t>/CALSIM/ER_RLLNS/EVAPORATION-RATE//1MON/L2020A/</t>
  </si>
  <si>
    <t>/CALSIM/ER_RNCHO/EVAPORATION-RATE//1MON/L2020A/</t>
  </si>
  <si>
    <t>/CALSIM/ER_RVPHB/EVAPORATION-RATE//1MON/L2020A/</t>
  </si>
  <si>
    <t>/CALSIM/ER_S17/EVAPORATION-RATE//1MON/L2020A/</t>
  </si>
  <si>
    <t>/CALSIM/ER_S30/EVAPORATION-RATE//1MON/L2020A/</t>
  </si>
  <si>
    <t>/CALSIM/ER_SCOTF/EVAPORATION-RATE//1MON/L2020A/</t>
  </si>
  <si>
    <t>/CALSIM/ER_SGRGE/EVAPORATION-RATE//1MON/L2020A/</t>
  </si>
  <si>
    <t>/CALSIM/ER_SHSTA/EVAPORATION-RATE//1MON/L2020A/</t>
  </si>
  <si>
    <t>/CALSIM/ER_SHVER/EVAPORATION-RATE//1MON/L2020A/</t>
  </si>
  <si>
    <t>/CALSIM/ER_SILVR/EVAPORATION-RATE//1MON/L2020A/</t>
  </si>
  <si>
    <t>/CALSIM/ER_SLTSP/EVAPORATION-RATE//1MON/L2020A/</t>
  </si>
  <si>
    <t>/CALSIM/ER_SLUIS/EVAPORATION-RATE//1MON/L2020A/</t>
  </si>
  <si>
    <t>/CALSIM/ER_SLYCK/EVAPORATION-RATE//1MON/L2020A/</t>
  </si>
  <si>
    <t>/CALSIM/ER_SPICE/EVAPORATION-RATE//1MON/L2020A/</t>
  </si>
  <si>
    <t>/CALSIM/ER_SPLDG/EVAPORATION-RATE//1MON/L2020A/</t>
  </si>
  <si>
    <t>/CALSIM/ER_STMPY/EVAPORATION-RATE//1MON/L2020A/</t>
  </si>
  <si>
    <t>/CALSIM/ER_SVRWD/EVAPORATION-RATE//1MON/L2020A/</t>
  </si>
  <si>
    <t>/CALSIM/ER_THRMA/EVAPORATION-RATE//1MON/L2020A/</t>
  </si>
  <si>
    <t>/CALSIM/ER_THRMF/EVAPORATION-RATE//1MON/L2020A/</t>
  </si>
  <si>
    <t>/CALSIM/ER_TRLCK/EVAPORATION-RATE//1MON/L2020A/</t>
  </si>
  <si>
    <t>/CALSIM/ER_TRNTY/EVAPORATION-RATE//1MON/L2020A/</t>
  </si>
  <si>
    <t>/CALSIM/ER_TULOC/EVAPORATION-RATE//1MON/L2020A/</t>
  </si>
  <si>
    <t>/CALSIM/ER_UBEAR/EVAPORATION-RATE//1MON/L2020A/</t>
  </si>
  <si>
    <t>/CALSIM/ER_UNVLY/EVAPORATION-RATE//1MON/L2020A/</t>
  </si>
  <si>
    <t>/CALSIM/ER_WDWRD/EVAPORATION-RATE//1MON/L2020A/</t>
  </si>
  <si>
    <t>/CALSIM/ER_WKYTN/EVAPORATION-RATE//1MON/L2020A/</t>
  </si>
  <si>
    <t>/CALSIM/E_LBEAR_SV/EVAPORATION//1MON/L2020A/</t>
  </si>
  <si>
    <t>/CALSIM/E_SLTSP_SV/EVAPORATION//1MON/L2020A/</t>
  </si>
  <si>
    <t>/CALSIM/E_UPPERFEATHER_SV/EVAPORATION//1MON/L2020A/</t>
  </si>
  <si>
    <t>/CALSIM/FEB_FORECAST_GOODYEAR_B120/FLOW//1MON/L2020A/</t>
  </si>
  <si>
    <t>/CALSIM/FEB_FORECAST_SMARTVILLE_B120/FLOW//1MON/L2020A/</t>
  </si>
  <si>
    <t>/CALSIM/FERCBASE/FLOW-MIN-REQUIRED//1MON/L2020A/</t>
  </si>
  <si>
    <t>FERCBASE</t>
  </si>
  <si>
    <t>/CALSIM/FERCPULSE/FLOW-MIN-REQUIRED//1MON/L2020A/</t>
  </si>
  <si>
    <t>FERCPULSE</t>
  </si>
  <si>
    <t>/CALSIM/FOLSM_INFLOW/INFLOW//1MON/L2020A/</t>
  </si>
  <si>
    <t>/CALSIM/FOLSOMINFLOWESTSUM_SV/INFLOW-FORECAST//1MON/L2020A/</t>
  </si>
  <si>
    <t>/CALSIM/FOLSOMINFLOWEST_SV/INFLOW-FORECAST//1MON/L2020A/</t>
  </si>
  <si>
    <t>/CALSIM/FSC_LOSSES/SEEPAGE//1MON/L2020A/</t>
  </si>
  <si>
    <t>/CALSIM/GP_GWR15/PUMPING//1MON/L2020A/</t>
  </si>
  <si>
    <t>/CALSIM/GP_GWR16/PUMPING//1MON/L2020A/</t>
  </si>
  <si>
    <t>/CALSIM/GP_GWR17/PUMPING//1MON/L2020A/</t>
  </si>
  <si>
    <t>/CALSIM/GP_GWR18/PUMPING//1MON/L2020A/</t>
  </si>
  <si>
    <t>/CALSIM/GP_GWR19/PUMPING//1MON/L2020A/</t>
  </si>
  <si>
    <t>/CALSIM/GP_GWR20/PUMPING//1MON/L2020A/</t>
  </si>
  <si>
    <t>/CALSIM/GP_GWR21/PUMPING//1MON/L2020A/</t>
  </si>
  <si>
    <t>/CALSIM/I422/FLOW-INFLOW//1MON/L2020A/</t>
  </si>
  <si>
    <t>/CALSIM/I_BCM003/INFLOW//1MON/L2020A/</t>
  </si>
  <si>
    <t>/CALSIM/I_CAA245/FLOW-INFLOW//1MON/L2020A/</t>
  </si>
  <si>
    <t>/CALSIM/I_EBTML/INFLOW//1MON/L2020A/</t>
  </si>
  <si>
    <t>/CALSIM/I_FSL012/INFLOW//1MON/L2020A/</t>
  </si>
  <si>
    <t>/CALSIM/I_JBP006/INFLOW//1MON/L2020A/</t>
  </si>
  <si>
    <t>/CALSIM/I_moc003/INFLOW//1MON/L2020A/</t>
  </si>
  <si>
    <t>I_moc003</t>
  </si>
  <si>
    <t>/CALSIM/I_nff046/INFLOW//1MON/L2020A/</t>
  </si>
  <si>
    <t>I_nff046</t>
  </si>
  <si>
    <t>/CALSIM/I_nff058/INFLOW//1MON/L2020A/</t>
  </si>
  <si>
    <t>I_nff058</t>
  </si>
  <si>
    <t>/CALSIM/I_MELON_FCST/INFLOW//1MON/L2020A/</t>
  </si>
  <si>
    <t>/CALSIM/MAMMOTH_STORAGE/STORAGE//1MON/L2020A/</t>
  </si>
  <si>
    <t>/CALSIM/MAR_FORECAST_GOODYEAR_B120/FLOW//1MON/L2020A/</t>
  </si>
  <si>
    <t>/CALSIM/MAR_FORECAST_SMARTVILLE_B120/FLOW//1MON/L2020A/</t>
  </si>
  <si>
    <t>/CALSIM/MAY_FORECAST_GOODYEAR_B120/FLOW//1MON/L2020A/</t>
  </si>
  <si>
    <t>/CALSIM/MAY_FORECAST_SMARTVILLE_B120/FLOW//1MON/L2020A/</t>
  </si>
  <si>
    <t>/CALSIM/MFPFORECASTRELEASE/STORAGE-FORECAST//1MON/L2020A/</t>
  </si>
  <si>
    <t>/CALSIM/MF_KSWCK/FLOW-MIN-REQUIRED//1MON/L2020A/</t>
  </si>
  <si>
    <t>/CALSIM/MF_YUB006DV_SV/FLOW-MIN-INSTREAM//1MON/L2020A/</t>
  </si>
  <si>
    <t>/CALSIM/MF_YUB006_SV/FLOW-MIN-INSTREAM//1MON/L2020A/</t>
  </si>
  <si>
    <t>/CALSIM/MINFLOWFEATHER/FLOW-MIN-REQUIRED//1MON/L2020A/</t>
  </si>
  <si>
    <t>/CALSIM/MONTH_DAYS/DAY//1MON/L2020A/</t>
  </si>
  <si>
    <t>/CALSIM/NBA_LOSSES/SEEPAGE//1MON/L2020A/</t>
  </si>
  <si>
    <t>/CALSIM/OROVILLEFNF_WY_SV/FNFWY//1MON/L2020A/</t>
  </si>
  <si>
    <t>/CALSIM/P184FORECASTRELEASE/STORAGE-FORECAST//1MON/L2020A/</t>
  </si>
  <si>
    <t>/CALSIM/PERDV_CVPMI_SYS_SV/PERCENT-DELIVERY//1MON/L2020A/</t>
  </si>
  <si>
    <t>/CALSIM/PGE_WY_ALLOCATION_SV/RATIO//1MON/L2020A/</t>
  </si>
  <si>
    <t>/CALSIM/REST_RCH_NP/REST_FLOW//1MON/L2020A/</t>
  </si>
  <si>
    <t>/CALSIM/REST_RCH_P/REST_FLOW//1MON/L2020A/</t>
  </si>
  <si>
    <t>/CALSIM/REST_REQ_NP/RELEASE-HYDROGRAPH//1MON/L2020A/</t>
  </si>
  <si>
    <t>/CALSIM/REST_REQ_P/RELEASE-HYDROGRAPH//1MON/L2020A/</t>
  </si>
  <si>
    <t>/CALSIM/RUFR1_TS/REUSE-FACTOR//1MON/L2020A/</t>
  </si>
  <si>
    <t>/CALSIM/RUFR2_TS/REUSE-FACTOR//1MON/L2020A/</t>
  </si>
  <si>
    <t>/CALSIM/RUFR3_TS/REUSE-FACTOR//1MON/L2020A/</t>
  </si>
  <si>
    <t>/CALSIM/RUFR4_TS/REUSE-FACTOR//1MON/L2020A/</t>
  </si>
  <si>
    <t>/CALSIM/RUFR5_TS/REUSE-FACTOR//1MON/L2020A/</t>
  </si>
  <si>
    <t>/CALSIM/RUFR6_TS/REUSE-FACTOR//1MON/L2020A/</t>
  </si>
  <si>
    <t>/CALSIM/RUFR_24_NA2_TS/REUSE-FRACTION//1MON/L2020A/</t>
  </si>
  <si>
    <t>/CALSIM/RUFR_24_NA3_TS/REUSE-FRACTION//1MON/L2020A/</t>
  </si>
  <si>
    <t>/CALSIM/RUFW1_TS/REUSE-FACTOR//1MON/L2020A/</t>
  </si>
  <si>
    <t>/CALSIM/R_60N_NA4_SJR022_SV/RETURN-FLOW//1MON/L2020A/</t>
  </si>
  <si>
    <t>/CALSIM/R_GDPUD_NA_NFA011_SV/RETURN-FLOW//1MON/L2020A/</t>
  </si>
  <si>
    <t>/CALSIM/R_RFS71A_OMR039_SV/RETURN-FLOW//1MON/L2020A/</t>
  </si>
  <si>
    <t>/CALSIM/SB_DEMAND/LV-PARTNER-DEMAND//1MON/L2020A/</t>
  </si>
  <si>
    <t>/CALSIM/SF_DEMAND/LV-PARTNER-DEMAND//1MON/L2020A/</t>
  </si>
  <si>
    <t>/CALSIM/SG_DMC_LOWER/CANAL-LOSS//1MON/L2020A/</t>
  </si>
  <si>
    <t>/CALSIM/SG_DMC_UPPER/CANAL-LOSS//1MON/L2020A/</t>
  </si>
  <si>
    <t>/CALSIM/SG_R1R2_SWP/CANAL-LOSS//1MON/L2020A/</t>
  </si>
  <si>
    <t>/CALSIM/SG_R3_CVP/CANAL-LOSS//1MON/L2020A/</t>
  </si>
  <si>
    <t>/CALSIM/SG_R3_SWP/CANAL-LOSS//1MON/L2020A/</t>
  </si>
  <si>
    <t>/CALSIM/SG_R4_CVP/CANAL-LOSS//1MON/L2020A/</t>
  </si>
  <si>
    <t>/CALSIM/SG_R4_SWP/CANAL-LOSS//1MON/L2020A/</t>
  </si>
  <si>
    <t>/CALSIM/SG_R5_CVP/CANAL-LOSS//1MON/L2020A/</t>
  </si>
  <si>
    <t>/CALSIM/SG_R5_SWP/CANAL-LOSS//1MON/L2020A/</t>
  </si>
  <si>
    <t>/CALSIM/SG_R6_CVP/CANAL-LOSS//1MON/L2020A/</t>
  </si>
  <si>
    <t>/CALSIM/SG_R6_SWP/CANAL-LOSS//1MON/L2020A/</t>
  </si>
  <si>
    <t>/CALSIM/SG_R7_CVP/CANAL-LOSS//1MON/L2020A/</t>
  </si>
  <si>
    <t>/CALSIM/SG_R7_SWP/CANAL-LOSS//1MON/L2020A/</t>
  </si>
  <si>
    <t>/CALSIM/SG_SJR_MDOTA/RIVER-LOSS//1MON/L2020A/</t>
  </si>
  <si>
    <t>/CALSIM/SG_WDWRD_SEEP/SEEPAGE//1MON/L2020A/</t>
  </si>
  <si>
    <t>/CALSIM/SPAULDING_ACCUMULATED_INFLOW_SV/INFLOW//1MON/L2020A/</t>
  </si>
  <si>
    <t>/CALSIM/S_CMBIE_SV/STORAGE//1MON/L2020A/</t>
  </si>
  <si>
    <t>/CALSIM/S_FOLSMLEVEL2/STORAGE-LEVEL//1MON/L2020A/</t>
  </si>
  <si>
    <t>/CALSIM/S_FOLSMLEVEL3ADJ_SV/STORAGE-LEVEL//1MON/L2020A/</t>
  </si>
  <si>
    <t>/CALSIM/S_FOLSMLEVEL4/STORAGE-LEVEL//1MON/L2020A/</t>
  </si>
  <si>
    <t>/CALSIM/S_FOLSMLEVEL5/STORAGE-LEVEL//1MON/L2020A/</t>
  </si>
  <si>
    <t>/CALSIM/S_FRMDW_SV/STORAGE//1MON/L2020A/</t>
  </si>
  <si>
    <t>/CALSIM/S_HHOLE_SV/STORAGE//1MON/L2020A/</t>
  </si>
  <si>
    <t>/CALSIM/S_ICEHS_SV/STORAGE//1MON/L2020A/</t>
  </si>
  <si>
    <t>/CALSIM/S_LBEAR_SV/STORAGE//1MON/L2020A/</t>
  </si>
  <si>
    <t>/CALSIM/S_LGRSV_SV/STORAGE//1MON/L2020A/</t>
  </si>
  <si>
    <t>/CALSIM/S_LKVLY_SV/STORAGE//1MON/L2020A/</t>
  </si>
  <si>
    <t>/CALSIM/S_LOONL_SV/STORAGE//1MON/L2020A/</t>
  </si>
  <si>
    <t>/CALSIM/S_MERLC/STORAGE//1MON/L2020A/</t>
  </si>
  <si>
    <t>S_MERLC</t>
  </si>
  <si>
    <t>/CALSIM/S_OROVLLEVEL5/STORAGE-LEVEL//1MON/L2020A/</t>
  </si>
  <si>
    <t>/CALSIM/S_PEDROLEVEL4/STORAGE-LEVEL//1MON/L2020A/</t>
  </si>
  <si>
    <t>/CALSIM/S_PEDRO_SV/STORAGE//1MON/L2020A/</t>
  </si>
  <si>
    <t>/CALSIM/S_RLLNS_NID_SV/STORAGE//1MON/L2020A/</t>
  </si>
  <si>
    <t>/CALSIM/S_RLLNS_PGE_SV/STORAGE//1MON/L2020A/</t>
  </si>
  <si>
    <t>/CALSIM/S_RLLNS_SV/STORAGE//1MON/L2020A/</t>
  </si>
  <si>
    <t>/CALSIM/S_SHSTALEVEL2/STORAGE-LEVEL//1MON/L2020A/</t>
  </si>
  <si>
    <t>/CALSIM/S_SLTSP_SV/STORAGE//1MON/L2020A/</t>
  </si>
  <si>
    <t>/CALSIM/S_SLYCK_SV/STORAGE//1MON/L2020A/</t>
  </si>
  <si>
    <t>/CALSIM/S_TRNTYLEVEL2/STORAGE-LEVEL//1MON/L2020A/</t>
  </si>
  <si>
    <t>/CALSIM/S_TRNTYLEVEL3/STORAGE-LEVEL//1MON/L2020A/</t>
  </si>
  <si>
    <t>/CALSIM/S_UNVLY_SV/STORAGE//1MON/L2020A/</t>
  </si>
  <si>
    <t>/CALSIM/S_UPPERFEATHER_SV/STORAGE//1MON/L2020A/</t>
  </si>
  <si>
    <t>/CALSIM/TS_ADJ_HC/FLOW//1MON/L2020A/</t>
  </si>
  <si>
    <t>TS_ADJ_HC</t>
  </si>
  <si>
    <t>/CALSIM/TS_ADJ_RB/FLOW//1MON/L2020A/</t>
  </si>
  <si>
    <t>TS_ADJ_RB</t>
  </si>
  <si>
    <t>/CALSIM/TS_ADJ_WLK/FLOW//1MON/L2020A/</t>
  </si>
  <si>
    <t>TS_ADJ_WLK</t>
  </si>
  <si>
    <t>/CALSIM/TULE_WET_INDX/FRIANT-INDX//1MON/L2020A/</t>
  </si>
  <si>
    <t>/CALSIM/TW_63_NA5/TAILWATER//1MON/L2020A/</t>
  </si>
  <si>
    <t>/CALSIM/UARPFORECASTRELEASE/STORAGE-FORECAST//1MON/L2020A/</t>
  </si>
  <si>
    <t>/CALSIM/UD_50_PU/URBAN-DEMAND//1MON/L2020A/</t>
  </si>
  <si>
    <t>/CALSIM/UD_BNCIA/URBAN-DEMAND//1MON/L2020A/</t>
  </si>
  <si>
    <t>/CALSIM/UD_CSPSO/URBAN-DEMAND//1MON/L2020A/</t>
  </si>
  <si>
    <t>/CALSIM/UD_EBMUD/URBAN-DEMAND//1MON/L2020A/</t>
  </si>
  <si>
    <t>UD_EBMUD</t>
  </si>
  <si>
    <t>/CALSIM/UD_EDCOCA_NU1/URBAN-DEMAND//1MON/L2020A/</t>
  </si>
  <si>
    <t>/CALSIM/UD_EDCOCA_NU2/URBAN-DEMAND//1MON/L2020A/</t>
  </si>
  <si>
    <t>/CALSIM/UD_EDCOCA_NU3/URBAN-DEMAND//1MON/L2020A/</t>
  </si>
  <si>
    <t>/CALSIM/UD_ELDID_NU1/URBAN-DEMAND//1MON/L2020A/</t>
  </si>
  <si>
    <t>/CALSIM/UD_ELDID_NU2/URBAN-DEMAND//1MON/L2020A/</t>
  </si>
  <si>
    <t>/CALSIM/UD_ELDID_NU3/URBAN-DEMAND//1MON/L2020A/</t>
  </si>
  <si>
    <t>/CALSIM/UD_FRFLD/URBAN-DEMAND//1MON/L2020A/</t>
  </si>
  <si>
    <t>/CALSIM/UD_GDPUD_NU/URBAN-DEMAND//1MON/L2020A/</t>
  </si>
  <si>
    <t>/CALSIM/UD_GRSVL/URBAN-DEMAND//1MON/L2020A/</t>
  </si>
  <si>
    <t>/CALSIM/UD_NAPA2/URBAN-DEMAND//1MON/L2020A/</t>
  </si>
  <si>
    <t>/CALSIM/UD_PCWA3/URBAN-DEMAND//1MON/L2020A/</t>
  </si>
  <si>
    <t>/CALSIM/UD_PINES/URBAN-DEMAND//1MON/L2020A/</t>
  </si>
  <si>
    <t>/CALSIM/UD_PUTAH/URBAN-DEMAND//1MON/L2020A/</t>
  </si>
  <si>
    <t>/CALSIM/UD_SUISN/URBAN-DEMAND//1MON/L2020A/</t>
  </si>
  <si>
    <t>/CALSIM/UD_TVAFB/URBAN-DEMAND//1MON/L2020A/</t>
  </si>
  <si>
    <t>/CALSIM/UD_VLLJO/URBAN-DEMAND//1MON/L2020A/</t>
  </si>
  <si>
    <t>/CALSIM/UD_WLDWD/URBAN-DEMAND//1MON/L2020A/</t>
  </si>
  <si>
    <t>/CALSIM/UF_CULOS/CONSUMPTIVE-USE//1MON/L2020A/</t>
  </si>
  <si>
    <t>/CALSIM/USAGE_REDUCTION_NID_SV/RATIO//1MON/L2020A/</t>
  </si>
  <si>
    <t>/CALSIM/WATERYEARCONDITIONS_NID_PGE_SV/WY-TYPE//1MON/L2020A/</t>
  </si>
  <si>
    <t>/CALSIM/WFMITREL_SV/FLOW//1MON/L2020A/</t>
  </si>
  <si>
    <t>/CALSIM/WQ406A_MS/SALINITY//1MON/L2020A/</t>
  </si>
  <si>
    <t>/CALSIM/WQ408_OR/SALINITY//1MON/L2020A/</t>
  </si>
  <si>
    <t>/CALSIM/WQ408_RS/SALINITY//1MON/L2020A/</t>
  </si>
  <si>
    <t>/CALSIM/WQ408_VC/SALINITY//1MON/L2020A/</t>
  </si>
  <si>
    <t>/CALSIM/WQ422_INFLOW/SALINITY//1MON/L2020A/</t>
  </si>
  <si>
    <t>/CALSIM/WW_GDPUD_NU/WASTEWATER//1MON/L2020A/</t>
  </si>
  <si>
    <t>/CALSIM/WW_GRSVL/WASTEWATER//1MON/L2020A/</t>
  </si>
  <si>
    <t>/CALSIM/WW_WLDWD/WASTEWATER//1MON/L2020A/</t>
  </si>
  <si>
    <t>/CALSIM/YCWA_ALLOC_SV/FRACTION//1MON/L2020A/</t>
  </si>
  <si>
    <t>/CALSIM/YUBA_TRANS/FLOW-INFLOW//1MON/L2020A/</t>
  </si>
  <si>
    <t>LTOhis_CS3SV_missing_cp</t>
  </si>
  <si>
    <t>/CALSIM/AW_GDPUD_NA/URBAN-DEMAND//1MON/L2020A/</t>
  </si>
  <si>
    <t>/CALSIM/D_CVT005_UTC000_DEM/FLOW-HISTORICAL//1MON/L2020A/</t>
  </si>
  <si>
    <t>/CALSIM/D_FOLSM_EDCOCA/DIVERSION//1MON/L2020A/</t>
  </si>
  <si>
    <t>/CALSIM/D_FOLSM_EDCOCA_CVP_SV/DIVERSION-CVP//1MON/L2020A/</t>
  </si>
  <si>
    <t>/CALSIM/D_HHOLE_MFT003_MIT_SV/FLOW//1MON/L2020A/</t>
  </si>
  <si>
    <t>/CALSIM/FOLSOM_INFLOW/INFLOW//1MON/L2020A/</t>
  </si>
  <si>
    <t>/CALSIM/I_CHY006/INFLOW//1MON/L2020A/</t>
  </si>
  <si>
    <t>/CALSIM/I_CVY009/INFLOW//1MON/L2020A/</t>
  </si>
  <si>
    <t>/CALSIM/I_JWB001/INFLOW//1MON/L2020A/</t>
  </si>
  <si>
    <t>/CALSIM/I_MFT000/INFLOW//1MON/L2020A/</t>
  </si>
  <si>
    <t>/CALSIM/I_NFT008/INFLOW//1MON/L2020A/</t>
  </si>
  <si>
    <t>/CALSIM/I_SFT003/INFLOW//1MON/L2020A/</t>
  </si>
  <si>
    <t>/CALSIM/I_TUO105/INFLOW//1MON/L2020A/</t>
  </si>
  <si>
    <t>/CALSIM/PP_BRS/PRECIP//1MON/L2020A/</t>
  </si>
  <si>
    <t>/CALSIM/PP_CAM/PRECIP//1MON/L2020A/</t>
  </si>
  <si>
    <t>/CALSIM/PP_CNY/PRECIP//1MON/L2020A/</t>
  </si>
  <si>
    <t>/CALSIM/PP_DES/PRECIP//1MON/L2020A/</t>
  </si>
  <si>
    <t>/CALSIM/PP_ORO/PRECIP//1MON/L2020A/</t>
  </si>
  <si>
    <t>/CALSIM/PP_QCY/PRECIP//1MON/L2020A/</t>
  </si>
  <si>
    <t>/CALSIM/PP_SBY/PRECIP//1MON/L2020A/</t>
  </si>
  <si>
    <t>/CALSIM/PP_SVL/PRECIP//1MON/L2020A/</t>
  </si>
  <si>
    <t>/CALSIM/UD_EDCOCA_NU4/URBAN-DEMAND//1MON/L2020A/</t>
  </si>
  <si>
    <t>/CALSIM/UD_GDPUD_PU/URBAN-DEMAND//1MON/L2020A/</t>
  </si>
  <si>
    <t>/CALSIM/WW_GDPUD_PU/WASTEWATER//1MON/L2020A/</t>
  </si>
  <si>
    <t>/CALSIM/WYT_SAC_VA_/WATERYEARTYPE//1MON/L2020A/</t>
  </si>
  <si>
    <t>/CALSIM/CT_MELON_SV/CLOSURE-TERM//1MON/L2020A/</t>
  </si>
  <si>
    <t>/CALSIM/CT_PEDRO_SV/CLOSURE-TERM//1MON/L2020A/</t>
  </si>
  <si>
    <t>/CALSIM/CT_PARDE_SV/CLOSURE-TERM//1MON/L2020A/</t>
  </si>
  <si>
    <t>/CALSIM/DEM_D_ESB355_LROCK_PIN/DEMAND-SWP-IN//1MON/L2020A/</t>
  </si>
  <si>
    <t>/CALSIM/DEM_D_ESB403_MOJVE_PIN/DEMAND-SWP-IN//1MON/L2020A/</t>
  </si>
  <si>
    <t>LTOhis_CS3SV_extraPPT19_cp</t>
  </si>
  <si>
    <t>adj_SV_CS3LTO_0803_pointPrec.dss</t>
  </si>
  <si>
    <t>/CALSIM/PP_ADS/PRECIP//1MON/L2020ADJ/</t>
  </si>
  <si>
    <t>/CALSIM/PP_ADS/PRECIP//1MON/L2020A/</t>
  </si>
  <si>
    <t>/CALSIM/PP_BLB/PRECIP//1MON/L2020ADJ/</t>
  </si>
  <si>
    <t>/CALSIM/PP_BLB/PRECIP//1MON/L2020A/</t>
  </si>
  <si>
    <t>/CALSIM/PP_BNR/PRECIP//1MON/L2020ADJ/</t>
  </si>
  <si>
    <t>/CALSIM/PP_BNR/PRECIP//1MON/L2020A/</t>
  </si>
  <si>
    <t>/CALSIM/PP_BUC/PRECIP//1MON/L2020ADJ/</t>
  </si>
  <si>
    <t>/CALSIM/PP_BUC/PRECIP//1MON/L2020A/</t>
  </si>
  <si>
    <t>/CALSIM/PP_HID/PRECIP//1MON/L2020ADJ/</t>
  </si>
  <si>
    <t>/CALSIM/PP_HID/PRECIP//1MON/L2020A/</t>
  </si>
  <si>
    <t>/CALSIM/PP_LGS/PRECIP//1MON/L2020ADJ/</t>
  </si>
  <si>
    <t>/CALSIM/PP_LGS/PRECIP//1MON/L2020A/</t>
  </si>
  <si>
    <t>/CALSIM/PP_MGN/PRECIP//1MON/L2020ADJ/</t>
  </si>
  <si>
    <t>/CALSIM/PP_MGN/PRECIP//1MON/L2020A/</t>
  </si>
  <si>
    <t>/CALSIM/PP_NHG/PRECIP//1MON/L2020ADJ/</t>
  </si>
  <si>
    <t>/CALSIM/PP_NHG/PRECIP//1MON/L2020A/</t>
  </si>
  <si>
    <t>/CALSIM/PP_NLS/PRECIP//1MON/L2020ADJ/</t>
  </si>
  <si>
    <t>/CALSIM/PP_NLS/PRECIP//1MON/L2020A/</t>
  </si>
  <si>
    <t>/CALSIM/PP_OKH/PRECIP//1MON/L2020ADJ/</t>
  </si>
  <si>
    <t>/CALSIM/PP_OKH/PRECIP//1MON/L2020A/</t>
  </si>
  <si>
    <t>/CALSIM/PP_PRY/PRECIP//1MON/L2020ADJ/</t>
  </si>
  <si>
    <t>/CALSIM/PP_PRY/PRECIP//1MON/L2020A/</t>
  </si>
  <si>
    <t>/CALSIM/PP_RRF/PRECIP//1MON/L2020ADJ/</t>
  </si>
  <si>
    <t>/CALSIM/PP_RRF/PRECIP//1MON/L2020A/</t>
  </si>
  <si>
    <t>/CALSIM/PP_SHR/PRECIP//1MON/L2020ADJ/</t>
  </si>
  <si>
    <t>/CALSIM/PP_SHR/PRECIP//1MON/L2020A/</t>
  </si>
  <si>
    <t>/CALSIM/PP_TRS/PRECIP//1MON/L2020ADJ/</t>
  </si>
  <si>
    <t>/CALSIM/PP_TRS/PRECIP//1MON/L2020A/</t>
  </si>
  <si>
    <t>/CALSIM/PP_WST/PRECIP//1MON/L2020ADJ/</t>
  </si>
  <si>
    <t>/CALSIM/PP_WST/PRECIP//1MON/L2020A/</t>
  </si>
  <si>
    <t>/CALSIM/P_HTCHY/PRECIP//1MON/L2020ADJ/</t>
  </si>
  <si>
    <t>/CALSIM/P_HTCHY/PRECIP//1MON/L2020A/</t>
  </si>
  <si>
    <t>/CALSIM/P_LODI/PRECIP//1MON/L2020ADJ/</t>
  </si>
  <si>
    <t>/CALSIM/P_LODI/PRECIP//1MON/L2020A/</t>
  </si>
  <si>
    <t>/CALSIM/SPAULDING_PRECIP/PRECIP//1MON/L2020ADJ/</t>
  </si>
  <si>
    <t>/CALSIM/SPAULDING_PRECIP/PRECIP//1MON/L2020A/</t>
  </si>
  <si>
    <t>/CALSIM/I422_PPT/PRECIP-RATE//1MON/L2020ADJ/</t>
  </si>
  <si>
    <t>/CALSIM/I422_PPT/PRECIP-RATE//1MON/L2020A/</t>
  </si>
  <si>
    <t>LTOhis_CS3SV_Rim_IMP_L2020A_L2020A_cp</t>
  </si>
  <si>
    <t>I_MLRTN_HistAdj.dss</t>
  </si>
  <si>
    <t>/CALSIM/I_MLRTN_IMP/INFLOW//1MON/L2020ADJ/</t>
  </si>
  <si>
    <t>/CALSIM/I_MLRTN_IMP/INFLOW//1MON/L2020A/</t>
  </si>
  <si>
    <t>/CALSIM/I_MLRTN/INFLOW//1MON/L2020ADJ/</t>
  </si>
  <si>
    <t>/CALSIM/I_MLRTN/INFLOW//1MON/L2020A/</t>
  </si>
  <si>
    <t>LTOhis_CS3SV_HydroForecast11UnimpPPT10TemVPD_uhh_cp</t>
  </si>
  <si>
    <t>HydroForecastInputForHao.dss</t>
  </si>
  <si>
    <t>/CALSIM/PPT_FOLS/PRECIP//1MON/L2020A/</t>
  </si>
  <si>
    <t>/CALSIM/PPT_FOLS_UHH/PRECIP//1MON/L2020A/</t>
  </si>
  <si>
    <t>/CALSIM/PPT_ME/PRECIP//1MON/L2020A/</t>
  </si>
  <si>
    <t>/CALSIM/PPT_ME_UHH/PRECIP//1MON/L2020A/</t>
  </si>
  <si>
    <t>/CALSIM/PPT_OROV/PRECIP//1MON/L2020A/</t>
  </si>
  <si>
    <t>/CALSIM/PPT_OROV_UHH/PRECIP//1MON/L2020A/</t>
  </si>
  <si>
    <t>/CALSIM/PPT_SHAS/PRECIP//1MON/L2020A/</t>
  </si>
  <si>
    <t>/CALSIM/PPT_SHAS_UHH/PRECIP//1MON/L2020A/</t>
  </si>
  <si>
    <t>/CALSIM/PPT_SJ/PRECIP//1MON/L2020A/</t>
  </si>
  <si>
    <t>/CALSIM/PPT_SJ_UHH/PRECIP//1MON/L2020A/</t>
  </si>
  <si>
    <t>/CALSIM/PPT_ST/PRECIP//1MON/L2020A/</t>
  </si>
  <si>
    <t>/CALSIM/PPT_ST_UHH/PRECIP//1MON/L2020A/</t>
  </si>
  <si>
    <t>/CALSIM/PPT_TR/PRECIP//1MON/L2020A/</t>
  </si>
  <si>
    <t>/CALSIM/PPT_TR_UHH/PRECIP//1MON/L2020A/</t>
  </si>
  <si>
    <t>/CALSIM/PPT_TU/PRECIP//1MON/L2020A/</t>
  </si>
  <si>
    <t>/CALSIM/PPT_TU_UHH/PRECIP//1MON/L2020A/</t>
  </si>
  <si>
    <t>/CALSIM/PPT_WH/PRECIP//1MON/L2020A/</t>
  </si>
  <si>
    <t>/CALSIM/PPT_WH_UHH/PRECIP//1MON/L2020A/</t>
  </si>
  <si>
    <t>/CALSIM/PPT_YUBA/PRECIP//1MON/L2020A/</t>
  </si>
  <si>
    <t>/CALSIM/PPT_YUBA_UHH/PRECIP//1MON/L2020A/</t>
  </si>
  <si>
    <t>/CALSIM/UNIMP_FOLS/FLOW-UNIMPAIRED//1MON/L2020A/</t>
  </si>
  <si>
    <t>/CALSIM/UNIMP_FOLS_UHH/FLOW-UNIMPAIRED//1MON/L2020A/</t>
  </si>
  <si>
    <t>/CALSIM/UNIMP_ME/FLOW-UNIMPAIRED//1MON/L2020A/</t>
  </si>
  <si>
    <t>/CALSIM/UNIMP_ME_UHH/FLOW-UNIMPAIRED//1MON/L2020A/</t>
  </si>
  <si>
    <t>/CALSIM/UNIMP_OROV/FLOW-UNIMPAIRED//1MON/L2020A/</t>
  </si>
  <si>
    <t>/CALSIM/UNIMP_OROV_UHH/FLOW-UNIMPAIRED//1MON/L2020A/</t>
  </si>
  <si>
    <t>/CALSIM/UNIMP_SHAS/FLOW-UNIMPAIRED//1MON/L2020A/</t>
  </si>
  <si>
    <t>/CALSIM/UNIMP_SHAS_UHH/FLOW-UNIMPAIRED//1MON/L2020A/</t>
  </si>
  <si>
    <t>/CALSIM/UNIMP_SJ/FLOW-UNIMPAIRED//1MON/L2020A/</t>
  </si>
  <si>
    <t>/CALSIM/UNIMP_SJ_UHH/FLOW-UNIMPAIRED//1MON/L2020A/</t>
  </si>
  <si>
    <t>/CALSIM/UNIMP_SRBB/FLOW-UNIMPAIRED//1MON/L2020A/</t>
  </si>
  <si>
    <t>/CALSIM/UNIMP_SRBB_UHH/FLOW-UNIMPAIRED//1MON/L2020A/</t>
  </si>
  <si>
    <t>/CALSIM/UNIMP_ST/FLOW-UNIMPAIRED//1MON/L2020A/</t>
  </si>
  <si>
    <t>/CALSIM/UNIMP_ST_UHH/FLOW-UNIMPAIRED//1MON/L2020A/</t>
  </si>
  <si>
    <t>/CALSIM/UNIMP_TRIN/FLOW-UNIMPAIRED//1MON/L2020A/</t>
  </si>
  <si>
    <t>/CALSIM/UNIMP_TRIN_UHH/FLOW-UNIMPAIRED//1MON/L2020A/</t>
  </si>
  <si>
    <t>/CALSIM/UNIMP_TU/FLOW-UNIMPAIRED//1MON/L2020A/</t>
  </si>
  <si>
    <t>/CALSIM/UNIMP_TU_UHH/FLOW-UNIMPAIRED//1MON/L2020A/</t>
  </si>
  <si>
    <t>/CALSIM/UNIMP_WH/FLOW-UNIMPAIRED//1MON/L2020A/</t>
  </si>
  <si>
    <t>/CALSIM/UNIMP_WH_UHH/FLOW-UNIMPAIRED//1MON/L2020A/</t>
  </si>
  <si>
    <t>/CALSIM/UNIMP_YUBA/FLOW-UNIMPAIRED//1MON/L2020A/</t>
  </si>
  <si>
    <t>/CALSIM/UNIMP_YUBA_UHH/FLOW-UNIMPAIRED//1MON/L2020A/</t>
  </si>
  <si>
    <t>/CALSIM/TFO/TEMPERATURE//1MON/L2020A/</t>
  </si>
  <si>
    <t>/CALSIM/TFO_UHH/TEMPERATURE//1MON/L2020A/</t>
  </si>
  <si>
    <t>/CALSIM/TME/TEMPERATURE//1MON/L2020A/</t>
  </si>
  <si>
    <t>/CALSIM/TME_UHH/TEMPERATURE//1MON/L2020A/</t>
  </si>
  <si>
    <t>/CALSIM/TOR/TEMPERATURE//1MON/L2020A/</t>
  </si>
  <si>
    <t>/CALSIM/TOR_UHH/TEMPERATURE//1MON/L2020A/</t>
  </si>
  <si>
    <t>/CALSIM/TSH/TEMPERATURE//1MON/L2020A/</t>
  </si>
  <si>
    <t>/CALSIM/TSH_UHH/TEMPERATURE//1MON/L2020A/</t>
  </si>
  <si>
    <t>/CALSIM/TSJ/TEMPERATURE//1MON/L2020A/</t>
  </si>
  <si>
    <t>/CALSIM/TSJ_UHH/TEMPERATURE//1MON/L2020A/</t>
  </si>
  <si>
    <t>/CALSIM/TST/TEMPERATURE//1MON/L2020A/</t>
  </si>
  <si>
    <t>/CALSIM/TST_UHH/TEMPERATURE//1MON/L2020A/</t>
  </si>
  <si>
    <t>/CALSIM/TTR/TEMPERATURE//1MON/L2020A/</t>
  </si>
  <si>
    <t>/CALSIM/TTR_UHH/TEMPERATURE//1MON/L2020A/</t>
  </si>
  <si>
    <t>/CALSIM/TTU/TEMPERATURE//1MON/L2020A/</t>
  </si>
  <si>
    <t>/CALSIM/TTU_UHH/TEMPERATURE//1MON/L2020A/</t>
  </si>
  <si>
    <t>/CALSIM/TWH/TEMPERATURE//1MON/L2020A/</t>
  </si>
  <si>
    <t>/CALSIM/TWH_UHH/TEMPERATURE//1MON/L2020A/</t>
  </si>
  <si>
    <t>/CALSIM/TYU/TEMPERATURE//1MON/L2020A/</t>
  </si>
  <si>
    <t>/CALSIM/TYU_UHH/TEMPERATURE//1MON/L2020A/</t>
  </si>
  <si>
    <t>/CALSIM/VPDFO/VPD//1MON/L2020A/</t>
  </si>
  <si>
    <t>/CALSIM/VPDFO_UHH/VPD//1MON/L2020A/</t>
  </si>
  <si>
    <t>/CALSIM/VPDME/VPD//1MON/L2020A/</t>
  </si>
  <si>
    <t>/CALSIM/VPDME_UHH/VPD//1MON/L2020A/</t>
  </si>
  <si>
    <t>/CALSIM/VPDOR/VPD//1MON/L2020A/</t>
  </si>
  <si>
    <t>/CALSIM/VPDOR_UHH/VPD//1MON/L2020A/</t>
  </si>
  <si>
    <t>/CALSIM/VPDSH/VPD//1MON/L2020A/</t>
  </si>
  <si>
    <t>/CALSIM/VPDSH_UHH/VPD//1MON/L2020A/</t>
  </si>
  <si>
    <t>/CALSIM/VPDSJ/VPD//1MON/L2020A/</t>
  </si>
  <si>
    <t>/CALSIM/VPDSJ_UHH/VPD//1MON/L2020A/</t>
  </si>
  <si>
    <t>/CALSIM/VPDST/VPD//1MON/L2020A/</t>
  </si>
  <si>
    <t>/CALSIM/VPDST_UHH/VPD//1MON/L2020A/</t>
  </si>
  <si>
    <t>/CALSIM/VPDTR/VPD//1MON/L2020A/</t>
  </si>
  <si>
    <t>/CALSIM/VPDTR_UHH/VPD//1MON/L2020A/</t>
  </si>
  <si>
    <t>/CALSIM/VPDTU/VPD//1MON/L2020A/</t>
  </si>
  <si>
    <t>/CALSIM/VPDTU_UHH/VPD//1MON/L2020A/</t>
  </si>
  <si>
    <t>/CALSIM/VPDWH/VPD//1MON/L2020A/</t>
  </si>
  <si>
    <t>/CALSIM/VPDWH_UHH/VPD//1MON/L2020A/</t>
  </si>
  <si>
    <t>/CALSIM/VPDYU/VPD//1MON/L2020A/</t>
  </si>
  <si>
    <t>/CALSIM/VPDYU_UHH/VPD//1MON/L2020A/</t>
  </si>
  <si>
    <t>LTOhis_CS3SV_Rim_218Inflow_cp</t>
  </si>
  <si>
    <t>adj_SV_CS3LTO_0803_riminflow20231214.dss</t>
  </si>
  <si>
    <t>/CALSIM/I_PTH070/INFLOW//1MON/L2020ADJ/</t>
  </si>
  <si>
    <t>/CALSIM/I_PTH070/INFLOW//1MON/L2020A/</t>
  </si>
  <si>
    <t>/CALSIM/I_SHSTA/INFLOW//1MON/L2020ADJ/</t>
  </si>
  <si>
    <t>/CALSIM/I_SHSTA/INFLOW//1MON/L2020A/</t>
  </si>
  <si>
    <t>/CALSIM/I_WKYTN/INFLOW//1MON/L2020ADJ/</t>
  </si>
  <si>
    <t>/CALSIM/I_WKYTN/INFLOW//1MON/L2020A/</t>
  </si>
  <si>
    <t>/CALSIM/I_CLR011/INFLOW//1MON/L2020ADJ/</t>
  </si>
  <si>
    <t>/CALSIM/I_CLR011/INFLOW//1MON/L2020A/</t>
  </si>
  <si>
    <t>/CALSIM/I_CWD018/INFLOW//1MON/L2020ADJ/</t>
  </si>
  <si>
    <t>/CALSIM/I_CWD018/INFLOW//1MON/L2020A/</t>
  </si>
  <si>
    <t>/CALSIM/I_SCW008/INFLOW//1MON/L2020ADJ/</t>
  </si>
  <si>
    <t>/CALSIM/I_SCW008/INFLOW//1MON/L2020A/</t>
  </si>
  <si>
    <t>/CALSIM/I_COW014/INFLOW//1MON/L2020ADJ/</t>
  </si>
  <si>
    <t>/CALSIM/I_COW014/INFLOW//1MON/L2020A/</t>
  </si>
  <si>
    <t>/CALSIM/I_BTL006/INFLOW//1MON/L2020ADJ/</t>
  </si>
  <si>
    <t>/CALSIM/I_BTL006/INFLOW//1MON/L2020A/</t>
  </si>
  <si>
    <t>/CALSIM/I_BCN010/INFLOW//1MON/L2020ADJ/</t>
  </si>
  <si>
    <t>/CALSIM/I_BCN010/INFLOW//1MON/L2020A/</t>
  </si>
  <si>
    <t>/CALSIM/I_ANTLP/INFLOW//1MON/L2020ADJ/</t>
  </si>
  <si>
    <t>/CALSIM/I_ANTLP/INFLOW//1MON/L2020A/</t>
  </si>
  <si>
    <t>/CALSIM/I_BUCKS/INFLOW//1MON/L2020ADJ/</t>
  </si>
  <si>
    <t>/CALSIM/I_BUCKS/INFLOW//1MON/L2020A/</t>
  </si>
  <si>
    <t>/CALSIM/I_DAVIS/INFLOW//1MON/L2020ADJ/</t>
  </si>
  <si>
    <t>/CALSIM/I_DAVIS/INFLOW//1MON/L2020A/</t>
  </si>
  <si>
    <t>/CALSIM/I_EBF001/INFLOW//1MON/L2020ADJ/</t>
  </si>
  <si>
    <t>/CALSIM/I_EBF001/INFLOW//1MON/L2020A/</t>
  </si>
  <si>
    <t>/CALSIM/I_FRMAN/INFLOW//1MON/L2020ADJ/</t>
  </si>
  <si>
    <t>/CALSIM/I_FRMAN/INFLOW//1MON/L2020A/</t>
  </si>
  <si>
    <t>/CALSIM/I_GZL009/INFLOW//1MON/L2020ADJ/</t>
  </si>
  <si>
    <t>/CALSIM/I_GZL009/INFLOW//1MON/L2020A/</t>
  </si>
  <si>
    <t>/CALSIM/I_LGRSV/INFLOW//1MON/L2020ADJ/</t>
  </si>
  <si>
    <t>/CALSIM/I_LGRSV/INFLOW//1MON/L2020A/</t>
  </si>
  <si>
    <t>/CALSIM/I_MFF019/INFLOW//1MON/L2020ADJ/</t>
  </si>
  <si>
    <t>/CALSIM/I_MFF019/INFLOW//1MON/L2020A/</t>
  </si>
  <si>
    <t>/CALSIM/I_MFF087/INFLOW//1MON/L2020ADJ/</t>
  </si>
  <si>
    <t>/CALSIM/I_MFF087/INFLOW//1MON/L2020A/</t>
  </si>
  <si>
    <t>/CALSIM/I_RVPHB/INFLOW//1MON/L2020ADJ/</t>
  </si>
  <si>
    <t>/CALSIM/I_RVPHB/INFLOW//1MON/L2020A/</t>
  </si>
  <si>
    <t>/CALSIM/I_SFF008/INFLOW//1MON/L2020ADJ/</t>
  </si>
  <si>
    <t>/CALSIM/I_SFF008/INFLOW//1MON/L2020A/</t>
  </si>
  <si>
    <t>/CALSIM/I_SFF011/INFLOW//1MON/L2020ADJ/</t>
  </si>
  <si>
    <t>/CALSIM/I_SFF011/INFLOW//1MON/L2020A/</t>
  </si>
  <si>
    <t>/CALSIM/I_SLYCK/INFLOW//1MON/L2020ADJ/</t>
  </si>
  <si>
    <t>/CALSIM/I_SLYCK/INFLOW//1MON/L2020A/</t>
  </si>
  <si>
    <t>/CALSIM/I_WBF006/INFLOW//1MON/L2020ADJ/</t>
  </si>
  <si>
    <t>/CALSIM/I_WBF006/INFLOW//1MON/L2020A/</t>
  </si>
  <si>
    <t>/CALSIM/I_WBF015/INFLOW//1MON/L2020ADJ/</t>
  </si>
  <si>
    <t>/CALSIM/I_WBF015/INFLOW//1MON/L2020A/</t>
  </si>
  <si>
    <t>/CALSIM/I_WBF030/INFLOW//1MON/L2020ADJ/</t>
  </si>
  <si>
    <t>/CALSIM/I_WBF030/INFLOW//1MON/L2020A/</t>
  </si>
  <si>
    <t>/CALSIM/I_HON021/INFLOW//1MON/L2020ADJ/</t>
  </si>
  <si>
    <t>/CALSIM/I_HON021/INFLOW//1MON/L2020A/</t>
  </si>
  <si>
    <t>/CALSIM/I_MERLC/INFLOW//1MON/L2020ADJ/</t>
  </si>
  <si>
    <t>/CALSIM/I_MERLC/INFLOW//1MON/L2020A/</t>
  </si>
  <si>
    <t>/CALSIM/I_OGN005/INFLOW//1MON/L2020ADJ/</t>
  </si>
  <si>
    <t>/CALSIM/I_OGN005/INFLOW//1MON/L2020A/</t>
  </si>
  <si>
    <t>/CALSIM/I_JKSMD/INFLOW//1MON/L2020ADJ/</t>
  </si>
  <si>
    <t>/CALSIM/I_JKSMD/INFLOW//1MON/L2020A/</t>
  </si>
  <si>
    <t>/CALSIM/I_MFY013/INFLOW//1MON/L2020ADJ/</t>
  </si>
  <si>
    <t>/CALSIM/I_MFY013/INFLOW//1MON/L2020A/</t>
  </si>
  <si>
    <t>/CALSIM/I_FRNCH/INFLOW//1MON/L2020ADJ/</t>
  </si>
  <si>
    <t>/CALSIM/I_FRNCH/INFLOW//1MON/L2020A/</t>
  </si>
  <si>
    <t>/CALSIM/I_BOWMN/INFLOW//1MON/L2020ADJ/</t>
  </si>
  <si>
    <t>/CALSIM/I_BOWMN/INFLOW//1MON/L2020A/</t>
  </si>
  <si>
    <t>/CALSIM/I_LCBRF/INFLOW//1MON/L2020ADJ/</t>
  </si>
  <si>
    <t>/CALSIM/I_LCBRF/INFLOW//1MON/L2020A/</t>
  </si>
  <si>
    <t>/CALSIM/I_SFY007/INFLOW//1MON/L2020ADJ/</t>
  </si>
  <si>
    <t>/CALSIM/I_SFY007/INFLOW//1MON/L2020A/</t>
  </si>
  <si>
    <t>/CALSIM/I_SLT009/INFLOW//1MON/L2020ADJ/</t>
  </si>
  <si>
    <t>/CALSIM/I_SLT009/INFLOW//1MON/L2020A/</t>
  </si>
  <si>
    <t>/CALSIM/I_NFY029/INFLOW//1MON/L2020ADJ/</t>
  </si>
  <si>
    <t>/CALSIM/I_NFY029/INFLOW//1MON/L2020A/</t>
  </si>
  <si>
    <t>/CALSIM/I_NBLDB/INFLOW//1MON/L2020ADJ/</t>
  </si>
  <si>
    <t>/CALSIM/I_NBLDB/INFLOW//1MON/L2020A/</t>
  </si>
  <si>
    <t>/CALSIM/I_ENGLB/INFLOW//1MON/L2020ADJ/</t>
  </si>
  <si>
    <t>/CALSIM/I_ENGLB/INFLOW//1MON/L2020A/</t>
  </si>
  <si>
    <t>/CALSIM/I_SFY048/INFLOW//1MON/L2020ADJ/</t>
  </si>
  <si>
    <t>/CALSIM/I_SFY048/INFLOW//1MON/L2020A/</t>
  </si>
  <si>
    <t>/CALSIM/I_SPLDG/INFLOW//1MON/L2020ADJ/</t>
  </si>
  <si>
    <t>/CALSIM/I_SPLDG/INFLOW//1MON/L2020A/</t>
  </si>
  <si>
    <t>/CALSIM/I_FRDYC/INFLOW//1MON/L2020ADJ/</t>
  </si>
  <si>
    <t>/CALSIM/I_FRDYC/INFLOW//1MON/L2020A/</t>
  </si>
  <si>
    <t>/CALSIM/I_SFD003/INFLOW//1MON/L2020ADJ/</t>
  </si>
  <si>
    <t>/CALSIM/I_SFD003/INFLOW//1MON/L2020A/</t>
  </si>
  <si>
    <t>/CALSIM/I_SCOTF/INFLOW//1MON/L2020ADJ/</t>
  </si>
  <si>
    <t>/CALSIM/I_SCOTF/INFLOW//1MON/L2020A/</t>
  </si>
  <si>
    <t>/CALSIM/I_DER004/INFLOW//1MON/L2020ADJ/</t>
  </si>
  <si>
    <t>/CALSIM/I_DER004/INFLOW//1MON/L2020A/</t>
  </si>
  <si>
    <t>/CALSIM/I_DER001/INFLOW//1MON/L2020ADJ/</t>
  </si>
  <si>
    <t>/CALSIM/I_DER001/INFLOW//1MON/L2020A/</t>
  </si>
  <si>
    <t>/CALSIM/I_DHC021/INFLOW//1MON/L2020ADJ/</t>
  </si>
  <si>
    <t>/CALSIM/I_DHC021/INFLOW//1MON/L2020A/</t>
  </si>
  <si>
    <t>/CALSIM/I_BRR023/INFLOW//1MON/L2020ADJ/</t>
  </si>
  <si>
    <t>/CALSIM/I_BRR023/INFLOW//1MON/L2020A/</t>
  </si>
  <si>
    <t>/CALSIM/I_CMBIE/INFLOW//1MON/L2020ADJ/</t>
  </si>
  <si>
    <t>/CALSIM/I_CMBIE/INFLOW//1MON/L2020A/</t>
  </si>
  <si>
    <t>/CALSIM/I_CMPFW/INFLOW//1MON/L2020ADJ/</t>
  </si>
  <si>
    <t>/CALSIM/I_CMPFW/INFLOW//1MON/L2020A/</t>
  </si>
  <si>
    <t>/CALSIM/I_RLLNS/INFLOW//1MON/L2020ADJ/</t>
  </si>
  <si>
    <t>/CALSIM/I_RLLNS/INFLOW//1MON/L2020A/</t>
  </si>
  <si>
    <t>/CALSIM/I_WLF013/INFLOW//1MON/L2020ADJ/</t>
  </si>
  <si>
    <t>/CALSIM/I_WLF013/INFLOW//1MON/L2020A/</t>
  </si>
  <si>
    <t>/CALSIM/I_CYN009/INFLOW//1MON/L2020ADJ/</t>
  </si>
  <si>
    <t>/CALSIM/I_CYN009/INFLOW//1MON/L2020A/</t>
  </si>
  <si>
    <t>/CALSIM/I_LKVLY/INFLOW//1MON/L2020ADJ/</t>
  </si>
  <si>
    <t>/CALSIM/I_LKVLY/INFLOW//1MON/L2020A/</t>
  </si>
  <si>
    <t>/CALSIM/I_NFA022/INFLOW//1MON/L2020ADJ/</t>
  </si>
  <si>
    <t>/CALSIM/I_NFA022/INFLOW//1MON/L2020A/</t>
  </si>
  <si>
    <t>/CALSIM/I_NFA054/INFLOW//1MON/L2020ADJ/</t>
  </si>
  <si>
    <t>/CALSIM/I_NFA054/INFLOW//1MON/L2020A/</t>
  </si>
  <si>
    <t>/CALSIM/I_NNA013/INFLOW//1MON/L2020ADJ/</t>
  </si>
  <si>
    <t>/CALSIM/I_NNA013/INFLOW//1MON/L2020A/</t>
  </si>
  <si>
    <t>/CALSIM/I_NFA016/INFLOW//1MON/L2020ADJ/</t>
  </si>
  <si>
    <t>/CALSIM/I_NFA016/INFLOW//1MON/L2020A/</t>
  </si>
  <si>
    <t>/CALSIM/I_DCC010/INFLOW//1MON/L2020ADJ/</t>
  </si>
  <si>
    <t>/CALSIM/I_DCC010/INFLOW//1MON/L2020A/</t>
  </si>
  <si>
    <t>/CALSIM/I_FRMDW/INFLOW//1MON/L2020ADJ/</t>
  </si>
  <si>
    <t>/CALSIM/I_FRMDW/INFLOW//1MON/L2020A/</t>
  </si>
  <si>
    <t>/CALSIM/I_GERLE/INFLOW//1MON/L2020ADJ/</t>
  </si>
  <si>
    <t>/CALSIM/I_GERLE/INFLOW//1MON/L2020A/</t>
  </si>
  <si>
    <t>/CALSIM/I_HHOLE/INFLOW//1MON/L2020ADJ/</t>
  </si>
  <si>
    <t>/CALSIM/I_HHOLE/INFLOW//1MON/L2020A/</t>
  </si>
  <si>
    <t>/CALSIM/I_LNG012/INFLOW//1MON/L2020ADJ/</t>
  </si>
  <si>
    <t>/CALSIM/I_LNG012/INFLOW//1MON/L2020A/</t>
  </si>
  <si>
    <t>/CALSIM/I_LOONL/INFLOW//1MON/L2020ADJ/</t>
  </si>
  <si>
    <t>/CALSIM/I_LOONL/INFLOW//1MON/L2020A/</t>
  </si>
  <si>
    <t>/CALSIM/I_LRB004/INFLOW//1MON/L2020ADJ/</t>
  </si>
  <si>
    <t>/CALSIM/I_LRB004/INFLOW//1MON/L2020A/</t>
  </si>
  <si>
    <t>/CALSIM/I_MFA001/INFLOW//1MON/L2020ADJ/</t>
  </si>
  <si>
    <t>/CALSIM/I_MFA001/INFLOW//1MON/L2020A/</t>
  </si>
  <si>
    <t>/CALSIM/I_MFA023/INFLOW//1MON/L2020ADJ/</t>
  </si>
  <si>
    <t>/CALSIM/I_MFA023/INFLOW//1MON/L2020A/</t>
  </si>
  <si>
    <t>/CALSIM/I_MFA025/INFLOW//1MON/L2020ADJ/</t>
  </si>
  <si>
    <t>/CALSIM/I_MFA025/INFLOW//1MON/L2020A/</t>
  </si>
  <si>
    <t>/CALSIM/I_MFA036/INFLOW//1MON/L2020ADJ/</t>
  </si>
  <si>
    <t>/CALSIM/I_MFA036/INFLOW//1MON/L2020A/</t>
  </si>
  <si>
    <t>/CALSIM/I_NLC003/INFLOW//1MON/L2020ADJ/</t>
  </si>
  <si>
    <t>/CALSIM/I_NLC003/INFLOW//1MON/L2020A/</t>
  </si>
  <si>
    <t>/CALSIM/I_NMA003/INFLOW//1MON/L2020ADJ/</t>
  </si>
  <si>
    <t>/CALSIM/I_NMA003/INFLOW//1MON/L2020A/</t>
  </si>
  <si>
    <t>/CALSIM/I_PLC007/INFLOW//1MON/L2020ADJ/</t>
  </si>
  <si>
    <t>/CALSIM/I_PLC007/INFLOW//1MON/L2020A/</t>
  </si>
  <si>
    <t>/CALSIM/I_RUB002/INFLOW//1MON/L2020ADJ/</t>
  </si>
  <si>
    <t>/CALSIM/I_RUB002/INFLOW//1MON/L2020A/</t>
  </si>
  <si>
    <t>/CALSIM/I_RUB047/INFLOW//1MON/L2020ADJ/</t>
  </si>
  <si>
    <t>/CALSIM/I_RUB047/INFLOW//1MON/L2020A/</t>
  </si>
  <si>
    <t>/CALSIM/I_SFR006/INFLOW//1MON/L2020ADJ/</t>
  </si>
  <si>
    <t>/CALSIM/I_SFR006/INFLOW//1MON/L2020A/</t>
  </si>
  <si>
    <t>/CALSIM/I_SLC003/INFLOW//1MON/L2020ADJ/</t>
  </si>
  <si>
    <t>/CALSIM/I_SLC003/INFLOW//1MON/L2020A/</t>
  </si>
  <si>
    <t>/CALSIM/I_STMPY/INFLOW//1MON/L2020ADJ/</t>
  </si>
  <si>
    <t>/CALSIM/I_STMPY/INFLOW//1MON/L2020A/</t>
  </si>
  <si>
    <t>/CALSIM/I_ALD002/INFLOW//1MON/L2020ADJ/</t>
  </si>
  <si>
    <t>/CALSIM/I_ALD002/INFLOW//1MON/L2020A/</t>
  </si>
  <si>
    <t>/CALSIM/I_ALD004/INFLOW//1MON/L2020ADJ/</t>
  </si>
  <si>
    <t>/CALSIM/I_ALD004/INFLOW//1MON/L2020A/</t>
  </si>
  <si>
    <t>/CALSIM/I_ALOHA/INFLOW//1MON/L2020ADJ/</t>
  </si>
  <si>
    <t>/CALSIM/I_ALOHA/INFLOW//1MON/L2020A/</t>
  </si>
  <si>
    <t>/CALSIM/I_BSH003/INFLOW//1MON/L2020ADJ/</t>
  </si>
  <si>
    <t>/CALSIM/I_BSH003/INFLOW//1MON/L2020A/</t>
  </si>
  <si>
    <t>/CALSIM/I_CAPLS/INFLOW//1MON/L2020ADJ/</t>
  </si>
  <si>
    <t>/CALSIM/I_CAPLS/INFLOW//1MON/L2020A/</t>
  </si>
  <si>
    <t>/CALSIM/I_ICEHS/INFLOW//1MON/L2020ADJ/</t>
  </si>
  <si>
    <t>/CALSIM/I_ICEHS/INFLOW//1MON/L2020A/</t>
  </si>
  <si>
    <t>/CALSIM/I_PLM001/INFLOW//1MON/L2020ADJ/</t>
  </si>
  <si>
    <t>/CALSIM/I_PLM001/INFLOW//1MON/L2020A/</t>
  </si>
  <si>
    <t>/CALSIM/I_PYR001/INFLOW//1MON/L2020ADJ/</t>
  </si>
  <si>
    <t>/CALSIM/I_PYR001/INFLOW//1MON/L2020A/</t>
  </si>
  <si>
    <t>/CALSIM/I_RCK001/INFLOW//1MON/L2020ADJ/</t>
  </si>
  <si>
    <t>/CALSIM/I_RCK001/INFLOW//1MON/L2020A/</t>
  </si>
  <si>
    <t>/CALSIM/I_SFA030/INFLOW//1MON/L2020ADJ/</t>
  </si>
  <si>
    <t>/CALSIM/I_SFA030/INFLOW//1MON/L2020A/</t>
  </si>
  <si>
    <t>/CALSIM/I_SFA040/INFLOW//1MON/L2020ADJ/</t>
  </si>
  <si>
    <t>/CALSIM/I_SFA040/INFLOW//1MON/L2020A/</t>
  </si>
  <si>
    <t>/CALSIM/I_SFA066/INFLOW//1MON/L2020ADJ/</t>
  </si>
  <si>
    <t>/CALSIM/I_SFA066/INFLOW//1MON/L2020A/</t>
  </si>
  <si>
    <t>/CALSIM/I_SFA076/INFLOW//1MON/L2020ADJ/</t>
  </si>
  <si>
    <t>/CALSIM/I_SFA076/INFLOW//1MON/L2020A/</t>
  </si>
  <si>
    <t>/CALSIM/I_SILVR/INFLOW//1MON/L2020ADJ/</t>
  </si>
  <si>
    <t>/CALSIM/I_SILVR/INFLOW//1MON/L2020A/</t>
  </si>
  <si>
    <t>/CALSIM/I_SLF009/INFLOW//1MON/L2020ADJ/</t>
  </si>
  <si>
    <t>/CALSIM/I_SLF009/INFLOW//1MON/L2020A/</t>
  </si>
  <si>
    <t>/CALSIM/I_SLV006/INFLOW//1MON/L2020ADJ/</t>
  </si>
  <si>
    <t>/CALSIM/I_SLV006/INFLOW//1MON/L2020A/</t>
  </si>
  <si>
    <t>/CALSIM/I_SLV015/INFLOW//1MON/L2020ADJ/</t>
  </si>
  <si>
    <t>/CALSIM/I_SLV015/INFLOW//1MON/L2020A/</t>
  </si>
  <si>
    <t>/CALSIM/I_UNVLY/INFLOW//1MON/L2020ADJ/</t>
  </si>
  <si>
    <t>/CALSIM/I_UNVLY/INFLOW//1MON/L2020A/</t>
  </si>
  <si>
    <t>/CALSIM/I_FOLSM/INFLOW//1MON/L2020ADJ/</t>
  </si>
  <si>
    <t>/CALSIM/I_FOLSM/INFLOW//1MON/L2020A/</t>
  </si>
  <si>
    <t>/CALSIM/I_WBR001/INFLOW//1MON/L2020ADJ/</t>
  </si>
  <si>
    <t>/CALSIM/I_WBR001/INFLOW//1MON/L2020A/</t>
  </si>
  <si>
    <t>/CALSIM/I_ECHOL/INFLOW//1MON/L2020ADJ/</t>
  </si>
  <si>
    <t>/CALSIM/I_ECHOL/INFLOW//1MON/L2020A/</t>
  </si>
  <si>
    <t>/CALSIM/I_ANG017/INFLOW//1MON/L2020ADJ/</t>
  </si>
  <si>
    <t>/CALSIM/I_ANG017/INFLOW//1MON/L2020A/</t>
  </si>
  <si>
    <t>/CALSIM/I_BEARD/INFLOW//1MON/L2020ADJ/</t>
  </si>
  <si>
    <t>/CALSIM/I_BEARD/INFLOW//1MON/L2020A/</t>
  </si>
  <si>
    <t>/CALSIM/I_BVC007/INFLOW//1MON/L2020ADJ/</t>
  </si>
  <si>
    <t>/CALSIM/I_BVC007/INFLOW//1MON/L2020A/</t>
  </si>
  <si>
    <t>/CALSIM/I_CFS001/INFLOW//1MON/L2020ADJ/</t>
  </si>
  <si>
    <t>/CALSIM/I_CFS001/INFLOW//1MON/L2020A/</t>
  </si>
  <si>
    <t>/CALSIM/I_DONLL/INFLOW//1MON/L2020ADJ/</t>
  </si>
  <si>
    <t>/CALSIM/I_DONLL/INFLOW//1MON/L2020A/</t>
  </si>
  <si>
    <t>/CALSIM/I_LYONS/INFLOW//1MON/L2020ADJ/</t>
  </si>
  <si>
    <t>/CALSIM/I_LYONS/INFLOW//1MON/L2020A/</t>
  </si>
  <si>
    <t>/CALSIM/I_MFS013/INFLOW//1MON/L2020ADJ/</t>
  </si>
  <si>
    <t>/CALSIM/I_MFS013/INFLOW//1MON/L2020A/</t>
  </si>
  <si>
    <t>/CALSIM/I_MFS022/INFLOW//1MON/L2020ADJ/</t>
  </si>
  <si>
    <t>/CALSIM/I_MFS022/INFLOW//1MON/L2020A/</t>
  </si>
  <si>
    <t>/CALSIM/I_MFS047/INFLOW//1MON/L2020ADJ/</t>
  </si>
  <si>
    <t>/CALSIM/I_MFS047/INFLOW//1MON/L2020A/</t>
  </si>
  <si>
    <t>/CALSIM/I_MIL003/INFLOW//1MON/L2020ADJ/</t>
  </si>
  <si>
    <t>/CALSIM/I_MIL003/INFLOW//1MON/L2020A/</t>
  </si>
  <si>
    <t>/CALSIM/I_NFS005/INFLOW//1MON/L2020ADJ/</t>
  </si>
  <si>
    <t>/CALSIM/I_NFS005/INFLOW//1MON/L2020A/</t>
  </si>
  <si>
    <t>/CALSIM/I_NFS009/INFLOW//1MON/L2020ADJ/</t>
  </si>
  <si>
    <t>/CALSIM/I_NFS009/INFLOW//1MON/L2020A/</t>
  </si>
  <si>
    <t>/CALSIM/I_NFS033/INFLOW//1MON/L2020ADJ/</t>
  </si>
  <si>
    <t>/CALSIM/I_NFS033/INFLOW//1MON/L2020A/</t>
  </si>
  <si>
    <t>/CALSIM/I_PCRST/INFLOW//1MON/L2020ADJ/</t>
  </si>
  <si>
    <t>/CALSIM/I_PCRST/INFLOW//1MON/L2020A/</t>
  </si>
  <si>
    <t>/CALSIM/I_RLIEF/INFLOW//1MON/L2020ADJ/</t>
  </si>
  <si>
    <t>/CALSIM/I_RLIEF/INFLOW//1MON/L2020A/</t>
  </si>
  <si>
    <t>/CALSIM/I_SFS030/INFLOW//1MON/L2020ADJ/</t>
  </si>
  <si>
    <t>/CALSIM/I_SFS030/INFLOW//1MON/L2020A/</t>
  </si>
  <si>
    <t>/CALSIM/I_SFS033/INFLOW//1MON/L2020ADJ/</t>
  </si>
  <si>
    <t>/CALSIM/I_SFS033/INFLOW//1MON/L2020A/</t>
  </si>
  <si>
    <t>/CALSIM/I_SPICE/INFLOW//1MON/L2020ADJ/</t>
  </si>
  <si>
    <t>/CALSIM/I_SPICE/INFLOW//1MON/L2020A/</t>
  </si>
  <si>
    <t>/CALSIM/I_STS072/INFLOW//1MON/L2020ADJ/</t>
  </si>
  <si>
    <t>/CALSIM/I_STS072/INFLOW//1MON/L2020A/</t>
  </si>
  <si>
    <t>/CALSIM/I_TULOC/INFLOW//1MON/L2020ADJ/</t>
  </si>
  <si>
    <t>/CALSIM/I_TULOC/INFLOW//1MON/L2020A/</t>
  </si>
  <si>
    <t>/CALSIM/I_TUO054/INFLOW//1MON/L2020ADJ/</t>
  </si>
  <si>
    <t>/CALSIM/I_TUO054/INFLOW//1MON/L2020A/</t>
  </si>
  <si>
    <t>/CALSIM/I_PEDRO/INFLOW//1MON/L2020ADJ/</t>
  </si>
  <si>
    <t>/CALSIM/I_PEDRO/INFLOW//1MON/L2020A/</t>
  </si>
  <si>
    <t>/CALSIM/I_ELENR/INFLOW//1MON/L2020ADJ/</t>
  </si>
  <si>
    <t>/CALSIM/I_ELENR/INFLOW//1MON/L2020A/</t>
  </si>
  <si>
    <t>/CALSIM/I_HTCHY/INFLOW//1MON/L2020ADJ/</t>
  </si>
  <si>
    <t>/CALSIM/I_HTCHY/INFLOW//1MON/L2020A/</t>
  </si>
  <si>
    <t>/CALSIM/I_LLOYD/INFLOW//1MON/L2020ADJ/</t>
  </si>
  <si>
    <t>/CALSIM/I_LLOYD/INFLOW//1MON/L2020A/</t>
  </si>
  <si>
    <t>/CALSIM/I_CHY006/INFLOW//1MON/L2020ADJ/</t>
  </si>
  <si>
    <t>/CALSIM/I_CVY009/INFLOW//1MON/L2020ADJ/</t>
  </si>
  <si>
    <t>/CALSIM/I_JWB001/INFLOW//1MON/L2020ADJ/</t>
  </si>
  <si>
    <t>/CALSIM/I_MFT000/INFLOW//1MON/L2020ADJ/</t>
  </si>
  <si>
    <t>/CALSIM/I_NFT008/INFLOW//1MON/L2020ADJ/</t>
  </si>
  <si>
    <t>/CALSIM/I_SFT003/INFLOW//1MON/L2020ADJ/</t>
  </si>
  <si>
    <t>/CALSIM/I_TUO105/INFLOW//1MON/L2020ADJ/</t>
  </si>
  <si>
    <t>/CALSIM/I_MCD055/INFLOW//1MON/L2020ADJ/</t>
  </si>
  <si>
    <t>/CALSIM/I_MCD055/INFLOW//1MON/L2020A/</t>
  </si>
  <si>
    <t>/CALSIM/I_MCLRE/INFLOW//1MON/L2020ADJ/</t>
  </si>
  <si>
    <t>/CALSIM/I_MCLRE/INFLOW//1MON/L2020A/</t>
  </si>
  <si>
    <t>/CALSIM/I_SJR265/INFLOW//1MON/L2020ADJ/</t>
  </si>
  <si>
    <t>/CALSIM/I_SJR265/INFLOW//1MON/L2020A/</t>
  </si>
  <si>
    <t>/CALSIM/I_BTC048/INFLOW//1MON/L2020ADJ/</t>
  </si>
  <si>
    <t>/CALSIM/I_BTC048/INFLOW//1MON/L2020A/</t>
  </si>
  <si>
    <t>/CALSIM/I_LCC038/INFLOW//1MON/L2020ADJ/</t>
  </si>
  <si>
    <t>/CALSIM/I_LCC038/INFLOW//1MON/L2020A/</t>
  </si>
  <si>
    <t>/CALSIM/I_LDC029/INFLOW//1MON/L2020ADJ/</t>
  </si>
  <si>
    <t>/CALSIM/I_LDC029/INFLOW//1MON/L2020A/</t>
  </si>
  <si>
    <t>/CALSIM/I_ANT011/INFLOW//1MON/L2020ADJ/</t>
  </si>
  <si>
    <t>/CALSIM/I_ANT011/INFLOW//1MON/L2020A/</t>
  </si>
  <si>
    <t>/CALSIM/I_BCC014/INFLOW//1MON/L2020ADJ/</t>
  </si>
  <si>
    <t>/CALSIM/I_BCC014/INFLOW//1MON/L2020A/</t>
  </si>
  <si>
    <t>/CALSIM/I_DRC012/INFLOW//1MON/L2020ADJ/</t>
  </si>
  <si>
    <t>/CALSIM/I_DRC012/INFLOW//1MON/L2020A/</t>
  </si>
  <si>
    <t>/CALSIM/I_MNS000/INFLOW//1MON/L2020ADJ/</t>
  </si>
  <si>
    <t>/CALSIM/I_MNS000/INFLOW//1MON/L2020A/</t>
  </si>
  <si>
    <t>/CALSIM/I_PYN001/INFLOW//1MON/L2020ADJ/</t>
  </si>
  <si>
    <t>/CALSIM/I_PYN001/INFLOW//1MON/L2020A/</t>
  </si>
  <si>
    <t>/CALSIM/I_TRNTY/INFLOW//1MON/L2020ADJ/</t>
  </si>
  <si>
    <t>/CALSIM/I_TRNTY/INFLOW//1MON/L2020A/</t>
  </si>
  <si>
    <t>/CALSIM/I_LWSTN/INFLOW//1MON/L2020ADJ/</t>
  </si>
  <si>
    <t>/CALSIM/I_LWSTN/INFLOW//1MON/L2020A/</t>
  </si>
  <si>
    <t>/CALSIM/I_ELD027/INFLOW//1MON/L2020ADJ/</t>
  </si>
  <si>
    <t>/CALSIM/I_ELD027/INFLOW//1MON/L2020A/</t>
  </si>
  <si>
    <t>/CALSIM/I_THM028/INFLOW//1MON/L2020ADJ/</t>
  </si>
  <si>
    <t>/CALSIM/I_THM028/INFLOW//1MON/L2020A/</t>
  </si>
  <si>
    <t>/CALSIM/I_BLKBT/INFLOW//1MON/L2020ADJ/</t>
  </si>
  <si>
    <t>/CALSIM/I_BLKBT/INFLOW//1MON/L2020A/</t>
  </si>
  <si>
    <t>/CALSIM/I_EPARK/INFLOW//1MON/L2020ADJ/</t>
  </si>
  <si>
    <t>/CALSIM/I_EPARK/INFLOW//1MON/L2020A/</t>
  </si>
  <si>
    <t>/CALSIM/I_SGRGE/INFLOW//1MON/L2020ADJ/</t>
  </si>
  <si>
    <t>/CALSIM/I_SGRGE/INFLOW//1MON/L2020A/</t>
  </si>
  <si>
    <t>/CALSIM/I_BRC003/INFLOW//1MON/L2020ADJ/</t>
  </si>
  <si>
    <t>/CALSIM/I_BRC003/INFLOW//1MON/L2020A/</t>
  </si>
  <si>
    <t>/CALSIM/I_CCH053/INFLOW//1MON/L2020ADJ/</t>
  </si>
  <si>
    <t>/CALSIM/I_CCH053/INFLOW//1MON/L2020A/</t>
  </si>
  <si>
    <t>/CALSIM/I_CLRLK/INFLOW//1MON/L2020ADJ/</t>
  </si>
  <si>
    <t>/CALSIM/I_CLRLK/INFLOW//1MON/L2020A/</t>
  </si>
  <si>
    <t>/CALSIM/I_INDVL/INFLOW//1MON/L2020ADJ/</t>
  </si>
  <si>
    <t>/CALSIM/I_INDVL/INFLOW//1MON/L2020A/</t>
  </si>
  <si>
    <t>/CALSIM/I_CMP001/INFLOW//1MON/L2020ADJ/</t>
  </si>
  <si>
    <t>/CALSIM/I_CMP001/INFLOW//1MON/L2020A/</t>
  </si>
  <si>
    <t>/CALSIM/I_CMP014/INFLOW//1MON/L2020ADJ/</t>
  </si>
  <si>
    <t>/CALSIM/I_CMP014/INFLOW//1MON/L2020A/</t>
  </si>
  <si>
    <t>/CALSIM/I_CSM035/INFLOW//1MON/L2020ADJ/</t>
  </si>
  <si>
    <t>/CALSIM/I_CSM035/INFLOW//1MON/L2020A/</t>
  </si>
  <si>
    <t>/CALSIM/I_DEE023/INFLOW//1MON/L2020ADJ/</t>
  </si>
  <si>
    <t>/CALSIM/I_DEE023/INFLOW//1MON/L2020A/</t>
  </si>
  <si>
    <t>/CALSIM/I_DSC035/INFLOW//1MON/L2020ADJ/</t>
  </si>
  <si>
    <t>/CALSIM/I_DSC035/INFLOW//1MON/L2020A/</t>
  </si>
  <si>
    <t>/CALSIM/I_JNKSN/INFLOW//1MON/L2020ADJ/</t>
  </si>
  <si>
    <t>/CALSIM/I_JNKSN/INFLOW//1MON/L2020A/</t>
  </si>
  <si>
    <t>/CALSIM/I_CLV026/INFLOW//1MON/L2020ADJ/</t>
  </si>
  <si>
    <t>/CALSIM/I_CLV026/INFLOW//1MON/L2020A/</t>
  </si>
  <si>
    <t>/CALSIM/I_NHGAN/INFLOW//1MON/L2020ADJ/</t>
  </si>
  <si>
    <t>/CALSIM/I_NHGAN/INFLOW//1MON/L2020A/</t>
  </si>
  <si>
    <t>/CALSIM/I_LJC022/INFLOW//1MON/L2020ADJ/</t>
  </si>
  <si>
    <t>/CALSIM/I_LJC022/INFLOW//1MON/L2020A/</t>
  </si>
  <si>
    <t>/CALSIM/I_AMADR/INFLOW//1MON/L2020ADJ/</t>
  </si>
  <si>
    <t>/CALSIM/I_AMADR/INFLOW//1MON/L2020A/</t>
  </si>
  <si>
    <t>/CALSIM/I_CMCHE/INFLOW//1MON/L2020ADJ/</t>
  </si>
  <si>
    <t>/CALSIM/I_CMCHE/INFLOW//1MON/L2020A/</t>
  </si>
  <si>
    <t>/CALSIM/I_COL003/INFLOW//1MON/L2020ADJ/</t>
  </si>
  <si>
    <t>/CALSIM/I_COL003/INFLOW//1MON/L2020A/</t>
  </si>
  <si>
    <t>/CALSIM/I_MFM008/INFLOW//1MON/L2020ADJ/</t>
  </si>
  <si>
    <t>/CALSIM/I_MFM008/INFLOW//1MON/L2020A/</t>
  </si>
  <si>
    <t>/CALSIM/I_MOK079/INFLOW//1MON/L2020ADJ/</t>
  </si>
  <si>
    <t>/CALSIM/I_MOK079/INFLOW//1MON/L2020A/</t>
  </si>
  <si>
    <t>/CALSIM/I_NFM010/INFLOW//1MON/L2020ADJ/</t>
  </si>
  <si>
    <t>/CALSIM/I_NFM010/INFLOW//1MON/L2020A/</t>
  </si>
  <si>
    <t>/CALSIM/I_PARDE/INFLOW//1MON/L2020ADJ/</t>
  </si>
  <si>
    <t>/CALSIM/I_PARDE/INFLOW//1MON/L2020A/</t>
  </si>
  <si>
    <t>/CALSIM/I_SFM005/INFLOW//1MON/L2020ADJ/</t>
  </si>
  <si>
    <t>/CALSIM/I_SFM005/INFLOW//1MON/L2020A/</t>
  </si>
  <si>
    <t>/CALSIM/I_SLTSP/INFLOW//1MON/L2020ADJ/</t>
  </si>
  <si>
    <t>/CALSIM/I_SLTSP/INFLOW//1MON/L2020A/</t>
  </si>
  <si>
    <t>/CALSIM/I_TGC003/INFLOW//1MON/L2020ADJ/</t>
  </si>
  <si>
    <t>/CALSIM/I_TGC003/INFLOW//1MON/L2020A/</t>
  </si>
  <si>
    <t>/CALSIM/I_UBEAR/INFLOW//1MON/L2020ADJ/</t>
  </si>
  <si>
    <t>/CALSIM/I_UBEAR/INFLOW//1MON/L2020A/</t>
  </si>
  <si>
    <t>/CALSIM/I_BCK040/INFLOW//1MON/L2020ADJ/</t>
  </si>
  <si>
    <t>/CALSIM/I_BCK040/INFLOW//1MON/L2020A/</t>
  </si>
  <si>
    <t>/CALSIM/I_BUR005/INFLOW//1MON/L2020ADJ/</t>
  </si>
  <si>
    <t>/CALSIM/I_BUR005/INFLOW//1MON/L2020A/</t>
  </si>
  <si>
    <t>/CALSIM/I_CHW031/INFLOW//1MON/L2020ADJ/</t>
  </si>
  <si>
    <t>/CALSIM/I_CHW031/INFLOW//1MON/L2020A/</t>
  </si>
  <si>
    <t>/CALSIM/I_COT033/INFLOW//1MON/L2020ADJ/</t>
  </si>
  <si>
    <t>/CALSIM/I_COT033/INFLOW//1MON/L2020A/</t>
  </si>
  <si>
    <t>/CALSIM/I_ESTMN/INFLOW//1MON/L2020ADJ/</t>
  </si>
  <si>
    <t>/CALSIM/I_ESTMN/INFLOW//1MON/L2020A/</t>
  </si>
  <si>
    <t>/CALSIM/I_FRS046/INFLOW//1MON/L2020ADJ/</t>
  </si>
  <si>
    <t>/CALSIM/I_FRS046/INFLOW//1MON/L2020A/</t>
  </si>
  <si>
    <t>/CALSIM/I_HNSLY/INFLOW//1MON/L2020ADJ/</t>
  </si>
  <si>
    <t>/CALSIM/I_HNSLY/INFLOW//1MON/L2020A/</t>
  </si>
  <si>
    <t>/CALSIM/I_MPS038/INFLOW//1MON/L2020ADJ/</t>
  </si>
  <si>
    <t>/CALSIM/I_MPS038/INFLOW//1MON/L2020A/</t>
  </si>
  <si>
    <t>/CALSIM/I_OWN040/INFLOW//1MON/L2020ADJ/</t>
  </si>
  <si>
    <t>/CALSIM/I_OWN040/INFLOW//1MON/L2020A/</t>
  </si>
  <si>
    <t>/CALSIM/I_SJR258/INFLOW//1MON/L2020ADJ/</t>
  </si>
  <si>
    <t>/CALSIM/I_SJR258/INFLOW//1MON/L2020A/</t>
  </si>
  <si>
    <t>/CALSIM/I_DBC024/INFLOW//1MON/L2020ADJ/</t>
  </si>
  <si>
    <t>/CALSIM/I_DBC024/INFLOW//1MON/L2020A/</t>
  </si>
  <si>
    <t>/CALSIM/I_DCM027/INFLOW//1MON/L2020ADJ/</t>
  </si>
  <si>
    <t>/CALSIM/I_DCM027/INFLOW//1MON/L2020A/</t>
  </si>
  <si>
    <t>/CALSIM/I_DED044/INFLOW//1MON/L2020ADJ/</t>
  </si>
  <si>
    <t>/CALSIM/I_DED044/INFLOW//1MON/L2020A/</t>
  </si>
  <si>
    <t>/CALSIM/I_DCT050/INFLOW//1MON/L2020ADJ/</t>
  </si>
  <si>
    <t>/CALSIM/I_DCT050/INFLOW//1MON/L2020A/</t>
  </si>
  <si>
    <t>/CALSIM/I_MLC006/INFLOW//1MON/L2020ADJ/</t>
  </si>
  <si>
    <t>/CALSIM/I_MLC006/INFLOW//1MON/L2020A/</t>
  </si>
  <si>
    <t>/CALSIM/I_STS059/INFLOW//1MON/L2020ADJ/</t>
  </si>
  <si>
    <t>/CALSIM/I_STS059/INFLOW//1MON/L2020A/</t>
  </si>
  <si>
    <t>/CALSIM/I_MSH015/INFLOW//1MON/L2020ADJ/</t>
  </si>
  <si>
    <t>/CALSIM/I_MSH015/INFLOW//1MON/L2020A/</t>
  </si>
  <si>
    <t>/CALSIM/I_LOSVQ/INFLOW//1MON/L2020ADJ/</t>
  </si>
  <si>
    <t>/CALSIM/I_LOSVQ/INFLOW//1MON/L2020A/</t>
  </si>
  <si>
    <t>/CALSIM/I_CHC000/INFLOW//1MON/L2020ADJ/</t>
  </si>
  <si>
    <t>/CALSIM/I_CHC000/INFLOW//1MON/L2020A/</t>
  </si>
  <si>
    <t>/CALSIM/I_ING008/INFLOW//1MON/L2020ADJ/</t>
  </si>
  <si>
    <t>/CALSIM/I_ING008/INFLOW//1MON/L2020A/</t>
  </si>
  <si>
    <t>/CALSIM/I_DPC008/INFLOW//1MON/L2020ADJ/</t>
  </si>
  <si>
    <t>/CALSIM/I_DPC008/INFLOW//1MON/L2020A/</t>
  </si>
  <si>
    <t>/CALSIM/I_SLO007/INFLOW//1MON/L2020ADJ/</t>
  </si>
  <si>
    <t>/CALSIM/I_SLO007/INFLOW//1MON/L2020A/</t>
  </si>
  <si>
    <t>/CALSIM/I_ORT014/INFLOW//1MON/L2020ADJ/</t>
  </si>
  <si>
    <t>/CALSIM/I_ORT014/INFLOW//1MON/L2020A/</t>
  </si>
  <si>
    <t>/CALSIM/I_GRZ012/INFLOW//1MON/L2020ADJ/</t>
  </si>
  <si>
    <t>/CALSIM/I_GRZ012/INFLOW//1MON/L2020A/</t>
  </si>
  <si>
    <t>/CALSIM/I_QNT005/INFLOW//1MON/L2020ADJ/</t>
  </si>
  <si>
    <t>/CALSIM/I_QNT005/INFLOW//1MON/L2020A/</t>
  </si>
  <si>
    <t>/CALSIM/I_SLUIS/INFLOW//1MON/L2020ADJ/</t>
  </si>
  <si>
    <t>/CALSIM/I_SLUIS/INFLOW//1MON/L2020A/</t>
  </si>
  <si>
    <t>/CALSIM/I_BANOS/INFLOW//1MON/L2020ADJ/</t>
  </si>
  <si>
    <t>/CALSIM/I_BANOS/INFLOW//1MON/L2020A/</t>
  </si>
  <si>
    <t>/CALSIM/I_ORG000/INFLOW//1MON/L2020ADJ/</t>
  </si>
  <si>
    <t>/CALSIM/I_ORG000/INFLOW//1MON/L2020A/</t>
  </si>
  <si>
    <t>/CALSIM/I_LPC007/INFLOW//1MON/L2020ADJ/</t>
  </si>
  <si>
    <t>/CALSIM/I_LPC007/INFLOW//1MON/L2020A/</t>
  </si>
  <si>
    <t>/CALSIM/I_CAP000/INFLOW//1MON/L2020ADJ/</t>
  </si>
  <si>
    <t>/CALSIM/I_CAP000/INFLOW//1MON/L2020A/</t>
  </si>
  <si>
    <t>/CALSIM/UNIMP_SHAS/FLOW-UNIMPAIRED//1MON/L2020ADJ/</t>
  </si>
  <si>
    <t>/CALSIM/UNIMP_OROV/FLOW-UNIMPAIRED//1MON/L2020ADJ/</t>
  </si>
  <si>
    <t>/CALSIM/UNIMP_YUBA/FLOW-UNIMPAIRED//1MON/L2020ADJ/</t>
  </si>
  <si>
    <t>/CALSIM/UNIMP_FOLS/FLOW-UNIMPAIRED//1MON/L2020ADJ/</t>
  </si>
  <si>
    <t>/CALSIM/UNIMP_ST/FLOW-UNIMPAIRED//1MON/L2020ADJ/</t>
  </si>
  <si>
    <t>/CALSIM/UNIMP_TU/FLOW-UNIMPAIRED//1MON/L2020ADJ/</t>
  </si>
  <si>
    <t>/CALSIM/UNIMP_ME/FLOW-UNIMPAIRED//1MON/L2020ADJ/</t>
  </si>
  <si>
    <t>/CALSIM/UNIMP_SJ/FLOW-UNIMPAIRED//1MON/L2020ADJ/</t>
  </si>
  <si>
    <t>/CALSIM/UNIMP_TRIN/FLOW-UNIMPAIRED//1MON/L2020ADJ/</t>
  </si>
  <si>
    <t>/CALSIM/UNIMP_SRBB/FLOW-UNIMPAIRED//1MON/L2020ADJ/</t>
  </si>
  <si>
    <t>/CALSIM/UNIMP_WH/FLOW-UNIMPAIRED//1MON/L2020ADJ/</t>
  </si>
  <si>
    <t>/CALSIM/I_ALMNR/INFLOW//1MON/L2020ADJ/</t>
  </si>
  <si>
    <t>/CALSIM/I_ALMNR/INFLOW//1MON/L2020A/</t>
  </si>
  <si>
    <t>/CALSIM/I_BTVLY/INFLOW//1MON/L2020ADJ/</t>
  </si>
  <si>
    <t>/CALSIM/I_BTVLY/INFLOW//1MON/L2020A/</t>
  </si>
  <si>
    <t>/CALSIM/I_MTMDW/INFLOW//1MON/L2020ADJ/</t>
  </si>
  <si>
    <t>/CALSIM/I_MTMDW/INFLOW//1MON/L2020A/</t>
  </si>
  <si>
    <t>/CALSIM/I_NFF029/INFLOW//1MON/L2020ADJ/</t>
  </si>
  <si>
    <t>/CALSIM/I_NFF029/INFLOW//1MON/L2020A/</t>
  </si>
  <si>
    <t>/CALSIM/I_OROVL/INFLOW//1MON/L2020ADJ/</t>
  </si>
  <si>
    <t>/CALSIM/I_OROVL/INFLOW//1MON/L2020A/</t>
  </si>
  <si>
    <t>Python</t>
  </si>
  <si>
    <t>WGEN + S_PEDRO_SV</t>
  </si>
  <si>
    <t>Bootstrapping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</si>
</sst>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1"/>
      <color theme="0" tint="-0.249977111117893"/>
      <name val="Calibri"/>
      <family val="2"/>
      <scheme val="minor"/>
    </font>
    <font>
      <sz val="11"/>
      <color rgb="FF3F3F76"/>
      <name val="Calibri"/>
      <family val="2"/>
      <scheme val="minor"/>
    </font>
    <font>
      <sz val="11"/>
      <color theme="0"/>
      <name val="Aptos Narrow"/>
      <family val="2"/>
    </font>
    <font>
      <b/>
      <sz val="11"/>
      <color theme="1"/>
      <name val="Aptos Narrow"/>
      <family val="2"/>
    </font>
    <font>
      <sz val="11"/>
      <color theme="1"/>
      <name val="Aptos Narrow"/>
      <family val="2"/>
    </font>
    <font>
      <vertAlign val="superscript"/>
      <sz val="11"/>
      <color theme="1"/>
      <name val="Aptos Narrow"/>
      <family val="2"/>
    </font>
    <font>
      <b/>
      <sz val="11"/>
      <color theme="0"/>
      <name val="Aptos Narrow"/>
      <family val="2"/>
    </font>
    <font>
      <sz val="11"/>
      <color theme="1"/>
      <name val="Calibri"/>
      <family val="2"/>
      <scheme val="minor"/>
    </font>
    <font>
      <sz val="10"/>
      <color theme="0" tint="-0.499984740745262"/>
      <name val="Calibri"/>
      <family val="2"/>
      <scheme val="minor"/>
    </font>
    <font>
      <i/>
      <sz val="11"/>
      <color theme="0" tint="-0.499984740745262"/>
      <name val="Calibri"/>
      <family val="2"/>
      <scheme val="minor"/>
    </font>
    <font>
      <b/>
      <i/>
      <sz val="11"/>
      <color theme="0" tint="-0.499984740745262"/>
      <name val="Calibri"/>
      <family val="2"/>
      <scheme val="minor"/>
    </font>
    <font>
      <i/>
      <sz val="10"/>
      <color theme="0" tint="-0.499984740745262"/>
      <name val="Calibri"/>
      <family val="2"/>
      <scheme val="minor"/>
    </font>
    <font>
      <sz val="10"/>
      <color theme="1"/>
      <name val="Aptos"/>
      <family val="2"/>
    </font>
    <font>
      <b/>
      <sz val="11"/>
      <color theme="0" tint="-0.499984740745262"/>
      <name val="Calibri"/>
      <family val="2"/>
      <scheme val="minor"/>
    </font>
    <font>
      <sz val="11"/>
      <color theme="0" tint="-0.499984740745262"/>
      <name val="Calibri"/>
      <family val="2"/>
      <scheme val="minor"/>
    </font>
  </fonts>
  <fills count="5">
    <fill>
      <patternFill patternType="none"/>
    </fill>
    <fill>
      <patternFill patternType="gray125"/>
    </fill>
    <fill>
      <patternFill patternType="solid">
        <fgColor theme="7" tint="0.79998168889431442"/>
        <bgColor indexed="64"/>
      </patternFill>
    </fill>
    <fill>
      <patternFill patternType="solid">
        <fgColor theme="1" tint="0.249977111117893"/>
        <bgColor indexed="64"/>
      </patternFill>
    </fill>
    <fill>
      <patternFill patternType="solid">
        <fgColor rgb="FFFFCC99"/>
      </patternFill>
    </fill>
  </fills>
  <borders count="8">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style="thin">
        <color indexed="64"/>
      </top>
      <bottom style="thin">
        <color indexed="64"/>
      </bottom>
      <diagonal/>
    </border>
    <border>
      <left/>
      <right style="thin">
        <color rgb="FF7F7F7F"/>
      </right>
      <top/>
      <bottom style="thin">
        <color rgb="FF7F7F7F"/>
      </bottom>
      <diagonal/>
    </border>
    <border>
      <left/>
      <right style="thin">
        <color rgb="FF7F7F7F"/>
      </right>
      <top style="thin">
        <color rgb="FF7F7F7F"/>
      </top>
      <bottom style="thin">
        <color rgb="FF7F7F7F"/>
      </bottom>
      <diagonal/>
    </border>
    <border>
      <left/>
      <right style="thin">
        <color rgb="FF7F7F7F"/>
      </right>
      <top/>
      <bottom style="medium">
        <color indexed="64"/>
      </bottom>
      <diagonal/>
    </border>
    <border>
      <left/>
      <right/>
      <top/>
      <bottom style="medium">
        <color indexed="64"/>
      </bottom>
      <diagonal/>
    </border>
  </borders>
  <cellStyleXfs count="3">
    <xf numFmtId="0" fontId="0" fillId="0" borderId="0"/>
    <xf numFmtId="0" fontId="3" fillId="4" borderId="1" applyNumberFormat="0" applyAlignment="0" applyProtection="0"/>
    <xf numFmtId="9" fontId="9" fillId="0" borderId="0" applyFont="0" applyFill="0" applyBorder="0" applyAlignment="0" applyProtection="0"/>
  </cellStyleXfs>
  <cellXfs count="45">
    <xf numFmtId="0" fontId="0" fillId="0" borderId="0" xfId="0"/>
    <xf numFmtId="15" fontId="0" fillId="0" borderId="0" xfId="0" applyNumberFormat="1"/>
    <xf numFmtId="0" fontId="2" fillId="0" borderId="0" xfId="0" applyFont="1"/>
    <xf numFmtId="0" fontId="0" fillId="0" borderId="0" xfId="0" applyAlignment="1">
      <alignment horizontal="center"/>
    </xf>
    <xf numFmtId="0" fontId="1" fillId="0" borderId="0" xfId="0" applyFont="1" applyAlignment="1">
      <alignment horizontal="center"/>
    </xf>
    <xf numFmtId="0" fontId="0" fillId="0" borderId="0" xfId="0" applyAlignment="1">
      <alignment horizontal="center" vertical="center"/>
    </xf>
    <xf numFmtId="0" fontId="4" fillId="3" borderId="0" xfId="0" applyFont="1" applyFill="1"/>
    <xf numFmtId="0" fontId="4" fillId="3" borderId="0" xfId="0" applyFont="1" applyFill="1" applyAlignment="1">
      <alignment wrapText="1"/>
    </xf>
    <xf numFmtId="0" fontId="5" fillId="2" borderId="0" xfId="0" applyFont="1" applyFill="1" applyAlignment="1">
      <alignment horizontal="center" wrapText="1"/>
    </xf>
    <xf numFmtId="0" fontId="6" fillId="2" borderId="0" xfId="0" applyFont="1" applyFill="1" applyAlignment="1">
      <alignment horizontal="center" wrapText="1"/>
    </xf>
    <xf numFmtId="0" fontId="6" fillId="2" borderId="0" xfId="0" applyFont="1" applyFill="1" applyAlignment="1">
      <alignment horizontal="center" vertical="center"/>
    </xf>
    <xf numFmtId="0" fontId="0" fillId="0" borderId="0" xfId="0" applyAlignment="1">
      <alignment horizontal="center" wrapText="1"/>
    </xf>
    <xf numFmtId="0" fontId="1" fillId="0" borderId="0" xfId="0" applyFont="1" applyAlignment="1">
      <alignment horizontal="left"/>
    </xf>
    <xf numFmtId="0" fontId="1" fillId="0" borderId="0" xfId="0" applyFont="1"/>
    <xf numFmtId="0" fontId="0" fillId="0" borderId="0" xfId="0" applyAlignment="1">
      <alignment horizontal="right"/>
    </xf>
    <xf numFmtId="9" fontId="10" fillId="0" borderId="0" xfId="2" applyFont="1" applyAlignment="1">
      <alignment horizontal="center"/>
    </xf>
    <xf numFmtId="0" fontId="10" fillId="0" borderId="0" xfId="0" applyFont="1"/>
    <xf numFmtId="0" fontId="10" fillId="0" borderId="0" xfId="0" applyFont="1" applyAlignment="1">
      <alignment horizontal="center"/>
    </xf>
    <xf numFmtId="0" fontId="11" fillId="0" borderId="0" xfId="0" applyFont="1"/>
    <xf numFmtId="0" fontId="12" fillId="0" borderId="0" xfId="0" applyFont="1"/>
    <xf numFmtId="9" fontId="13" fillId="0" borderId="0" xfId="2" applyFont="1" applyAlignment="1">
      <alignment horizontal="center"/>
    </xf>
    <xf numFmtId="0" fontId="4" fillId="3" borderId="0" xfId="0" applyFont="1" applyFill="1" applyAlignment="1">
      <alignment vertical="center"/>
    </xf>
    <xf numFmtId="0" fontId="8" fillId="3" borderId="0" xfId="0" applyFont="1" applyFill="1" applyAlignment="1">
      <alignment horizontal="center" vertical="center"/>
    </xf>
    <xf numFmtId="15" fontId="4" fillId="3" borderId="0" xfId="0" applyNumberFormat="1" applyFont="1" applyFill="1" applyAlignment="1">
      <alignment vertical="center"/>
    </xf>
    <xf numFmtId="0" fontId="5" fillId="2" borderId="0" xfId="0" applyFont="1" applyFill="1" applyAlignment="1">
      <alignment horizontal="center" vertical="center"/>
    </xf>
    <xf numFmtId="9" fontId="6" fillId="2" borderId="0" xfId="2" applyFont="1" applyFill="1" applyAlignment="1">
      <alignment horizontal="center" vertical="center"/>
    </xf>
    <xf numFmtId="0" fontId="14" fillId="2" borderId="0" xfId="0" applyFont="1" applyFill="1" applyAlignment="1">
      <alignment horizontal="center" vertical="center"/>
    </xf>
    <xf numFmtId="9" fontId="16" fillId="0" borderId="0" xfId="2" applyFont="1" applyAlignment="1">
      <alignment horizontal="center"/>
    </xf>
    <xf numFmtId="0" fontId="0" fillId="0" borderId="2" xfId="0" applyBorder="1" applyAlignment="1">
      <alignment horizontal="center"/>
    </xf>
    <xf numFmtId="0" fontId="0" fillId="0" borderId="2" xfId="0" applyBorder="1"/>
    <xf numFmtId="0" fontId="1" fillId="0" borderId="2" xfId="0" applyFont="1" applyBorder="1"/>
    <xf numFmtId="9" fontId="16" fillId="0" borderId="2" xfId="2" applyFont="1" applyBorder="1" applyAlignment="1">
      <alignment horizontal="center"/>
    </xf>
    <xf numFmtId="0" fontId="0" fillId="0" borderId="3" xfId="0" applyBorder="1" applyAlignment="1">
      <alignment horizontal="center" wrapText="1"/>
    </xf>
    <xf numFmtId="0" fontId="1" fillId="0" borderId="3" xfId="0" applyFont="1" applyBorder="1" applyAlignment="1">
      <alignment horizontal="center" wrapText="1"/>
    </xf>
    <xf numFmtId="0" fontId="15" fillId="0" borderId="3" xfId="0" applyFont="1" applyBorder="1" applyAlignment="1">
      <alignment horizontal="center" wrapText="1"/>
    </xf>
    <xf numFmtId="0" fontId="2" fillId="0" borderId="0" xfId="0" applyFont="1" applyAlignment="1">
      <alignment horizontal="center"/>
    </xf>
    <xf numFmtId="9" fontId="2" fillId="0" borderId="0" xfId="2" applyFont="1" applyAlignment="1">
      <alignment horizontal="center"/>
    </xf>
    <xf numFmtId="0" fontId="5" fillId="2" borderId="0" xfId="0" applyFont="1" applyFill="1" applyAlignment="1">
      <alignment horizontal="center" textRotation="90" wrapText="1"/>
    </xf>
    <xf numFmtId="0" fontId="6" fillId="2" borderId="0" xfId="0" applyFont="1" applyFill="1" applyAlignment="1">
      <alignment horizontal="center" textRotation="90" wrapText="1"/>
    </xf>
    <xf numFmtId="2" fontId="6" fillId="2" borderId="0" xfId="2" applyNumberFormat="1" applyFont="1" applyFill="1" applyAlignment="1">
      <alignment horizontal="center" vertical="center"/>
    </xf>
    <xf numFmtId="2" fontId="14" fillId="2" borderId="0" xfId="0" applyNumberFormat="1" applyFont="1" applyFill="1" applyAlignment="1">
      <alignment horizontal="center" vertical="center"/>
    </xf>
    <xf numFmtId="0" fontId="3" fillId="4" borderId="4" xfId="1" applyBorder="1"/>
    <xf numFmtId="0" fontId="3" fillId="4" borderId="5" xfId="1" applyBorder="1"/>
    <xf numFmtId="0" fontId="3" fillId="4" borderId="6" xfId="1" applyBorder="1"/>
    <xf numFmtId="0" fontId="0" fillId="0" borderId="7" xfId="0" applyBorder="1"/>
  </cellXfs>
  <cellStyles count="3">
    <cellStyle name="Input" xfId="1" builtinId="20"/>
    <cellStyle name="Normal" xfId="0" builtinId="0" customBuiltin="1"/>
    <cellStyle name="Percent" xfId="2" builtinId="5"/>
  </cellStyles>
  <dxfs count="30">
    <dxf>
      <font>
        <color rgb="FF9C0006"/>
      </font>
      <fill>
        <patternFill>
          <bgColor rgb="FFFFC7CE"/>
        </patternFill>
      </fill>
    </dxf>
    <dxf>
      <font>
        <color rgb="FF9C0006"/>
      </font>
      <fill>
        <patternFill>
          <bgColor rgb="FFFFC7CE"/>
        </patternFill>
      </fill>
    </dxf>
    <dxf>
      <font>
        <color theme="0" tint="-0.24994659260841701"/>
      </font>
    </dxf>
    <dxf>
      <font>
        <color rgb="FF9C5700"/>
      </font>
      <fill>
        <patternFill>
          <bgColor rgb="FFFFEB9C"/>
        </patternFill>
      </fill>
    </dxf>
    <dxf>
      <font>
        <color rgb="FF006100"/>
      </font>
      <fill>
        <patternFill>
          <bgColor rgb="FFC6EFCE"/>
        </patternFill>
      </fill>
    </dxf>
    <dxf>
      <font>
        <color theme="2" tint="-0.499984740745262"/>
      </font>
      <fill>
        <patternFill>
          <fgColor theme="2" tint="-9.9917600024414813E-2"/>
          <bgColor theme="2" tint="-9.9948118533890809E-2"/>
        </patternFill>
      </fill>
    </dxf>
    <dxf>
      <font>
        <color rgb="FF9C0006"/>
      </font>
      <fill>
        <patternFill>
          <bgColor rgb="FFFFC7CE"/>
        </patternFill>
      </fill>
    </dxf>
    <dxf>
      <font>
        <color rgb="FF9C0006"/>
      </font>
      <fill>
        <patternFill>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border diagonalUp="0" diagonalDown="0">
        <left/>
        <right style="thin">
          <color rgb="FF7F7F7F"/>
        </right>
        <top style="thin">
          <color rgb="FF7F7F7F"/>
        </top>
        <bottom style="thin">
          <color rgb="FF7F7F7F"/>
        </bottom>
        <vertical/>
        <horizontal/>
      </border>
    </dxf>
    <dxf>
      <border outline="0">
        <left style="thin">
          <color rgb="FF7F7F7F"/>
        </left>
        <top style="thin">
          <color indexed="64"/>
        </top>
      </border>
    </dxf>
    <dxf>
      <border outline="0">
        <bottom style="medium">
          <color indexed="64"/>
        </bottom>
      </border>
    </dxf>
    <dxf>
      <font>
        <b val="0"/>
        <i val="0"/>
        <strike val="0"/>
        <condense val="0"/>
        <extend val="0"/>
        <outline val="0"/>
        <shadow val="0"/>
        <u val="none"/>
        <vertAlign val="baseline"/>
        <sz val="11"/>
        <color theme="1"/>
        <name val="Aptos Narrow"/>
        <family val="2"/>
        <scheme val="none"/>
      </font>
      <numFmt numFmtId="2" formatCode="0.00"/>
      <fill>
        <patternFill patternType="solid">
          <fgColor indexed="64"/>
          <bgColor theme="7" tint="0.79998168889431442"/>
        </patternFill>
      </fill>
      <alignment horizontal="center" vertical="center" textRotation="0" wrapText="0" indent="0" justifyLastLine="0" shrinkToFit="0" readingOrder="0"/>
    </dxf>
    <dxf>
      <font>
        <strike val="0"/>
        <outline val="0"/>
        <shadow val="0"/>
        <u val="none"/>
        <vertAlign val="baseline"/>
        <sz val="11"/>
        <name val="Aptos Narrow"/>
        <family val="2"/>
        <scheme val="none"/>
      </font>
      <fill>
        <patternFill>
          <fgColor indexed="64"/>
          <bgColor theme="7" tint="0.79998168889431442"/>
        </patternFill>
      </fill>
      <alignment horizontal="center" vertical="center" textRotation="0" wrapText="0" indent="0" justifyLastLine="0" shrinkToFit="0" readingOrder="0"/>
    </dxf>
    <dxf>
      <font>
        <strike val="0"/>
        <outline val="0"/>
        <shadow val="0"/>
        <u val="none"/>
        <vertAlign val="baseline"/>
        <sz val="11"/>
        <name val="Aptos Narrow"/>
        <family val="2"/>
        <scheme val="none"/>
      </font>
      <fill>
        <patternFill>
          <fgColor indexed="64"/>
          <bgColor theme="7" tint="0.79998168889431442"/>
        </patternFill>
      </fill>
      <alignment horizontal="center" vertical="center" textRotation="0" wrapText="0" indent="0" justifyLastLine="0" shrinkToFit="0" readingOrder="0"/>
    </dxf>
    <dxf>
      <font>
        <strike val="0"/>
        <outline val="0"/>
        <shadow val="0"/>
        <u val="none"/>
        <vertAlign val="baseline"/>
        <sz val="11"/>
        <name val="Aptos Narrow"/>
        <family val="2"/>
        <scheme val="none"/>
      </font>
      <fill>
        <patternFill>
          <fgColor indexed="64"/>
          <bgColor theme="7" tint="0.79998168889431442"/>
        </patternFill>
      </fill>
      <alignment horizontal="center" vertical="center" textRotation="0" wrapText="0" indent="0" justifyLastLine="0" shrinkToFit="0" readingOrder="0"/>
    </dxf>
    <dxf>
      <font>
        <strike val="0"/>
        <outline val="0"/>
        <shadow val="0"/>
        <u val="none"/>
        <vertAlign val="baseline"/>
        <sz val="11"/>
        <name val="Aptos Narrow"/>
        <family val="2"/>
        <scheme val="none"/>
      </font>
      <fill>
        <patternFill>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none"/>
      </font>
      <fill>
        <patternFill patternType="solid">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Aptos Narrow"/>
        <family val="2"/>
        <scheme val="none"/>
      </font>
      <numFmt numFmtId="0" formatCode="General"/>
      <fill>
        <patternFill patternType="solid">
          <fgColor indexed="64"/>
          <bgColor theme="7" tint="0.79998168889431442"/>
        </patternFill>
      </fill>
      <alignment horizontal="center" vertical="center" textRotation="0" wrapText="0" indent="0" justifyLastLine="0" shrinkToFit="0" readingOrder="0"/>
    </dxf>
    <dxf>
      <font>
        <b/>
        <i val="0"/>
        <strike val="0"/>
        <condense val="0"/>
        <extend val="0"/>
        <outline val="0"/>
        <shadow val="0"/>
        <u val="none"/>
        <vertAlign val="baseline"/>
        <sz val="11"/>
        <color theme="0" tint="-0.249977111117893"/>
        <name val="Aptos Narrow"/>
        <family val="2"/>
        <scheme val="none"/>
      </font>
      <fill>
        <patternFill>
          <fgColor indexed="64"/>
          <bgColor theme="7"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Aptos Narrow"/>
        <family val="2"/>
        <scheme val="none"/>
      </font>
      <fill>
        <patternFill patternType="solid">
          <fgColor indexed="64"/>
          <bgColor theme="1" tint="0.249977111117893"/>
        </patternFill>
      </fill>
      <alignment vertical="center" textRotation="0" wrapText="0" indent="0" justifyLastLine="0" shrinkToFit="0" readingOrder="0"/>
    </dxf>
    <dxf>
      <font>
        <b val="0"/>
        <i val="0"/>
        <strike val="0"/>
        <condense val="0"/>
        <extend val="0"/>
        <outline val="0"/>
        <shadow val="0"/>
        <u val="none"/>
        <vertAlign val="baseline"/>
        <sz val="11"/>
        <color theme="0"/>
        <name val="Aptos Narrow"/>
        <family val="2"/>
        <scheme val="none"/>
      </font>
      <numFmt numFmtId="20" formatCode="d\-mmm\-yy"/>
      <fill>
        <patternFill patternType="solid">
          <fgColor indexed="64"/>
          <bgColor theme="1" tint="0.249977111117893"/>
        </patternFill>
      </fill>
      <alignment vertical="center" textRotation="0" wrapText="0" indent="0" justifyLastLine="0" shrinkToFit="0" readingOrder="0"/>
    </dxf>
    <dxf>
      <font>
        <b val="0"/>
        <i val="0"/>
        <strike val="0"/>
        <condense val="0"/>
        <extend val="0"/>
        <outline val="0"/>
        <shadow val="0"/>
        <u val="none"/>
        <vertAlign val="baseline"/>
        <sz val="11"/>
        <color theme="0"/>
        <name val="Aptos Narrow"/>
        <family val="2"/>
        <scheme val="none"/>
      </font>
      <numFmt numFmtId="20" formatCode="d\-mmm\-yy"/>
      <fill>
        <patternFill patternType="solid">
          <fgColor indexed="64"/>
          <bgColor theme="1" tint="0.249977111117893"/>
        </patternFill>
      </fill>
      <alignment vertical="center" textRotation="0" wrapText="0" indent="0" justifyLastLine="0" shrinkToFit="0" readingOrder="0"/>
    </dxf>
    <dxf>
      <font>
        <b val="0"/>
        <i val="0"/>
        <strike val="0"/>
        <condense val="0"/>
        <extend val="0"/>
        <outline val="0"/>
        <shadow val="0"/>
        <u val="none"/>
        <vertAlign val="baseline"/>
        <sz val="11"/>
        <color theme="0"/>
        <name val="Aptos Narrow"/>
        <family val="2"/>
        <scheme val="none"/>
      </font>
      <fill>
        <patternFill patternType="solid">
          <fgColor indexed="64"/>
          <bgColor theme="1" tint="0.249977111117893"/>
        </patternFill>
      </fill>
      <alignment vertical="center" textRotation="0" wrapText="0" indent="0" justifyLastLine="0" shrinkToFit="0" readingOrder="0"/>
    </dxf>
    <dxf>
      <font>
        <b/>
        <i val="0"/>
        <strike val="0"/>
        <outline val="0"/>
        <shadow val="0"/>
        <u val="none"/>
        <vertAlign val="baseline"/>
        <sz val="11"/>
        <color theme="0"/>
        <name val="Aptos Narrow"/>
        <family val="2"/>
        <scheme val="none"/>
      </font>
      <fill>
        <patternFill patternType="solid">
          <fgColor indexed="64"/>
          <bgColor theme="1" tint="0.249977111117893"/>
        </patternFill>
      </fill>
      <alignment horizontal="center" vertical="center" textRotation="0" wrapText="0" indent="0" justifyLastLine="0" shrinkToFit="0" readingOrder="0"/>
    </dxf>
    <dxf>
      <font>
        <b/>
        <i val="0"/>
        <strike val="0"/>
        <outline val="0"/>
        <shadow val="0"/>
        <u val="none"/>
        <vertAlign val="baseline"/>
        <sz val="11"/>
        <color theme="0"/>
        <name val="Aptos Narrow"/>
        <family val="2"/>
        <scheme val="none"/>
      </font>
      <fill>
        <patternFill patternType="solid">
          <fgColor indexed="64"/>
          <bgColor theme="1"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1"/>
        <color theme="0"/>
        <name val="Aptos Narrow"/>
        <family val="2"/>
        <scheme val="none"/>
      </font>
      <fill>
        <patternFill patternType="solid">
          <fgColor indexed="64"/>
          <bgColor theme="1" tint="0.249977111117893"/>
        </patternFill>
      </fill>
      <alignment vertical="center" textRotation="0" wrapText="0" indent="0" justifyLastLine="0" shrinkToFit="0" readingOrder="0"/>
    </dxf>
    <dxf>
      <font>
        <strike val="0"/>
        <outline val="0"/>
        <shadow val="0"/>
        <u val="none"/>
        <vertAlign val="baseline"/>
        <sz val="11"/>
        <name val="Aptos Narrow"/>
        <family val="2"/>
        <scheme val="none"/>
      </font>
      <alignment vertical="center" textRotation="0" wrapText="0" indent="0" justifyLastLine="0" shrinkToFit="0" readingOrder="0"/>
    </dxf>
    <dxf>
      <font>
        <strike val="0"/>
        <outline val="0"/>
        <shadow val="0"/>
        <u val="none"/>
        <sz val="11"/>
        <name val="Aptos Narrow"/>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7083F4-00B4-409B-BB32-BC2595526688}" name="Table1" displayName="Table1" ref="B2:P1735" totalsRowShown="0" headerRowDxfId="29" dataDxfId="28">
  <autoFilter ref="B2:P1735" xr:uid="{EC7083F4-00B4-409B-BB32-BC2595526688}"/>
  <tableColumns count="15">
    <tableColumn id="1" xr3:uid="{A81A89F9-8000-42F4-A9A4-56F89DF187B3}" name="A" dataDxfId="27"/>
    <tableColumn id="2" xr3:uid="{9668A9E4-3B93-45CC-8E5C-A75394967325}" name="B" dataDxfId="26"/>
    <tableColumn id="3" xr3:uid="{C8C3DD86-FD5B-45E1-9EC5-8CBE53C76A34}" name="C" dataDxfId="25"/>
    <tableColumn id="4" xr3:uid="{AAFB72A9-7BE3-4DC6-AE83-80D53C41D16A}" name="D" dataDxfId="24"/>
    <tableColumn id="5" xr3:uid="{10AB9AA5-1A3F-4F7C-850C-E35C88656658}" name="E" dataDxfId="23"/>
    <tableColumn id="6" xr3:uid="{6F5E0D96-AAEA-4316-A366-BAE7572791B3}" name="F" dataDxfId="22"/>
    <tableColumn id="7" xr3:uid="{84068969-79C8-4AC9-A1F6-79BF966E9FE1}" name="UID" dataDxfId="21">
      <calculatedColumnFormula>_xlfn.CONCAT(C3,"/",D3)</calculatedColumnFormula>
    </tableColumn>
    <tableColumn id="12" xr3:uid="{E2DCFFC5-5EFA-4F85-B011-A98E4ACA52FF}" name="Input_Category" dataDxfId="20"/>
    <tableColumn id="21" xr3:uid="{424E2288-C9AA-46E1-BA59-A8FE821F1487}" name="CS3 SV Composer" dataDxfId="19">
      <calculatedColumnFormula>VLOOKUP(Table1[[#This Row],[UID]],CS3SVComposerConfig!$B$3:$D$1808,3,FALSE)</calculatedColumnFormula>
    </tableColumn>
    <tableColumn id="20" xr3:uid="{F87E7F01-0086-4BEE-92D9-389519AAC8C9}" name="Missing" dataDxfId="18"/>
    <tableColumn id="13" xr3:uid="{A2B40538-706F-44BC-BDD8-638A7615C31D}" name="Constant/Rept" dataDxfId="17"/>
    <tableColumn id="15" xr3:uid="{469DB829-9796-483B-BA99-D7F453D990E4}" name="Used in DCR" dataDxfId="16"/>
    <tableColumn id="17" xr3:uid="{99D5EB97-34CA-4DFB-8092-6E23F35F93AE}" name="Input Basis" dataDxfId="15"/>
    <tableColumn id="14" xr3:uid="{E39EE0A5-2018-4520-A2F7-B1D9CD92244D}" name="Input Procedure" dataDxfId="14"/>
    <tableColumn id="22" xr3:uid="{4558717A-E1C6-42D0-AD2B-3B22FA964FC1}" name="R2" dataDxfId="13" dataCellStyle="Percent"/>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E10F0CE-16D1-48D6-95D3-6263581160D8}" name="Table2" displayName="Table2" ref="B2:O1760" totalsRowShown="0" headerRowBorderDxfId="12" tableBorderDxfId="11">
  <autoFilter ref="B2:O1760" xr:uid="{3E10F0CE-16D1-48D6-95D3-6263581160D8}"/>
  <tableColumns count="14">
    <tableColumn id="1" xr3:uid="{C7D5F78A-6213-44D5-82A9-57E75BBC5459}" name="uid" dataDxfId="10" dataCellStyle="Input">
      <calculatedColumnFormula>_xlfn.CONCAT(I3,"/",J3)</calculatedColumnFormula>
    </tableColumn>
    <tableColumn id="2" xr3:uid="{8CBA8DD1-D637-417F-9042-DD0A25EF5C27}" name="csv"/>
    <tableColumn id="3" xr3:uid="{4096D2C1-7DE3-48CC-8BA8-1BABB0AE1618}" name="dss"/>
    <tableColumn id="4" xr3:uid="{5144A2BA-8D09-4960-B3BD-DA62B07B9CA6}" name="L2015"/>
    <tableColumn id="5" xr3:uid="{9587113F-2D49-42D1-B9A5-06FA10F0907E}" name="idx"/>
    <tableColumn id="6" xr3:uid="{898D1CB8-A8B4-4958-A840-57524980CA91}" name="L2020"/>
    <tableColumn id="7" xr3:uid="{6888336C-ADEF-4E47-88B1-6A0468F30AA7}" name="Part A"/>
    <tableColumn id="8" xr3:uid="{7B34AD64-5CF5-413C-AF0D-DD0224049E17}" name="Part B"/>
    <tableColumn id="9" xr3:uid="{78A80026-40BF-451C-A9F6-E03D01DEE500}" name="Part C"/>
    <tableColumn id="10" xr3:uid="{0424C949-42D7-486C-BD12-F6E9C5C751F8}" name="Part D"/>
    <tableColumn id="11" xr3:uid="{673623C4-A7D5-4075-9A1F-B69F6E8681DC}" name="Part E"/>
    <tableColumn id="12" xr3:uid="{0F435965-6F63-4204-BFFC-E3686478C6CE}" name="Part F"/>
    <tableColumn id="13" xr3:uid="{9E251775-0331-4307-BDA7-6ECE7F86B1D8}" name="Duplicated?" dataDxfId="9">
      <calculatedColumnFormula>IF(COUNTIF($B$3:$B$1760,"="&amp;B3)&gt;1,"T","F")</calculatedColumnFormula>
    </tableColumn>
    <tableColumn id="14" xr3:uid="{BABBF0C2-3285-46B7-B7F5-247545BE13E9}" name="Match in Inventory?" dataDxfId="8">
      <calculatedColumnFormula>IF(_xlfn.IFNA(MATCH(B3,Table1[UID],0),"F")="F","F","T")</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externalLinkPath" Target="/personal/wyatt_arnold_water_ca_gov1/Documents/CalSim%20Synthetic%20Hydroclimate/_3_Inventory/_%20SV%20Inventory%20CalSim%20Stochastic.xlsx" TargetMode="External"/><Relationship Id="rId1" Type="http://schemas.openxmlformats.org/officeDocument/2006/relationships/externalLinkPath" Target="/personal/wyatt_arnold_water_ca_gov1/Documents/CalSim%20Synthetic%20Hydroclimate/_3_Inventory/_%20SV%20Inventory%20CalSim%20Stochastic.xlsx"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08FF-AB2C-4622-A43C-F5871BB6A7D0}">
  <sheetPr codeName="Sheet1">
    <tabColor theme="0" tint="-0.14999847407452621"/>
  </sheetPr>
  <dimension ref="B2:N1689"/>
  <sheetViews>
    <sheetView workbookViewId="0">
      <selection activeCell="L2" sqref="L2"/>
    </sheetView>
  </sheetViews>
  <sheetFormatPr defaultColWidth="8.7109375" defaultRowHeight="15" x14ac:dyDescent="0.25"/>
  <cols>
    <col min="10" max="10" width="11.7109375" customWidth="1"/>
  </cols>
  <sheetData>
    <row r="2" spans="2:14" x14ac:dyDescent="0.25">
      <c r="B2" t="s">
        <v>0</v>
      </c>
      <c r="C2" t="s">
        <v>1</v>
      </c>
      <c r="D2" t="s">
        <v>2</v>
      </c>
      <c r="E2" t="s">
        <v>3</v>
      </c>
      <c r="F2" t="s">
        <v>4</v>
      </c>
      <c r="G2" s="2" t="str">
        <f>_xlfn.CONCAT(C2,"/",D2)</f>
        <v>AW_EDCOCA_NA1/AG-DEMAND</v>
      </c>
      <c r="H2" t="s">
        <v>5</v>
      </c>
      <c r="I2" t="s">
        <v>6</v>
      </c>
      <c r="K2" t="s">
        <v>7</v>
      </c>
      <c r="L2" t="s">
        <v>8</v>
      </c>
      <c r="N2" t="s">
        <v>9</v>
      </c>
    </row>
    <row r="3" spans="2:14" x14ac:dyDescent="0.25">
      <c r="B3" t="s">
        <v>0</v>
      </c>
      <c r="C3" t="s">
        <v>10</v>
      </c>
      <c r="D3" t="s">
        <v>2</v>
      </c>
      <c r="E3" t="s">
        <v>3</v>
      </c>
      <c r="F3" t="s">
        <v>4</v>
      </c>
      <c r="G3" s="2" t="str">
        <f t="shared" ref="G3:G66" si="0">_xlfn.CONCAT(C3,"/",D3)</f>
        <v>AW_EDCOCA_NA2/AG-DEMAND</v>
      </c>
      <c r="H3" t="s">
        <v>5</v>
      </c>
      <c r="I3" t="s">
        <v>6</v>
      </c>
      <c r="K3" t="s">
        <v>7</v>
      </c>
      <c r="L3" t="s">
        <v>8</v>
      </c>
      <c r="N3" t="s">
        <v>9</v>
      </c>
    </row>
    <row r="4" spans="2:14" x14ac:dyDescent="0.25">
      <c r="B4" t="s">
        <v>0</v>
      </c>
      <c r="C4" t="s">
        <v>11</v>
      </c>
      <c r="D4" t="s">
        <v>2</v>
      </c>
      <c r="E4" t="s">
        <v>3</v>
      </c>
      <c r="F4" t="s">
        <v>4</v>
      </c>
      <c r="G4" s="2" t="str">
        <f t="shared" si="0"/>
        <v>AW_EDCOCA_NA3/AG-DEMAND</v>
      </c>
      <c r="H4" t="s">
        <v>5</v>
      </c>
      <c r="I4" t="s">
        <v>6</v>
      </c>
      <c r="K4" t="s">
        <v>7</v>
      </c>
      <c r="L4" t="s">
        <v>8</v>
      </c>
      <c r="N4" t="s">
        <v>9</v>
      </c>
    </row>
    <row r="5" spans="2:14" x14ac:dyDescent="0.25">
      <c r="B5" t="s">
        <v>0</v>
      </c>
      <c r="C5" t="s">
        <v>12</v>
      </c>
      <c r="D5" t="s">
        <v>2</v>
      </c>
      <c r="E5" t="s">
        <v>3</v>
      </c>
      <c r="F5" t="s">
        <v>4</v>
      </c>
      <c r="G5" s="2" t="str">
        <f t="shared" si="0"/>
        <v>AW_ELDID_NA1/AG-DEMAND</v>
      </c>
      <c r="H5" t="s">
        <v>5</v>
      </c>
      <c r="I5" t="s">
        <v>6</v>
      </c>
      <c r="K5" t="s">
        <v>13</v>
      </c>
      <c r="L5" t="s">
        <v>8</v>
      </c>
      <c r="N5" t="s">
        <v>9</v>
      </c>
    </row>
    <row r="6" spans="2:14" x14ac:dyDescent="0.25">
      <c r="B6" t="s">
        <v>0</v>
      </c>
      <c r="C6" t="s">
        <v>14</v>
      </c>
      <c r="D6" t="s">
        <v>2</v>
      </c>
      <c r="E6" t="s">
        <v>3</v>
      </c>
      <c r="F6" t="s">
        <v>4</v>
      </c>
      <c r="G6" s="2" t="str">
        <f t="shared" si="0"/>
        <v>AW_ELDID_NA2/AG-DEMAND</v>
      </c>
      <c r="H6" t="s">
        <v>5</v>
      </c>
      <c r="I6" t="s">
        <v>6</v>
      </c>
      <c r="K6" t="s">
        <v>13</v>
      </c>
      <c r="L6" t="s">
        <v>8</v>
      </c>
      <c r="N6" t="s">
        <v>9</v>
      </c>
    </row>
    <row r="7" spans="2:14" x14ac:dyDescent="0.25">
      <c r="B7" t="s">
        <v>0</v>
      </c>
      <c r="C7" t="s">
        <v>15</v>
      </c>
      <c r="D7" t="s">
        <v>2</v>
      </c>
      <c r="E7" t="s">
        <v>3</v>
      </c>
      <c r="F7" t="s">
        <v>4</v>
      </c>
      <c r="G7" s="2" t="str">
        <f t="shared" si="0"/>
        <v>AW_ELDID_NA3/AG-DEMAND</v>
      </c>
      <c r="H7" t="s">
        <v>5</v>
      </c>
      <c r="I7" t="s">
        <v>6</v>
      </c>
      <c r="K7" t="s">
        <v>13</v>
      </c>
      <c r="L7" t="s">
        <v>8</v>
      </c>
      <c r="N7" t="s">
        <v>9</v>
      </c>
    </row>
    <row r="8" spans="2:14" x14ac:dyDescent="0.25">
      <c r="B8" t="s">
        <v>0</v>
      </c>
      <c r="C8" t="s">
        <v>16</v>
      </c>
      <c r="D8" t="s">
        <v>2</v>
      </c>
      <c r="E8" t="s">
        <v>3</v>
      </c>
      <c r="F8" t="s">
        <v>4</v>
      </c>
      <c r="G8" s="2" t="str">
        <f t="shared" si="0"/>
        <v>AW_GDPUD_NA/AG-DEMAND</v>
      </c>
      <c r="H8" t="s">
        <v>5</v>
      </c>
      <c r="I8" t="s">
        <v>6</v>
      </c>
      <c r="K8" t="s">
        <v>13</v>
      </c>
      <c r="L8" t="s">
        <v>8</v>
      </c>
      <c r="N8" t="s">
        <v>9</v>
      </c>
    </row>
    <row r="9" spans="2:14" x14ac:dyDescent="0.25">
      <c r="B9" t="s">
        <v>0</v>
      </c>
      <c r="C9" t="s">
        <v>17</v>
      </c>
      <c r="D9" t="s">
        <v>18</v>
      </c>
      <c r="E9" t="s">
        <v>3</v>
      </c>
      <c r="F9" t="s">
        <v>4</v>
      </c>
      <c r="G9" s="2" t="str">
        <f t="shared" si="0"/>
        <v>AW_NIDBR_NA/APPLIED-WATER</v>
      </c>
      <c r="H9" t="s">
        <v>5</v>
      </c>
      <c r="I9" t="s">
        <v>6</v>
      </c>
      <c r="K9" t="s">
        <v>19</v>
      </c>
      <c r="L9" t="s">
        <v>8</v>
      </c>
      <c r="N9" t="s">
        <v>9</v>
      </c>
    </row>
    <row r="10" spans="2:14" x14ac:dyDescent="0.25">
      <c r="B10" t="s">
        <v>0</v>
      </c>
      <c r="C10" t="s">
        <v>20</v>
      </c>
      <c r="D10" t="s">
        <v>18</v>
      </c>
      <c r="E10" t="s">
        <v>3</v>
      </c>
      <c r="F10" t="s">
        <v>4</v>
      </c>
      <c r="G10" s="2" t="str">
        <f t="shared" si="0"/>
        <v>AW_NIDDC_NA1/APPLIED-WATER</v>
      </c>
      <c r="H10" t="s">
        <v>5</v>
      </c>
      <c r="I10" t="s">
        <v>6</v>
      </c>
      <c r="K10" t="s">
        <v>19</v>
      </c>
      <c r="L10" t="s">
        <v>8</v>
      </c>
      <c r="N10" t="s">
        <v>9</v>
      </c>
    </row>
    <row r="11" spans="2:14" x14ac:dyDescent="0.25">
      <c r="B11" t="s">
        <v>0</v>
      </c>
      <c r="C11" t="s">
        <v>21</v>
      </c>
      <c r="D11" t="s">
        <v>18</v>
      </c>
      <c r="E11" t="s">
        <v>3</v>
      </c>
      <c r="F11" t="s">
        <v>4</v>
      </c>
      <c r="G11" s="2" t="str">
        <f t="shared" si="0"/>
        <v>AW_NIDDC_NA2/APPLIED-WATER</v>
      </c>
      <c r="H11" t="s">
        <v>5</v>
      </c>
      <c r="I11" t="s">
        <v>6</v>
      </c>
      <c r="K11" t="s">
        <v>19</v>
      </c>
      <c r="L11" t="s">
        <v>8</v>
      </c>
      <c r="N11" t="s">
        <v>9</v>
      </c>
    </row>
    <row r="12" spans="2:14" x14ac:dyDescent="0.25">
      <c r="B12" t="s">
        <v>0</v>
      </c>
      <c r="C12" t="s">
        <v>22</v>
      </c>
      <c r="D12" t="s">
        <v>18</v>
      </c>
      <c r="E12" t="s">
        <v>3</v>
      </c>
      <c r="F12" t="s">
        <v>4</v>
      </c>
      <c r="G12" s="2" t="str">
        <f t="shared" si="0"/>
        <v>AW_NIDDC_NA3/APPLIED-WATER</v>
      </c>
      <c r="H12" t="s">
        <v>5</v>
      </c>
      <c r="I12" t="s">
        <v>6</v>
      </c>
      <c r="K12" t="s">
        <v>19</v>
      </c>
      <c r="L12" t="s">
        <v>8</v>
      </c>
      <c r="N12" t="s">
        <v>9</v>
      </c>
    </row>
    <row r="13" spans="2:14" x14ac:dyDescent="0.25">
      <c r="B13" t="s">
        <v>0</v>
      </c>
      <c r="C13" t="s">
        <v>23</v>
      </c>
      <c r="D13" t="s">
        <v>24</v>
      </c>
      <c r="E13" t="s">
        <v>3</v>
      </c>
      <c r="F13" t="s">
        <v>4</v>
      </c>
      <c r="G13" s="2" t="str">
        <f t="shared" si="0"/>
        <v>SG_R3_CVP/CANAL-LOSS</v>
      </c>
      <c r="H13" t="s">
        <v>5</v>
      </c>
      <c r="I13" t="s">
        <v>25</v>
      </c>
      <c r="K13" t="s">
        <v>26</v>
      </c>
      <c r="L13" t="s">
        <v>8</v>
      </c>
      <c r="N13" t="s">
        <v>9</v>
      </c>
    </row>
    <row r="14" spans="2:14" x14ac:dyDescent="0.25">
      <c r="B14" t="s">
        <v>0</v>
      </c>
      <c r="C14" t="s">
        <v>27</v>
      </c>
      <c r="D14" t="s">
        <v>24</v>
      </c>
      <c r="E14" t="s">
        <v>3</v>
      </c>
      <c r="F14" t="s">
        <v>4</v>
      </c>
      <c r="G14" s="2" t="str">
        <f t="shared" si="0"/>
        <v>SG_R4_CVP/CANAL-LOSS</v>
      </c>
      <c r="H14" t="s">
        <v>5</v>
      </c>
      <c r="I14" t="s">
        <v>25</v>
      </c>
      <c r="K14" t="s">
        <v>26</v>
      </c>
      <c r="L14" t="s">
        <v>8</v>
      </c>
      <c r="N14" t="s">
        <v>9</v>
      </c>
    </row>
    <row r="15" spans="2:14" x14ac:dyDescent="0.25">
      <c r="B15" t="s">
        <v>0</v>
      </c>
      <c r="C15" t="s">
        <v>28</v>
      </c>
      <c r="D15" t="s">
        <v>24</v>
      </c>
      <c r="E15" t="s">
        <v>3</v>
      </c>
      <c r="F15" t="s">
        <v>4</v>
      </c>
      <c r="G15" s="2" t="str">
        <f t="shared" si="0"/>
        <v>SG_R5_CVP/CANAL-LOSS</v>
      </c>
      <c r="H15" t="s">
        <v>5</v>
      </c>
      <c r="I15" t="s">
        <v>25</v>
      </c>
      <c r="K15" t="s">
        <v>26</v>
      </c>
      <c r="L15" t="s">
        <v>8</v>
      </c>
      <c r="N15" t="s">
        <v>9</v>
      </c>
    </row>
    <row r="16" spans="2:14" x14ac:dyDescent="0.25">
      <c r="B16" t="s">
        <v>0</v>
      </c>
      <c r="C16" t="s">
        <v>29</v>
      </c>
      <c r="D16" t="s">
        <v>24</v>
      </c>
      <c r="E16" t="s">
        <v>3</v>
      </c>
      <c r="F16" t="s">
        <v>4</v>
      </c>
      <c r="G16" s="2" t="str">
        <f t="shared" si="0"/>
        <v>SG_R6_CVP/CANAL-LOSS</v>
      </c>
      <c r="H16" t="s">
        <v>5</v>
      </c>
      <c r="I16" t="s">
        <v>25</v>
      </c>
      <c r="K16" t="s">
        <v>26</v>
      </c>
      <c r="L16" t="s">
        <v>8</v>
      </c>
      <c r="N16" t="s">
        <v>9</v>
      </c>
    </row>
    <row r="17" spans="2:14" x14ac:dyDescent="0.25">
      <c r="B17" t="s">
        <v>0</v>
      </c>
      <c r="C17" t="s">
        <v>30</v>
      </c>
      <c r="D17" t="s">
        <v>24</v>
      </c>
      <c r="E17" t="s">
        <v>3</v>
      </c>
      <c r="F17" t="s">
        <v>4</v>
      </c>
      <c r="G17" s="2" t="str">
        <f t="shared" si="0"/>
        <v>SG_R7_CVP/CANAL-LOSS</v>
      </c>
      <c r="H17" t="s">
        <v>5</v>
      </c>
      <c r="I17" t="s">
        <v>25</v>
      </c>
      <c r="K17" t="s">
        <v>26</v>
      </c>
      <c r="L17" t="s">
        <v>8</v>
      </c>
      <c r="N17" t="s">
        <v>9</v>
      </c>
    </row>
    <row r="18" spans="2:14" x14ac:dyDescent="0.25">
      <c r="B18" t="s">
        <v>0</v>
      </c>
      <c r="C18" t="s">
        <v>31</v>
      </c>
      <c r="D18" t="s">
        <v>24</v>
      </c>
      <c r="E18" t="s">
        <v>3</v>
      </c>
      <c r="F18" t="s">
        <v>4</v>
      </c>
      <c r="G18" s="2" t="str">
        <f t="shared" si="0"/>
        <v>SG_R1R2_SWP/CANAL-LOSS</v>
      </c>
      <c r="H18" t="s">
        <v>5</v>
      </c>
      <c r="I18" t="s">
        <v>25</v>
      </c>
      <c r="K18" t="s">
        <v>26</v>
      </c>
      <c r="L18" t="s">
        <v>8</v>
      </c>
      <c r="N18" t="s">
        <v>9</v>
      </c>
    </row>
    <row r="19" spans="2:14" x14ac:dyDescent="0.25">
      <c r="B19" t="s">
        <v>0</v>
      </c>
      <c r="C19" t="s">
        <v>32</v>
      </c>
      <c r="D19" t="s">
        <v>24</v>
      </c>
      <c r="E19" t="s">
        <v>3</v>
      </c>
      <c r="F19" t="s">
        <v>4</v>
      </c>
      <c r="G19" s="2" t="str">
        <f t="shared" si="0"/>
        <v>SG_R3_SWP/CANAL-LOSS</v>
      </c>
      <c r="H19" t="s">
        <v>5</v>
      </c>
      <c r="I19" t="s">
        <v>25</v>
      </c>
      <c r="K19" t="s">
        <v>26</v>
      </c>
      <c r="L19" t="s">
        <v>8</v>
      </c>
      <c r="N19" t="s">
        <v>9</v>
      </c>
    </row>
    <row r="20" spans="2:14" x14ac:dyDescent="0.25">
      <c r="B20" t="s">
        <v>0</v>
      </c>
      <c r="C20" t="s">
        <v>33</v>
      </c>
      <c r="D20" t="s">
        <v>24</v>
      </c>
      <c r="E20" t="s">
        <v>3</v>
      </c>
      <c r="F20" t="s">
        <v>4</v>
      </c>
      <c r="G20" s="2" t="str">
        <f t="shared" si="0"/>
        <v>SG_R4_SWP/CANAL-LOSS</v>
      </c>
      <c r="H20" t="s">
        <v>5</v>
      </c>
      <c r="I20" t="s">
        <v>25</v>
      </c>
      <c r="K20" t="s">
        <v>26</v>
      </c>
      <c r="L20" t="s">
        <v>8</v>
      </c>
      <c r="N20" t="s">
        <v>9</v>
      </c>
    </row>
    <row r="21" spans="2:14" x14ac:dyDescent="0.25">
      <c r="B21" t="s">
        <v>0</v>
      </c>
      <c r="C21" t="s">
        <v>34</v>
      </c>
      <c r="D21" t="s">
        <v>24</v>
      </c>
      <c r="E21" t="s">
        <v>3</v>
      </c>
      <c r="F21" t="s">
        <v>4</v>
      </c>
      <c r="G21" s="2" t="str">
        <f t="shared" si="0"/>
        <v>SG_R5_SWP/CANAL-LOSS</v>
      </c>
      <c r="H21" t="s">
        <v>5</v>
      </c>
      <c r="I21" t="s">
        <v>25</v>
      </c>
      <c r="K21" t="s">
        <v>26</v>
      </c>
      <c r="L21" t="s">
        <v>8</v>
      </c>
      <c r="N21" t="s">
        <v>9</v>
      </c>
    </row>
    <row r="22" spans="2:14" x14ac:dyDescent="0.25">
      <c r="B22" t="s">
        <v>0</v>
      </c>
      <c r="C22" t="s">
        <v>35</v>
      </c>
      <c r="D22" t="s">
        <v>24</v>
      </c>
      <c r="E22" t="s">
        <v>3</v>
      </c>
      <c r="F22" t="s">
        <v>4</v>
      </c>
      <c r="G22" s="2" t="str">
        <f t="shared" si="0"/>
        <v>SG_R6_SWP/CANAL-LOSS</v>
      </c>
      <c r="H22" t="s">
        <v>5</v>
      </c>
      <c r="I22" t="s">
        <v>25</v>
      </c>
      <c r="K22" t="s">
        <v>26</v>
      </c>
      <c r="L22" t="s">
        <v>8</v>
      </c>
      <c r="N22" t="s">
        <v>9</v>
      </c>
    </row>
    <row r="23" spans="2:14" x14ac:dyDescent="0.25">
      <c r="B23" t="s">
        <v>0</v>
      </c>
      <c r="C23" t="s">
        <v>36</v>
      </c>
      <c r="D23" t="s">
        <v>24</v>
      </c>
      <c r="E23" t="s">
        <v>3</v>
      </c>
      <c r="F23" t="s">
        <v>4</v>
      </c>
      <c r="G23" s="2" t="str">
        <f t="shared" si="0"/>
        <v>SG_R7_SWP/CANAL-LOSS</v>
      </c>
      <c r="H23" t="s">
        <v>5</v>
      </c>
      <c r="I23" t="s">
        <v>25</v>
      </c>
      <c r="K23" t="s">
        <v>26</v>
      </c>
      <c r="L23" t="s">
        <v>8</v>
      </c>
      <c r="N23" t="s">
        <v>9</v>
      </c>
    </row>
    <row r="24" spans="2:14" x14ac:dyDescent="0.25">
      <c r="B24" t="s">
        <v>0</v>
      </c>
      <c r="C24" t="s">
        <v>37</v>
      </c>
      <c r="D24" t="s">
        <v>38</v>
      </c>
      <c r="E24" t="s">
        <v>3</v>
      </c>
      <c r="F24" t="s">
        <v>4</v>
      </c>
      <c r="G24" s="2" t="str">
        <f t="shared" si="0"/>
        <v>CL_DGR/CONTRACT-LIMIT</v>
      </c>
      <c r="H24" t="s">
        <v>5</v>
      </c>
      <c r="I24" t="s">
        <v>39</v>
      </c>
      <c r="L24" t="s">
        <v>40</v>
      </c>
      <c r="M24" t="s">
        <v>41</v>
      </c>
      <c r="N24" t="s">
        <v>9</v>
      </c>
    </row>
    <row r="25" spans="2:14" x14ac:dyDescent="0.25">
      <c r="B25" t="s">
        <v>0</v>
      </c>
      <c r="C25" t="s">
        <v>42</v>
      </c>
      <c r="D25" t="s">
        <v>43</v>
      </c>
      <c r="E25" t="s">
        <v>3</v>
      </c>
      <c r="F25" t="s">
        <v>4</v>
      </c>
      <c r="G25" s="2" t="str">
        <f t="shared" si="0"/>
        <v>DEM_D810_PIN/DEMAND-SWP-IN</v>
      </c>
      <c r="H25" t="s">
        <v>5</v>
      </c>
      <c r="I25" t="s">
        <v>44</v>
      </c>
      <c r="K25" t="s">
        <v>45</v>
      </c>
      <c r="L25" t="s">
        <v>8</v>
      </c>
      <c r="N25" t="s">
        <v>9</v>
      </c>
    </row>
    <row r="26" spans="2:14" x14ac:dyDescent="0.25">
      <c r="B26" t="s">
        <v>0</v>
      </c>
      <c r="C26" t="s">
        <v>46</v>
      </c>
      <c r="D26" t="s">
        <v>43</v>
      </c>
      <c r="E26" t="s">
        <v>3</v>
      </c>
      <c r="F26" t="s">
        <v>4</v>
      </c>
      <c r="G26" s="2" t="str">
        <f t="shared" si="0"/>
        <v>DEM_D814_PIN/DEMAND-SWP-IN</v>
      </c>
      <c r="H26" t="s">
        <v>5</v>
      </c>
      <c r="I26" t="s">
        <v>44</v>
      </c>
      <c r="K26" t="s">
        <v>47</v>
      </c>
      <c r="L26" t="s">
        <v>8</v>
      </c>
      <c r="N26" t="s">
        <v>9</v>
      </c>
    </row>
    <row r="27" spans="2:14" x14ac:dyDescent="0.25">
      <c r="B27" t="s">
        <v>0</v>
      </c>
      <c r="C27" t="s">
        <v>48</v>
      </c>
      <c r="D27" t="s">
        <v>43</v>
      </c>
      <c r="E27" t="s">
        <v>3</v>
      </c>
      <c r="F27" t="s">
        <v>4</v>
      </c>
      <c r="G27" s="2" t="str">
        <f t="shared" si="0"/>
        <v>DEM_D815_PIN/DEMAND-SWP-IN</v>
      </c>
      <c r="H27" t="s">
        <v>5</v>
      </c>
      <c r="I27" t="s">
        <v>44</v>
      </c>
      <c r="K27" t="s">
        <v>49</v>
      </c>
      <c r="L27" t="s">
        <v>8</v>
      </c>
      <c r="N27" t="s">
        <v>9</v>
      </c>
    </row>
    <row r="28" spans="2:14" x14ac:dyDescent="0.25">
      <c r="B28" t="s">
        <v>0</v>
      </c>
      <c r="C28" t="s">
        <v>50</v>
      </c>
      <c r="D28" t="s">
        <v>51</v>
      </c>
      <c r="E28" t="s">
        <v>3</v>
      </c>
      <c r="F28" t="s">
        <v>4</v>
      </c>
      <c r="G28" s="2" t="str">
        <f t="shared" si="0"/>
        <v>DP_GWR15/DEEP-PERCOLATION</v>
      </c>
      <c r="H28" t="s">
        <v>52</v>
      </c>
      <c r="I28" t="s">
        <v>53</v>
      </c>
      <c r="L28" t="s">
        <v>8</v>
      </c>
      <c r="M28" t="s">
        <v>54</v>
      </c>
      <c r="N28" t="s">
        <v>9</v>
      </c>
    </row>
    <row r="29" spans="2:14" x14ac:dyDescent="0.25">
      <c r="B29" t="s">
        <v>0</v>
      </c>
      <c r="C29" t="s">
        <v>55</v>
      </c>
      <c r="D29" t="s">
        <v>51</v>
      </c>
      <c r="E29" t="s">
        <v>3</v>
      </c>
      <c r="F29" t="s">
        <v>4</v>
      </c>
      <c r="G29" s="2" t="str">
        <f t="shared" si="0"/>
        <v>DP_GWR16/DEEP-PERCOLATION</v>
      </c>
      <c r="H29" t="s">
        <v>52</v>
      </c>
      <c r="I29" t="s">
        <v>53</v>
      </c>
      <c r="L29" t="s">
        <v>8</v>
      </c>
      <c r="M29" t="s">
        <v>54</v>
      </c>
      <c r="N29" t="s">
        <v>9</v>
      </c>
    </row>
    <row r="30" spans="2:14" x14ac:dyDescent="0.25">
      <c r="B30" t="s">
        <v>0</v>
      </c>
      <c r="C30" t="s">
        <v>56</v>
      </c>
      <c r="D30" t="s">
        <v>51</v>
      </c>
      <c r="E30" t="s">
        <v>3</v>
      </c>
      <c r="F30" t="s">
        <v>4</v>
      </c>
      <c r="G30" s="2" t="str">
        <f t="shared" si="0"/>
        <v>DP_GWR17/DEEP-PERCOLATION</v>
      </c>
      <c r="H30" t="s">
        <v>52</v>
      </c>
      <c r="I30" t="s">
        <v>53</v>
      </c>
      <c r="L30" t="s">
        <v>8</v>
      </c>
      <c r="M30" t="s">
        <v>54</v>
      </c>
      <c r="N30" t="s">
        <v>9</v>
      </c>
    </row>
    <row r="31" spans="2:14" x14ac:dyDescent="0.25">
      <c r="B31" t="s">
        <v>0</v>
      </c>
      <c r="C31" t="s">
        <v>57</v>
      </c>
      <c r="D31" t="s">
        <v>51</v>
      </c>
      <c r="E31" t="s">
        <v>3</v>
      </c>
      <c r="F31" t="s">
        <v>4</v>
      </c>
      <c r="G31" s="2" t="str">
        <f t="shared" si="0"/>
        <v>DP_GWR18/DEEP-PERCOLATION</v>
      </c>
      <c r="H31" t="s">
        <v>52</v>
      </c>
      <c r="I31" t="s">
        <v>53</v>
      </c>
      <c r="L31" t="s">
        <v>8</v>
      </c>
      <c r="M31" t="s">
        <v>54</v>
      </c>
      <c r="N31" t="s">
        <v>9</v>
      </c>
    </row>
    <row r="32" spans="2:14" x14ac:dyDescent="0.25">
      <c r="B32" t="s">
        <v>0</v>
      </c>
      <c r="C32" t="s">
        <v>58</v>
      </c>
      <c r="D32" t="s">
        <v>51</v>
      </c>
      <c r="E32" t="s">
        <v>3</v>
      </c>
      <c r="F32" t="s">
        <v>4</v>
      </c>
      <c r="G32" s="2" t="str">
        <f t="shared" si="0"/>
        <v>DP_GWR19/DEEP-PERCOLATION</v>
      </c>
      <c r="H32" t="s">
        <v>52</v>
      </c>
      <c r="I32" t="s">
        <v>53</v>
      </c>
      <c r="L32" t="s">
        <v>8</v>
      </c>
      <c r="M32" t="s">
        <v>54</v>
      </c>
      <c r="N32" t="s">
        <v>9</v>
      </c>
    </row>
    <row r="33" spans="2:14" x14ac:dyDescent="0.25">
      <c r="B33" t="s">
        <v>0</v>
      </c>
      <c r="C33" t="s">
        <v>59</v>
      </c>
      <c r="D33" t="s">
        <v>51</v>
      </c>
      <c r="E33" t="s">
        <v>3</v>
      </c>
      <c r="F33" t="s">
        <v>4</v>
      </c>
      <c r="G33" s="2" t="str">
        <f t="shared" si="0"/>
        <v>DP_GWR20/DEEP-PERCOLATION</v>
      </c>
      <c r="H33" t="s">
        <v>52</v>
      </c>
      <c r="I33" t="s">
        <v>53</v>
      </c>
      <c r="L33" t="s">
        <v>8</v>
      </c>
      <c r="M33" t="s">
        <v>54</v>
      </c>
      <c r="N33" t="s">
        <v>9</v>
      </c>
    </row>
    <row r="34" spans="2:14" x14ac:dyDescent="0.25">
      <c r="B34" t="s">
        <v>0</v>
      </c>
      <c r="C34" t="s">
        <v>60</v>
      </c>
      <c r="D34" t="s">
        <v>51</v>
      </c>
      <c r="E34" t="s">
        <v>3</v>
      </c>
      <c r="F34" t="s">
        <v>4</v>
      </c>
      <c r="G34" s="2" t="str">
        <f t="shared" si="0"/>
        <v>DP_GWR21/DEEP-PERCOLATION</v>
      </c>
      <c r="H34" t="s">
        <v>52</v>
      </c>
      <c r="I34" t="s">
        <v>53</v>
      </c>
      <c r="L34" t="s">
        <v>8</v>
      </c>
      <c r="M34" t="s">
        <v>54</v>
      </c>
      <c r="N34" t="s">
        <v>9</v>
      </c>
    </row>
    <row r="35" spans="2:14" x14ac:dyDescent="0.25">
      <c r="B35" t="s">
        <v>0</v>
      </c>
      <c r="C35" t="s">
        <v>61</v>
      </c>
      <c r="D35" t="s">
        <v>62</v>
      </c>
      <c r="E35" t="s">
        <v>3</v>
      </c>
      <c r="F35" t="s">
        <v>4</v>
      </c>
      <c r="G35" s="2" t="str">
        <f t="shared" si="0"/>
        <v>DP_WBA50_DCD/DP-FLOW</v>
      </c>
      <c r="H35" t="s">
        <v>52</v>
      </c>
      <c r="I35" t="s">
        <v>53</v>
      </c>
      <c r="L35" t="s">
        <v>8</v>
      </c>
      <c r="M35" t="s">
        <v>54</v>
      </c>
      <c r="N35" t="s">
        <v>9</v>
      </c>
    </row>
    <row r="36" spans="2:14" x14ac:dyDescent="0.25">
      <c r="B36" t="s">
        <v>0</v>
      </c>
      <c r="C36" t="s">
        <v>63</v>
      </c>
      <c r="D36" t="s">
        <v>64</v>
      </c>
      <c r="E36" t="s">
        <v>3</v>
      </c>
      <c r="F36" t="s">
        <v>4</v>
      </c>
      <c r="G36" s="2" t="str">
        <f t="shared" si="0"/>
        <v>GP_GWR15/PUMPING</v>
      </c>
      <c r="H36" t="s">
        <v>52</v>
      </c>
      <c r="I36" t="s">
        <v>53</v>
      </c>
      <c r="L36" t="s">
        <v>8</v>
      </c>
      <c r="M36" t="s">
        <v>40</v>
      </c>
      <c r="N36" t="s">
        <v>9</v>
      </c>
    </row>
    <row r="37" spans="2:14" x14ac:dyDescent="0.25">
      <c r="B37" t="s">
        <v>0</v>
      </c>
      <c r="C37" t="s">
        <v>65</v>
      </c>
      <c r="D37" t="s">
        <v>64</v>
      </c>
      <c r="E37" t="s">
        <v>3</v>
      </c>
      <c r="F37" t="s">
        <v>4</v>
      </c>
      <c r="G37" s="2" t="str">
        <f t="shared" si="0"/>
        <v>GP_GWR16/PUMPING</v>
      </c>
      <c r="H37" t="s">
        <v>52</v>
      </c>
      <c r="I37" t="s">
        <v>53</v>
      </c>
      <c r="L37" t="s">
        <v>8</v>
      </c>
      <c r="M37" t="s">
        <v>40</v>
      </c>
      <c r="N37" t="s">
        <v>9</v>
      </c>
    </row>
    <row r="38" spans="2:14" x14ac:dyDescent="0.25">
      <c r="B38" t="s">
        <v>0</v>
      </c>
      <c r="C38" t="s">
        <v>66</v>
      </c>
      <c r="D38" t="s">
        <v>64</v>
      </c>
      <c r="E38" t="s">
        <v>3</v>
      </c>
      <c r="F38" t="s">
        <v>4</v>
      </c>
      <c r="G38" s="2" t="str">
        <f t="shared" si="0"/>
        <v>GP_GWR17/PUMPING</v>
      </c>
      <c r="H38" t="s">
        <v>52</v>
      </c>
      <c r="I38" t="s">
        <v>53</v>
      </c>
      <c r="L38" t="s">
        <v>8</v>
      </c>
      <c r="M38" t="s">
        <v>40</v>
      </c>
      <c r="N38" t="s">
        <v>9</v>
      </c>
    </row>
    <row r="39" spans="2:14" x14ac:dyDescent="0.25">
      <c r="B39" t="s">
        <v>0</v>
      </c>
      <c r="C39" t="s">
        <v>67</v>
      </c>
      <c r="D39" t="s">
        <v>64</v>
      </c>
      <c r="E39" t="s">
        <v>3</v>
      </c>
      <c r="F39" t="s">
        <v>4</v>
      </c>
      <c r="G39" s="2" t="str">
        <f t="shared" si="0"/>
        <v>GP_GWR18/PUMPING</v>
      </c>
      <c r="H39" t="s">
        <v>52</v>
      </c>
      <c r="I39" t="s">
        <v>53</v>
      </c>
      <c r="L39" t="s">
        <v>8</v>
      </c>
      <c r="M39" t="s">
        <v>40</v>
      </c>
      <c r="N39" t="s">
        <v>9</v>
      </c>
    </row>
    <row r="40" spans="2:14" x14ac:dyDescent="0.25">
      <c r="B40" t="s">
        <v>0</v>
      </c>
      <c r="C40" t="s">
        <v>68</v>
      </c>
      <c r="D40" t="s">
        <v>64</v>
      </c>
      <c r="E40" t="s">
        <v>3</v>
      </c>
      <c r="F40" t="s">
        <v>4</v>
      </c>
      <c r="G40" s="2" t="str">
        <f t="shared" si="0"/>
        <v>GP_GWR19/PUMPING</v>
      </c>
      <c r="H40" t="s">
        <v>52</v>
      </c>
      <c r="I40" t="s">
        <v>53</v>
      </c>
      <c r="L40" t="s">
        <v>8</v>
      </c>
      <c r="M40" t="s">
        <v>40</v>
      </c>
      <c r="N40" t="s">
        <v>9</v>
      </c>
    </row>
    <row r="41" spans="2:14" x14ac:dyDescent="0.25">
      <c r="B41" t="s">
        <v>0</v>
      </c>
      <c r="C41" t="s">
        <v>69</v>
      </c>
      <c r="D41" t="s">
        <v>64</v>
      </c>
      <c r="E41" t="s">
        <v>3</v>
      </c>
      <c r="F41" t="s">
        <v>4</v>
      </c>
      <c r="G41" s="2" t="str">
        <f t="shared" si="0"/>
        <v>GP_GWR20/PUMPING</v>
      </c>
      <c r="H41" t="s">
        <v>52</v>
      </c>
      <c r="I41" t="s">
        <v>53</v>
      </c>
      <c r="L41" t="s">
        <v>8</v>
      </c>
      <c r="M41" t="s">
        <v>40</v>
      </c>
      <c r="N41" t="s">
        <v>9</v>
      </c>
    </row>
    <row r="42" spans="2:14" x14ac:dyDescent="0.25">
      <c r="B42" t="s">
        <v>0</v>
      </c>
      <c r="C42" t="s">
        <v>70</v>
      </c>
      <c r="D42" t="s">
        <v>64</v>
      </c>
      <c r="E42" t="s">
        <v>3</v>
      </c>
      <c r="F42" t="s">
        <v>4</v>
      </c>
      <c r="G42" s="2" t="str">
        <f t="shared" si="0"/>
        <v>GP_GWR21/PUMPING</v>
      </c>
      <c r="H42" t="s">
        <v>52</v>
      </c>
      <c r="I42" t="s">
        <v>53</v>
      </c>
      <c r="L42" t="s">
        <v>8</v>
      </c>
      <c r="M42" t="s">
        <v>40</v>
      </c>
      <c r="N42" t="s">
        <v>9</v>
      </c>
    </row>
    <row r="43" spans="2:14" x14ac:dyDescent="0.25">
      <c r="B43" t="s">
        <v>0</v>
      </c>
      <c r="C43" t="s">
        <v>71</v>
      </c>
      <c r="D43" t="s">
        <v>72</v>
      </c>
      <c r="E43" t="s">
        <v>3</v>
      </c>
      <c r="F43" t="s">
        <v>4</v>
      </c>
      <c r="G43" s="2" t="str">
        <f t="shared" si="0"/>
        <v>GW1_N1003/BUGW-INFLOW</v>
      </c>
      <c r="H43" t="s">
        <v>52</v>
      </c>
      <c r="I43" t="s">
        <v>53</v>
      </c>
      <c r="L43" t="s">
        <v>8</v>
      </c>
      <c r="N43" t="s">
        <v>9</v>
      </c>
    </row>
    <row r="44" spans="2:14" x14ac:dyDescent="0.25">
      <c r="B44" t="s">
        <v>0</v>
      </c>
      <c r="C44" t="s">
        <v>73</v>
      </c>
      <c r="D44" t="s">
        <v>72</v>
      </c>
      <c r="E44" t="s">
        <v>3</v>
      </c>
      <c r="F44" t="s">
        <v>4</v>
      </c>
      <c r="G44" s="2" t="str">
        <f t="shared" si="0"/>
        <v>GW1_N1004/BUGW-INFLOW</v>
      </c>
      <c r="H44" t="s">
        <v>52</v>
      </c>
      <c r="I44" t="s">
        <v>53</v>
      </c>
      <c r="L44" t="s">
        <v>8</v>
      </c>
      <c r="N44" t="s">
        <v>9</v>
      </c>
    </row>
    <row r="45" spans="2:14" x14ac:dyDescent="0.25">
      <c r="B45" t="s">
        <v>0</v>
      </c>
      <c r="C45" t="s">
        <v>74</v>
      </c>
      <c r="D45" t="s">
        <v>72</v>
      </c>
      <c r="E45" t="s">
        <v>3</v>
      </c>
      <c r="F45" t="s">
        <v>4</v>
      </c>
      <c r="G45" s="2" t="str">
        <f t="shared" si="0"/>
        <v>GW1_N1005/BUGW-INFLOW</v>
      </c>
      <c r="H45" t="s">
        <v>52</v>
      </c>
      <c r="I45" t="s">
        <v>53</v>
      </c>
      <c r="L45" t="s">
        <v>8</v>
      </c>
      <c r="N45" t="s">
        <v>9</v>
      </c>
    </row>
    <row r="46" spans="2:14" x14ac:dyDescent="0.25">
      <c r="B46" t="s">
        <v>0</v>
      </c>
      <c r="C46" t="s">
        <v>75</v>
      </c>
      <c r="D46" t="s">
        <v>72</v>
      </c>
      <c r="E46" t="s">
        <v>3</v>
      </c>
      <c r="F46" t="s">
        <v>4</v>
      </c>
      <c r="G46" s="2" t="str">
        <f t="shared" si="0"/>
        <v>GW1_N1006/BUGW-INFLOW</v>
      </c>
      <c r="H46" t="s">
        <v>52</v>
      </c>
      <c r="I46" t="s">
        <v>53</v>
      </c>
      <c r="L46" t="s">
        <v>8</v>
      </c>
      <c r="N46" t="s">
        <v>9</v>
      </c>
    </row>
    <row r="47" spans="2:14" x14ac:dyDescent="0.25">
      <c r="B47" t="s">
        <v>0</v>
      </c>
      <c r="C47" t="s">
        <v>76</v>
      </c>
      <c r="D47" t="s">
        <v>72</v>
      </c>
      <c r="E47" t="s">
        <v>3</v>
      </c>
      <c r="F47" t="s">
        <v>4</v>
      </c>
      <c r="G47" s="2" t="str">
        <f t="shared" si="0"/>
        <v>GW1_N1007/BUGW-INFLOW</v>
      </c>
      <c r="H47" t="s">
        <v>52</v>
      </c>
      <c r="I47" t="s">
        <v>53</v>
      </c>
      <c r="L47" t="s">
        <v>8</v>
      </c>
      <c r="N47" t="s">
        <v>9</v>
      </c>
    </row>
    <row r="48" spans="2:14" x14ac:dyDescent="0.25">
      <c r="B48" t="s">
        <v>0</v>
      </c>
      <c r="C48" t="s">
        <v>77</v>
      </c>
      <c r="D48" t="s">
        <v>72</v>
      </c>
      <c r="E48" t="s">
        <v>3</v>
      </c>
      <c r="F48" t="s">
        <v>4</v>
      </c>
      <c r="G48" s="2" t="str">
        <f t="shared" si="0"/>
        <v>GW1_N1017/BUGW-INFLOW</v>
      </c>
      <c r="H48" t="s">
        <v>52</v>
      </c>
      <c r="I48" t="s">
        <v>53</v>
      </c>
      <c r="L48" t="s">
        <v>8</v>
      </c>
      <c r="N48" t="s">
        <v>9</v>
      </c>
    </row>
    <row r="49" spans="2:14" x14ac:dyDescent="0.25">
      <c r="B49" t="s">
        <v>0</v>
      </c>
      <c r="C49" t="s">
        <v>78</v>
      </c>
      <c r="D49" t="s">
        <v>72</v>
      </c>
      <c r="E49" t="s">
        <v>3</v>
      </c>
      <c r="F49" t="s">
        <v>4</v>
      </c>
      <c r="G49" s="2" t="str">
        <f t="shared" si="0"/>
        <v>GW1_N1034/BUGW-INFLOW</v>
      </c>
      <c r="H49" t="s">
        <v>52</v>
      </c>
      <c r="I49" t="s">
        <v>53</v>
      </c>
      <c r="L49" t="s">
        <v>8</v>
      </c>
      <c r="N49" t="s">
        <v>9</v>
      </c>
    </row>
    <row r="50" spans="2:14" x14ac:dyDescent="0.25">
      <c r="B50" t="s">
        <v>0</v>
      </c>
      <c r="C50" t="s">
        <v>79</v>
      </c>
      <c r="D50" t="s">
        <v>72</v>
      </c>
      <c r="E50" t="s">
        <v>3</v>
      </c>
      <c r="F50" t="s">
        <v>4</v>
      </c>
      <c r="G50" s="2" t="str">
        <f t="shared" si="0"/>
        <v>GW1_N1035/BUGW-INFLOW</v>
      </c>
      <c r="H50" t="s">
        <v>52</v>
      </c>
      <c r="I50" t="s">
        <v>53</v>
      </c>
      <c r="L50" t="s">
        <v>8</v>
      </c>
      <c r="N50" t="s">
        <v>9</v>
      </c>
    </row>
    <row r="51" spans="2:14" x14ac:dyDescent="0.25">
      <c r="B51" t="s">
        <v>0</v>
      </c>
      <c r="C51" t="s">
        <v>80</v>
      </c>
      <c r="D51" t="s">
        <v>72</v>
      </c>
      <c r="E51" t="s">
        <v>3</v>
      </c>
      <c r="F51" t="s">
        <v>4</v>
      </c>
      <c r="G51" s="2" t="str">
        <f t="shared" si="0"/>
        <v>GW1_N1036/BUGW-INFLOW</v>
      </c>
      <c r="H51" t="s">
        <v>52</v>
      </c>
      <c r="I51" t="s">
        <v>53</v>
      </c>
      <c r="L51" t="s">
        <v>8</v>
      </c>
      <c r="N51" t="s">
        <v>9</v>
      </c>
    </row>
    <row r="52" spans="2:14" x14ac:dyDescent="0.25">
      <c r="B52" t="s">
        <v>0</v>
      </c>
      <c r="C52" t="s">
        <v>81</v>
      </c>
      <c r="D52" t="s">
        <v>72</v>
      </c>
      <c r="E52" t="s">
        <v>3</v>
      </c>
      <c r="F52" t="s">
        <v>4</v>
      </c>
      <c r="G52" s="2" t="str">
        <f t="shared" si="0"/>
        <v>GW1_N1051/BUGW-INFLOW</v>
      </c>
      <c r="H52" t="s">
        <v>52</v>
      </c>
      <c r="I52" t="s">
        <v>53</v>
      </c>
      <c r="L52" t="s">
        <v>8</v>
      </c>
      <c r="N52" t="s">
        <v>9</v>
      </c>
    </row>
    <row r="53" spans="2:14" x14ac:dyDescent="0.25">
      <c r="B53" t="s">
        <v>0</v>
      </c>
      <c r="C53" t="s">
        <v>82</v>
      </c>
      <c r="D53" t="s">
        <v>72</v>
      </c>
      <c r="E53" t="s">
        <v>3</v>
      </c>
      <c r="F53" t="s">
        <v>4</v>
      </c>
      <c r="G53" s="2" t="str">
        <f t="shared" si="0"/>
        <v>GW1_N1052/BUGW-INFLOW</v>
      </c>
      <c r="H53" t="s">
        <v>52</v>
      </c>
      <c r="I53" t="s">
        <v>53</v>
      </c>
      <c r="L53" t="s">
        <v>8</v>
      </c>
      <c r="N53" t="s">
        <v>9</v>
      </c>
    </row>
    <row r="54" spans="2:14" x14ac:dyDescent="0.25">
      <c r="B54" t="s">
        <v>0</v>
      </c>
      <c r="C54" t="s">
        <v>83</v>
      </c>
      <c r="D54" t="s">
        <v>72</v>
      </c>
      <c r="E54" t="s">
        <v>3</v>
      </c>
      <c r="F54" t="s">
        <v>4</v>
      </c>
      <c r="G54" s="2" t="str">
        <f t="shared" si="0"/>
        <v>GW1_N1061/BUGW-INFLOW</v>
      </c>
      <c r="H54" t="s">
        <v>52</v>
      </c>
      <c r="I54" t="s">
        <v>53</v>
      </c>
      <c r="L54" t="s">
        <v>8</v>
      </c>
      <c r="N54" t="s">
        <v>9</v>
      </c>
    </row>
    <row r="55" spans="2:14" x14ac:dyDescent="0.25">
      <c r="B55" t="s">
        <v>0</v>
      </c>
      <c r="C55" t="s">
        <v>84</v>
      </c>
      <c r="D55" t="s">
        <v>72</v>
      </c>
      <c r="E55" t="s">
        <v>3</v>
      </c>
      <c r="F55" t="s">
        <v>4</v>
      </c>
      <c r="G55" s="2" t="str">
        <f t="shared" si="0"/>
        <v>GW1_N107/BUGW-INFLOW</v>
      </c>
      <c r="H55" t="s">
        <v>52</v>
      </c>
      <c r="I55" t="s">
        <v>53</v>
      </c>
      <c r="L55" t="s">
        <v>8</v>
      </c>
      <c r="N55" t="s">
        <v>9</v>
      </c>
    </row>
    <row r="56" spans="2:14" x14ac:dyDescent="0.25">
      <c r="B56" t="s">
        <v>0</v>
      </c>
      <c r="C56" t="s">
        <v>85</v>
      </c>
      <c r="D56" t="s">
        <v>72</v>
      </c>
      <c r="E56" t="s">
        <v>3</v>
      </c>
      <c r="F56" t="s">
        <v>4</v>
      </c>
      <c r="G56" s="2" t="str">
        <f t="shared" si="0"/>
        <v>GW1_N1078/BUGW-INFLOW</v>
      </c>
      <c r="H56" t="s">
        <v>52</v>
      </c>
      <c r="I56" t="s">
        <v>53</v>
      </c>
      <c r="L56" t="s">
        <v>8</v>
      </c>
      <c r="N56" t="s">
        <v>9</v>
      </c>
    </row>
    <row r="57" spans="2:14" x14ac:dyDescent="0.25">
      <c r="B57" t="s">
        <v>0</v>
      </c>
      <c r="C57" t="s">
        <v>86</v>
      </c>
      <c r="D57" t="s">
        <v>72</v>
      </c>
      <c r="E57" t="s">
        <v>3</v>
      </c>
      <c r="F57" t="s">
        <v>4</v>
      </c>
      <c r="G57" s="2" t="str">
        <f t="shared" si="0"/>
        <v>GW1_N1083/BUGW-INFLOW</v>
      </c>
      <c r="H57" t="s">
        <v>52</v>
      </c>
      <c r="I57" t="s">
        <v>53</v>
      </c>
      <c r="L57" t="s">
        <v>8</v>
      </c>
      <c r="N57" t="s">
        <v>9</v>
      </c>
    </row>
    <row r="58" spans="2:14" x14ac:dyDescent="0.25">
      <c r="B58" t="s">
        <v>0</v>
      </c>
      <c r="C58" t="s">
        <v>87</v>
      </c>
      <c r="D58" t="s">
        <v>72</v>
      </c>
      <c r="E58" t="s">
        <v>3</v>
      </c>
      <c r="F58" t="s">
        <v>4</v>
      </c>
      <c r="G58" s="2" t="str">
        <f t="shared" si="0"/>
        <v>GW1_N1086/BUGW-INFLOW</v>
      </c>
      <c r="H58" t="s">
        <v>52</v>
      </c>
      <c r="I58" t="s">
        <v>53</v>
      </c>
      <c r="L58" t="s">
        <v>8</v>
      </c>
      <c r="N58" t="s">
        <v>9</v>
      </c>
    </row>
    <row r="59" spans="2:14" x14ac:dyDescent="0.25">
      <c r="B59" t="s">
        <v>0</v>
      </c>
      <c r="C59" t="s">
        <v>88</v>
      </c>
      <c r="D59" t="s">
        <v>72</v>
      </c>
      <c r="E59" t="s">
        <v>3</v>
      </c>
      <c r="F59" t="s">
        <v>4</v>
      </c>
      <c r="G59" s="2" t="str">
        <f t="shared" si="0"/>
        <v>GW1_N1093/BUGW-INFLOW</v>
      </c>
      <c r="H59" t="s">
        <v>52</v>
      </c>
      <c r="I59" t="s">
        <v>53</v>
      </c>
      <c r="L59" t="s">
        <v>8</v>
      </c>
      <c r="N59" t="s">
        <v>9</v>
      </c>
    </row>
    <row r="60" spans="2:14" x14ac:dyDescent="0.25">
      <c r="B60" t="s">
        <v>0</v>
      </c>
      <c r="C60" t="s">
        <v>89</v>
      </c>
      <c r="D60" t="s">
        <v>72</v>
      </c>
      <c r="E60" t="s">
        <v>3</v>
      </c>
      <c r="F60" t="s">
        <v>4</v>
      </c>
      <c r="G60" s="2" t="str">
        <f t="shared" si="0"/>
        <v>GW1_N1097/BUGW-INFLOW</v>
      </c>
      <c r="H60" t="s">
        <v>52</v>
      </c>
      <c r="I60" t="s">
        <v>53</v>
      </c>
      <c r="L60" t="s">
        <v>8</v>
      </c>
      <c r="N60" t="s">
        <v>9</v>
      </c>
    </row>
    <row r="61" spans="2:14" x14ac:dyDescent="0.25">
      <c r="B61" t="s">
        <v>0</v>
      </c>
      <c r="C61" t="s">
        <v>90</v>
      </c>
      <c r="D61" t="s">
        <v>72</v>
      </c>
      <c r="E61" t="s">
        <v>3</v>
      </c>
      <c r="F61" t="s">
        <v>4</v>
      </c>
      <c r="G61" s="2" t="str">
        <f t="shared" si="0"/>
        <v>GW1_N1103/BUGW-INFLOW</v>
      </c>
      <c r="H61" t="s">
        <v>52</v>
      </c>
      <c r="I61" t="s">
        <v>53</v>
      </c>
      <c r="L61" t="s">
        <v>8</v>
      </c>
      <c r="N61" t="s">
        <v>9</v>
      </c>
    </row>
    <row r="62" spans="2:14" x14ac:dyDescent="0.25">
      <c r="B62" t="s">
        <v>0</v>
      </c>
      <c r="C62" t="s">
        <v>91</v>
      </c>
      <c r="D62" t="s">
        <v>72</v>
      </c>
      <c r="E62" t="s">
        <v>3</v>
      </c>
      <c r="F62" t="s">
        <v>4</v>
      </c>
      <c r="G62" s="2" t="str">
        <f t="shared" si="0"/>
        <v>GW1_N1104/BUGW-INFLOW</v>
      </c>
      <c r="H62" t="s">
        <v>52</v>
      </c>
      <c r="I62" t="s">
        <v>53</v>
      </c>
      <c r="L62" t="s">
        <v>8</v>
      </c>
      <c r="N62" t="s">
        <v>9</v>
      </c>
    </row>
    <row r="63" spans="2:14" x14ac:dyDescent="0.25">
      <c r="B63" t="s">
        <v>0</v>
      </c>
      <c r="C63" t="s">
        <v>92</v>
      </c>
      <c r="D63" t="s">
        <v>72</v>
      </c>
      <c r="E63" t="s">
        <v>3</v>
      </c>
      <c r="F63" t="s">
        <v>4</v>
      </c>
      <c r="G63" s="2" t="str">
        <f t="shared" si="0"/>
        <v>GW1_N1112/BUGW-INFLOW</v>
      </c>
      <c r="H63" t="s">
        <v>52</v>
      </c>
      <c r="I63" t="s">
        <v>53</v>
      </c>
      <c r="L63" t="s">
        <v>8</v>
      </c>
      <c r="N63" t="s">
        <v>9</v>
      </c>
    </row>
    <row r="64" spans="2:14" x14ac:dyDescent="0.25">
      <c r="B64" t="s">
        <v>0</v>
      </c>
      <c r="C64" t="s">
        <v>93</v>
      </c>
      <c r="D64" t="s">
        <v>72</v>
      </c>
      <c r="E64" t="s">
        <v>3</v>
      </c>
      <c r="F64" t="s">
        <v>4</v>
      </c>
      <c r="G64" s="2" t="str">
        <f t="shared" si="0"/>
        <v>GW1_N1113/BUGW-INFLOW</v>
      </c>
      <c r="H64" t="s">
        <v>52</v>
      </c>
      <c r="I64" t="s">
        <v>53</v>
      </c>
      <c r="L64" t="s">
        <v>8</v>
      </c>
      <c r="N64" t="s">
        <v>9</v>
      </c>
    </row>
    <row r="65" spans="2:14" x14ac:dyDescent="0.25">
      <c r="B65" t="s">
        <v>0</v>
      </c>
      <c r="C65" t="s">
        <v>94</v>
      </c>
      <c r="D65" t="s">
        <v>72</v>
      </c>
      <c r="E65" t="s">
        <v>3</v>
      </c>
      <c r="F65" t="s">
        <v>4</v>
      </c>
      <c r="G65" s="2" t="str">
        <f t="shared" si="0"/>
        <v>GW1_N1136/BUGW-INFLOW</v>
      </c>
      <c r="H65" t="s">
        <v>52</v>
      </c>
      <c r="I65" t="s">
        <v>53</v>
      </c>
      <c r="L65" t="s">
        <v>8</v>
      </c>
      <c r="N65" t="s">
        <v>9</v>
      </c>
    </row>
    <row r="66" spans="2:14" x14ac:dyDescent="0.25">
      <c r="B66" t="s">
        <v>0</v>
      </c>
      <c r="C66" t="s">
        <v>95</v>
      </c>
      <c r="D66" t="s">
        <v>72</v>
      </c>
      <c r="E66" t="s">
        <v>3</v>
      </c>
      <c r="F66" t="s">
        <v>4</v>
      </c>
      <c r="G66" s="2" t="str">
        <f t="shared" si="0"/>
        <v>GW1_N115/BUGW-INFLOW</v>
      </c>
      <c r="H66" t="s">
        <v>52</v>
      </c>
      <c r="I66" t="s">
        <v>53</v>
      </c>
      <c r="L66" t="s">
        <v>8</v>
      </c>
      <c r="N66" t="s">
        <v>9</v>
      </c>
    </row>
    <row r="67" spans="2:14" x14ac:dyDescent="0.25">
      <c r="B67" t="s">
        <v>0</v>
      </c>
      <c r="C67" t="s">
        <v>96</v>
      </c>
      <c r="D67" t="s">
        <v>72</v>
      </c>
      <c r="E67" t="s">
        <v>3</v>
      </c>
      <c r="F67" t="s">
        <v>4</v>
      </c>
      <c r="G67" s="2" t="str">
        <f t="shared" ref="G67:G130" si="1">_xlfn.CONCAT(C67,"/",D67)</f>
        <v>GW1_N1151/BUGW-INFLOW</v>
      </c>
      <c r="H67" t="s">
        <v>52</v>
      </c>
      <c r="I67" t="s">
        <v>53</v>
      </c>
      <c r="L67" t="s">
        <v>8</v>
      </c>
      <c r="N67" t="s">
        <v>9</v>
      </c>
    </row>
    <row r="68" spans="2:14" x14ac:dyDescent="0.25">
      <c r="B68" t="s">
        <v>0</v>
      </c>
      <c r="C68" t="s">
        <v>97</v>
      </c>
      <c r="D68" t="s">
        <v>72</v>
      </c>
      <c r="E68" t="s">
        <v>3</v>
      </c>
      <c r="F68" t="s">
        <v>4</v>
      </c>
      <c r="G68" s="2" t="str">
        <f t="shared" si="1"/>
        <v>GW1_N1152/BUGW-INFLOW</v>
      </c>
      <c r="H68" t="s">
        <v>52</v>
      </c>
      <c r="I68" t="s">
        <v>53</v>
      </c>
      <c r="L68" t="s">
        <v>8</v>
      </c>
      <c r="N68" t="s">
        <v>9</v>
      </c>
    </row>
    <row r="69" spans="2:14" x14ac:dyDescent="0.25">
      <c r="B69" t="s">
        <v>0</v>
      </c>
      <c r="C69" t="s">
        <v>98</v>
      </c>
      <c r="D69" t="s">
        <v>72</v>
      </c>
      <c r="E69" t="s">
        <v>3</v>
      </c>
      <c r="F69" t="s">
        <v>4</v>
      </c>
      <c r="G69" s="2" t="str">
        <f t="shared" si="1"/>
        <v>GW1_N1174/BUGW-INFLOW</v>
      </c>
      <c r="H69" t="s">
        <v>52</v>
      </c>
      <c r="I69" t="s">
        <v>53</v>
      </c>
      <c r="L69" t="s">
        <v>8</v>
      </c>
      <c r="N69" t="s">
        <v>9</v>
      </c>
    </row>
    <row r="70" spans="2:14" x14ac:dyDescent="0.25">
      <c r="B70" t="s">
        <v>0</v>
      </c>
      <c r="C70" t="s">
        <v>99</v>
      </c>
      <c r="D70" t="s">
        <v>72</v>
      </c>
      <c r="E70" t="s">
        <v>3</v>
      </c>
      <c r="F70" t="s">
        <v>4</v>
      </c>
      <c r="G70" s="2" t="str">
        <f t="shared" si="1"/>
        <v>GW1_N118/BUGW-INFLOW</v>
      </c>
      <c r="H70" t="s">
        <v>52</v>
      </c>
      <c r="I70" t="s">
        <v>53</v>
      </c>
      <c r="L70" t="s">
        <v>8</v>
      </c>
      <c r="N70" t="s">
        <v>9</v>
      </c>
    </row>
    <row r="71" spans="2:14" x14ac:dyDescent="0.25">
      <c r="B71" t="s">
        <v>0</v>
      </c>
      <c r="C71" t="s">
        <v>100</v>
      </c>
      <c r="D71" t="s">
        <v>72</v>
      </c>
      <c r="E71" t="s">
        <v>3</v>
      </c>
      <c r="F71" t="s">
        <v>4</v>
      </c>
      <c r="G71" s="2" t="str">
        <f t="shared" si="1"/>
        <v>GW1_N1186/BUGW-INFLOW</v>
      </c>
      <c r="H71" t="s">
        <v>52</v>
      </c>
      <c r="I71" t="s">
        <v>53</v>
      </c>
      <c r="L71" t="s">
        <v>8</v>
      </c>
      <c r="N71" t="s">
        <v>9</v>
      </c>
    </row>
    <row r="72" spans="2:14" x14ac:dyDescent="0.25">
      <c r="B72" t="s">
        <v>0</v>
      </c>
      <c r="C72" t="s">
        <v>101</v>
      </c>
      <c r="D72" t="s">
        <v>72</v>
      </c>
      <c r="E72" t="s">
        <v>3</v>
      </c>
      <c r="F72" t="s">
        <v>4</v>
      </c>
      <c r="G72" s="2" t="str">
        <f t="shared" si="1"/>
        <v>GW1_N1187/BUGW-INFLOW</v>
      </c>
      <c r="H72" t="s">
        <v>52</v>
      </c>
      <c r="I72" t="s">
        <v>53</v>
      </c>
      <c r="L72" t="s">
        <v>8</v>
      </c>
      <c r="N72" t="s">
        <v>9</v>
      </c>
    </row>
    <row r="73" spans="2:14" x14ac:dyDescent="0.25">
      <c r="B73" t="s">
        <v>0</v>
      </c>
      <c r="C73" t="s">
        <v>102</v>
      </c>
      <c r="D73" t="s">
        <v>72</v>
      </c>
      <c r="E73" t="s">
        <v>3</v>
      </c>
      <c r="F73" t="s">
        <v>4</v>
      </c>
      <c r="G73" s="2" t="str">
        <f t="shared" si="1"/>
        <v>GW1_N1194/BUGW-INFLOW</v>
      </c>
      <c r="H73" t="s">
        <v>52</v>
      </c>
      <c r="I73" t="s">
        <v>53</v>
      </c>
      <c r="L73" t="s">
        <v>8</v>
      </c>
      <c r="N73" t="s">
        <v>9</v>
      </c>
    </row>
    <row r="74" spans="2:14" x14ac:dyDescent="0.25">
      <c r="B74" t="s">
        <v>0</v>
      </c>
      <c r="C74" t="s">
        <v>103</v>
      </c>
      <c r="D74" t="s">
        <v>72</v>
      </c>
      <c r="E74" t="s">
        <v>3</v>
      </c>
      <c r="F74" t="s">
        <v>4</v>
      </c>
      <c r="G74" s="2" t="str">
        <f t="shared" si="1"/>
        <v>GW1_N1207/BUGW-INFLOW</v>
      </c>
      <c r="H74" t="s">
        <v>52</v>
      </c>
      <c r="I74" t="s">
        <v>53</v>
      </c>
      <c r="L74" t="s">
        <v>8</v>
      </c>
      <c r="N74" t="s">
        <v>9</v>
      </c>
    </row>
    <row r="75" spans="2:14" x14ac:dyDescent="0.25">
      <c r="B75" t="s">
        <v>0</v>
      </c>
      <c r="C75" t="s">
        <v>104</v>
      </c>
      <c r="D75" t="s">
        <v>72</v>
      </c>
      <c r="E75" t="s">
        <v>3</v>
      </c>
      <c r="F75" t="s">
        <v>4</v>
      </c>
      <c r="G75" s="2" t="str">
        <f t="shared" si="1"/>
        <v>GW1_N1208/BUGW-INFLOW</v>
      </c>
      <c r="H75" t="s">
        <v>52</v>
      </c>
      <c r="I75" t="s">
        <v>53</v>
      </c>
      <c r="L75" t="s">
        <v>8</v>
      </c>
      <c r="N75" t="s">
        <v>9</v>
      </c>
    </row>
    <row r="76" spans="2:14" x14ac:dyDescent="0.25">
      <c r="B76" t="s">
        <v>0</v>
      </c>
      <c r="C76" t="s">
        <v>105</v>
      </c>
      <c r="D76" t="s">
        <v>72</v>
      </c>
      <c r="E76" t="s">
        <v>3</v>
      </c>
      <c r="F76" t="s">
        <v>4</v>
      </c>
      <c r="G76" s="2" t="str">
        <f t="shared" si="1"/>
        <v>GW1_N1209/BUGW-INFLOW</v>
      </c>
      <c r="H76" t="s">
        <v>52</v>
      </c>
      <c r="I76" t="s">
        <v>53</v>
      </c>
      <c r="L76" t="s">
        <v>8</v>
      </c>
      <c r="N76" t="s">
        <v>9</v>
      </c>
    </row>
    <row r="77" spans="2:14" x14ac:dyDescent="0.25">
      <c r="B77" t="s">
        <v>0</v>
      </c>
      <c r="C77" t="s">
        <v>106</v>
      </c>
      <c r="D77" t="s">
        <v>72</v>
      </c>
      <c r="E77" t="s">
        <v>3</v>
      </c>
      <c r="F77" t="s">
        <v>4</v>
      </c>
      <c r="G77" s="2" t="str">
        <f t="shared" si="1"/>
        <v>GW1_N121/BUGW-INFLOW</v>
      </c>
      <c r="H77" t="s">
        <v>52</v>
      </c>
      <c r="I77" t="s">
        <v>53</v>
      </c>
      <c r="L77" t="s">
        <v>8</v>
      </c>
      <c r="N77" t="s">
        <v>9</v>
      </c>
    </row>
    <row r="78" spans="2:14" x14ac:dyDescent="0.25">
      <c r="B78" t="s">
        <v>0</v>
      </c>
      <c r="C78" t="s">
        <v>107</v>
      </c>
      <c r="D78" t="s">
        <v>72</v>
      </c>
      <c r="E78" t="s">
        <v>3</v>
      </c>
      <c r="F78" t="s">
        <v>4</v>
      </c>
      <c r="G78" s="2" t="str">
        <f t="shared" si="1"/>
        <v>GW1_N1210/BUGW-INFLOW</v>
      </c>
      <c r="H78" t="s">
        <v>52</v>
      </c>
      <c r="I78" t="s">
        <v>53</v>
      </c>
      <c r="L78" t="s">
        <v>8</v>
      </c>
      <c r="N78" t="s">
        <v>9</v>
      </c>
    </row>
    <row r="79" spans="2:14" x14ac:dyDescent="0.25">
      <c r="B79" t="s">
        <v>0</v>
      </c>
      <c r="C79" t="s">
        <v>108</v>
      </c>
      <c r="D79" t="s">
        <v>72</v>
      </c>
      <c r="E79" t="s">
        <v>3</v>
      </c>
      <c r="F79" t="s">
        <v>4</v>
      </c>
      <c r="G79" s="2" t="str">
        <f t="shared" si="1"/>
        <v>GW1_N1212/BUGW-INFLOW</v>
      </c>
      <c r="H79" t="s">
        <v>52</v>
      </c>
      <c r="I79" t="s">
        <v>53</v>
      </c>
      <c r="L79" t="s">
        <v>8</v>
      </c>
      <c r="N79" t="s">
        <v>9</v>
      </c>
    </row>
    <row r="80" spans="2:14" x14ac:dyDescent="0.25">
      <c r="B80" t="s">
        <v>0</v>
      </c>
      <c r="C80" t="s">
        <v>109</v>
      </c>
      <c r="D80" t="s">
        <v>72</v>
      </c>
      <c r="E80" t="s">
        <v>3</v>
      </c>
      <c r="F80" t="s">
        <v>4</v>
      </c>
      <c r="G80" s="2" t="str">
        <f t="shared" si="1"/>
        <v>GW1_N1213/BUGW-INFLOW</v>
      </c>
      <c r="H80" t="s">
        <v>52</v>
      </c>
      <c r="I80" t="s">
        <v>53</v>
      </c>
      <c r="L80" t="s">
        <v>8</v>
      </c>
      <c r="N80" t="s">
        <v>9</v>
      </c>
    </row>
    <row r="81" spans="2:14" x14ac:dyDescent="0.25">
      <c r="B81" t="s">
        <v>0</v>
      </c>
      <c r="C81" t="s">
        <v>110</v>
      </c>
      <c r="D81" t="s">
        <v>72</v>
      </c>
      <c r="E81" t="s">
        <v>3</v>
      </c>
      <c r="F81" t="s">
        <v>4</v>
      </c>
      <c r="G81" s="2" t="str">
        <f t="shared" si="1"/>
        <v>GW1_N1214/BUGW-INFLOW</v>
      </c>
      <c r="H81" t="s">
        <v>52</v>
      </c>
      <c r="I81" t="s">
        <v>53</v>
      </c>
      <c r="L81" t="s">
        <v>8</v>
      </c>
      <c r="N81" t="s">
        <v>9</v>
      </c>
    </row>
    <row r="82" spans="2:14" x14ac:dyDescent="0.25">
      <c r="B82" t="s">
        <v>0</v>
      </c>
      <c r="C82" t="s">
        <v>111</v>
      </c>
      <c r="D82" t="s">
        <v>72</v>
      </c>
      <c r="E82" t="s">
        <v>3</v>
      </c>
      <c r="F82" t="s">
        <v>4</v>
      </c>
      <c r="G82" s="2" t="str">
        <f t="shared" si="1"/>
        <v>GW1_N122/BUGW-INFLOW</v>
      </c>
      <c r="H82" t="s">
        <v>52</v>
      </c>
      <c r="I82" t="s">
        <v>53</v>
      </c>
      <c r="L82" t="s">
        <v>8</v>
      </c>
      <c r="N82" t="s">
        <v>9</v>
      </c>
    </row>
    <row r="83" spans="2:14" x14ac:dyDescent="0.25">
      <c r="B83" t="s">
        <v>0</v>
      </c>
      <c r="C83" t="s">
        <v>112</v>
      </c>
      <c r="D83" t="s">
        <v>72</v>
      </c>
      <c r="E83" t="s">
        <v>3</v>
      </c>
      <c r="F83" t="s">
        <v>4</v>
      </c>
      <c r="G83" s="2" t="str">
        <f t="shared" si="1"/>
        <v>GW1_N1227/BUGW-INFLOW</v>
      </c>
      <c r="H83" t="s">
        <v>52</v>
      </c>
      <c r="I83" t="s">
        <v>53</v>
      </c>
      <c r="L83" t="s">
        <v>8</v>
      </c>
      <c r="N83" t="s">
        <v>9</v>
      </c>
    </row>
    <row r="84" spans="2:14" x14ac:dyDescent="0.25">
      <c r="B84" t="s">
        <v>0</v>
      </c>
      <c r="C84" t="s">
        <v>113</v>
      </c>
      <c r="D84" t="s">
        <v>72</v>
      </c>
      <c r="E84" t="s">
        <v>3</v>
      </c>
      <c r="F84" t="s">
        <v>4</v>
      </c>
      <c r="G84" s="2" t="str">
        <f t="shared" si="1"/>
        <v>GW1_N1228/BUGW-INFLOW</v>
      </c>
      <c r="H84" t="s">
        <v>52</v>
      </c>
      <c r="I84" t="s">
        <v>53</v>
      </c>
      <c r="L84" t="s">
        <v>8</v>
      </c>
      <c r="N84" t="s">
        <v>9</v>
      </c>
    </row>
    <row r="85" spans="2:14" x14ac:dyDescent="0.25">
      <c r="B85" t="s">
        <v>0</v>
      </c>
      <c r="C85" t="s">
        <v>114</v>
      </c>
      <c r="D85" t="s">
        <v>72</v>
      </c>
      <c r="E85" t="s">
        <v>3</v>
      </c>
      <c r="F85" t="s">
        <v>4</v>
      </c>
      <c r="G85" s="2" t="str">
        <f t="shared" si="1"/>
        <v>GW1_N1243/BUGW-INFLOW</v>
      </c>
      <c r="H85" t="s">
        <v>52</v>
      </c>
      <c r="I85" t="s">
        <v>53</v>
      </c>
      <c r="L85" t="s">
        <v>8</v>
      </c>
      <c r="N85" t="s">
        <v>9</v>
      </c>
    </row>
    <row r="86" spans="2:14" x14ac:dyDescent="0.25">
      <c r="B86" t="s">
        <v>0</v>
      </c>
      <c r="C86" t="s">
        <v>115</v>
      </c>
      <c r="D86" t="s">
        <v>72</v>
      </c>
      <c r="E86" t="s">
        <v>3</v>
      </c>
      <c r="F86" t="s">
        <v>4</v>
      </c>
      <c r="G86" s="2" t="str">
        <f t="shared" si="1"/>
        <v>GW1_N1244/BUGW-INFLOW</v>
      </c>
      <c r="H86" t="s">
        <v>52</v>
      </c>
      <c r="I86" t="s">
        <v>53</v>
      </c>
      <c r="L86" t="s">
        <v>8</v>
      </c>
      <c r="N86" t="s">
        <v>9</v>
      </c>
    </row>
    <row r="87" spans="2:14" x14ac:dyDescent="0.25">
      <c r="B87" t="s">
        <v>0</v>
      </c>
      <c r="C87" t="s">
        <v>116</v>
      </c>
      <c r="D87" t="s">
        <v>72</v>
      </c>
      <c r="E87" t="s">
        <v>3</v>
      </c>
      <c r="F87" t="s">
        <v>4</v>
      </c>
      <c r="G87" s="2" t="str">
        <f t="shared" si="1"/>
        <v>GW1_N1253/BUGW-INFLOW</v>
      </c>
      <c r="H87" t="s">
        <v>52</v>
      </c>
      <c r="I87" t="s">
        <v>53</v>
      </c>
      <c r="L87" t="s">
        <v>8</v>
      </c>
      <c r="N87" t="s">
        <v>9</v>
      </c>
    </row>
    <row r="88" spans="2:14" x14ac:dyDescent="0.25">
      <c r="B88" t="s">
        <v>0</v>
      </c>
      <c r="C88" t="s">
        <v>117</v>
      </c>
      <c r="D88" t="s">
        <v>72</v>
      </c>
      <c r="E88" t="s">
        <v>3</v>
      </c>
      <c r="F88" t="s">
        <v>4</v>
      </c>
      <c r="G88" s="2" t="str">
        <f t="shared" si="1"/>
        <v>GW1_N1255/BUGW-INFLOW</v>
      </c>
      <c r="H88" t="s">
        <v>52</v>
      </c>
      <c r="I88" t="s">
        <v>53</v>
      </c>
      <c r="L88" t="s">
        <v>8</v>
      </c>
      <c r="N88" t="s">
        <v>9</v>
      </c>
    </row>
    <row r="89" spans="2:14" x14ac:dyDescent="0.25">
      <c r="B89" t="s">
        <v>0</v>
      </c>
      <c r="C89" t="s">
        <v>118</v>
      </c>
      <c r="D89" t="s">
        <v>72</v>
      </c>
      <c r="E89" t="s">
        <v>3</v>
      </c>
      <c r="F89" t="s">
        <v>4</v>
      </c>
      <c r="G89" s="2" t="str">
        <f t="shared" si="1"/>
        <v>GW1_N1266/BUGW-INFLOW</v>
      </c>
      <c r="H89" t="s">
        <v>52</v>
      </c>
      <c r="I89" t="s">
        <v>53</v>
      </c>
      <c r="L89" t="s">
        <v>8</v>
      </c>
      <c r="N89" t="s">
        <v>9</v>
      </c>
    </row>
    <row r="90" spans="2:14" x14ac:dyDescent="0.25">
      <c r="B90" t="s">
        <v>0</v>
      </c>
      <c r="C90" t="s">
        <v>119</v>
      </c>
      <c r="D90" t="s">
        <v>72</v>
      </c>
      <c r="E90" t="s">
        <v>3</v>
      </c>
      <c r="F90" t="s">
        <v>4</v>
      </c>
      <c r="G90" s="2" t="str">
        <f t="shared" si="1"/>
        <v>GW1_N1267/BUGW-INFLOW</v>
      </c>
      <c r="H90" t="s">
        <v>52</v>
      </c>
      <c r="I90" t="s">
        <v>53</v>
      </c>
      <c r="L90" t="s">
        <v>8</v>
      </c>
      <c r="N90" t="s">
        <v>9</v>
      </c>
    </row>
    <row r="91" spans="2:14" x14ac:dyDescent="0.25">
      <c r="B91" t="s">
        <v>0</v>
      </c>
      <c r="C91" t="s">
        <v>120</v>
      </c>
      <c r="D91" t="s">
        <v>72</v>
      </c>
      <c r="E91" t="s">
        <v>3</v>
      </c>
      <c r="F91" t="s">
        <v>4</v>
      </c>
      <c r="G91" s="2" t="str">
        <f t="shared" si="1"/>
        <v>GW1_N1279/BUGW-INFLOW</v>
      </c>
      <c r="H91" t="s">
        <v>52</v>
      </c>
      <c r="I91" t="s">
        <v>53</v>
      </c>
      <c r="L91" t="s">
        <v>8</v>
      </c>
      <c r="N91" t="s">
        <v>9</v>
      </c>
    </row>
    <row r="92" spans="2:14" x14ac:dyDescent="0.25">
      <c r="B92" t="s">
        <v>0</v>
      </c>
      <c r="C92" t="s">
        <v>121</v>
      </c>
      <c r="D92" t="s">
        <v>72</v>
      </c>
      <c r="E92" t="s">
        <v>3</v>
      </c>
      <c r="F92" t="s">
        <v>4</v>
      </c>
      <c r="G92" s="2" t="str">
        <f t="shared" si="1"/>
        <v>GW1_N1280/BUGW-INFLOW</v>
      </c>
      <c r="H92" t="s">
        <v>52</v>
      </c>
      <c r="I92" t="s">
        <v>53</v>
      </c>
      <c r="L92" t="s">
        <v>8</v>
      </c>
      <c r="N92" t="s">
        <v>9</v>
      </c>
    </row>
    <row r="93" spans="2:14" x14ac:dyDescent="0.25">
      <c r="B93" t="s">
        <v>0</v>
      </c>
      <c r="C93" t="s">
        <v>122</v>
      </c>
      <c r="D93" t="s">
        <v>72</v>
      </c>
      <c r="E93" t="s">
        <v>3</v>
      </c>
      <c r="F93" t="s">
        <v>4</v>
      </c>
      <c r="G93" s="2" t="str">
        <f t="shared" si="1"/>
        <v>GW1_N1292/BUGW-INFLOW</v>
      </c>
      <c r="H93" t="s">
        <v>52</v>
      </c>
      <c r="I93" t="s">
        <v>53</v>
      </c>
      <c r="L93" t="s">
        <v>8</v>
      </c>
      <c r="N93" t="s">
        <v>9</v>
      </c>
    </row>
    <row r="94" spans="2:14" x14ac:dyDescent="0.25">
      <c r="B94" t="s">
        <v>0</v>
      </c>
      <c r="C94" t="s">
        <v>123</v>
      </c>
      <c r="D94" t="s">
        <v>72</v>
      </c>
      <c r="E94" t="s">
        <v>3</v>
      </c>
      <c r="F94" t="s">
        <v>4</v>
      </c>
      <c r="G94" s="2" t="str">
        <f t="shared" si="1"/>
        <v>GW1_N1293/BUGW-INFLOW</v>
      </c>
      <c r="H94" t="s">
        <v>52</v>
      </c>
      <c r="I94" t="s">
        <v>53</v>
      </c>
      <c r="L94" t="s">
        <v>8</v>
      </c>
      <c r="N94" t="s">
        <v>9</v>
      </c>
    </row>
    <row r="95" spans="2:14" x14ac:dyDescent="0.25">
      <c r="B95" t="s">
        <v>0</v>
      </c>
      <c r="C95" t="s">
        <v>124</v>
      </c>
      <c r="D95" t="s">
        <v>72</v>
      </c>
      <c r="E95" t="s">
        <v>3</v>
      </c>
      <c r="F95" t="s">
        <v>4</v>
      </c>
      <c r="G95" s="2" t="str">
        <f t="shared" si="1"/>
        <v>GW1_N13/BUGW-INFLOW</v>
      </c>
      <c r="H95" t="s">
        <v>52</v>
      </c>
      <c r="I95" t="s">
        <v>53</v>
      </c>
      <c r="L95" t="s">
        <v>8</v>
      </c>
      <c r="N95" t="s">
        <v>9</v>
      </c>
    </row>
    <row r="96" spans="2:14" x14ac:dyDescent="0.25">
      <c r="B96" t="s">
        <v>0</v>
      </c>
      <c r="C96" t="s">
        <v>125</v>
      </c>
      <c r="D96" t="s">
        <v>72</v>
      </c>
      <c r="E96" t="s">
        <v>3</v>
      </c>
      <c r="F96" t="s">
        <v>4</v>
      </c>
      <c r="G96" s="2" t="str">
        <f t="shared" si="1"/>
        <v>GW1_N1305/BUGW-INFLOW</v>
      </c>
      <c r="H96" t="s">
        <v>52</v>
      </c>
      <c r="I96" t="s">
        <v>53</v>
      </c>
      <c r="L96" t="s">
        <v>8</v>
      </c>
      <c r="N96" t="s">
        <v>9</v>
      </c>
    </row>
    <row r="97" spans="2:14" x14ac:dyDescent="0.25">
      <c r="B97" t="s">
        <v>0</v>
      </c>
      <c r="C97" t="s">
        <v>126</v>
      </c>
      <c r="D97" t="s">
        <v>72</v>
      </c>
      <c r="E97" t="s">
        <v>3</v>
      </c>
      <c r="F97" t="s">
        <v>4</v>
      </c>
      <c r="G97" s="2" t="str">
        <f t="shared" si="1"/>
        <v>GW1_N1316/BUGW-INFLOW</v>
      </c>
      <c r="H97" t="s">
        <v>52</v>
      </c>
      <c r="I97" t="s">
        <v>53</v>
      </c>
      <c r="L97" t="s">
        <v>8</v>
      </c>
      <c r="N97" t="s">
        <v>9</v>
      </c>
    </row>
    <row r="98" spans="2:14" x14ac:dyDescent="0.25">
      <c r="B98" t="s">
        <v>0</v>
      </c>
      <c r="C98" t="s">
        <v>127</v>
      </c>
      <c r="D98" t="s">
        <v>72</v>
      </c>
      <c r="E98" t="s">
        <v>3</v>
      </c>
      <c r="F98" t="s">
        <v>4</v>
      </c>
      <c r="G98" s="2" t="str">
        <f t="shared" si="1"/>
        <v>GW1_N1318/BUGW-INFLOW</v>
      </c>
      <c r="H98" t="s">
        <v>52</v>
      </c>
      <c r="I98" t="s">
        <v>53</v>
      </c>
      <c r="L98" t="s">
        <v>8</v>
      </c>
      <c r="N98" t="s">
        <v>9</v>
      </c>
    </row>
    <row r="99" spans="2:14" x14ac:dyDescent="0.25">
      <c r="B99" t="s">
        <v>0</v>
      </c>
      <c r="C99" t="s">
        <v>128</v>
      </c>
      <c r="D99" t="s">
        <v>72</v>
      </c>
      <c r="E99" t="s">
        <v>3</v>
      </c>
      <c r="F99" t="s">
        <v>4</v>
      </c>
      <c r="G99" s="2" t="str">
        <f t="shared" si="1"/>
        <v>GW1_N1329/BUGW-INFLOW</v>
      </c>
      <c r="H99" t="s">
        <v>52</v>
      </c>
      <c r="I99" t="s">
        <v>53</v>
      </c>
      <c r="L99" t="s">
        <v>8</v>
      </c>
      <c r="N99" t="s">
        <v>9</v>
      </c>
    </row>
    <row r="100" spans="2:14" x14ac:dyDescent="0.25">
      <c r="B100" t="s">
        <v>0</v>
      </c>
      <c r="C100" t="s">
        <v>129</v>
      </c>
      <c r="D100" t="s">
        <v>72</v>
      </c>
      <c r="E100" t="s">
        <v>3</v>
      </c>
      <c r="F100" t="s">
        <v>4</v>
      </c>
      <c r="G100" s="2" t="str">
        <f t="shared" si="1"/>
        <v>GW1_N1338/BUGW-INFLOW</v>
      </c>
      <c r="H100" t="s">
        <v>52</v>
      </c>
      <c r="I100" t="s">
        <v>53</v>
      </c>
      <c r="L100" t="s">
        <v>8</v>
      </c>
      <c r="N100" t="s">
        <v>9</v>
      </c>
    </row>
    <row r="101" spans="2:14" x14ac:dyDescent="0.25">
      <c r="B101" t="s">
        <v>0</v>
      </c>
      <c r="C101" t="s">
        <v>130</v>
      </c>
      <c r="D101" t="s">
        <v>72</v>
      </c>
      <c r="E101" t="s">
        <v>3</v>
      </c>
      <c r="F101" t="s">
        <v>4</v>
      </c>
      <c r="G101" s="2" t="str">
        <f t="shared" si="1"/>
        <v>GW1_N1339/BUGW-INFLOW</v>
      </c>
      <c r="H101" t="s">
        <v>52</v>
      </c>
      <c r="I101" t="s">
        <v>53</v>
      </c>
      <c r="L101" t="s">
        <v>8</v>
      </c>
      <c r="N101" t="s">
        <v>9</v>
      </c>
    </row>
    <row r="102" spans="2:14" x14ac:dyDescent="0.25">
      <c r="B102" t="s">
        <v>0</v>
      </c>
      <c r="C102" t="s">
        <v>131</v>
      </c>
      <c r="D102" t="s">
        <v>72</v>
      </c>
      <c r="E102" t="s">
        <v>3</v>
      </c>
      <c r="F102" t="s">
        <v>4</v>
      </c>
      <c r="G102" s="2" t="str">
        <f t="shared" si="1"/>
        <v>GW1_N1349/BUGW-INFLOW</v>
      </c>
      <c r="H102" t="s">
        <v>52</v>
      </c>
      <c r="I102" t="s">
        <v>53</v>
      </c>
      <c r="L102" t="s">
        <v>8</v>
      </c>
      <c r="N102" t="s">
        <v>9</v>
      </c>
    </row>
    <row r="103" spans="2:14" x14ac:dyDescent="0.25">
      <c r="B103" t="s">
        <v>0</v>
      </c>
      <c r="C103" t="s">
        <v>132</v>
      </c>
      <c r="D103" t="s">
        <v>72</v>
      </c>
      <c r="E103" t="s">
        <v>3</v>
      </c>
      <c r="F103" t="s">
        <v>4</v>
      </c>
      <c r="G103" s="2" t="str">
        <f t="shared" si="1"/>
        <v>GW1_N1359/BUGW-INFLOW</v>
      </c>
      <c r="H103" t="s">
        <v>52</v>
      </c>
      <c r="I103" t="s">
        <v>53</v>
      </c>
      <c r="L103" t="s">
        <v>8</v>
      </c>
      <c r="N103" t="s">
        <v>9</v>
      </c>
    </row>
    <row r="104" spans="2:14" x14ac:dyDescent="0.25">
      <c r="B104" t="s">
        <v>0</v>
      </c>
      <c r="C104" t="s">
        <v>133</v>
      </c>
      <c r="D104" t="s">
        <v>72</v>
      </c>
      <c r="E104" t="s">
        <v>3</v>
      </c>
      <c r="F104" t="s">
        <v>4</v>
      </c>
      <c r="G104" s="2" t="str">
        <f t="shared" si="1"/>
        <v>GW1_N1360/BUGW-INFLOW</v>
      </c>
      <c r="H104" t="s">
        <v>52</v>
      </c>
      <c r="I104" t="s">
        <v>53</v>
      </c>
      <c r="L104" t="s">
        <v>8</v>
      </c>
      <c r="N104" t="s">
        <v>9</v>
      </c>
    </row>
    <row r="105" spans="2:14" x14ac:dyDescent="0.25">
      <c r="B105" t="s">
        <v>0</v>
      </c>
      <c r="C105" t="s">
        <v>134</v>
      </c>
      <c r="D105" t="s">
        <v>72</v>
      </c>
      <c r="E105" t="s">
        <v>3</v>
      </c>
      <c r="F105" t="s">
        <v>4</v>
      </c>
      <c r="G105" s="2" t="str">
        <f t="shared" si="1"/>
        <v>GW1_N1368/BUGW-INFLOW</v>
      </c>
      <c r="H105" t="s">
        <v>52</v>
      </c>
      <c r="I105" t="s">
        <v>53</v>
      </c>
      <c r="L105" t="s">
        <v>8</v>
      </c>
      <c r="N105" t="s">
        <v>9</v>
      </c>
    </row>
    <row r="106" spans="2:14" x14ac:dyDescent="0.25">
      <c r="B106" t="s">
        <v>0</v>
      </c>
      <c r="C106" t="s">
        <v>135</v>
      </c>
      <c r="D106" t="s">
        <v>72</v>
      </c>
      <c r="E106" t="s">
        <v>3</v>
      </c>
      <c r="F106" t="s">
        <v>4</v>
      </c>
      <c r="G106" s="2" t="str">
        <f t="shared" si="1"/>
        <v>GW1_N1371/BUGW-INFLOW</v>
      </c>
      <c r="H106" t="s">
        <v>52</v>
      </c>
      <c r="I106" t="s">
        <v>53</v>
      </c>
      <c r="L106" t="s">
        <v>8</v>
      </c>
      <c r="N106" t="s">
        <v>9</v>
      </c>
    </row>
    <row r="107" spans="2:14" x14ac:dyDescent="0.25">
      <c r="B107" t="s">
        <v>0</v>
      </c>
      <c r="C107" t="s">
        <v>136</v>
      </c>
      <c r="D107" t="s">
        <v>72</v>
      </c>
      <c r="E107" t="s">
        <v>3</v>
      </c>
      <c r="F107" t="s">
        <v>4</v>
      </c>
      <c r="G107" s="2" t="str">
        <f t="shared" si="1"/>
        <v>GW1_N1374/BUGW-INFLOW</v>
      </c>
      <c r="H107" t="s">
        <v>52</v>
      </c>
      <c r="I107" t="s">
        <v>53</v>
      </c>
      <c r="L107" t="s">
        <v>8</v>
      </c>
      <c r="N107" t="s">
        <v>9</v>
      </c>
    </row>
    <row r="108" spans="2:14" x14ac:dyDescent="0.25">
      <c r="B108" t="s">
        <v>0</v>
      </c>
      <c r="C108" t="s">
        <v>137</v>
      </c>
      <c r="D108" t="s">
        <v>72</v>
      </c>
      <c r="E108" t="s">
        <v>3</v>
      </c>
      <c r="F108" t="s">
        <v>4</v>
      </c>
      <c r="G108" s="2" t="str">
        <f t="shared" si="1"/>
        <v>GW1_N1380/BUGW-INFLOW</v>
      </c>
      <c r="H108" t="s">
        <v>52</v>
      </c>
      <c r="I108" t="s">
        <v>53</v>
      </c>
      <c r="L108" t="s">
        <v>8</v>
      </c>
      <c r="N108" t="s">
        <v>9</v>
      </c>
    </row>
    <row r="109" spans="2:14" x14ac:dyDescent="0.25">
      <c r="B109" t="s">
        <v>0</v>
      </c>
      <c r="C109" t="s">
        <v>138</v>
      </c>
      <c r="D109" t="s">
        <v>72</v>
      </c>
      <c r="E109" t="s">
        <v>3</v>
      </c>
      <c r="F109" t="s">
        <v>4</v>
      </c>
      <c r="G109" s="2" t="str">
        <f t="shared" si="1"/>
        <v>GW1_N1381/BUGW-INFLOW</v>
      </c>
      <c r="H109" t="s">
        <v>52</v>
      </c>
      <c r="I109" t="s">
        <v>53</v>
      </c>
      <c r="L109" t="s">
        <v>8</v>
      </c>
      <c r="N109" t="s">
        <v>9</v>
      </c>
    </row>
    <row r="110" spans="2:14" x14ac:dyDescent="0.25">
      <c r="B110" t="s">
        <v>0</v>
      </c>
      <c r="C110" t="s">
        <v>139</v>
      </c>
      <c r="D110" t="s">
        <v>72</v>
      </c>
      <c r="E110" t="s">
        <v>3</v>
      </c>
      <c r="F110" t="s">
        <v>4</v>
      </c>
      <c r="G110" s="2" t="str">
        <f t="shared" si="1"/>
        <v>GW1_N1382/BUGW-INFLOW</v>
      </c>
      <c r="H110" t="s">
        <v>52</v>
      </c>
      <c r="I110" t="s">
        <v>53</v>
      </c>
      <c r="L110" t="s">
        <v>8</v>
      </c>
      <c r="N110" t="s">
        <v>9</v>
      </c>
    </row>
    <row r="111" spans="2:14" x14ac:dyDescent="0.25">
      <c r="B111" t="s">
        <v>0</v>
      </c>
      <c r="C111" t="s">
        <v>140</v>
      </c>
      <c r="D111" t="s">
        <v>72</v>
      </c>
      <c r="E111" t="s">
        <v>3</v>
      </c>
      <c r="F111" t="s">
        <v>4</v>
      </c>
      <c r="G111" s="2" t="str">
        <f t="shared" si="1"/>
        <v>GW1_N1385/BUGW-INFLOW</v>
      </c>
      <c r="H111" t="s">
        <v>52</v>
      </c>
      <c r="I111" t="s">
        <v>53</v>
      </c>
      <c r="L111" t="s">
        <v>8</v>
      </c>
      <c r="N111" t="s">
        <v>9</v>
      </c>
    </row>
    <row r="112" spans="2:14" x14ac:dyDescent="0.25">
      <c r="B112" t="s">
        <v>0</v>
      </c>
      <c r="C112" t="s">
        <v>141</v>
      </c>
      <c r="D112" t="s">
        <v>72</v>
      </c>
      <c r="E112" t="s">
        <v>3</v>
      </c>
      <c r="F112" t="s">
        <v>4</v>
      </c>
      <c r="G112" s="2" t="str">
        <f t="shared" si="1"/>
        <v>GW1_N1386/BUGW-INFLOW</v>
      </c>
      <c r="H112" t="s">
        <v>52</v>
      </c>
      <c r="I112" t="s">
        <v>53</v>
      </c>
      <c r="L112" t="s">
        <v>8</v>
      </c>
      <c r="N112" t="s">
        <v>9</v>
      </c>
    </row>
    <row r="113" spans="2:14" x14ac:dyDescent="0.25">
      <c r="B113" t="s">
        <v>0</v>
      </c>
      <c r="C113" t="s">
        <v>142</v>
      </c>
      <c r="D113" t="s">
        <v>72</v>
      </c>
      <c r="E113" t="s">
        <v>3</v>
      </c>
      <c r="F113" t="s">
        <v>4</v>
      </c>
      <c r="G113" s="2" t="str">
        <f t="shared" si="1"/>
        <v>GW1_N1389/BUGW-INFLOW</v>
      </c>
      <c r="H113" t="s">
        <v>52</v>
      </c>
      <c r="I113" t="s">
        <v>53</v>
      </c>
      <c r="L113" t="s">
        <v>8</v>
      </c>
      <c r="N113" t="s">
        <v>9</v>
      </c>
    </row>
    <row r="114" spans="2:14" x14ac:dyDescent="0.25">
      <c r="B114" t="s">
        <v>0</v>
      </c>
      <c r="C114" t="s">
        <v>143</v>
      </c>
      <c r="D114" t="s">
        <v>72</v>
      </c>
      <c r="E114" t="s">
        <v>3</v>
      </c>
      <c r="F114" t="s">
        <v>4</v>
      </c>
      <c r="G114" s="2" t="str">
        <f t="shared" si="1"/>
        <v>GW1_N1390/BUGW-INFLOW</v>
      </c>
      <c r="H114" t="s">
        <v>52</v>
      </c>
      <c r="I114" t="s">
        <v>53</v>
      </c>
      <c r="L114" t="s">
        <v>8</v>
      </c>
      <c r="N114" t="s">
        <v>9</v>
      </c>
    </row>
    <row r="115" spans="2:14" x14ac:dyDescent="0.25">
      <c r="B115" t="s">
        <v>0</v>
      </c>
      <c r="C115" t="s">
        <v>144</v>
      </c>
      <c r="D115" t="s">
        <v>72</v>
      </c>
      <c r="E115" t="s">
        <v>3</v>
      </c>
      <c r="F115" t="s">
        <v>4</v>
      </c>
      <c r="G115" s="2" t="str">
        <f t="shared" si="1"/>
        <v>GW1_N1391/BUGW-INFLOW</v>
      </c>
      <c r="H115" t="s">
        <v>52</v>
      </c>
      <c r="I115" t="s">
        <v>53</v>
      </c>
      <c r="L115" t="s">
        <v>8</v>
      </c>
      <c r="N115" t="s">
        <v>9</v>
      </c>
    </row>
    <row r="116" spans="2:14" x14ac:dyDescent="0.25">
      <c r="B116" t="s">
        <v>0</v>
      </c>
      <c r="C116" t="s">
        <v>145</v>
      </c>
      <c r="D116" t="s">
        <v>72</v>
      </c>
      <c r="E116" t="s">
        <v>3</v>
      </c>
      <c r="F116" t="s">
        <v>4</v>
      </c>
      <c r="G116" s="2" t="str">
        <f t="shared" si="1"/>
        <v>GW1_N1392/BUGW-INFLOW</v>
      </c>
      <c r="H116" t="s">
        <v>52</v>
      </c>
      <c r="I116" t="s">
        <v>53</v>
      </c>
      <c r="L116" t="s">
        <v>8</v>
      </c>
      <c r="N116" t="s">
        <v>9</v>
      </c>
    </row>
    <row r="117" spans="2:14" x14ac:dyDescent="0.25">
      <c r="B117" t="s">
        <v>0</v>
      </c>
      <c r="C117" t="s">
        <v>146</v>
      </c>
      <c r="D117" t="s">
        <v>72</v>
      </c>
      <c r="E117" t="s">
        <v>3</v>
      </c>
      <c r="F117" t="s">
        <v>4</v>
      </c>
      <c r="G117" s="2" t="str">
        <f t="shared" si="1"/>
        <v>GW1_N1393/BUGW-INFLOW</v>
      </c>
      <c r="H117" t="s">
        <v>52</v>
      </c>
      <c r="I117" t="s">
        <v>53</v>
      </c>
      <c r="L117" t="s">
        <v>8</v>
      </c>
      <c r="N117" t="s">
        <v>9</v>
      </c>
    </row>
    <row r="118" spans="2:14" x14ac:dyDescent="0.25">
      <c r="B118" t="s">
        <v>0</v>
      </c>
      <c r="C118" t="s">
        <v>147</v>
      </c>
      <c r="D118" t="s">
        <v>72</v>
      </c>
      <c r="E118" t="s">
        <v>3</v>
      </c>
      <c r="F118" t="s">
        <v>4</v>
      </c>
      <c r="G118" s="2" t="str">
        <f t="shared" si="1"/>
        <v>GW1_N14/BUGW-INFLOW</v>
      </c>
      <c r="H118" t="s">
        <v>52</v>
      </c>
      <c r="I118" t="s">
        <v>53</v>
      </c>
      <c r="L118" t="s">
        <v>8</v>
      </c>
      <c r="N118" t="s">
        <v>9</v>
      </c>
    </row>
    <row r="119" spans="2:14" x14ac:dyDescent="0.25">
      <c r="B119" t="s">
        <v>0</v>
      </c>
      <c r="C119" t="s">
        <v>148</v>
      </c>
      <c r="D119" t="s">
        <v>72</v>
      </c>
      <c r="E119" t="s">
        <v>3</v>
      </c>
      <c r="F119" t="s">
        <v>4</v>
      </c>
      <c r="G119" s="2" t="str">
        <f t="shared" si="1"/>
        <v>GW1_N148/BUGW-INFLOW</v>
      </c>
      <c r="H119" t="s">
        <v>52</v>
      </c>
      <c r="I119" t="s">
        <v>53</v>
      </c>
      <c r="L119" t="s">
        <v>8</v>
      </c>
      <c r="N119" t="s">
        <v>9</v>
      </c>
    </row>
    <row r="120" spans="2:14" x14ac:dyDescent="0.25">
      <c r="B120" t="s">
        <v>0</v>
      </c>
      <c r="C120" t="s">
        <v>149</v>
      </c>
      <c r="D120" t="s">
        <v>72</v>
      </c>
      <c r="E120" t="s">
        <v>3</v>
      </c>
      <c r="F120" t="s">
        <v>4</v>
      </c>
      <c r="G120" s="2" t="str">
        <f t="shared" si="1"/>
        <v>GW1_N150/BUGW-INFLOW</v>
      </c>
      <c r="H120" t="s">
        <v>52</v>
      </c>
      <c r="I120" t="s">
        <v>53</v>
      </c>
      <c r="L120" t="s">
        <v>8</v>
      </c>
      <c r="N120" t="s">
        <v>9</v>
      </c>
    </row>
    <row r="121" spans="2:14" x14ac:dyDescent="0.25">
      <c r="B121" t="s">
        <v>0</v>
      </c>
      <c r="C121" t="s">
        <v>150</v>
      </c>
      <c r="D121" t="s">
        <v>72</v>
      </c>
      <c r="E121" t="s">
        <v>3</v>
      </c>
      <c r="F121" t="s">
        <v>4</v>
      </c>
      <c r="G121" s="2" t="str">
        <f t="shared" si="1"/>
        <v>GW1_N152/BUGW-INFLOW</v>
      </c>
      <c r="H121" t="s">
        <v>52</v>
      </c>
      <c r="I121" t="s">
        <v>53</v>
      </c>
      <c r="L121" t="s">
        <v>8</v>
      </c>
      <c r="N121" t="s">
        <v>9</v>
      </c>
    </row>
    <row r="122" spans="2:14" x14ac:dyDescent="0.25">
      <c r="B122" t="s">
        <v>0</v>
      </c>
      <c r="C122" t="s">
        <v>151</v>
      </c>
      <c r="D122" t="s">
        <v>72</v>
      </c>
      <c r="E122" t="s">
        <v>3</v>
      </c>
      <c r="F122" t="s">
        <v>4</v>
      </c>
      <c r="G122" s="2" t="str">
        <f t="shared" si="1"/>
        <v>GW1_N163/BUGW-INFLOW</v>
      </c>
      <c r="H122" t="s">
        <v>52</v>
      </c>
      <c r="I122" t="s">
        <v>53</v>
      </c>
      <c r="L122" t="s">
        <v>8</v>
      </c>
      <c r="N122" t="s">
        <v>9</v>
      </c>
    </row>
    <row r="123" spans="2:14" x14ac:dyDescent="0.25">
      <c r="B123" t="s">
        <v>0</v>
      </c>
      <c r="C123" t="s">
        <v>152</v>
      </c>
      <c r="D123" t="s">
        <v>72</v>
      </c>
      <c r="E123" t="s">
        <v>3</v>
      </c>
      <c r="F123" t="s">
        <v>4</v>
      </c>
      <c r="G123" s="2" t="str">
        <f t="shared" si="1"/>
        <v>GW1_N164/BUGW-INFLOW</v>
      </c>
      <c r="H123" t="s">
        <v>52</v>
      </c>
      <c r="I123" t="s">
        <v>53</v>
      </c>
      <c r="L123" t="s">
        <v>8</v>
      </c>
      <c r="N123" t="s">
        <v>9</v>
      </c>
    </row>
    <row r="124" spans="2:14" x14ac:dyDescent="0.25">
      <c r="B124" t="s">
        <v>0</v>
      </c>
      <c r="C124" t="s">
        <v>153</v>
      </c>
      <c r="D124" t="s">
        <v>72</v>
      </c>
      <c r="E124" t="s">
        <v>3</v>
      </c>
      <c r="F124" t="s">
        <v>4</v>
      </c>
      <c r="G124" s="2" t="str">
        <f t="shared" si="1"/>
        <v>GW1_N178/BUGW-INFLOW</v>
      </c>
      <c r="H124" t="s">
        <v>52</v>
      </c>
      <c r="I124" t="s">
        <v>53</v>
      </c>
      <c r="L124" t="s">
        <v>8</v>
      </c>
      <c r="N124" t="s">
        <v>9</v>
      </c>
    </row>
    <row r="125" spans="2:14" x14ac:dyDescent="0.25">
      <c r="B125" t="s">
        <v>0</v>
      </c>
      <c r="C125" t="s">
        <v>154</v>
      </c>
      <c r="D125" t="s">
        <v>72</v>
      </c>
      <c r="E125" t="s">
        <v>3</v>
      </c>
      <c r="F125" t="s">
        <v>4</v>
      </c>
      <c r="G125" s="2" t="str">
        <f t="shared" si="1"/>
        <v>GW1_N18/BUGW-INFLOW</v>
      </c>
      <c r="H125" t="s">
        <v>52</v>
      </c>
      <c r="I125" t="s">
        <v>53</v>
      </c>
      <c r="L125" t="s">
        <v>8</v>
      </c>
      <c r="N125" t="s">
        <v>9</v>
      </c>
    </row>
    <row r="126" spans="2:14" x14ac:dyDescent="0.25">
      <c r="B126" t="s">
        <v>0</v>
      </c>
      <c r="C126" t="s">
        <v>155</v>
      </c>
      <c r="D126" t="s">
        <v>72</v>
      </c>
      <c r="E126" t="s">
        <v>3</v>
      </c>
      <c r="F126" t="s">
        <v>4</v>
      </c>
      <c r="G126" s="2" t="str">
        <f t="shared" si="1"/>
        <v>GW1_N180/BUGW-INFLOW</v>
      </c>
      <c r="H126" t="s">
        <v>52</v>
      </c>
      <c r="I126" t="s">
        <v>53</v>
      </c>
      <c r="L126" t="s">
        <v>8</v>
      </c>
      <c r="N126" t="s">
        <v>9</v>
      </c>
    </row>
    <row r="127" spans="2:14" x14ac:dyDescent="0.25">
      <c r="B127" t="s">
        <v>0</v>
      </c>
      <c r="C127" t="s">
        <v>156</v>
      </c>
      <c r="D127" t="s">
        <v>72</v>
      </c>
      <c r="E127" t="s">
        <v>3</v>
      </c>
      <c r="F127" t="s">
        <v>4</v>
      </c>
      <c r="G127" s="2" t="str">
        <f t="shared" si="1"/>
        <v>GW1_N19/BUGW-INFLOW</v>
      </c>
      <c r="H127" t="s">
        <v>52</v>
      </c>
      <c r="I127" t="s">
        <v>53</v>
      </c>
      <c r="L127" t="s">
        <v>8</v>
      </c>
      <c r="N127" t="s">
        <v>9</v>
      </c>
    </row>
    <row r="128" spans="2:14" x14ac:dyDescent="0.25">
      <c r="B128" t="s">
        <v>0</v>
      </c>
      <c r="C128" t="s">
        <v>157</v>
      </c>
      <c r="D128" t="s">
        <v>72</v>
      </c>
      <c r="E128" t="s">
        <v>3</v>
      </c>
      <c r="F128" t="s">
        <v>4</v>
      </c>
      <c r="G128" s="2" t="str">
        <f t="shared" si="1"/>
        <v>GW1_N194/BUGW-INFLOW</v>
      </c>
      <c r="H128" t="s">
        <v>52</v>
      </c>
      <c r="I128" t="s">
        <v>53</v>
      </c>
      <c r="L128" t="s">
        <v>8</v>
      </c>
      <c r="N128" t="s">
        <v>9</v>
      </c>
    </row>
    <row r="129" spans="2:14" x14ac:dyDescent="0.25">
      <c r="B129" t="s">
        <v>0</v>
      </c>
      <c r="C129" t="s">
        <v>158</v>
      </c>
      <c r="D129" t="s">
        <v>72</v>
      </c>
      <c r="E129" t="s">
        <v>3</v>
      </c>
      <c r="F129" t="s">
        <v>4</v>
      </c>
      <c r="G129" s="2" t="str">
        <f t="shared" si="1"/>
        <v>GW1_N195/BUGW-INFLOW</v>
      </c>
      <c r="H129" t="s">
        <v>52</v>
      </c>
      <c r="I129" t="s">
        <v>53</v>
      </c>
      <c r="L129" t="s">
        <v>8</v>
      </c>
      <c r="N129" t="s">
        <v>9</v>
      </c>
    </row>
    <row r="130" spans="2:14" x14ac:dyDescent="0.25">
      <c r="B130" t="s">
        <v>0</v>
      </c>
      <c r="C130" t="s">
        <v>159</v>
      </c>
      <c r="D130" t="s">
        <v>72</v>
      </c>
      <c r="E130" t="s">
        <v>3</v>
      </c>
      <c r="F130" t="s">
        <v>4</v>
      </c>
      <c r="G130" s="2" t="str">
        <f t="shared" si="1"/>
        <v>GW1_N196/BUGW-INFLOW</v>
      </c>
      <c r="H130" t="s">
        <v>52</v>
      </c>
      <c r="I130" t="s">
        <v>53</v>
      </c>
      <c r="L130" t="s">
        <v>8</v>
      </c>
      <c r="N130" t="s">
        <v>9</v>
      </c>
    </row>
    <row r="131" spans="2:14" x14ac:dyDescent="0.25">
      <c r="B131" t="s">
        <v>0</v>
      </c>
      <c r="C131" t="s">
        <v>160</v>
      </c>
      <c r="D131" t="s">
        <v>72</v>
      </c>
      <c r="E131" t="s">
        <v>3</v>
      </c>
      <c r="F131" t="s">
        <v>4</v>
      </c>
      <c r="G131" s="2" t="str">
        <f t="shared" ref="G131:G194" si="2">_xlfn.CONCAT(C131,"/",D131)</f>
        <v>GW1_N197/BUGW-INFLOW</v>
      </c>
      <c r="H131" t="s">
        <v>52</v>
      </c>
      <c r="I131" t="s">
        <v>53</v>
      </c>
      <c r="L131" t="s">
        <v>8</v>
      </c>
      <c r="N131" t="s">
        <v>9</v>
      </c>
    </row>
    <row r="132" spans="2:14" x14ac:dyDescent="0.25">
      <c r="B132" t="s">
        <v>0</v>
      </c>
      <c r="C132" t="s">
        <v>161</v>
      </c>
      <c r="D132" t="s">
        <v>72</v>
      </c>
      <c r="E132" t="s">
        <v>3</v>
      </c>
      <c r="F132" t="s">
        <v>4</v>
      </c>
      <c r="G132" s="2" t="str">
        <f t="shared" si="2"/>
        <v>GW1_N2/BUGW-INFLOW</v>
      </c>
      <c r="H132" t="s">
        <v>52</v>
      </c>
      <c r="I132" t="s">
        <v>53</v>
      </c>
      <c r="L132" t="s">
        <v>8</v>
      </c>
      <c r="N132" t="s">
        <v>9</v>
      </c>
    </row>
    <row r="133" spans="2:14" x14ac:dyDescent="0.25">
      <c r="B133" t="s">
        <v>0</v>
      </c>
      <c r="C133" t="s">
        <v>162</v>
      </c>
      <c r="D133" t="s">
        <v>72</v>
      </c>
      <c r="E133" t="s">
        <v>3</v>
      </c>
      <c r="F133" t="s">
        <v>4</v>
      </c>
      <c r="G133" s="2" t="str">
        <f t="shared" si="2"/>
        <v>GW1_N210/BUGW-INFLOW</v>
      </c>
      <c r="H133" t="s">
        <v>52</v>
      </c>
      <c r="I133" t="s">
        <v>53</v>
      </c>
      <c r="L133" t="s">
        <v>8</v>
      </c>
      <c r="N133" t="s">
        <v>9</v>
      </c>
    </row>
    <row r="134" spans="2:14" x14ac:dyDescent="0.25">
      <c r="B134" t="s">
        <v>0</v>
      </c>
      <c r="C134" t="s">
        <v>163</v>
      </c>
      <c r="D134" t="s">
        <v>72</v>
      </c>
      <c r="E134" t="s">
        <v>3</v>
      </c>
      <c r="F134" t="s">
        <v>4</v>
      </c>
      <c r="G134" s="2" t="str">
        <f t="shared" si="2"/>
        <v>GW1_N215/BUGW-INFLOW</v>
      </c>
      <c r="H134" t="s">
        <v>52</v>
      </c>
      <c r="I134" t="s">
        <v>53</v>
      </c>
      <c r="L134" t="s">
        <v>8</v>
      </c>
      <c r="N134" t="s">
        <v>9</v>
      </c>
    </row>
    <row r="135" spans="2:14" x14ac:dyDescent="0.25">
      <c r="B135" t="s">
        <v>0</v>
      </c>
      <c r="C135" t="s">
        <v>164</v>
      </c>
      <c r="D135" t="s">
        <v>72</v>
      </c>
      <c r="E135" t="s">
        <v>3</v>
      </c>
      <c r="F135" t="s">
        <v>4</v>
      </c>
      <c r="G135" s="2" t="str">
        <f t="shared" si="2"/>
        <v>GW1_N226/BUGW-INFLOW</v>
      </c>
      <c r="H135" t="s">
        <v>52</v>
      </c>
      <c r="I135" t="s">
        <v>53</v>
      </c>
      <c r="L135" t="s">
        <v>8</v>
      </c>
      <c r="N135" t="s">
        <v>9</v>
      </c>
    </row>
    <row r="136" spans="2:14" x14ac:dyDescent="0.25">
      <c r="B136" t="s">
        <v>0</v>
      </c>
      <c r="C136" t="s">
        <v>165</v>
      </c>
      <c r="D136" t="s">
        <v>72</v>
      </c>
      <c r="E136" t="s">
        <v>3</v>
      </c>
      <c r="F136" t="s">
        <v>4</v>
      </c>
      <c r="G136" s="2" t="str">
        <f t="shared" si="2"/>
        <v>GW1_N234/BUGW-INFLOW</v>
      </c>
      <c r="H136" t="s">
        <v>52</v>
      </c>
      <c r="I136" t="s">
        <v>53</v>
      </c>
      <c r="L136" t="s">
        <v>8</v>
      </c>
      <c r="N136" t="s">
        <v>9</v>
      </c>
    </row>
    <row r="137" spans="2:14" x14ac:dyDescent="0.25">
      <c r="B137" t="s">
        <v>0</v>
      </c>
      <c r="C137" t="s">
        <v>166</v>
      </c>
      <c r="D137" t="s">
        <v>72</v>
      </c>
      <c r="E137" t="s">
        <v>3</v>
      </c>
      <c r="F137" t="s">
        <v>4</v>
      </c>
      <c r="G137" s="2" t="str">
        <f t="shared" si="2"/>
        <v>GW1_N235/BUGW-INFLOW</v>
      </c>
      <c r="H137" t="s">
        <v>52</v>
      </c>
      <c r="I137" t="s">
        <v>53</v>
      </c>
      <c r="L137" t="s">
        <v>8</v>
      </c>
      <c r="N137" t="s">
        <v>9</v>
      </c>
    </row>
    <row r="138" spans="2:14" x14ac:dyDescent="0.25">
      <c r="B138" t="s">
        <v>0</v>
      </c>
      <c r="C138" t="s">
        <v>167</v>
      </c>
      <c r="D138" t="s">
        <v>72</v>
      </c>
      <c r="E138" t="s">
        <v>3</v>
      </c>
      <c r="F138" t="s">
        <v>4</v>
      </c>
      <c r="G138" s="2" t="str">
        <f t="shared" si="2"/>
        <v>GW1_N24/BUGW-INFLOW</v>
      </c>
      <c r="H138" t="s">
        <v>52</v>
      </c>
      <c r="I138" t="s">
        <v>53</v>
      </c>
      <c r="L138" t="s">
        <v>8</v>
      </c>
      <c r="N138" t="s">
        <v>9</v>
      </c>
    </row>
    <row r="139" spans="2:14" x14ac:dyDescent="0.25">
      <c r="B139" t="s">
        <v>0</v>
      </c>
      <c r="C139" t="s">
        <v>168</v>
      </c>
      <c r="D139" t="s">
        <v>72</v>
      </c>
      <c r="E139" t="s">
        <v>3</v>
      </c>
      <c r="F139" t="s">
        <v>4</v>
      </c>
      <c r="G139" s="2" t="str">
        <f t="shared" si="2"/>
        <v>GW1_N243/BUGW-INFLOW</v>
      </c>
      <c r="H139" t="s">
        <v>52</v>
      </c>
      <c r="I139" t="s">
        <v>53</v>
      </c>
      <c r="L139" t="s">
        <v>8</v>
      </c>
      <c r="N139" t="s">
        <v>9</v>
      </c>
    </row>
    <row r="140" spans="2:14" x14ac:dyDescent="0.25">
      <c r="B140" t="s">
        <v>0</v>
      </c>
      <c r="C140" t="s">
        <v>169</v>
      </c>
      <c r="D140" t="s">
        <v>72</v>
      </c>
      <c r="E140" t="s">
        <v>3</v>
      </c>
      <c r="F140" t="s">
        <v>4</v>
      </c>
      <c r="G140" s="2" t="str">
        <f t="shared" si="2"/>
        <v>GW1_N244/BUGW-INFLOW</v>
      </c>
      <c r="H140" t="s">
        <v>52</v>
      </c>
      <c r="I140" t="s">
        <v>53</v>
      </c>
      <c r="L140" t="s">
        <v>8</v>
      </c>
      <c r="N140" t="s">
        <v>9</v>
      </c>
    </row>
    <row r="141" spans="2:14" x14ac:dyDescent="0.25">
      <c r="B141" t="s">
        <v>0</v>
      </c>
      <c r="C141" t="s">
        <v>170</v>
      </c>
      <c r="D141" t="s">
        <v>72</v>
      </c>
      <c r="E141" t="s">
        <v>3</v>
      </c>
      <c r="F141" t="s">
        <v>4</v>
      </c>
      <c r="G141" s="2" t="str">
        <f t="shared" si="2"/>
        <v>GW1_N245/BUGW-INFLOW</v>
      </c>
      <c r="H141" t="s">
        <v>52</v>
      </c>
      <c r="I141" t="s">
        <v>53</v>
      </c>
      <c r="L141" t="s">
        <v>8</v>
      </c>
      <c r="N141" t="s">
        <v>9</v>
      </c>
    </row>
    <row r="142" spans="2:14" x14ac:dyDescent="0.25">
      <c r="B142" t="s">
        <v>0</v>
      </c>
      <c r="C142" t="s">
        <v>171</v>
      </c>
      <c r="D142" t="s">
        <v>72</v>
      </c>
      <c r="E142" t="s">
        <v>3</v>
      </c>
      <c r="F142" t="s">
        <v>4</v>
      </c>
      <c r="G142" s="2" t="str">
        <f t="shared" si="2"/>
        <v>GW1_N248/BUGW-INFLOW</v>
      </c>
      <c r="H142" t="s">
        <v>52</v>
      </c>
      <c r="I142" t="s">
        <v>53</v>
      </c>
      <c r="L142" t="s">
        <v>8</v>
      </c>
      <c r="N142" t="s">
        <v>9</v>
      </c>
    </row>
    <row r="143" spans="2:14" x14ac:dyDescent="0.25">
      <c r="B143" t="s">
        <v>0</v>
      </c>
      <c r="C143" t="s">
        <v>172</v>
      </c>
      <c r="D143" t="s">
        <v>72</v>
      </c>
      <c r="E143" t="s">
        <v>3</v>
      </c>
      <c r="F143" t="s">
        <v>4</v>
      </c>
      <c r="G143" s="2" t="str">
        <f t="shared" si="2"/>
        <v>GW1_N249/BUGW-INFLOW</v>
      </c>
      <c r="H143" t="s">
        <v>52</v>
      </c>
      <c r="I143" t="s">
        <v>53</v>
      </c>
      <c r="L143" t="s">
        <v>8</v>
      </c>
      <c r="N143" t="s">
        <v>9</v>
      </c>
    </row>
    <row r="144" spans="2:14" x14ac:dyDescent="0.25">
      <c r="B144" t="s">
        <v>0</v>
      </c>
      <c r="C144" t="s">
        <v>173</v>
      </c>
      <c r="D144" t="s">
        <v>72</v>
      </c>
      <c r="E144" t="s">
        <v>3</v>
      </c>
      <c r="F144" t="s">
        <v>4</v>
      </c>
      <c r="G144" s="2" t="str">
        <f t="shared" si="2"/>
        <v>GW1_N25/BUGW-INFLOW</v>
      </c>
      <c r="H144" t="s">
        <v>52</v>
      </c>
      <c r="I144" t="s">
        <v>53</v>
      </c>
      <c r="L144" t="s">
        <v>8</v>
      </c>
      <c r="N144" t="s">
        <v>9</v>
      </c>
    </row>
    <row r="145" spans="2:14" x14ac:dyDescent="0.25">
      <c r="B145" t="s">
        <v>0</v>
      </c>
      <c r="C145" t="s">
        <v>174</v>
      </c>
      <c r="D145" t="s">
        <v>72</v>
      </c>
      <c r="E145" t="s">
        <v>3</v>
      </c>
      <c r="F145" t="s">
        <v>4</v>
      </c>
      <c r="G145" s="2" t="str">
        <f t="shared" si="2"/>
        <v>GW1_N256/BUGW-INFLOW</v>
      </c>
      <c r="H145" t="s">
        <v>52</v>
      </c>
      <c r="I145" t="s">
        <v>53</v>
      </c>
      <c r="L145" t="s">
        <v>8</v>
      </c>
      <c r="N145" t="s">
        <v>9</v>
      </c>
    </row>
    <row r="146" spans="2:14" x14ac:dyDescent="0.25">
      <c r="B146" t="s">
        <v>0</v>
      </c>
      <c r="C146" t="s">
        <v>175</v>
      </c>
      <c r="D146" t="s">
        <v>72</v>
      </c>
      <c r="E146" t="s">
        <v>3</v>
      </c>
      <c r="F146" t="s">
        <v>4</v>
      </c>
      <c r="G146" s="2" t="str">
        <f t="shared" si="2"/>
        <v>GW1_N257/BUGW-INFLOW</v>
      </c>
      <c r="H146" t="s">
        <v>52</v>
      </c>
      <c r="I146" t="s">
        <v>53</v>
      </c>
      <c r="L146" t="s">
        <v>8</v>
      </c>
      <c r="N146" t="s">
        <v>9</v>
      </c>
    </row>
    <row r="147" spans="2:14" x14ac:dyDescent="0.25">
      <c r="B147" t="s">
        <v>0</v>
      </c>
      <c r="C147" t="s">
        <v>176</v>
      </c>
      <c r="D147" t="s">
        <v>72</v>
      </c>
      <c r="E147" t="s">
        <v>3</v>
      </c>
      <c r="F147" t="s">
        <v>4</v>
      </c>
      <c r="G147" s="2" t="str">
        <f t="shared" si="2"/>
        <v>GW1_N263/BUGW-INFLOW</v>
      </c>
      <c r="H147" t="s">
        <v>52</v>
      </c>
      <c r="I147" t="s">
        <v>53</v>
      </c>
      <c r="L147" t="s">
        <v>8</v>
      </c>
      <c r="N147" t="s">
        <v>9</v>
      </c>
    </row>
    <row r="148" spans="2:14" x14ac:dyDescent="0.25">
      <c r="B148" t="s">
        <v>0</v>
      </c>
      <c r="C148" t="s">
        <v>177</v>
      </c>
      <c r="D148" t="s">
        <v>72</v>
      </c>
      <c r="E148" t="s">
        <v>3</v>
      </c>
      <c r="F148" t="s">
        <v>4</v>
      </c>
      <c r="G148" s="2" t="str">
        <f t="shared" si="2"/>
        <v>GW1_N264/BUGW-INFLOW</v>
      </c>
      <c r="H148" t="s">
        <v>52</v>
      </c>
      <c r="I148" t="s">
        <v>53</v>
      </c>
      <c r="L148" t="s">
        <v>8</v>
      </c>
      <c r="N148" t="s">
        <v>9</v>
      </c>
    </row>
    <row r="149" spans="2:14" x14ac:dyDescent="0.25">
      <c r="B149" t="s">
        <v>0</v>
      </c>
      <c r="C149" t="s">
        <v>178</v>
      </c>
      <c r="D149" t="s">
        <v>72</v>
      </c>
      <c r="E149" t="s">
        <v>3</v>
      </c>
      <c r="F149" t="s">
        <v>4</v>
      </c>
      <c r="G149" s="2" t="str">
        <f t="shared" si="2"/>
        <v>GW1_N270/BUGW-INFLOW</v>
      </c>
      <c r="H149" t="s">
        <v>52</v>
      </c>
      <c r="I149" t="s">
        <v>53</v>
      </c>
      <c r="L149" t="s">
        <v>8</v>
      </c>
      <c r="N149" t="s">
        <v>9</v>
      </c>
    </row>
    <row r="150" spans="2:14" x14ac:dyDescent="0.25">
      <c r="B150" t="s">
        <v>0</v>
      </c>
      <c r="C150" t="s">
        <v>179</v>
      </c>
      <c r="D150" t="s">
        <v>72</v>
      </c>
      <c r="E150" t="s">
        <v>3</v>
      </c>
      <c r="F150" t="s">
        <v>4</v>
      </c>
      <c r="G150" s="2" t="str">
        <f t="shared" si="2"/>
        <v>GW1_N271/BUGW-INFLOW</v>
      </c>
      <c r="H150" t="s">
        <v>52</v>
      </c>
      <c r="I150" t="s">
        <v>53</v>
      </c>
      <c r="L150" t="s">
        <v>8</v>
      </c>
      <c r="N150" t="s">
        <v>9</v>
      </c>
    </row>
    <row r="151" spans="2:14" x14ac:dyDescent="0.25">
      <c r="B151" t="s">
        <v>0</v>
      </c>
      <c r="C151" t="s">
        <v>180</v>
      </c>
      <c r="D151" t="s">
        <v>72</v>
      </c>
      <c r="E151" t="s">
        <v>3</v>
      </c>
      <c r="F151" t="s">
        <v>4</v>
      </c>
      <c r="G151" s="2" t="str">
        <f t="shared" si="2"/>
        <v>GW1_N272/BUGW-INFLOW</v>
      </c>
      <c r="H151" t="s">
        <v>52</v>
      </c>
      <c r="I151" t="s">
        <v>53</v>
      </c>
      <c r="L151" t="s">
        <v>8</v>
      </c>
      <c r="N151" t="s">
        <v>9</v>
      </c>
    </row>
    <row r="152" spans="2:14" x14ac:dyDescent="0.25">
      <c r="B152" t="s">
        <v>0</v>
      </c>
      <c r="C152" t="s">
        <v>181</v>
      </c>
      <c r="D152" t="s">
        <v>72</v>
      </c>
      <c r="E152" t="s">
        <v>3</v>
      </c>
      <c r="F152" t="s">
        <v>4</v>
      </c>
      <c r="G152" s="2" t="str">
        <f t="shared" si="2"/>
        <v>GW1_N286/BUGW-INFLOW</v>
      </c>
      <c r="H152" t="s">
        <v>52</v>
      </c>
      <c r="I152" t="s">
        <v>53</v>
      </c>
      <c r="L152" t="s">
        <v>8</v>
      </c>
      <c r="N152" t="s">
        <v>9</v>
      </c>
    </row>
    <row r="153" spans="2:14" x14ac:dyDescent="0.25">
      <c r="B153" t="s">
        <v>0</v>
      </c>
      <c r="C153" t="s">
        <v>182</v>
      </c>
      <c r="D153" t="s">
        <v>72</v>
      </c>
      <c r="E153" t="s">
        <v>3</v>
      </c>
      <c r="F153" t="s">
        <v>4</v>
      </c>
      <c r="G153" s="2" t="str">
        <f t="shared" si="2"/>
        <v>GW1_N297/BUGW-INFLOW</v>
      </c>
      <c r="H153" t="s">
        <v>52</v>
      </c>
      <c r="I153" t="s">
        <v>53</v>
      </c>
      <c r="L153" t="s">
        <v>8</v>
      </c>
      <c r="N153" t="s">
        <v>9</v>
      </c>
    </row>
    <row r="154" spans="2:14" x14ac:dyDescent="0.25">
      <c r="B154" t="s">
        <v>0</v>
      </c>
      <c r="C154" t="s">
        <v>183</v>
      </c>
      <c r="D154" t="s">
        <v>72</v>
      </c>
      <c r="E154" t="s">
        <v>3</v>
      </c>
      <c r="F154" t="s">
        <v>4</v>
      </c>
      <c r="G154" s="2" t="str">
        <f t="shared" si="2"/>
        <v>GW1_N298/BUGW-INFLOW</v>
      </c>
      <c r="H154" t="s">
        <v>52</v>
      </c>
      <c r="I154" t="s">
        <v>53</v>
      </c>
      <c r="L154" t="s">
        <v>8</v>
      </c>
      <c r="N154" t="s">
        <v>9</v>
      </c>
    </row>
    <row r="155" spans="2:14" x14ac:dyDescent="0.25">
      <c r="B155" t="s">
        <v>0</v>
      </c>
      <c r="C155" t="s">
        <v>184</v>
      </c>
      <c r="D155" t="s">
        <v>72</v>
      </c>
      <c r="E155" t="s">
        <v>3</v>
      </c>
      <c r="F155" t="s">
        <v>4</v>
      </c>
      <c r="G155" s="2" t="str">
        <f t="shared" si="2"/>
        <v>GW1_N299/BUGW-INFLOW</v>
      </c>
      <c r="H155" t="s">
        <v>52</v>
      </c>
      <c r="I155" t="s">
        <v>53</v>
      </c>
      <c r="L155" t="s">
        <v>8</v>
      </c>
      <c r="N155" t="s">
        <v>9</v>
      </c>
    </row>
    <row r="156" spans="2:14" x14ac:dyDescent="0.25">
      <c r="B156" t="s">
        <v>0</v>
      </c>
      <c r="C156" t="s">
        <v>185</v>
      </c>
      <c r="D156" t="s">
        <v>72</v>
      </c>
      <c r="E156" t="s">
        <v>3</v>
      </c>
      <c r="F156" t="s">
        <v>4</v>
      </c>
      <c r="G156" s="2" t="str">
        <f t="shared" si="2"/>
        <v>GW1_N3/BUGW-INFLOW</v>
      </c>
      <c r="H156" t="s">
        <v>52</v>
      </c>
      <c r="I156" t="s">
        <v>53</v>
      </c>
      <c r="L156" t="s">
        <v>8</v>
      </c>
      <c r="N156" t="s">
        <v>9</v>
      </c>
    </row>
    <row r="157" spans="2:14" x14ac:dyDescent="0.25">
      <c r="B157" t="s">
        <v>0</v>
      </c>
      <c r="C157" t="s">
        <v>186</v>
      </c>
      <c r="D157" t="s">
        <v>72</v>
      </c>
      <c r="E157" t="s">
        <v>3</v>
      </c>
      <c r="F157" t="s">
        <v>4</v>
      </c>
      <c r="G157" s="2" t="str">
        <f t="shared" si="2"/>
        <v>GW1_N30/BUGW-INFLOW</v>
      </c>
      <c r="H157" t="s">
        <v>52</v>
      </c>
      <c r="I157" t="s">
        <v>53</v>
      </c>
      <c r="L157" t="s">
        <v>8</v>
      </c>
      <c r="N157" t="s">
        <v>9</v>
      </c>
    </row>
    <row r="158" spans="2:14" x14ac:dyDescent="0.25">
      <c r="B158" t="s">
        <v>0</v>
      </c>
      <c r="C158" t="s">
        <v>187</v>
      </c>
      <c r="D158" t="s">
        <v>72</v>
      </c>
      <c r="E158" t="s">
        <v>3</v>
      </c>
      <c r="F158" t="s">
        <v>4</v>
      </c>
      <c r="G158" s="2" t="str">
        <f t="shared" si="2"/>
        <v>GW1_N31/BUGW-INFLOW</v>
      </c>
      <c r="H158" t="s">
        <v>52</v>
      </c>
      <c r="I158" t="s">
        <v>53</v>
      </c>
      <c r="L158" t="s">
        <v>8</v>
      </c>
      <c r="N158" t="s">
        <v>9</v>
      </c>
    </row>
    <row r="159" spans="2:14" x14ac:dyDescent="0.25">
      <c r="B159" t="s">
        <v>0</v>
      </c>
      <c r="C159" t="s">
        <v>188</v>
      </c>
      <c r="D159" t="s">
        <v>72</v>
      </c>
      <c r="E159" t="s">
        <v>3</v>
      </c>
      <c r="F159" t="s">
        <v>4</v>
      </c>
      <c r="G159" s="2" t="str">
        <f t="shared" si="2"/>
        <v>GW1_N310/BUGW-INFLOW</v>
      </c>
      <c r="H159" t="s">
        <v>52</v>
      </c>
      <c r="I159" t="s">
        <v>53</v>
      </c>
      <c r="L159" t="s">
        <v>8</v>
      </c>
      <c r="N159" t="s">
        <v>9</v>
      </c>
    </row>
    <row r="160" spans="2:14" x14ac:dyDescent="0.25">
      <c r="B160" t="s">
        <v>0</v>
      </c>
      <c r="C160" t="s">
        <v>189</v>
      </c>
      <c r="D160" t="s">
        <v>72</v>
      </c>
      <c r="E160" t="s">
        <v>3</v>
      </c>
      <c r="F160" t="s">
        <v>4</v>
      </c>
      <c r="G160" s="2" t="str">
        <f t="shared" si="2"/>
        <v>GW1_N311/BUGW-INFLOW</v>
      </c>
      <c r="H160" t="s">
        <v>52</v>
      </c>
      <c r="I160" t="s">
        <v>53</v>
      </c>
      <c r="L160" t="s">
        <v>8</v>
      </c>
      <c r="N160" t="s">
        <v>9</v>
      </c>
    </row>
    <row r="161" spans="2:14" x14ac:dyDescent="0.25">
      <c r="B161" t="s">
        <v>0</v>
      </c>
      <c r="C161" t="s">
        <v>190</v>
      </c>
      <c r="D161" t="s">
        <v>72</v>
      </c>
      <c r="E161" t="s">
        <v>3</v>
      </c>
      <c r="F161" t="s">
        <v>4</v>
      </c>
      <c r="G161" s="2" t="str">
        <f t="shared" si="2"/>
        <v>GW1_N321/BUGW-INFLOW</v>
      </c>
      <c r="H161" t="s">
        <v>52</v>
      </c>
      <c r="I161" t="s">
        <v>53</v>
      </c>
      <c r="L161" t="s">
        <v>8</v>
      </c>
      <c r="N161" t="s">
        <v>9</v>
      </c>
    </row>
    <row r="162" spans="2:14" x14ac:dyDescent="0.25">
      <c r="B162" t="s">
        <v>0</v>
      </c>
      <c r="C162" t="s">
        <v>191</v>
      </c>
      <c r="D162" t="s">
        <v>72</v>
      </c>
      <c r="E162" t="s">
        <v>3</v>
      </c>
      <c r="F162" t="s">
        <v>4</v>
      </c>
      <c r="G162" s="2" t="str">
        <f t="shared" si="2"/>
        <v>GW1_N322/BUGW-INFLOW</v>
      </c>
      <c r="H162" t="s">
        <v>52</v>
      </c>
      <c r="I162" t="s">
        <v>53</v>
      </c>
      <c r="L162" t="s">
        <v>8</v>
      </c>
      <c r="N162" t="s">
        <v>9</v>
      </c>
    </row>
    <row r="163" spans="2:14" x14ac:dyDescent="0.25">
      <c r="B163" t="s">
        <v>0</v>
      </c>
      <c r="C163" t="s">
        <v>192</v>
      </c>
      <c r="D163" t="s">
        <v>72</v>
      </c>
      <c r="E163" t="s">
        <v>3</v>
      </c>
      <c r="F163" t="s">
        <v>4</v>
      </c>
      <c r="G163" s="2" t="str">
        <f t="shared" si="2"/>
        <v>GW1_N346/BUGW-INFLOW</v>
      </c>
      <c r="H163" t="s">
        <v>52</v>
      </c>
      <c r="I163" t="s">
        <v>53</v>
      </c>
      <c r="L163" t="s">
        <v>8</v>
      </c>
      <c r="N163" t="s">
        <v>9</v>
      </c>
    </row>
    <row r="164" spans="2:14" x14ac:dyDescent="0.25">
      <c r="B164" t="s">
        <v>0</v>
      </c>
      <c r="C164" t="s">
        <v>193</v>
      </c>
      <c r="D164" t="s">
        <v>72</v>
      </c>
      <c r="E164" t="s">
        <v>3</v>
      </c>
      <c r="F164" t="s">
        <v>4</v>
      </c>
      <c r="G164" s="2" t="str">
        <f t="shared" si="2"/>
        <v>GW1_N357/BUGW-INFLOW</v>
      </c>
      <c r="H164" t="s">
        <v>52</v>
      </c>
      <c r="I164" t="s">
        <v>53</v>
      </c>
      <c r="L164" t="s">
        <v>8</v>
      </c>
      <c r="N164" t="s">
        <v>9</v>
      </c>
    </row>
    <row r="165" spans="2:14" x14ac:dyDescent="0.25">
      <c r="B165" t="s">
        <v>0</v>
      </c>
      <c r="C165" t="s">
        <v>194</v>
      </c>
      <c r="D165" t="s">
        <v>72</v>
      </c>
      <c r="E165" t="s">
        <v>3</v>
      </c>
      <c r="F165" t="s">
        <v>4</v>
      </c>
      <c r="G165" s="2" t="str">
        <f t="shared" si="2"/>
        <v>GW1_N369/BUGW-INFLOW</v>
      </c>
      <c r="H165" t="s">
        <v>52</v>
      </c>
      <c r="I165" t="s">
        <v>53</v>
      </c>
      <c r="L165" t="s">
        <v>8</v>
      </c>
      <c r="N165" t="s">
        <v>9</v>
      </c>
    </row>
    <row r="166" spans="2:14" x14ac:dyDescent="0.25">
      <c r="B166" t="s">
        <v>0</v>
      </c>
      <c r="C166" t="s">
        <v>195</v>
      </c>
      <c r="D166" t="s">
        <v>72</v>
      </c>
      <c r="E166" t="s">
        <v>3</v>
      </c>
      <c r="F166" t="s">
        <v>4</v>
      </c>
      <c r="G166" s="2" t="str">
        <f t="shared" si="2"/>
        <v>GW1_N39/BUGW-INFLOW</v>
      </c>
      <c r="H166" t="s">
        <v>52</v>
      </c>
      <c r="I166" t="s">
        <v>53</v>
      </c>
      <c r="L166" t="s">
        <v>8</v>
      </c>
      <c r="N166" t="s">
        <v>9</v>
      </c>
    </row>
    <row r="167" spans="2:14" x14ac:dyDescent="0.25">
      <c r="B167" t="s">
        <v>0</v>
      </c>
      <c r="C167" t="s">
        <v>196</v>
      </c>
      <c r="D167" t="s">
        <v>72</v>
      </c>
      <c r="E167" t="s">
        <v>3</v>
      </c>
      <c r="F167" t="s">
        <v>4</v>
      </c>
      <c r="G167" s="2" t="str">
        <f t="shared" si="2"/>
        <v>GW1_N390/BUGW-INFLOW</v>
      </c>
      <c r="H167" t="s">
        <v>52</v>
      </c>
      <c r="I167" t="s">
        <v>53</v>
      </c>
      <c r="L167" t="s">
        <v>8</v>
      </c>
      <c r="N167" t="s">
        <v>9</v>
      </c>
    </row>
    <row r="168" spans="2:14" x14ac:dyDescent="0.25">
      <c r="B168" t="s">
        <v>0</v>
      </c>
      <c r="C168" t="s">
        <v>197</v>
      </c>
      <c r="D168" t="s">
        <v>72</v>
      </c>
      <c r="E168" t="s">
        <v>3</v>
      </c>
      <c r="F168" t="s">
        <v>4</v>
      </c>
      <c r="G168" s="2" t="str">
        <f t="shared" si="2"/>
        <v>GW1_N393/BUGW-INFLOW</v>
      </c>
      <c r="H168" t="s">
        <v>52</v>
      </c>
      <c r="I168" t="s">
        <v>53</v>
      </c>
      <c r="L168" t="s">
        <v>8</v>
      </c>
      <c r="N168" t="s">
        <v>9</v>
      </c>
    </row>
    <row r="169" spans="2:14" x14ac:dyDescent="0.25">
      <c r="B169" t="s">
        <v>0</v>
      </c>
      <c r="C169" t="s">
        <v>198</v>
      </c>
      <c r="D169" t="s">
        <v>72</v>
      </c>
      <c r="E169" t="s">
        <v>3</v>
      </c>
      <c r="F169" t="s">
        <v>4</v>
      </c>
      <c r="G169" s="2" t="str">
        <f t="shared" si="2"/>
        <v>GW1_N396/BUGW-INFLOW</v>
      </c>
      <c r="H169" t="s">
        <v>52</v>
      </c>
      <c r="I169" t="s">
        <v>53</v>
      </c>
      <c r="L169" t="s">
        <v>8</v>
      </c>
      <c r="N169" t="s">
        <v>9</v>
      </c>
    </row>
    <row r="170" spans="2:14" x14ac:dyDescent="0.25">
      <c r="B170" t="s">
        <v>0</v>
      </c>
      <c r="C170" t="s">
        <v>199</v>
      </c>
      <c r="D170" t="s">
        <v>72</v>
      </c>
      <c r="E170" t="s">
        <v>3</v>
      </c>
      <c r="F170" t="s">
        <v>4</v>
      </c>
      <c r="G170" s="2" t="str">
        <f t="shared" si="2"/>
        <v>GW1_N402/BUGW-INFLOW</v>
      </c>
      <c r="H170" t="s">
        <v>52</v>
      </c>
      <c r="I170" t="s">
        <v>53</v>
      </c>
      <c r="L170" t="s">
        <v>8</v>
      </c>
      <c r="N170" t="s">
        <v>9</v>
      </c>
    </row>
    <row r="171" spans="2:14" x14ac:dyDescent="0.25">
      <c r="B171" t="s">
        <v>0</v>
      </c>
      <c r="C171" t="s">
        <v>200</v>
      </c>
      <c r="D171" t="s">
        <v>72</v>
      </c>
      <c r="E171" t="s">
        <v>3</v>
      </c>
      <c r="F171" t="s">
        <v>4</v>
      </c>
      <c r="G171" s="2" t="str">
        <f t="shared" si="2"/>
        <v>GW1_N409/BUGW-INFLOW</v>
      </c>
      <c r="H171" t="s">
        <v>52</v>
      </c>
      <c r="I171" t="s">
        <v>53</v>
      </c>
      <c r="L171" t="s">
        <v>8</v>
      </c>
      <c r="N171" t="s">
        <v>9</v>
      </c>
    </row>
    <row r="172" spans="2:14" x14ac:dyDescent="0.25">
      <c r="B172" t="s">
        <v>0</v>
      </c>
      <c r="C172" t="s">
        <v>201</v>
      </c>
      <c r="D172" t="s">
        <v>72</v>
      </c>
      <c r="E172" t="s">
        <v>3</v>
      </c>
      <c r="F172" t="s">
        <v>4</v>
      </c>
      <c r="G172" s="2" t="str">
        <f t="shared" si="2"/>
        <v>GW1_N423/BUGW-INFLOW</v>
      </c>
      <c r="H172" t="s">
        <v>52</v>
      </c>
      <c r="I172" t="s">
        <v>53</v>
      </c>
      <c r="L172" t="s">
        <v>8</v>
      </c>
      <c r="N172" t="s">
        <v>9</v>
      </c>
    </row>
    <row r="173" spans="2:14" x14ac:dyDescent="0.25">
      <c r="B173" t="s">
        <v>0</v>
      </c>
      <c r="C173" t="s">
        <v>202</v>
      </c>
      <c r="D173" t="s">
        <v>72</v>
      </c>
      <c r="E173" t="s">
        <v>3</v>
      </c>
      <c r="F173" t="s">
        <v>4</v>
      </c>
      <c r="G173" s="2" t="str">
        <f t="shared" si="2"/>
        <v>GW1_N427/BUGW-INFLOW</v>
      </c>
      <c r="H173" t="s">
        <v>52</v>
      </c>
      <c r="I173" t="s">
        <v>53</v>
      </c>
      <c r="L173" t="s">
        <v>8</v>
      </c>
      <c r="N173" t="s">
        <v>9</v>
      </c>
    </row>
    <row r="174" spans="2:14" x14ac:dyDescent="0.25">
      <c r="B174" t="s">
        <v>0</v>
      </c>
      <c r="C174" t="s">
        <v>203</v>
      </c>
      <c r="D174" t="s">
        <v>72</v>
      </c>
      <c r="E174" t="s">
        <v>3</v>
      </c>
      <c r="F174" t="s">
        <v>4</v>
      </c>
      <c r="G174" s="2" t="str">
        <f t="shared" si="2"/>
        <v>GW1_N444/BUGW-INFLOW</v>
      </c>
      <c r="H174" t="s">
        <v>52</v>
      </c>
      <c r="I174" t="s">
        <v>53</v>
      </c>
      <c r="L174" t="s">
        <v>8</v>
      </c>
      <c r="N174" t="s">
        <v>9</v>
      </c>
    </row>
    <row r="175" spans="2:14" x14ac:dyDescent="0.25">
      <c r="B175" t="s">
        <v>0</v>
      </c>
      <c r="C175" t="s">
        <v>204</v>
      </c>
      <c r="D175" t="s">
        <v>72</v>
      </c>
      <c r="E175" t="s">
        <v>3</v>
      </c>
      <c r="F175" t="s">
        <v>4</v>
      </c>
      <c r="G175" s="2" t="str">
        <f t="shared" si="2"/>
        <v>GW1_N456/BUGW-INFLOW</v>
      </c>
      <c r="H175" t="s">
        <v>52</v>
      </c>
      <c r="I175" t="s">
        <v>53</v>
      </c>
      <c r="L175" t="s">
        <v>8</v>
      </c>
      <c r="N175" t="s">
        <v>9</v>
      </c>
    </row>
    <row r="176" spans="2:14" x14ac:dyDescent="0.25">
      <c r="B176" t="s">
        <v>0</v>
      </c>
      <c r="C176" t="s">
        <v>205</v>
      </c>
      <c r="D176" t="s">
        <v>72</v>
      </c>
      <c r="E176" t="s">
        <v>3</v>
      </c>
      <c r="F176" t="s">
        <v>4</v>
      </c>
      <c r="G176" s="2" t="str">
        <f t="shared" si="2"/>
        <v>GW1_N468/BUGW-INFLOW</v>
      </c>
      <c r="H176" t="s">
        <v>52</v>
      </c>
      <c r="I176" t="s">
        <v>53</v>
      </c>
      <c r="L176" t="s">
        <v>8</v>
      </c>
      <c r="N176" t="s">
        <v>9</v>
      </c>
    </row>
    <row r="177" spans="2:14" x14ac:dyDescent="0.25">
      <c r="B177" t="s">
        <v>0</v>
      </c>
      <c r="C177" t="s">
        <v>206</v>
      </c>
      <c r="D177" t="s">
        <v>72</v>
      </c>
      <c r="E177" t="s">
        <v>3</v>
      </c>
      <c r="F177" t="s">
        <v>4</v>
      </c>
      <c r="G177" s="2" t="str">
        <f t="shared" si="2"/>
        <v>GW1_N469/BUGW-INFLOW</v>
      </c>
      <c r="H177" t="s">
        <v>52</v>
      </c>
      <c r="I177" t="s">
        <v>53</v>
      </c>
      <c r="L177" t="s">
        <v>8</v>
      </c>
      <c r="N177" t="s">
        <v>9</v>
      </c>
    </row>
    <row r="178" spans="2:14" x14ac:dyDescent="0.25">
      <c r="B178" t="s">
        <v>0</v>
      </c>
      <c r="C178" t="s">
        <v>207</v>
      </c>
      <c r="D178" t="s">
        <v>72</v>
      </c>
      <c r="E178" t="s">
        <v>3</v>
      </c>
      <c r="F178" t="s">
        <v>4</v>
      </c>
      <c r="G178" s="2" t="str">
        <f t="shared" si="2"/>
        <v>GW1_N48/BUGW-INFLOW</v>
      </c>
      <c r="H178" t="s">
        <v>52</v>
      </c>
      <c r="I178" t="s">
        <v>53</v>
      </c>
      <c r="L178" t="s">
        <v>8</v>
      </c>
      <c r="N178" t="s">
        <v>9</v>
      </c>
    </row>
    <row r="179" spans="2:14" x14ac:dyDescent="0.25">
      <c r="B179" t="s">
        <v>0</v>
      </c>
      <c r="C179" t="s">
        <v>208</v>
      </c>
      <c r="D179" t="s">
        <v>72</v>
      </c>
      <c r="E179" t="s">
        <v>3</v>
      </c>
      <c r="F179" t="s">
        <v>4</v>
      </c>
      <c r="G179" s="2" t="str">
        <f t="shared" si="2"/>
        <v>GW1_N485/BUGW-INFLOW</v>
      </c>
      <c r="H179" t="s">
        <v>52</v>
      </c>
      <c r="I179" t="s">
        <v>53</v>
      </c>
      <c r="L179" t="s">
        <v>8</v>
      </c>
      <c r="N179" t="s">
        <v>9</v>
      </c>
    </row>
    <row r="180" spans="2:14" x14ac:dyDescent="0.25">
      <c r="B180" t="s">
        <v>0</v>
      </c>
      <c r="C180" t="s">
        <v>209</v>
      </c>
      <c r="D180" t="s">
        <v>72</v>
      </c>
      <c r="E180" t="s">
        <v>3</v>
      </c>
      <c r="F180" t="s">
        <v>4</v>
      </c>
      <c r="G180" s="2" t="str">
        <f t="shared" si="2"/>
        <v>GW1_N50/BUGW-INFLOW</v>
      </c>
      <c r="H180" t="s">
        <v>52</v>
      </c>
      <c r="I180" t="s">
        <v>53</v>
      </c>
      <c r="L180" t="s">
        <v>8</v>
      </c>
      <c r="N180" t="s">
        <v>9</v>
      </c>
    </row>
    <row r="181" spans="2:14" x14ac:dyDescent="0.25">
      <c r="B181" t="s">
        <v>0</v>
      </c>
      <c r="C181" t="s">
        <v>210</v>
      </c>
      <c r="D181" t="s">
        <v>72</v>
      </c>
      <c r="E181" t="s">
        <v>3</v>
      </c>
      <c r="F181" t="s">
        <v>4</v>
      </c>
      <c r="G181" s="2" t="str">
        <f t="shared" si="2"/>
        <v>GW1_N501/BUGW-INFLOW</v>
      </c>
      <c r="H181" t="s">
        <v>52</v>
      </c>
      <c r="I181" t="s">
        <v>53</v>
      </c>
      <c r="L181" t="s">
        <v>8</v>
      </c>
      <c r="N181" t="s">
        <v>9</v>
      </c>
    </row>
    <row r="182" spans="2:14" x14ac:dyDescent="0.25">
      <c r="B182" t="s">
        <v>0</v>
      </c>
      <c r="C182" t="s">
        <v>211</v>
      </c>
      <c r="D182" t="s">
        <v>72</v>
      </c>
      <c r="E182" t="s">
        <v>3</v>
      </c>
      <c r="F182" t="s">
        <v>4</v>
      </c>
      <c r="G182" s="2" t="str">
        <f t="shared" si="2"/>
        <v>GW1_N507/BUGW-INFLOW</v>
      </c>
      <c r="H182" t="s">
        <v>52</v>
      </c>
      <c r="I182" t="s">
        <v>53</v>
      </c>
      <c r="L182" t="s">
        <v>8</v>
      </c>
      <c r="N182" t="s">
        <v>9</v>
      </c>
    </row>
    <row r="183" spans="2:14" x14ac:dyDescent="0.25">
      <c r="B183" t="s">
        <v>0</v>
      </c>
      <c r="C183" t="s">
        <v>212</v>
      </c>
      <c r="D183" t="s">
        <v>72</v>
      </c>
      <c r="E183" t="s">
        <v>3</v>
      </c>
      <c r="F183" t="s">
        <v>4</v>
      </c>
      <c r="G183" s="2" t="str">
        <f t="shared" si="2"/>
        <v>GW1_N510/BUGW-INFLOW</v>
      </c>
      <c r="H183" t="s">
        <v>52</v>
      </c>
      <c r="I183" t="s">
        <v>53</v>
      </c>
      <c r="L183" t="s">
        <v>8</v>
      </c>
      <c r="N183" t="s">
        <v>9</v>
      </c>
    </row>
    <row r="184" spans="2:14" x14ac:dyDescent="0.25">
      <c r="B184" t="s">
        <v>0</v>
      </c>
      <c r="C184" t="s">
        <v>213</v>
      </c>
      <c r="D184" t="s">
        <v>72</v>
      </c>
      <c r="E184" t="s">
        <v>3</v>
      </c>
      <c r="F184" t="s">
        <v>4</v>
      </c>
      <c r="G184" s="2" t="str">
        <f t="shared" si="2"/>
        <v>GW1_N518/BUGW-INFLOW</v>
      </c>
      <c r="H184" t="s">
        <v>52</v>
      </c>
      <c r="I184" t="s">
        <v>53</v>
      </c>
      <c r="L184" t="s">
        <v>8</v>
      </c>
      <c r="N184" t="s">
        <v>9</v>
      </c>
    </row>
    <row r="185" spans="2:14" x14ac:dyDescent="0.25">
      <c r="B185" t="s">
        <v>0</v>
      </c>
      <c r="C185" t="s">
        <v>214</v>
      </c>
      <c r="D185" t="s">
        <v>72</v>
      </c>
      <c r="E185" t="s">
        <v>3</v>
      </c>
      <c r="F185" t="s">
        <v>4</v>
      </c>
      <c r="G185" s="2" t="str">
        <f t="shared" si="2"/>
        <v>GW1_N530/BUGW-INFLOW</v>
      </c>
      <c r="H185" t="s">
        <v>52</v>
      </c>
      <c r="I185" t="s">
        <v>53</v>
      </c>
      <c r="L185" t="s">
        <v>8</v>
      </c>
      <c r="N185" t="s">
        <v>9</v>
      </c>
    </row>
    <row r="186" spans="2:14" x14ac:dyDescent="0.25">
      <c r="B186" t="s">
        <v>0</v>
      </c>
      <c r="C186" t="s">
        <v>215</v>
      </c>
      <c r="D186" t="s">
        <v>72</v>
      </c>
      <c r="E186" t="s">
        <v>3</v>
      </c>
      <c r="F186" t="s">
        <v>4</v>
      </c>
      <c r="G186" s="2" t="str">
        <f t="shared" si="2"/>
        <v>GW1_N535/BUGW-INFLOW</v>
      </c>
      <c r="H186" t="s">
        <v>52</v>
      </c>
      <c r="I186" t="s">
        <v>53</v>
      </c>
      <c r="L186" t="s">
        <v>8</v>
      </c>
      <c r="N186" t="s">
        <v>9</v>
      </c>
    </row>
    <row r="187" spans="2:14" x14ac:dyDescent="0.25">
      <c r="B187" t="s">
        <v>0</v>
      </c>
      <c r="C187" t="s">
        <v>216</v>
      </c>
      <c r="D187" t="s">
        <v>72</v>
      </c>
      <c r="E187" t="s">
        <v>3</v>
      </c>
      <c r="F187" t="s">
        <v>4</v>
      </c>
      <c r="G187" s="2" t="str">
        <f t="shared" si="2"/>
        <v>GW1_N536/BUGW-INFLOW</v>
      </c>
      <c r="H187" t="s">
        <v>52</v>
      </c>
      <c r="I187" t="s">
        <v>53</v>
      </c>
      <c r="L187" t="s">
        <v>8</v>
      </c>
      <c r="N187" t="s">
        <v>9</v>
      </c>
    </row>
    <row r="188" spans="2:14" x14ac:dyDescent="0.25">
      <c r="B188" t="s">
        <v>0</v>
      </c>
      <c r="C188" t="s">
        <v>217</v>
      </c>
      <c r="D188" t="s">
        <v>72</v>
      </c>
      <c r="E188" t="s">
        <v>3</v>
      </c>
      <c r="F188" t="s">
        <v>4</v>
      </c>
      <c r="G188" s="2" t="str">
        <f t="shared" si="2"/>
        <v>GW1_N537/BUGW-INFLOW</v>
      </c>
      <c r="H188" t="s">
        <v>52</v>
      </c>
      <c r="I188" t="s">
        <v>53</v>
      </c>
      <c r="L188" t="s">
        <v>8</v>
      </c>
      <c r="N188" t="s">
        <v>9</v>
      </c>
    </row>
    <row r="189" spans="2:14" x14ac:dyDescent="0.25">
      <c r="B189" t="s">
        <v>0</v>
      </c>
      <c r="C189" t="s">
        <v>218</v>
      </c>
      <c r="D189" t="s">
        <v>72</v>
      </c>
      <c r="E189" t="s">
        <v>3</v>
      </c>
      <c r="F189" t="s">
        <v>4</v>
      </c>
      <c r="G189" s="2" t="str">
        <f t="shared" si="2"/>
        <v>GW1_N554/BUGW-INFLOW</v>
      </c>
      <c r="H189" t="s">
        <v>52</v>
      </c>
      <c r="I189" t="s">
        <v>53</v>
      </c>
      <c r="L189" t="s">
        <v>8</v>
      </c>
      <c r="N189" t="s">
        <v>9</v>
      </c>
    </row>
    <row r="190" spans="2:14" x14ac:dyDescent="0.25">
      <c r="B190" t="s">
        <v>0</v>
      </c>
      <c r="C190" t="s">
        <v>219</v>
      </c>
      <c r="D190" t="s">
        <v>72</v>
      </c>
      <c r="E190" t="s">
        <v>3</v>
      </c>
      <c r="F190" t="s">
        <v>4</v>
      </c>
      <c r="G190" s="2" t="str">
        <f t="shared" si="2"/>
        <v>GW1_N57/BUGW-INFLOW</v>
      </c>
      <c r="H190" t="s">
        <v>52</v>
      </c>
      <c r="I190" t="s">
        <v>53</v>
      </c>
      <c r="L190" t="s">
        <v>8</v>
      </c>
      <c r="N190" t="s">
        <v>9</v>
      </c>
    </row>
    <row r="191" spans="2:14" x14ac:dyDescent="0.25">
      <c r="B191" t="s">
        <v>0</v>
      </c>
      <c r="C191" t="s">
        <v>220</v>
      </c>
      <c r="D191" t="s">
        <v>72</v>
      </c>
      <c r="E191" t="s">
        <v>3</v>
      </c>
      <c r="F191" t="s">
        <v>4</v>
      </c>
      <c r="G191" s="2" t="str">
        <f t="shared" si="2"/>
        <v>GW1_N573/BUGW-INFLOW</v>
      </c>
      <c r="H191" t="s">
        <v>52</v>
      </c>
      <c r="I191" t="s">
        <v>53</v>
      </c>
      <c r="L191" t="s">
        <v>8</v>
      </c>
      <c r="N191" t="s">
        <v>9</v>
      </c>
    </row>
    <row r="192" spans="2:14" x14ac:dyDescent="0.25">
      <c r="B192" t="s">
        <v>0</v>
      </c>
      <c r="C192" t="s">
        <v>221</v>
      </c>
      <c r="D192" t="s">
        <v>72</v>
      </c>
      <c r="E192" t="s">
        <v>3</v>
      </c>
      <c r="F192" t="s">
        <v>4</v>
      </c>
      <c r="G192" s="2" t="str">
        <f t="shared" si="2"/>
        <v>GW1_N583/BUGW-INFLOW</v>
      </c>
      <c r="H192" t="s">
        <v>52</v>
      </c>
      <c r="I192" t="s">
        <v>53</v>
      </c>
      <c r="L192" t="s">
        <v>8</v>
      </c>
      <c r="N192" t="s">
        <v>9</v>
      </c>
    </row>
    <row r="193" spans="2:14" x14ac:dyDescent="0.25">
      <c r="B193" t="s">
        <v>0</v>
      </c>
      <c r="C193" t="s">
        <v>222</v>
      </c>
      <c r="D193" t="s">
        <v>72</v>
      </c>
      <c r="E193" t="s">
        <v>3</v>
      </c>
      <c r="F193" t="s">
        <v>4</v>
      </c>
      <c r="G193" s="2" t="str">
        <f t="shared" si="2"/>
        <v>GW1_N588/BUGW-INFLOW</v>
      </c>
      <c r="H193" t="s">
        <v>52</v>
      </c>
      <c r="I193" t="s">
        <v>53</v>
      </c>
      <c r="L193" t="s">
        <v>8</v>
      </c>
      <c r="N193" t="s">
        <v>9</v>
      </c>
    </row>
    <row r="194" spans="2:14" x14ac:dyDescent="0.25">
      <c r="B194" t="s">
        <v>0</v>
      </c>
      <c r="C194" t="s">
        <v>223</v>
      </c>
      <c r="D194" t="s">
        <v>72</v>
      </c>
      <c r="E194" t="s">
        <v>3</v>
      </c>
      <c r="F194" t="s">
        <v>4</v>
      </c>
      <c r="G194" s="2" t="str">
        <f t="shared" si="2"/>
        <v>GW1_N589/BUGW-INFLOW</v>
      </c>
      <c r="H194" t="s">
        <v>52</v>
      </c>
      <c r="I194" t="s">
        <v>53</v>
      </c>
      <c r="L194" t="s">
        <v>8</v>
      </c>
      <c r="N194" t="s">
        <v>9</v>
      </c>
    </row>
    <row r="195" spans="2:14" x14ac:dyDescent="0.25">
      <c r="B195" t="s">
        <v>0</v>
      </c>
      <c r="C195" t="s">
        <v>224</v>
      </c>
      <c r="D195" t="s">
        <v>72</v>
      </c>
      <c r="E195" t="s">
        <v>3</v>
      </c>
      <c r="F195" t="s">
        <v>4</v>
      </c>
      <c r="G195" s="2" t="str">
        <f t="shared" ref="G195:G258" si="3">_xlfn.CONCAT(C195,"/",D195)</f>
        <v>GW1_N600/BUGW-INFLOW</v>
      </c>
      <c r="H195" t="s">
        <v>52</v>
      </c>
      <c r="I195" t="s">
        <v>53</v>
      </c>
      <c r="L195" t="s">
        <v>8</v>
      </c>
      <c r="N195" t="s">
        <v>9</v>
      </c>
    </row>
    <row r="196" spans="2:14" x14ac:dyDescent="0.25">
      <c r="B196" t="s">
        <v>0</v>
      </c>
      <c r="C196" t="s">
        <v>225</v>
      </c>
      <c r="D196" t="s">
        <v>72</v>
      </c>
      <c r="E196" t="s">
        <v>3</v>
      </c>
      <c r="F196" t="s">
        <v>4</v>
      </c>
      <c r="G196" s="2" t="str">
        <f t="shared" si="3"/>
        <v>GW1_N601/BUGW-INFLOW</v>
      </c>
      <c r="H196" t="s">
        <v>52</v>
      </c>
      <c r="I196" t="s">
        <v>53</v>
      </c>
      <c r="L196" t="s">
        <v>8</v>
      </c>
      <c r="N196" t="s">
        <v>9</v>
      </c>
    </row>
    <row r="197" spans="2:14" x14ac:dyDescent="0.25">
      <c r="B197" t="s">
        <v>0</v>
      </c>
      <c r="C197" t="s">
        <v>226</v>
      </c>
      <c r="D197" t="s">
        <v>72</v>
      </c>
      <c r="E197" t="s">
        <v>3</v>
      </c>
      <c r="F197" t="s">
        <v>4</v>
      </c>
      <c r="G197" s="2" t="str">
        <f t="shared" si="3"/>
        <v>GW1_N607/BUGW-INFLOW</v>
      </c>
      <c r="H197" t="s">
        <v>52</v>
      </c>
      <c r="I197" t="s">
        <v>53</v>
      </c>
      <c r="L197" t="s">
        <v>8</v>
      </c>
      <c r="N197" t="s">
        <v>9</v>
      </c>
    </row>
    <row r="198" spans="2:14" x14ac:dyDescent="0.25">
      <c r="B198" t="s">
        <v>0</v>
      </c>
      <c r="C198" t="s">
        <v>227</v>
      </c>
      <c r="D198" t="s">
        <v>72</v>
      </c>
      <c r="E198" t="s">
        <v>3</v>
      </c>
      <c r="F198" t="s">
        <v>4</v>
      </c>
      <c r="G198" s="2" t="str">
        <f t="shared" si="3"/>
        <v>GW1_N609/BUGW-INFLOW</v>
      </c>
      <c r="H198" t="s">
        <v>52</v>
      </c>
      <c r="I198" t="s">
        <v>53</v>
      </c>
      <c r="L198" t="s">
        <v>8</v>
      </c>
      <c r="N198" t="s">
        <v>9</v>
      </c>
    </row>
    <row r="199" spans="2:14" x14ac:dyDescent="0.25">
      <c r="B199" t="s">
        <v>0</v>
      </c>
      <c r="C199" t="s">
        <v>228</v>
      </c>
      <c r="D199" t="s">
        <v>72</v>
      </c>
      <c r="E199" t="s">
        <v>3</v>
      </c>
      <c r="F199" t="s">
        <v>4</v>
      </c>
      <c r="G199" s="2" t="str">
        <f t="shared" si="3"/>
        <v>GW1_N611/BUGW-INFLOW</v>
      </c>
      <c r="H199" t="s">
        <v>52</v>
      </c>
      <c r="I199" t="s">
        <v>53</v>
      </c>
      <c r="L199" t="s">
        <v>8</v>
      </c>
      <c r="N199" t="s">
        <v>9</v>
      </c>
    </row>
    <row r="200" spans="2:14" x14ac:dyDescent="0.25">
      <c r="B200" t="s">
        <v>0</v>
      </c>
      <c r="C200" t="s">
        <v>229</v>
      </c>
      <c r="D200" t="s">
        <v>72</v>
      </c>
      <c r="E200" t="s">
        <v>3</v>
      </c>
      <c r="F200" t="s">
        <v>4</v>
      </c>
      <c r="G200" s="2" t="str">
        <f t="shared" si="3"/>
        <v>GW1_N613/BUGW-INFLOW</v>
      </c>
      <c r="H200" t="s">
        <v>52</v>
      </c>
      <c r="I200" t="s">
        <v>53</v>
      </c>
      <c r="L200" t="s">
        <v>8</v>
      </c>
      <c r="N200" t="s">
        <v>9</v>
      </c>
    </row>
    <row r="201" spans="2:14" x14ac:dyDescent="0.25">
      <c r="B201" t="s">
        <v>0</v>
      </c>
      <c r="C201" t="s">
        <v>230</v>
      </c>
      <c r="D201" t="s">
        <v>72</v>
      </c>
      <c r="E201" t="s">
        <v>3</v>
      </c>
      <c r="F201" t="s">
        <v>4</v>
      </c>
      <c r="G201" s="2" t="str">
        <f t="shared" si="3"/>
        <v>GW1_N62/BUGW-INFLOW</v>
      </c>
      <c r="H201" t="s">
        <v>52</v>
      </c>
      <c r="I201" t="s">
        <v>53</v>
      </c>
      <c r="L201" t="s">
        <v>8</v>
      </c>
      <c r="N201" t="s">
        <v>9</v>
      </c>
    </row>
    <row r="202" spans="2:14" x14ac:dyDescent="0.25">
      <c r="B202" t="s">
        <v>0</v>
      </c>
      <c r="C202" t="s">
        <v>231</v>
      </c>
      <c r="D202" t="s">
        <v>72</v>
      </c>
      <c r="E202" t="s">
        <v>3</v>
      </c>
      <c r="F202" t="s">
        <v>4</v>
      </c>
      <c r="G202" s="2" t="str">
        <f t="shared" si="3"/>
        <v>GW1_N630/BUGW-INFLOW</v>
      </c>
      <c r="H202" t="s">
        <v>52</v>
      </c>
      <c r="I202" t="s">
        <v>53</v>
      </c>
      <c r="L202" t="s">
        <v>8</v>
      </c>
      <c r="N202" t="s">
        <v>9</v>
      </c>
    </row>
    <row r="203" spans="2:14" x14ac:dyDescent="0.25">
      <c r="B203" t="s">
        <v>0</v>
      </c>
      <c r="C203" t="s">
        <v>232</v>
      </c>
      <c r="D203" t="s">
        <v>72</v>
      </c>
      <c r="E203" t="s">
        <v>3</v>
      </c>
      <c r="F203" t="s">
        <v>4</v>
      </c>
      <c r="G203" s="2" t="str">
        <f t="shared" si="3"/>
        <v>GW1_N631/BUGW-INFLOW</v>
      </c>
      <c r="H203" t="s">
        <v>52</v>
      </c>
      <c r="I203" t="s">
        <v>53</v>
      </c>
      <c r="L203" t="s">
        <v>8</v>
      </c>
      <c r="N203" t="s">
        <v>9</v>
      </c>
    </row>
    <row r="204" spans="2:14" x14ac:dyDescent="0.25">
      <c r="B204" t="s">
        <v>0</v>
      </c>
      <c r="C204" t="s">
        <v>233</v>
      </c>
      <c r="D204" t="s">
        <v>72</v>
      </c>
      <c r="E204" t="s">
        <v>3</v>
      </c>
      <c r="F204" t="s">
        <v>4</v>
      </c>
      <c r="G204" s="2" t="str">
        <f t="shared" si="3"/>
        <v>GW1_N641/BUGW-INFLOW</v>
      </c>
      <c r="H204" t="s">
        <v>52</v>
      </c>
      <c r="I204" t="s">
        <v>53</v>
      </c>
      <c r="L204" t="s">
        <v>8</v>
      </c>
      <c r="N204" t="s">
        <v>9</v>
      </c>
    </row>
    <row r="205" spans="2:14" x14ac:dyDescent="0.25">
      <c r="B205" t="s">
        <v>0</v>
      </c>
      <c r="C205" t="s">
        <v>234</v>
      </c>
      <c r="D205" t="s">
        <v>72</v>
      </c>
      <c r="E205" t="s">
        <v>3</v>
      </c>
      <c r="F205" t="s">
        <v>4</v>
      </c>
      <c r="G205" s="2" t="str">
        <f t="shared" si="3"/>
        <v>GW1_N646/BUGW-INFLOW</v>
      </c>
      <c r="H205" t="s">
        <v>52</v>
      </c>
      <c r="I205" t="s">
        <v>53</v>
      </c>
      <c r="L205" t="s">
        <v>8</v>
      </c>
      <c r="N205" t="s">
        <v>9</v>
      </c>
    </row>
    <row r="206" spans="2:14" x14ac:dyDescent="0.25">
      <c r="B206" t="s">
        <v>0</v>
      </c>
      <c r="C206" t="s">
        <v>235</v>
      </c>
      <c r="D206" t="s">
        <v>72</v>
      </c>
      <c r="E206" t="s">
        <v>3</v>
      </c>
      <c r="F206" t="s">
        <v>4</v>
      </c>
      <c r="G206" s="2" t="str">
        <f t="shared" si="3"/>
        <v>GW1_N647/BUGW-INFLOW</v>
      </c>
      <c r="H206" t="s">
        <v>52</v>
      </c>
      <c r="I206" t="s">
        <v>53</v>
      </c>
      <c r="L206" t="s">
        <v>8</v>
      </c>
      <c r="N206" t="s">
        <v>9</v>
      </c>
    </row>
    <row r="207" spans="2:14" x14ac:dyDescent="0.25">
      <c r="B207" t="s">
        <v>0</v>
      </c>
      <c r="C207" t="s">
        <v>236</v>
      </c>
      <c r="D207" t="s">
        <v>72</v>
      </c>
      <c r="E207" t="s">
        <v>3</v>
      </c>
      <c r="F207" t="s">
        <v>4</v>
      </c>
      <c r="G207" s="2" t="str">
        <f t="shared" si="3"/>
        <v>GW1_N658/BUGW-INFLOW</v>
      </c>
      <c r="H207" t="s">
        <v>52</v>
      </c>
      <c r="I207" t="s">
        <v>53</v>
      </c>
      <c r="L207" t="s">
        <v>8</v>
      </c>
      <c r="N207" t="s">
        <v>9</v>
      </c>
    </row>
    <row r="208" spans="2:14" x14ac:dyDescent="0.25">
      <c r="B208" t="s">
        <v>0</v>
      </c>
      <c r="C208" t="s">
        <v>237</v>
      </c>
      <c r="D208" t="s">
        <v>72</v>
      </c>
      <c r="E208" t="s">
        <v>3</v>
      </c>
      <c r="F208" t="s">
        <v>4</v>
      </c>
      <c r="G208" s="2" t="str">
        <f t="shared" si="3"/>
        <v>GW1_N669/BUGW-INFLOW</v>
      </c>
      <c r="H208" t="s">
        <v>52</v>
      </c>
      <c r="I208" t="s">
        <v>53</v>
      </c>
      <c r="L208" t="s">
        <v>8</v>
      </c>
      <c r="N208" t="s">
        <v>9</v>
      </c>
    </row>
    <row r="209" spans="2:14" x14ac:dyDescent="0.25">
      <c r="B209" t="s">
        <v>0</v>
      </c>
      <c r="C209" t="s">
        <v>238</v>
      </c>
      <c r="D209" t="s">
        <v>72</v>
      </c>
      <c r="E209" t="s">
        <v>3</v>
      </c>
      <c r="F209" t="s">
        <v>4</v>
      </c>
      <c r="G209" s="2" t="str">
        <f t="shared" si="3"/>
        <v>GW1_N679/BUGW-INFLOW</v>
      </c>
      <c r="H209" t="s">
        <v>52</v>
      </c>
      <c r="I209" t="s">
        <v>53</v>
      </c>
      <c r="L209" t="s">
        <v>8</v>
      </c>
      <c r="N209" t="s">
        <v>9</v>
      </c>
    </row>
    <row r="210" spans="2:14" x14ac:dyDescent="0.25">
      <c r="B210" t="s">
        <v>0</v>
      </c>
      <c r="C210" t="s">
        <v>239</v>
      </c>
      <c r="D210" t="s">
        <v>72</v>
      </c>
      <c r="E210" t="s">
        <v>3</v>
      </c>
      <c r="F210" t="s">
        <v>4</v>
      </c>
      <c r="G210" s="2" t="str">
        <f t="shared" si="3"/>
        <v>GW1_N680/BUGW-INFLOW</v>
      </c>
      <c r="H210" t="s">
        <v>52</v>
      </c>
      <c r="I210" t="s">
        <v>53</v>
      </c>
      <c r="L210" t="s">
        <v>8</v>
      </c>
      <c r="N210" t="s">
        <v>9</v>
      </c>
    </row>
    <row r="211" spans="2:14" x14ac:dyDescent="0.25">
      <c r="B211" t="s">
        <v>0</v>
      </c>
      <c r="C211" t="s">
        <v>240</v>
      </c>
      <c r="D211" t="s">
        <v>72</v>
      </c>
      <c r="E211" t="s">
        <v>3</v>
      </c>
      <c r="F211" t="s">
        <v>4</v>
      </c>
      <c r="G211" s="2" t="str">
        <f t="shared" si="3"/>
        <v>GW1_N691/BUGW-INFLOW</v>
      </c>
      <c r="H211" t="s">
        <v>52</v>
      </c>
      <c r="I211" t="s">
        <v>53</v>
      </c>
      <c r="L211" t="s">
        <v>8</v>
      </c>
      <c r="N211" t="s">
        <v>9</v>
      </c>
    </row>
    <row r="212" spans="2:14" x14ac:dyDescent="0.25">
      <c r="B212" t="s">
        <v>0</v>
      </c>
      <c r="C212" t="s">
        <v>241</v>
      </c>
      <c r="D212" t="s">
        <v>72</v>
      </c>
      <c r="E212" t="s">
        <v>3</v>
      </c>
      <c r="F212" t="s">
        <v>4</v>
      </c>
      <c r="G212" s="2" t="str">
        <f t="shared" si="3"/>
        <v>GW1_N710/BUGW-INFLOW</v>
      </c>
      <c r="H212" t="s">
        <v>52</v>
      </c>
      <c r="I212" t="s">
        <v>53</v>
      </c>
      <c r="L212" t="s">
        <v>8</v>
      </c>
      <c r="N212" t="s">
        <v>9</v>
      </c>
    </row>
    <row r="213" spans="2:14" x14ac:dyDescent="0.25">
      <c r="B213" t="s">
        <v>0</v>
      </c>
      <c r="C213" t="s">
        <v>242</v>
      </c>
      <c r="D213" t="s">
        <v>72</v>
      </c>
      <c r="E213" t="s">
        <v>3</v>
      </c>
      <c r="F213" t="s">
        <v>4</v>
      </c>
      <c r="G213" s="2" t="str">
        <f t="shared" si="3"/>
        <v>GW1_N711/BUGW-INFLOW</v>
      </c>
      <c r="H213" t="s">
        <v>52</v>
      </c>
      <c r="I213" t="s">
        <v>53</v>
      </c>
      <c r="L213" t="s">
        <v>8</v>
      </c>
      <c r="N213" t="s">
        <v>9</v>
      </c>
    </row>
    <row r="214" spans="2:14" x14ac:dyDescent="0.25">
      <c r="B214" t="s">
        <v>0</v>
      </c>
      <c r="C214" t="s">
        <v>243</v>
      </c>
      <c r="D214" t="s">
        <v>72</v>
      </c>
      <c r="E214" t="s">
        <v>3</v>
      </c>
      <c r="F214" t="s">
        <v>4</v>
      </c>
      <c r="G214" s="2" t="str">
        <f t="shared" si="3"/>
        <v>GW1_N722/BUGW-INFLOW</v>
      </c>
      <c r="H214" t="s">
        <v>52</v>
      </c>
      <c r="I214" t="s">
        <v>53</v>
      </c>
      <c r="L214" t="s">
        <v>8</v>
      </c>
      <c r="N214" t="s">
        <v>9</v>
      </c>
    </row>
    <row r="215" spans="2:14" x14ac:dyDescent="0.25">
      <c r="B215" t="s">
        <v>0</v>
      </c>
      <c r="C215" t="s">
        <v>244</v>
      </c>
      <c r="D215" t="s">
        <v>72</v>
      </c>
      <c r="E215" t="s">
        <v>3</v>
      </c>
      <c r="F215" t="s">
        <v>4</v>
      </c>
      <c r="G215" s="2" t="str">
        <f t="shared" si="3"/>
        <v>GW1_N723/BUGW-INFLOW</v>
      </c>
      <c r="H215" t="s">
        <v>52</v>
      </c>
      <c r="I215" t="s">
        <v>53</v>
      </c>
      <c r="L215" t="s">
        <v>8</v>
      </c>
      <c r="N215" t="s">
        <v>9</v>
      </c>
    </row>
    <row r="216" spans="2:14" x14ac:dyDescent="0.25">
      <c r="B216" t="s">
        <v>0</v>
      </c>
      <c r="C216" t="s">
        <v>245</v>
      </c>
      <c r="D216" t="s">
        <v>72</v>
      </c>
      <c r="E216" t="s">
        <v>3</v>
      </c>
      <c r="F216" t="s">
        <v>4</v>
      </c>
      <c r="G216" s="2" t="str">
        <f t="shared" si="3"/>
        <v>GW1_N735/BUGW-INFLOW</v>
      </c>
      <c r="H216" t="s">
        <v>52</v>
      </c>
      <c r="I216" t="s">
        <v>53</v>
      </c>
      <c r="L216" t="s">
        <v>8</v>
      </c>
      <c r="N216" t="s">
        <v>9</v>
      </c>
    </row>
    <row r="217" spans="2:14" x14ac:dyDescent="0.25">
      <c r="B217" t="s">
        <v>0</v>
      </c>
      <c r="C217" t="s">
        <v>246</v>
      </c>
      <c r="D217" t="s">
        <v>72</v>
      </c>
      <c r="E217" t="s">
        <v>3</v>
      </c>
      <c r="F217" t="s">
        <v>4</v>
      </c>
      <c r="G217" s="2" t="str">
        <f t="shared" si="3"/>
        <v>GW1_N74/BUGW-INFLOW</v>
      </c>
      <c r="H217" t="s">
        <v>52</v>
      </c>
      <c r="I217" t="s">
        <v>53</v>
      </c>
      <c r="L217" t="s">
        <v>8</v>
      </c>
      <c r="N217" t="s">
        <v>9</v>
      </c>
    </row>
    <row r="218" spans="2:14" x14ac:dyDescent="0.25">
      <c r="B218" t="s">
        <v>0</v>
      </c>
      <c r="C218" t="s">
        <v>247</v>
      </c>
      <c r="D218" t="s">
        <v>72</v>
      </c>
      <c r="E218" t="s">
        <v>3</v>
      </c>
      <c r="F218" t="s">
        <v>4</v>
      </c>
      <c r="G218" s="2" t="str">
        <f t="shared" si="3"/>
        <v>GW1_N748/BUGW-INFLOW</v>
      </c>
      <c r="H218" t="s">
        <v>52</v>
      </c>
      <c r="I218" t="s">
        <v>53</v>
      </c>
      <c r="L218" t="s">
        <v>8</v>
      </c>
      <c r="N218" t="s">
        <v>9</v>
      </c>
    </row>
    <row r="219" spans="2:14" x14ac:dyDescent="0.25">
      <c r="B219" t="s">
        <v>0</v>
      </c>
      <c r="C219" t="s">
        <v>248</v>
      </c>
      <c r="D219" t="s">
        <v>72</v>
      </c>
      <c r="E219" t="s">
        <v>3</v>
      </c>
      <c r="F219" t="s">
        <v>4</v>
      </c>
      <c r="G219" s="2" t="str">
        <f t="shared" si="3"/>
        <v>GW1_N758/BUGW-INFLOW</v>
      </c>
      <c r="H219" t="s">
        <v>52</v>
      </c>
      <c r="I219" t="s">
        <v>53</v>
      </c>
      <c r="L219" t="s">
        <v>8</v>
      </c>
      <c r="N219" t="s">
        <v>9</v>
      </c>
    </row>
    <row r="220" spans="2:14" x14ac:dyDescent="0.25">
      <c r="B220" t="s">
        <v>0</v>
      </c>
      <c r="C220" t="s">
        <v>249</v>
      </c>
      <c r="D220" t="s">
        <v>72</v>
      </c>
      <c r="E220" t="s">
        <v>3</v>
      </c>
      <c r="F220" t="s">
        <v>4</v>
      </c>
      <c r="G220" s="2" t="str">
        <f t="shared" si="3"/>
        <v>GW1_N763/BUGW-INFLOW</v>
      </c>
      <c r="H220" t="s">
        <v>52</v>
      </c>
      <c r="I220" t="s">
        <v>53</v>
      </c>
      <c r="L220" t="s">
        <v>8</v>
      </c>
      <c r="N220" t="s">
        <v>9</v>
      </c>
    </row>
    <row r="221" spans="2:14" x14ac:dyDescent="0.25">
      <c r="B221" t="s">
        <v>0</v>
      </c>
      <c r="C221" t="s">
        <v>250</v>
      </c>
      <c r="D221" t="s">
        <v>72</v>
      </c>
      <c r="E221" t="s">
        <v>3</v>
      </c>
      <c r="F221" t="s">
        <v>4</v>
      </c>
      <c r="G221" s="2" t="str">
        <f t="shared" si="3"/>
        <v>GW1_N764/BUGW-INFLOW</v>
      </c>
      <c r="H221" t="s">
        <v>52</v>
      </c>
      <c r="I221" t="s">
        <v>53</v>
      </c>
      <c r="L221" t="s">
        <v>8</v>
      </c>
      <c r="N221" t="s">
        <v>9</v>
      </c>
    </row>
    <row r="222" spans="2:14" x14ac:dyDescent="0.25">
      <c r="B222" t="s">
        <v>0</v>
      </c>
      <c r="C222" t="s">
        <v>251</v>
      </c>
      <c r="D222" t="s">
        <v>72</v>
      </c>
      <c r="E222" t="s">
        <v>3</v>
      </c>
      <c r="F222" t="s">
        <v>4</v>
      </c>
      <c r="G222" s="2" t="str">
        <f t="shared" si="3"/>
        <v>GW1_N779/BUGW-INFLOW</v>
      </c>
      <c r="H222" t="s">
        <v>52</v>
      </c>
      <c r="I222" t="s">
        <v>53</v>
      </c>
      <c r="L222" t="s">
        <v>8</v>
      </c>
      <c r="N222" t="s">
        <v>9</v>
      </c>
    </row>
    <row r="223" spans="2:14" x14ac:dyDescent="0.25">
      <c r="B223" t="s">
        <v>0</v>
      </c>
      <c r="C223" t="s">
        <v>252</v>
      </c>
      <c r="D223" t="s">
        <v>72</v>
      </c>
      <c r="E223" t="s">
        <v>3</v>
      </c>
      <c r="F223" t="s">
        <v>4</v>
      </c>
      <c r="G223" s="2" t="str">
        <f t="shared" si="3"/>
        <v>GW1_N780/BUGW-INFLOW</v>
      </c>
      <c r="H223" t="s">
        <v>52</v>
      </c>
      <c r="I223" t="s">
        <v>53</v>
      </c>
      <c r="L223" t="s">
        <v>8</v>
      </c>
      <c r="N223" t="s">
        <v>9</v>
      </c>
    </row>
    <row r="224" spans="2:14" x14ac:dyDescent="0.25">
      <c r="B224" t="s">
        <v>0</v>
      </c>
      <c r="C224" t="s">
        <v>253</v>
      </c>
      <c r="D224" t="s">
        <v>72</v>
      </c>
      <c r="E224" t="s">
        <v>3</v>
      </c>
      <c r="F224" t="s">
        <v>4</v>
      </c>
      <c r="G224" s="2" t="str">
        <f t="shared" si="3"/>
        <v>GW1_N793/BUGW-INFLOW</v>
      </c>
      <c r="H224" t="s">
        <v>52</v>
      </c>
      <c r="I224" t="s">
        <v>53</v>
      </c>
      <c r="L224" t="s">
        <v>8</v>
      </c>
      <c r="N224" t="s">
        <v>9</v>
      </c>
    </row>
    <row r="225" spans="2:14" x14ac:dyDescent="0.25">
      <c r="B225" t="s">
        <v>0</v>
      </c>
      <c r="C225" t="s">
        <v>254</v>
      </c>
      <c r="D225" t="s">
        <v>72</v>
      </c>
      <c r="E225" t="s">
        <v>3</v>
      </c>
      <c r="F225" t="s">
        <v>4</v>
      </c>
      <c r="G225" s="2" t="str">
        <f t="shared" si="3"/>
        <v>GW1_N8/BUGW-INFLOW</v>
      </c>
      <c r="H225" t="s">
        <v>52</v>
      </c>
      <c r="I225" t="s">
        <v>53</v>
      </c>
      <c r="L225" t="s">
        <v>8</v>
      </c>
      <c r="N225" t="s">
        <v>9</v>
      </c>
    </row>
    <row r="226" spans="2:14" x14ac:dyDescent="0.25">
      <c r="B226" t="s">
        <v>0</v>
      </c>
      <c r="C226" t="s">
        <v>255</v>
      </c>
      <c r="D226" t="s">
        <v>72</v>
      </c>
      <c r="E226" t="s">
        <v>3</v>
      </c>
      <c r="F226" t="s">
        <v>4</v>
      </c>
      <c r="G226" s="2" t="str">
        <f t="shared" si="3"/>
        <v>GW1_N80/BUGW-INFLOW</v>
      </c>
      <c r="H226" t="s">
        <v>52</v>
      </c>
      <c r="I226" t="s">
        <v>53</v>
      </c>
      <c r="L226" t="s">
        <v>8</v>
      </c>
      <c r="N226" t="s">
        <v>9</v>
      </c>
    </row>
    <row r="227" spans="2:14" x14ac:dyDescent="0.25">
      <c r="B227" t="s">
        <v>0</v>
      </c>
      <c r="C227" t="s">
        <v>256</v>
      </c>
      <c r="D227" t="s">
        <v>72</v>
      </c>
      <c r="E227" t="s">
        <v>3</v>
      </c>
      <c r="F227" t="s">
        <v>4</v>
      </c>
      <c r="G227" s="2" t="str">
        <f t="shared" si="3"/>
        <v>GW1_N806/BUGW-INFLOW</v>
      </c>
      <c r="H227" t="s">
        <v>52</v>
      </c>
      <c r="I227" t="s">
        <v>53</v>
      </c>
      <c r="L227" t="s">
        <v>8</v>
      </c>
      <c r="N227" t="s">
        <v>9</v>
      </c>
    </row>
    <row r="228" spans="2:14" x14ac:dyDescent="0.25">
      <c r="B228" t="s">
        <v>0</v>
      </c>
      <c r="C228" t="s">
        <v>257</v>
      </c>
      <c r="D228" t="s">
        <v>72</v>
      </c>
      <c r="E228" t="s">
        <v>3</v>
      </c>
      <c r="F228" t="s">
        <v>4</v>
      </c>
      <c r="G228" s="2" t="str">
        <f t="shared" si="3"/>
        <v>GW1_N813/BUGW-INFLOW</v>
      </c>
      <c r="H228" t="s">
        <v>52</v>
      </c>
      <c r="I228" t="s">
        <v>53</v>
      </c>
      <c r="L228" t="s">
        <v>8</v>
      </c>
      <c r="N228" t="s">
        <v>9</v>
      </c>
    </row>
    <row r="229" spans="2:14" x14ac:dyDescent="0.25">
      <c r="B229" t="s">
        <v>0</v>
      </c>
      <c r="C229" t="s">
        <v>258</v>
      </c>
      <c r="D229" t="s">
        <v>72</v>
      </c>
      <c r="E229" t="s">
        <v>3</v>
      </c>
      <c r="F229" t="s">
        <v>4</v>
      </c>
      <c r="G229" s="2" t="str">
        <f t="shared" si="3"/>
        <v>GW1_N814/BUGW-INFLOW</v>
      </c>
      <c r="H229" t="s">
        <v>52</v>
      </c>
      <c r="I229" t="s">
        <v>53</v>
      </c>
      <c r="L229" t="s">
        <v>8</v>
      </c>
      <c r="N229" t="s">
        <v>9</v>
      </c>
    </row>
    <row r="230" spans="2:14" x14ac:dyDescent="0.25">
      <c r="B230" t="s">
        <v>0</v>
      </c>
      <c r="C230" t="s">
        <v>259</v>
      </c>
      <c r="D230" t="s">
        <v>72</v>
      </c>
      <c r="E230" t="s">
        <v>3</v>
      </c>
      <c r="F230" t="s">
        <v>4</v>
      </c>
      <c r="G230" s="2" t="str">
        <f t="shared" si="3"/>
        <v>GW1_N837/BUGW-INFLOW</v>
      </c>
      <c r="H230" t="s">
        <v>52</v>
      </c>
      <c r="I230" t="s">
        <v>53</v>
      </c>
      <c r="L230" t="s">
        <v>8</v>
      </c>
      <c r="N230" t="s">
        <v>9</v>
      </c>
    </row>
    <row r="231" spans="2:14" x14ac:dyDescent="0.25">
      <c r="B231" t="s">
        <v>0</v>
      </c>
      <c r="C231" t="s">
        <v>260</v>
      </c>
      <c r="D231" t="s">
        <v>72</v>
      </c>
      <c r="E231" t="s">
        <v>3</v>
      </c>
      <c r="F231" t="s">
        <v>4</v>
      </c>
      <c r="G231" s="2" t="str">
        <f t="shared" si="3"/>
        <v>GW1_N838/BUGW-INFLOW</v>
      </c>
      <c r="H231" t="s">
        <v>52</v>
      </c>
      <c r="I231" t="s">
        <v>53</v>
      </c>
      <c r="L231" t="s">
        <v>8</v>
      </c>
      <c r="N231" t="s">
        <v>9</v>
      </c>
    </row>
    <row r="232" spans="2:14" x14ac:dyDescent="0.25">
      <c r="B232" t="s">
        <v>0</v>
      </c>
      <c r="C232" t="s">
        <v>261</v>
      </c>
      <c r="D232" t="s">
        <v>72</v>
      </c>
      <c r="E232" t="s">
        <v>3</v>
      </c>
      <c r="F232" t="s">
        <v>4</v>
      </c>
      <c r="G232" s="2" t="str">
        <f t="shared" si="3"/>
        <v>GW1_N839/BUGW-INFLOW</v>
      </c>
      <c r="H232" t="s">
        <v>52</v>
      </c>
      <c r="I232" t="s">
        <v>53</v>
      </c>
      <c r="L232" t="s">
        <v>8</v>
      </c>
      <c r="N232" t="s">
        <v>9</v>
      </c>
    </row>
    <row r="233" spans="2:14" x14ac:dyDescent="0.25">
      <c r="B233" t="s">
        <v>0</v>
      </c>
      <c r="C233" t="s">
        <v>262</v>
      </c>
      <c r="D233" t="s">
        <v>72</v>
      </c>
      <c r="E233" t="s">
        <v>3</v>
      </c>
      <c r="F233" t="s">
        <v>4</v>
      </c>
      <c r="G233" s="2" t="str">
        <f t="shared" si="3"/>
        <v>GW1_N851/BUGW-INFLOW</v>
      </c>
      <c r="H233" t="s">
        <v>52</v>
      </c>
      <c r="I233" t="s">
        <v>53</v>
      </c>
      <c r="L233" t="s">
        <v>8</v>
      </c>
      <c r="N233" t="s">
        <v>9</v>
      </c>
    </row>
    <row r="234" spans="2:14" x14ac:dyDescent="0.25">
      <c r="B234" t="s">
        <v>0</v>
      </c>
      <c r="C234" t="s">
        <v>263</v>
      </c>
      <c r="D234" t="s">
        <v>72</v>
      </c>
      <c r="E234" t="s">
        <v>3</v>
      </c>
      <c r="F234" t="s">
        <v>4</v>
      </c>
      <c r="G234" s="2" t="str">
        <f t="shared" si="3"/>
        <v>GW1_N852/BUGW-INFLOW</v>
      </c>
      <c r="H234" t="s">
        <v>52</v>
      </c>
      <c r="I234" t="s">
        <v>53</v>
      </c>
      <c r="L234" t="s">
        <v>8</v>
      </c>
      <c r="N234" t="s">
        <v>9</v>
      </c>
    </row>
    <row r="235" spans="2:14" x14ac:dyDescent="0.25">
      <c r="B235" t="s">
        <v>0</v>
      </c>
      <c r="C235" t="s">
        <v>264</v>
      </c>
      <c r="D235" t="s">
        <v>72</v>
      </c>
      <c r="E235" t="s">
        <v>3</v>
      </c>
      <c r="F235" t="s">
        <v>4</v>
      </c>
      <c r="G235" s="2" t="str">
        <f t="shared" si="3"/>
        <v>GW1_N853/BUGW-INFLOW</v>
      </c>
      <c r="H235" t="s">
        <v>52</v>
      </c>
      <c r="I235" t="s">
        <v>53</v>
      </c>
      <c r="L235" t="s">
        <v>8</v>
      </c>
      <c r="N235" t="s">
        <v>9</v>
      </c>
    </row>
    <row r="236" spans="2:14" x14ac:dyDescent="0.25">
      <c r="B236" t="s">
        <v>0</v>
      </c>
      <c r="C236" t="s">
        <v>265</v>
      </c>
      <c r="D236" t="s">
        <v>72</v>
      </c>
      <c r="E236" t="s">
        <v>3</v>
      </c>
      <c r="F236" t="s">
        <v>4</v>
      </c>
      <c r="G236" s="2" t="str">
        <f t="shared" si="3"/>
        <v>GW1_N861/BUGW-INFLOW</v>
      </c>
      <c r="H236" t="s">
        <v>52</v>
      </c>
      <c r="I236" t="s">
        <v>53</v>
      </c>
      <c r="L236" t="s">
        <v>8</v>
      </c>
      <c r="N236" t="s">
        <v>9</v>
      </c>
    </row>
    <row r="237" spans="2:14" x14ac:dyDescent="0.25">
      <c r="B237" t="s">
        <v>0</v>
      </c>
      <c r="C237" t="s">
        <v>266</v>
      </c>
      <c r="D237" t="s">
        <v>72</v>
      </c>
      <c r="E237" t="s">
        <v>3</v>
      </c>
      <c r="F237" t="s">
        <v>4</v>
      </c>
      <c r="G237" s="2" t="str">
        <f t="shared" si="3"/>
        <v>GW1_N864/BUGW-INFLOW</v>
      </c>
      <c r="H237" t="s">
        <v>52</v>
      </c>
      <c r="I237" t="s">
        <v>53</v>
      </c>
      <c r="L237" t="s">
        <v>8</v>
      </c>
      <c r="N237" t="s">
        <v>9</v>
      </c>
    </row>
    <row r="238" spans="2:14" x14ac:dyDescent="0.25">
      <c r="B238" t="s">
        <v>0</v>
      </c>
      <c r="C238" t="s">
        <v>267</v>
      </c>
      <c r="D238" t="s">
        <v>72</v>
      </c>
      <c r="E238" t="s">
        <v>3</v>
      </c>
      <c r="F238" t="s">
        <v>4</v>
      </c>
      <c r="G238" s="2" t="str">
        <f t="shared" si="3"/>
        <v>GW1_N881/BUGW-INFLOW</v>
      </c>
      <c r="H238" t="s">
        <v>52</v>
      </c>
      <c r="I238" t="s">
        <v>53</v>
      </c>
      <c r="L238" t="s">
        <v>8</v>
      </c>
      <c r="N238" t="s">
        <v>9</v>
      </c>
    </row>
    <row r="239" spans="2:14" x14ac:dyDescent="0.25">
      <c r="B239" t="s">
        <v>0</v>
      </c>
      <c r="C239" t="s">
        <v>268</v>
      </c>
      <c r="D239" t="s">
        <v>72</v>
      </c>
      <c r="E239" t="s">
        <v>3</v>
      </c>
      <c r="F239" t="s">
        <v>4</v>
      </c>
      <c r="G239" s="2" t="str">
        <f t="shared" si="3"/>
        <v>GW1_N887/BUGW-INFLOW</v>
      </c>
      <c r="H239" t="s">
        <v>52</v>
      </c>
      <c r="I239" t="s">
        <v>53</v>
      </c>
      <c r="L239" t="s">
        <v>8</v>
      </c>
      <c r="N239" t="s">
        <v>9</v>
      </c>
    </row>
    <row r="240" spans="2:14" x14ac:dyDescent="0.25">
      <c r="B240" t="s">
        <v>0</v>
      </c>
      <c r="C240" t="s">
        <v>269</v>
      </c>
      <c r="D240" t="s">
        <v>72</v>
      </c>
      <c r="E240" t="s">
        <v>3</v>
      </c>
      <c r="F240" t="s">
        <v>4</v>
      </c>
      <c r="G240" s="2" t="str">
        <f t="shared" si="3"/>
        <v>GW1_N89/BUGW-INFLOW</v>
      </c>
      <c r="H240" t="s">
        <v>52</v>
      </c>
      <c r="I240" t="s">
        <v>53</v>
      </c>
      <c r="L240" t="s">
        <v>8</v>
      </c>
      <c r="N240" t="s">
        <v>9</v>
      </c>
    </row>
    <row r="241" spans="2:14" x14ac:dyDescent="0.25">
      <c r="B241" t="s">
        <v>0</v>
      </c>
      <c r="C241" t="s">
        <v>270</v>
      </c>
      <c r="D241" t="s">
        <v>72</v>
      </c>
      <c r="E241" t="s">
        <v>3</v>
      </c>
      <c r="F241" t="s">
        <v>4</v>
      </c>
      <c r="G241" s="2" t="str">
        <f t="shared" si="3"/>
        <v>GW1_N901/BUGW-INFLOW</v>
      </c>
      <c r="H241" t="s">
        <v>52</v>
      </c>
      <c r="I241" t="s">
        <v>53</v>
      </c>
      <c r="L241" t="s">
        <v>8</v>
      </c>
      <c r="N241" t="s">
        <v>9</v>
      </c>
    </row>
    <row r="242" spans="2:14" x14ac:dyDescent="0.25">
      <c r="B242" t="s">
        <v>0</v>
      </c>
      <c r="C242" t="s">
        <v>271</v>
      </c>
      <c r="D242" t="s">
        <v>72</v>
      </c>
      <c r="E242" t="s">
        <v>3</v>
      </c>
      <c r="F242" t="s">
        <v>4</v>
      </c>
      <c r="G242" s="2" t="str">
        <f t="shared" si="3"/>
        <v>GW1_N902/BUGW-INFLOW</v>
      </c>
      <c r="H242" t="s">
        <v>52</v>
      </c>
      <c r="I242" t="s">
        <v>53</v>
      </c>
      <c r="L242" t="s">
        <v>8</v>
      </c>
      <c r="N242" t="s">
        <v>9</v>
      </c>
    </row>
    <row r="243" spans="2:14" x14ac:dyDescent="0.25">
      <c r="B243" t="s">
        <v>0</v>
      </c>
      <c r="C243" t="s">
        <v>272</v>
      </c>
      <c r="D243" t="s">
        <v>72</v>
      </c>
      <c r="E243" t="s">
        <v>3</v>
      </c>
      <c r="F243" t="s">
        <v>4</v>
      </c>
      <c r="G243" s="2" t="str">
        <f t="shared" si="3"/>
        <v>GW1_N917/BUGW-INFLOW</v>
      </c>
      <c r="H243" t="s">
        <v>52</v>
      </c>
      <c r="I243" t="s">
        <v>53</v>
      </c>
      <c r="L243" t="s">
        <v>8</v>
      </c>
      <c r="N243" t="s">
        <v>9</v>
      </c>
    </row>
    <row r="244" spans="2:14" x14ac:dyDescent="0.25">
      <c r="B244" t="s">
        <v>0</v>
      </c>
      <c r="C244" t="s">
        <v>273</v>
      </c>
      <c r="D244" t="s">
        <v>72</v>
      </c>
      <c r="E244" t="s">
        <v>3</v>
      </c>
      <c r="F244" t="s">
        <v>4</v>
      </c>
      <c r="G244" s="2" t="str">
        <f t="shared" si="3"/>
        <v>GW1_N918/BUGW-INFLOW</v>
      </c>
      <c r="H244" t="s">
        <v>52</v>
      </c>
      <c r="I244" t="s">
        <v>53</v>
      </c>
      <c r="L244" t="s">
        <v>8</v>
      </c>
      <c r="N244" t="s">
        <v>9</v>
      </c>
    </row>
    <row r="245" spans="2:14" x14ac:dyDescent="0.25">
      <c r="B245" t="s">
        <v>0</v>
      </c>
      <c r="C245" t="s">
        <v>274</v>
      </c>
      <c r="D245" t="s">
        <v>72</v>
      </c>
      <c r="E245" t="s">
        <v>3</v>
      </c>
      <c r="F245" t="s">
        <v>4</v>
      </c>
      <c r="G245" s="2" t="str">
        <f t="shared" si="3"/>
        <v>GW1_N935/BUGW-INFLOW</v>
      </c>
      <c r="H245" t="s">
        <v>52</v>
      </c>
      <c r="I245" t="s">
        <v>53</v>
      </c>
      <c r="L245" t="s">
        <v>8</v>
      </c>
      <c r="N245" t="s">
        <v>9</v>
      </c>
    </row>
    <row r="246" spans="2:14" x14ac:dyDescent="0.25">
      <c r="B246" t="s">
        <v>0</v>
      </c>
      <c r="C246" t="s">
        <v>275</v>
      </c>
      <c r="D246" t="s">
        <v>72</v>
      </c>
      <c r="E246" t="s">
        <v>3</v>
      </c>
      <c r="F246" t="s">
        <v>4</v>
      </c>
      <c r="G246" s="2" t="str">
        <f t="shared" si="3"/>
        <v>GW1_N936/BUGW-INFLOW</v>
      </c>
      <c r="H246" t="s">
        <v>52</v>
      </c>
      <c r="I246" t="s">
        <v>53</v>
      </c>
      <c r="L246" t="s">
        <v>8</v>
      </c>
      <c r="N246" t="s">
        <v>9</v>
      </c>
    </row>
    <row r="247" spans="2:14" x14ac:dyDescent="0.25">
      <c r="B247" t="s">
        <v>0</v>
      </c>
      <c r="C247" t="s">
        <v>276</v>
      </c>
      <c r="D247" t="s">
        <v>72</v>
      </c>
      <c r="E247" t="s">
        <v>3</v>
      </c>
      <c r="F247" t="s">
        <v>4</v>
      </c>
      <c r="G247" s="2" t="str">
        <f t="shared" si="3"/>
        <v>GW1_N944/BUGW-INFLOW</v>
      </c>
      <c r="H247" t="s">
        <v>52</v>
      </c>
      <c r="I247" t="s">
        <v>53</v>
      </c>
      <c r="L247" t="s">
        <v>8</v>
      </c>
      <c r="N247" t="s">
        <v>9</v>
      </c>
    </row>
    <row r="248" spans="2:14" x14ac:dyDescent="0.25">
      <c r="B248" t="s">
        <v>0</v>
      </c>
      <c r="C248" t="s">
        <v>277</v>
      </c>
      <c r="D248" t="s">
        <v>72</v>
      </c>
      <c r="E248" t="s">
        <v>3</v>
      </c>
      <c r="F248" t="s">
        <v>4</v>
      </c>
      <c r="G248" s="2" t="str">
        <f t="shared" si="3"/>
        <v>GW1_N952/BUGW-INFLOW</v>
      </c>
      <c r="H248" t="s">
        <v>52</v>
      </c>
      <c r="I248" t="s">
        <v>53</v>
      </c>
      <c r="L248" t="s">
        <v>8</v>
      </c>
      <c r="N248" t="s">
        <v>9</v>
      </c>
    </row>
    <row r="249" spans="2:14" x14ac:dyDescent="0.25">
      <c r="B249" t="s">
        <v>0</v>
      </c>
      <c r="C249" t="s">
        <v>278</v>
      </c>
      <c r="D249" t="s">
        <v>72</v>
      </c>
      <c r="E249" t="s">
        <v>3</v>
      </c>
      <c r="F249" t="s">
        <v>4</v>
      </c>
      <c r="G249" s="2" t="str">
        <f t="shared" si="3"/>
        <v>GW1_N960/BUGW-INFLOW</v>
      </c>
      <c r="H249" t="s">
        <v>52</v>
      </c>
      <c r="I249" t="s">
        <v>53</v>
      </c>
      <c r="L249" t="s">
        <v>8</v>
      </c>
      <c r="N249" t="s">
        <v>9</v>
      </c>
    </row>
    <row r="250" spans="2:14" x14ac:dyDescent="0.25">
      <c r="B250" t="s">
        <v>0</v>
      </c>
      <c r="C250" t="s">
        <v>279</v>
      </c>
      <c r="D250" t="s">
        <v>72</v>
      </c>
      <c r="E250" t="s">
        <v>3</v>
      </c>
      <c r="F250" t="s">
        <v>4</v>
      </c>
      <c r="G250" s="2" t="str">
        <f t="shared" si="3"/>
        <v>GW1_N975/BUGW-INFLOW</v>
      </c>
      <c r="H250" t="s">
        <v>52</v>
      </c>
      <c r="I250" t="s">
        <v>53</v>
      </c>
      <c r="L250" t="s">
        <v>8</v>
      </c>
      <c r="N250" t="s">
        <v>9</v>
      </c>
    </row>
    <row r="251" spans="2:14" x14ac:dyDescent="0.25">
      <c r="B251" t="s">
        <v>0</v>
      </c>
      <c r="C251" t="s">
        <v>280</v>
      </c>
      <c r="D251" t="s">
        <v>72</v>
      </c>
      <c r="E251" t="s">
        <v>3</v>
      </c>
      <c r="F251" t="s">
        <v>4</v>
      </c>
      <c r="G251" s="2" t="str">
        <f t="shared" si="3"/>
        <v>GW1_N976/BUGW-INFLOW</v>
      </c>
      <c r="H251" t="s">
        <v>52</v>
      </c>
      <c r="I251" t="s">
        <v>53</v>
      </c>
      <c r="L251" t="s">
        <v>8</v>
      </c>
      <c r="N251" t="s">
        <v>9</v>
      </c>
    </row>
    <row r="252" spans="2:14" x14ac:dyDescent="0.25">
      <c r="B252" t="s">
        <v>0</v>
      </c>
      <c r="C252" t="s">
        <v>281</v>
      </c>
      <c r="D252" t="s">
        <v>72</v>
      </c>
      <c r="E252" t="s">
        <v>3</v>
      </c>
      <c r="F252" t="s">
        <v>4</v>
      </c>
      <c r="G252" s="2" t="str">
        <f t="shared" si="3"/>
        <v>GW1_N988/BUGW-INFLOW</v>
      </c>
      <c r="H252" t="s">
        <v>52</v>
      </c>
      <c r="I252" t="s">
        <v>53</v>
      </c>
      <c r="L252" t="s">
        <v>8</v>
      </c>
      <c r="N252" t="s">
        <v>9</v>
      </c>
    </row>
    <row r="253" spans="2:14" x14ac:dyDescent="0.25">
      <c r="B253" t="s">
        <v>0</v>
      </c>
      <c r="C253" t="s">
        <v>282</v>
      </c>
      <c r="D253" t="s">
        <v>43</v>
      </c>
      <c r="E253" t="s">
        <v>3</v>
      </c>
      <c r="F253" t="s">
        <v>4</v>
      </c>
      <c r="G253" s="2" t="str">
        <f t="shared" si="3"/>
        <v>DEM_D_CAA046_71_PA7_PIN/DEMAND-SWP-IN</v>
      </c>
      <c r="H253" t="s">
        <v>5</v>
      </c>
      <c r="I253" t="s">
        <v>44</v>
      </c>
      <c r="K253" t="s">
        <v>283</v>
      </c>
      <c r="L253" t="s">
        <v>8</v>
      </c>
      <c r="M253" t="s">
        <v>40</v>
      </c>
      <c r="N253" t="s">
        <v>9</v>
      </c>
    </row>
    <row r="254" spans="2:14" x14ac:dyDescent="0.25">
      <c r="B254" t="s">
        <v>0</v>
      </c>
      <c r="C254" t="s">
        <v>284</v>
      </c>
      <c r="D254" t="s">
        <v>43</v>
      </c>
      <c r="E254" t="s">
        <v>3</v>
      </c>
      <c r="F254" t="s">
        <v>4</v>
      </c>
      <c r="G254" s="2" t="str">
        <f t="shared" si="3"/>
        <v>DEM_D_CAA184_DUDLEY_PIN/DEMAND-SWP-IN</v>
      </c>
      <c r="H254" t="s">
        <v>5</v>
      </c>
      <c r="I254" t="s">
        <v>44</v>
      </c>
      <c r="K254" t="s">
        <v>285</v>
      </c>
      <c r="L254" t="s">
        <v>8</v>
      </c>
      <c r="N254" t="s">
        <v>9</v>
      </c>
    </row>
    <row r="255" spans="2:14" x14ac:dyDescent="0.25">
      <c r="B255" t="s">
        <v>0</v>
      </c>
      <c r="C255" t="s">
        <v>286</v>
      </c>
      <c r="D255" t="s">
        <v>43</v>
      </c>
      <c r="E255" t="s">
        <v>3</v>
      </c>
      <c r="F255" t="s">
        <v>4</v>
      </c>
      <c r="G255" s="2" t="str">
        <f t="shared" si="3"/>
        <v>DEM_D_CSB038_OBISPO_PIN/DEMAND-SWP-IN</v>
      </c>
      <c r="H255" t="s">
        <v>5</v>
      </c>
      <c r="I255" t="s">
        <v>44</v>
      </c>
      <c r="K255" t="s">
        <v>287</v>
      </c>
      <c r="L255" t="s">
        <v>8</v>
      </c>
      <c r="N255" t="s">
        <v>9</v>
      </c>
    </row>
    <row r="256" spans="2:14" x14ac:dyDescent="0.25">
      <c r="B256" t="s">
        <v>0</v>
      </c>
      <c r="C256" t="s">
        <v>288</v>
      </c>
      <c r="D256" t="s">
        <v>43</v>
      </c>
      <c r="E256" t="s">
        <v>3</v>
      </c>
      <c r="F256" t="s">
        <v>4</v>
      </c>
      <c r="G256" s="2" t="str">
        <f t="shared" si="3"/>
        <v>DEM_D_CSB103_BRBRA_PIN/DEMAND-SWP-IN</v>
      </c>
      <c r="H256" t="s">
        <v>5</v>
      </c>
      <c r="I256" t="s">
        <v>44</v>
      </c>
      <c r="K256" t="s">
        <v>289</v>
      </c>
      <c r="L256" t="s">
        <v>8</v>
      </c>
      <c r="N256" t="s">
        <v>9</v>
      </c>
    </row>
    <row r="257" spans="2:14" x14ac:dyDescent="0.25">
      <c r="B257" t="s">
        <v>0</v>
      </c>
      <c r="C257" t="s">
        <v>290</v>
      </c>
      <c r="D257" t="s">
        <v>43</v>
      </c>
      <c r="E257" t="s">
        <v>3</v>
      </c>
      <c r="F257" t="s">
        <v>4</v>
      </c>
      <c r="G257" s="2" t="str">
        <f t="shared" si="3"/>
        <v>DEM_D_CSTIC_VNTRA_PIN/DEMAND-SWP-IN</v>
      </c>
      <c r="H257" t="s">
        <v>5</v>
      </c>
      <c r="I257" t="s">
        <v>44</v>
      </c>
      <c r="K257" t="s">
        <v>291</v>
      </c>
      <c r="L257" t="s">
        <v>8</v>
      </c>
      <c r="N257" t="s">
        <v>9</v>
      </c>
    </row>
    <row r="258" spans="2:14" x14ac:dyDescent="0.25">
      <c r="B258" t="s">
        <v>0</v>
      </c>
      <c r="C258" t="s">
        <v>292</v>
      </c>
      <c r="D258" t="s">
        <v>43</v>
      </c>
      <c r="E258" t="s">
        <v>3</v>
      </c>
      <c r="F258" t="s">
        <v>4</v>
      </c>
      <c r="G258" s="2" t="str">
        <f t="shared" si="3"/>
        <v>DEM_D_ESB324_AVEK_PIN/DEMAND-SWP-IN</v>
      </c>
      <c r="H258" t="s">
        <v>5</v>
      </c>
      <c r="I258" t="s">
        <v>44</v>
      </c>
      <c r="K258" t="s">
        <v>293</v>
      </c>
      <c r="L258" t="s">
        <v>8</v>
      </c>
      <c r="N258" t="s">
        <v>9</v>
      </c>
    </row>
    <row r="259" spans="2:14" x14ac:dyDescent="0.25">
      <c r="B259" t="s">
        <v>0</v>
      </c>
      <c r="C259" t="s">
        <v>294</v>
      </c>
      <c r="D259" t="s">
        <v>43</v>
      </c>
      <c r="E259" t="s">
        <v>3</v>
      </c>
      <c r="F259" t="s">
        <v>4</v>
      </c>
      <c r="G259" s="2" t="str">
        <f t="shared" ref="G259:G322" si="4">_xlfn.CONCAT(C259,"/",D259)</f>
        <v>DEM_D_ESB347_PLMDL_PIN/DEMAND-SWP-IN</v>
      </c>
      <c r="H259" t="s">
        <v>5</v>
      </c>
      <c r="I259" t="s">
        <v>44</v>
      </c>
      <c r="K259" t="s">
        <v>295</v>
      </c>
      <c r="L259" t="s">
        <v>8</v>
      </c>
      <c r="N259" t="s">
        <v>9</v>
      </c>
    </row>
    <row r="260" spans="2:14" x14ac:dyDescent="0.25">
      <c r="B260" t="s">
        <v>0</v>
      </c>
      <c r="C260" t="s">
        <v>296</v>
      </c>
      <c r="D260" t="s">
        <v>43</v>
      </c>
      <c r="E260" t="s">
        <v>3</v>
      </c>
      <c r="F260" t="s">
        <v>4</v>
      </c>
      <c r="G260" s="2" t="str">
        <f t="shared" si="4"/>
        <v>DEM_D_ESB407_CCHLA_PIN/DEMAND-SWP-IN</v>
      </c>
      <c r="H260" t="s">
        <v>5</v>
      </c>
      <c r="I260" t="s">
        <v>44</v>
      </c>
      <c r="K260" t="s">
        <v>297</v>
      </c>
      <c r="L260" t="s">
        <v>8</v>
      </c>
      <c r="N260" t="s">
        <v>9</v>
      </c>
    </row>
    <row r="261" spans="2:14" x14ac:dyDescent="0.25">
      <c r="B261" t="s">
        <v>0</v>
      </c>
      <c r="C261" t="s">
        <v>298</v>
      </c>
      <c r="D261" t="s">
        <v>43</v>
      </c>
      <c r="E261" t="s">
        <v>3</v>
      </c>
      <c r="F261" t="s">
        <v>4</v>
      </c>
      <c r="G261" s="2" t="str">
        <f t="shared" si="4"/>
        <v>DEM_D_ESB408_DESRT_PIN/DEMAND-SWP-IN</v>
      </c>
      <c r="H261" t="s">
        <v>5</v>
      </c>
      <c r="I261" t="s">
        <v>44</v>
      </c>
      <c r="K261" t="s">
        <v>299</v>
      </c>
      <c r="L261" t="s">
        <v>8</v>
      </c>
      <c r="N261" t="s">
        <v>9</v>
      </c>
    </row>
    <row r="262" spans="2:14" x14ac:dyDescent="0.25">
      <c r="B262" t="s">
        <v>0</v>
      </c>
      <c r="C262" t="s">
        <v>300</v>
      </c>
      <c r="D262" t="s">
        <v>43</v>
      </c>
      <c r="E262" t="s">
        <v>3</v>
      </c>
      <c r="F262" t="s">
        <v>4</v>
      </c>
      <c r="G262" s="2" t="str">
        <f t="shared" si="4"/>
        <v>DEM_D_ESB413_MWDSC_PIN/DEMAND-SWP-IN</v>
      </c>
      <c r="H262" t="s">
        <v>5</v>
      </c>
      <c r="I262" t="s">
        <v>44</v>
      </c>
      <c r="K262" t="s">
        <v>301</v>
      </c>
      <c r="L262" t="s">
        <v>8</v>
      </c>
      <c r="N262" t="s">
        <v>9</v>
      </c>
    </row>
    <row r="263" spans="2:14" x14ac:dyDescent="0.25">
      <c r="B263" t="s">
        <v>0</v>
      </c>
      <c r="C263" t="s">
        <v>302</v>
      </c>
      <c r="D263" t="s">
        <v>43</v>
      </c>
      <c r="E263" t="s">
        <v>3</v>
      </c>
      <c r="F263" t="s">
        <v>4</v>
      </c>
      <c r="G263" s="2" t="str">
        <f t="shared" si="4"/>
        <v>DEM_D_ESB414_BRDNO_PIN/DEMAND-SWP-IN</v>
      </c>
      <c r="H263" t="s">
        <v>5</v>
      </c>
      <c r="I263" t="s">
        <v>44</v>
      </c>
      <c r="K263" t="s">
        <v>303</v>
      </c>
      <c r="L263" t="s">
        <v>8</v>
      </c>
      <c r="N263" t="s">
        <v>9</v>
      </c>
    </row>
    <row r="264" spans="2:14" x14ac:dyDescent="0.25">
      <c r="B264" t="s">
        <v>0</v>
      </c>
      <c r="C264" t="s">
        <v>304</v>
      </c>
      <c r="D264" t="s">
        <v>18</v>
      </c>
      <c r="E264" t="s">
        <v>3</v>
      </c>
      <c r="F264" t="s">
        <v>4</v>
      </c>
      <c r="G264" s="2" t="str">
        <f t="shared" si="4"/>
        <v>AWO_02_NA/APPLIED-WATER</v>
      </c>
      <c r="H264" t="s">
        <v>305</v>
      </c>
      <c r="I264" t="s">
        <v>306</v>
      </c>
      <c r="L264" t="s">
        <v>8</v>
      </c>
      <c r="M264" t="s">
        <v>54</v>
      </c>
      <c r="N264" t="s">
        <v>9</v>
      </c>
    </row>
    <row r="265" spans="2:14" x14ac:dyDescent="0.25">
      <c r="B265" t="s">
        <v>0</v>
      </c>
      <c r="C265" t="s">
        <v>307</v>
      </c>
      <c r="D265" t="s">
        <v>18</v>
      </c>
      <c r="E265" t="s">
        <v>3</v>
      </c>
      <c r="F265" t="s">
        <v>4</v>
      </c>
      <c r="G265" s="2" t="str">
        <f t="shared" si="4"/>
        <v>AWO_02_PA/APPLIED-WATER</v>
      </c>
      <c r="H265" t="s">
        <v>305</v>
      </c>
      <c r="I265" t="s">
        <v>306</v>
      </c>
      <c r="L265" t="s">
        <v>8</v>
      </c>
      <c r="M265" t="s">
        <v>54</v>
      </c>
      <c r="N265" t="s">
        <v>9</v>
      </c>
    </row>
    <row r="266" spans="2:14" x14ac:dyDescent="0.25">
      <c r="B266" t="s">
        <v>0</v>
      </c>
      <c r="C266" t="s">
        <v>308</v>
      </c>
      <c r="D266" t="s">
        <v>18</v>
      </c>
      <c r="E266" t="s">
        <v>3</v>
      </c>
      <c r="F266" t="s">
        <v>4</v>
      </c>
      <c r="G266" s="2" t="str">
        <f t="shared" si="4"/>
        <v>AWO_02_SA/APPLIED-WATER</v>
      </c>
      <c r="H266" t="s">
        <v>305</v>
      </c>
      <c r="I266" t="s">
        <v>306</v>
      </c>
      <c r="L266" t="s">
        <v>8</v>
      </c>
      <c r="M266" t="s">
        <v>54</v>
      </c>
      <c r="N266" t="s">
        <v>9</v>
      </c>
    </row>
    <row r="267" spans="2:14" x14ac:dyDescent="0.25">
      <c r="B267" t="s">
        <v>0</v>
      </c>
      <c r="C267" t="s">
        <v>309</v>
      </c>
      <c r="D267" t="s">
        <v>18</v>
      </c>
      <c r="E267" t="s">
        <v>3</v>
      </c>
      <c r="F267" t="s">
        <v>4</v>
      </c>
      <c r="G267" s="2" t="str">
        <f t="shared" si="4"/>
        <v>AWO_03_NA/APPLIED-WATER</v>
      </c>
      <c r="H267" t="s">
        <v>305</v>
      </c>
      <c r="I267" t="s">
        <v>306</v>
      </c>
      <c r="L267" t="s">
        <v>8</v>
      </c>
      <c r="M267" t="s">
        <v>54</v>
      </c>
      <c r="N267" t="s">
        <v>9</v>
      </c>
    </row>
    <row r="268" spans="2:14" x14ac:dyDescent="0.25">
      <c r="B268" t="s">
        <v>0</v>
      </c>
      <c r="C268" t="s">
        <v>310</v>
      </c>
      <c r="D268" t="s">
        <v>18</v>
      </c>
      <c r="E268" t="s">
        <v>3</v>
      </c>
      <c r="F268" t="s">
        <v>4</v>
      </c>
      <c r="G268" s="2" t="str">
        <f t="shared" si="4"/>
        <v>AWO_03_PA/APPLIED-WATER</v>
      </c>
      <c r="H268" t="s">
        <v>305</v>
      </c>
      <c r="I268" t="s">
        <v>306</v>
      </c>
      <c r="L268" t="s">
        <v>8</v>
      </c>
      <c r="M268" t="s">
        <v>54</v>
      </c>
      <c r="N268" t="s">
        <v>9</v>
      </c>
    </row>
    <row r="269" spans="2:14" x14ac:dyDescent="0.25">
      <c r="B269" t="s">
        <v>0</v>
      </c>
      <c r="C269" t="s">
        <v>311</v>
      </c>
      <c r="D269" t="s">
        <v>18</v>
      </c>
      <c r="E269" t="s">
        <v>3</v>
      </c>
      <c r="F269" t="s">
        <v>4</v>
      </c>
      <c r="G269" s="2" t="str">
        <f t="shared" si="4"/>
        <v>AWO_03_SA/APPLIED-WATER</v>
      </c>
      <c r="H269" t="s">
        <v>305</v>
      </c>
      <c r="I269" t="s">
        <v>306</v>
      </c>
      <c r="L269" t="s">
        <v>8</v>
      </c>
      <c r="M269" t="s">
        <v>54</v>
      </c>
      <c r="N269" t="s">
        <v>9</v>
      </c>
    </row>
    <row r="270" spans="2:14" x14ac:dyDescent="0.25">
      <c r="B270" t="s">
        <v>0</v>
      </c>
      <c r="C270" t="s">
        <v>312</v>
      </c>
      <c r="D270" t="s">
        <v>18</v>
      </c>
      <c r="E270" t="s">
        <v>3</v>
      </c>
      <c r="F270" t="s">
        <v>4</v>
      </c>
      <c r="G270" s="2" t="str">
        <f t="shared" si="4"/>
        <v>AWO_04_NA/APPLIED-WATER</v>
      </c>
      <c r="H270" t="s">
        <v>305</v>
      </c>
      <c r="I270" t="s">
        <v>306</v>
      </c>
      <c r="L270" t="s">
        <v>8</v>
      </c>
      <c r="M270" t="s">
        <v>54</v>
      </c>
      <c r="N270" t="s">
        <v>9</v>
      </c>
    </row>
    <row r="271" spans="2:14" x14ac:dyDescent="0.25">
      <c r="B271" t="s">
        <v>0</v>
      </c>
      <c r="C271" t="s">
        <v>313</v>
      </c>
      <c r="D271" t="s">
        <v>18</v>
      </c>
      <c r="E271" t="s">
        <v>3</v>
      </c>
      <c r="F271" t="s">
        <v>4</v>
      </c>
      <c r="G271" s="2" t="str">
        <f t="shared" si="4"/>
        <v>AWO_04_PA1/APPLIED-WATER</v>
      </c>
      <c r="H271" t="s">
        <v>305</v>
      </c>
      <c r="I271" t="s">
        <v>306</v>
      </c>
      <c r="L271" t="s">
        <v>8</v>
      </c>
      <c r="M271" t="s">
        <v>54</v>
      </c>
      <c r="N271" t="s">
        <v>9</v>
      </c>
    </row>
    <row r="272" spans="2:14" x14ac:dyDescent="0.25">
      <c r="B272" t="s">
        <v>0</v>
      </c>
      <c r="C272" t="s">
        <v>314</v>
      </c>
      <c r="D272" t="s">
        <v>18</v>
      </c>
      <c r="E272" t="s">
        <v>3</v>
      </c>
      <c r="F272" t="s">
        <v>4</v>
      </c>
      <c r="G272" s="2" t="str">
        <f t="shared" si="4"/>
        <v>AWO_04_PA2/APPLIED-WATER</v>
      </c>
      <c r="H272" t="s">
        <v>305</v>
      </c>
      <c r="I272" t="s">
        <v>306</v>
      </c>
      <c r="L272" t="s">
        <v>8</v>
      </c>
      <c r="M272" t="s">
        <v>54</v>
      </c>
      <c r="N272" t="s">
        <v>9</v>
      </c>
    </row>
    <row r="273" spans="2:14" x14ac:dyDescent="0.25">
      <c r="B273" t="s">
        <v>0</v>
      </c>
      <c r="C273" t="s">
        <v>315</v>
      </c>
      <c r="D273" t="s">
        <v>18</v>
      </c>
      <c r="E273" t="s">
        <v>3</v>
      </c>
      <c r="F273" t="s">
        <v>4</v>
      </c>
      <c r="G273" s="2" t="str">
        <f t="shared" si="4"/>
        <v>AWO_05_NA/APPLIED-WATER</v>
      </c>
      <c r="H273" t="s">
        <v>305</v>
      </c>
      <c r="I273" t="s">
        <v>306</v>
      </c>
      <c r="L273" t="s">
        <v>8</v>
      </c>
      <c r="M273" t="s">
        <v>54</v>
      </c>
      <c r="N273" t="s">
        <v>9</v>
      </c>
    </row>
    <row r="274" spans="2:14" x14ac:dyDescent="0.25">
      <c r="B274" t="s">
        <v>0</v>
      </c>
      <c r="C274" t="s">
        <v>316</v>
      </c>
      <c r="D274" t="s">
        <v>18</v>
      </c>
      <c r="E274" t="s">
        <v>3</v>
      </c>
      <c r="F274" t="s">
        <v>4</v>
      </c>
      <c r="G274" s="2" t="str">
        <f t="shared" si="4"/>
        <v>AWO_06_NA/APPLIED-WATER</v>
      </c>
      <c r="H274" t="s">
        <v>305</v>
      </c>
      <c r="I274" t="s">
        <v>306</v>
      </c>
      <c r="L274" t="s">
        <v>8</v>
      </c>
      <c r="M274" t="s">
        <v>54</v>
      </c>
      <c r="N274" t="s">
        <v>9</v>
      </c>
    </row>
    <row r="275" spans="2:14" x14ac:dyDescent="0.25">
      <c r="B275" t="s">
        <v>0</v>
      </c>
      <c r="C275" t="s">
        <v>317</v>
      </c>
      <c r="D275" t="s">
        <v>18</v>
      </c>
      <c r="E275" t="s">
        <v>3</v>
      </c>
      <c r="F275" t="s">
        <v>4</v>
      </c>
      <c r="G275" s="2" t="str">
        <f t="shared" si="4"/>
        <v>AWO_06_PA/APPLIED-WATER</v>
      </c>
      <c r="H275" t="s">
        <v>305</v>
      </c>
      <c r="I275" t="s">
        <v>306</v>
      </c>
      <c r="L275" t="s">
        <v>8</v>
      </c>
      <c r="M275" t="s">
        <v>54</v>
      </c>
      <c r="N275" t="s">
        <v>9</v>
      </c>
    </row>
    <row r="276" spans="2:14" x14ac:dyDescent="0.25">
      <c r="B276" t="s">
        <v>0</v>
      </c>
      <c r="C276" t="s">
        <v>318</v>
      </c>
      <c r="D276" t="s">
        <v>18</v>
      </c>
      <c r="E276" t="s">
        <v>3</v>
      </c>
      <c r="F276" t="s">
        <v>4</v>
      </c>
      <c r="G276" s="2" t="str">
        <f t="shared" si="4"/>
        <v>AWO_07N_NA/APPLIED-WATER</v>
      </c>
      <c r="H276" t="s">
        <v>305</v>
      </c>
      <c r="I276" t="s">
        <v>306</v>
      </c>
      <c r="L276" t="s">
        <v>8</v>
      </c>
      <c r="M276" t="s">
        <v>54</v>
      </c>
      <c r="N276" t="s">
        <v>9</v>
      </c>
    </row>
    <row r="277" spans="2:14" x14ac:dyDescent="0.25">
      <c r="B277" t="s">
        <v>0</v>
      </c>
      <c r="C277" t="s">
        <v>319</v>
      </c>
      <c r="D277" t="s">
        <v>18</v>
      </c>
      <c r="E277" t="s">
        <v>3</v>
      </c>
      <c r="F277" t="s">
        <v>4</v>
      </c>
      <c r="G277" s="2" t="str">
        <f t="shared" si="4"/>
        <v>AWO_07N_PA/APPLIED-WATER</v>
      </c>
      <c r="H277" t="s">
        <v>305</v>
      </c>
      <c r="I277" t="s">
        <v>306</v>
      </c>
      <c r="L277" t="s">
        <v>8</v>
      </c>
      <c r="M277" t="s">
        <v>54</v>
      </c>
      <c r="N277" t="s">
        <v>9</v>
      </c>
    </row>
    <row r="278" spans="2:14" x14ac:dyDescent="0.25">
      <c r="B278" t="s">
        <v>0</v>
      </c>
      <c r="C278" t="s">
        <v>320</v>
      </c>
      <c r="D278" t="s">
        <v>18</v>
      </c>
      <c r="E278" t="s">
        <v>3</v>
      </c>
      <c r="F278" t="s">
        <v>4</v>
      </c>
      <c r="G278" s="2" t="str">
        <f t="shared" si="4"/>
        <v>AWO_07S_NA/APPLIED-WATER</v>
      </c>
      <c r="H278" t="s">
        <v>305</v>
      </c>
      <c r="I278" t="s">
        <v>306</v>
      </c>
      <c r="L278" t="s">
        <v>8</v>
      </c>
      <c r="M278" t="s">
        <v>54</v>
      </c>
      <c r="N278" t="s">
        <v>9</v>
      </c>
    </row>
    <row r="279" spans="2:14" x14ac:dyDescent="0.25">
      <c r="B279" t="s">
        <v>0</v>
      </c>
      <c r="C279" t="s">
        <v>321</v>
      </c>
      <c r="D279" t="s">
        <v>18</v>
      </c>
      <c r="E279" t="s">
        <v>3</v>
      </c>
      <c r="F279" t="s">
        <v>4</v>
      </c>
      <c r="G279" s="2" t="str">
        <f t="shared" si="4"/>
        <v>AWO_07S_PA/APPLIED-WATER</v>
      </c>
      <c r="H279" t="s">
        <v>305</v>
      </c>
      <c r="I279" t="s">
        <v>306</v>
      </c>
      <c r="L279" t="s">
        <v>8</v>
      </c>
      <c r="M279" t="s">
        <v>54</v>
      </c>
      <c r="N279" t="s">
        <v>9</v>
      </c>
    </row>
    <row r="280" spans="2:14" x14ac:dyDescent="0.25">
      <c r="B280" t="s">
        <v>0</v>
      </c>
      <c r="C280" t="s">
        <v>322</v>
      </c>
      <c r="D280" t="s">
        <v>18</v>
      </c>
      <c r="E280" t="s">
        <v>3</v>
      </c>
      <c r="F280" t="s">
        <v>4</v>
      </c>
      <c r="G280" s="2" t="str">
        <f t="shared" si="4"/>
        <v>AWO_08N_NA/APPLIED-WATER</v>
      </c>
      <c r="H280" t="s">
        <v>305</v>
      </c>
      <c r="I280" t="s">
        <v>306</v>
      </c>
      <c r="L280" t="s">
        <v>8</v>
      </c>
      <c r="M280" t="s">
        <v>54</v>
      </c>
      <c r="N280" t="s">
        <v>9</v>
      </c>
    </row>
    <row r="281" spans="2:14" x14ac:dyDescent="0.25">
      <c r="B281" t="s">
        <v>0</v>
      </c>
      <c r="C281" t="s">
        <v>323</v>
      </c>
      <c r="D281" t="s">
        <v>18</v>
      </c>
      <c r="E281" t="s">
        <v>3</v>
      </c>
      <c r="F281" t="s">
        <v>4</v>
      </c>
      <c r="G281" s="2" t="str">
        <f t="shared" si="4"/>
        <v>AWO_08N_PA/APPLIED-WATER</v>
      </c>
      <c r="H281" t="s">
        <v>305</v>
      </c>
      <c r="I281" t="s">
        <v>306</v>
      </c>
      <c r="L281" t="s">
        <v>8</v>
      </c>
      <c r="M281" t="s">
        <v>54</v>
      </c>
      <c r="N281" t="s">
        <v>9</v>
      </c>
    </row>
    <row r="282" spans="2:14" x14ac:dyDescent="0.25">
      <c r="B282" t="s">
        <v>0</v>
      </c>
      <c r="C282" t="s">
        <v>324</v>
      </c>
      <c r="D282" t="s">
        <v>18</v>
      </c>
      <c r="E282" t="s">
        <v>3</v>
      </c>
      <c r="F282" t="s">
        <v>4</v>
      </c>
      <c r="G282" s="2" t="str">
        <f t="shared" si="4"/>
        <v>AWO_08N_PR1/APPLIED-WATER</v>
      </c>
      <c r="H282" t="s">
        <v>305</v>
      </c>
      <c r="I282" t="s">
        <v>306</v>
      </c>
      <c r="L282" t="s">
        <v>8</v>
      </c>
      <c r="M282" t="s">
        <v>54</v>
      </c>
      <c r="N282" t="s">
        <v>9</v>
      </c>
    </row>
    <row r="283" spans="2:14" x14ac:dyDescent="0.25">
      <c r="B283" t="s">
        <v>0</v>
      </c>
      <c r="C283" t="s">
        <v>325</v>
      </c>
      <c r="D283" t="s">
        <v>18</v>
      </c>
      <c r="E283" t="s">
        <v>3</v>
      </c>
      <c r="F283" t="s">
        <v>4</v>
      </c>
      <c r="G283" s="2" t="str">
        <f t="shared" si="4"/>
        <v>AWO_08N_PR2/APPLIED-WATER</v>
      </c>
      <c r="H283" t="s">
        <v>305</v>
      </c>
      <c r="I283" t="s">
        <v>306</v>
      </c>
      <c r="L283" t="s">
        <v>8</v>
      </c>
      <c r="M283" t="s">
        <v>54</v>
      </c>
      <c r="N283" t="s">
        <v>9</v>
      </c>
    </row>
    <row r="284" spans="2:14" x14ac:dyDescent="0.25">
      <c r="B284" t="s">
        <v>0</v>
      </c>
      <c r="C284" t="s">
        <v>326</v>
      </c>
      <c r="D284" t="s">
        <v>18</v>
      </c>
      <c r="E284" t="s">
        <v>3</v>
      </c>
      <c r="F284" t="s">
        <v>4</v>
      </c>
      <c r="G284" s="2" t="str">
        <f t="shared" si="4"/>
        <v>AWO_08N_SA1/APPLIED-WATER</v>
      </c>
      <c r="H284" t="s">
        <v>305</v>
      </c>
      <c r="I284" t="s">
        <v>306</v>
      </c>
      <c r="L284" t="s">
        <v>8</v>
      </c>
      <c r="M284" t="s">
        <v>54</v>
      </c>
      <c r="N284" t="s">
        <v>9</v>
      </c>
    </row>
    <row r="285" spans="2:14" x14ac:dyDescent="0.25">
      <c r="B285" t="s">
        <v>0</v>
      </c>
      <c r="C285" t="s">
        <v>327</v>
      </c>
      <c r="D285" t="s">
        <v>18</v>
      </c>
      <c r="E285" t="s">
        <v>3</v>
      </c>
      <c r="F285" t="s">
        <v>4</v>
      </c>
      <c r="G285" s="2" t="str">
        <f t="shared" si="4"/>
        <v>AWO_08N_SA2/APPLIED-WATER</v>
      </c>
      <c r="H285" t="s">
        <v>305</v>
      </c>
      <c r="I285" t="s">
        <v>306</v>
      </c>
      <c r="L285" t="s">
        <v>8</v>
      </c>
      <c r="M285" t="s">
        <v>54</v>
      </c>
      <c r="N285" t="s">
        <v>9</v>
      </c>
    </row>
    <row r="286" spans="2:14" x14ac:dyDescent="0.25">
      <c r="B286" t="s">
        <v>0</v>
      </c>
      <c r="C286" t="s">
        <v>328</v>
      </c>
      <c r="D286" t="s">
        <v>18</v>
      </c>
      <c r="E286" t="s">
        <v>3</v>
      </c>
      <c r="F286" t="s">
        <v>4</v>
      </c>
      <c r="G286" s="2" t="str">
        <f t="shared" si="4"/>
        <v>AWO_08S_NA1/APPLIED-WATER</v>
      </c>
      <c r="H286" t="s">
        <v>305</v>
      </c>
      <c r="I286" t="s">
        <v>306</v>
      </c>
      <c r="L286" t="s">
        <v>8</v>
      </c>
      <c r="M286" t="s">
        <v>54</v>
      </c>
      <c r="N286" t="s">
        <v>9</v>
      </c>
    </row>
    <row r="287" spans="2:14" x14ac:dyDescent="0.25">
      <c r="B287" t="s">
        <v>0</v>
      </c>
      <c r="C287" t="s">
        <v>329</v>
      </c>
      <c r="D287" t="s">
        <v>18</v>
      </c>
      <c r="E287" t="s">
        <v>3</v>
      </c>
      <c r="F287" t="s">
        <v>4</v>
      </c>
      <c r="G287" s="2" t="str">
        <f t="shared" si="4"/>
        <v>AWO_08S_NA2/APPLIED-WATER</v>
      </c>
      <c r="H287" t="s">
        <v>305</v>
      </c>
      <c r="I287" t="s">
        <v>306</v>
      </c>
      <c r="L287" t="s">
        <v>8</v>
      </c>
      <c r="M287" t="s">
        <v>54</v>
      </c>
      <c r="N287" t="s">
        <v>9</v>
      </c>
    </row>
    <row r="288" spans="2:14" x14ac:dyDescent="0.25">
      <c r="B288" t="s">
        <v>0</v>
      </c>
      <c r="C288" t="s">
        <v>330</v>
      </c>
      <c r="D288" t="s">
        <v>18</v>
      </c>
      <c r="E288" t="s">
        <v>3</v>
      </c>
      <c r="F288" t="s">
        <v>4</v>
      </c>
      <c r="G288" s="2" t="str">
        <f t="shared" si="4"/>
        <v>AWO_08S_PA/APPLIED-WATER</v>
      </c>
      <c r="H288" t="s">
        <v>305</v>
      </c>
      <c r="I288" t="s">
        <v>306</v>
      </c>
      <c r="L288" t="s">
        <v>8</v>
      </c>
      <c r="M288" t="s">
        <v>54</v>
      </c>
      <c r="N288" t="s">
        <v>9</v>
      </c>
    </row>
    <row r="289" spans="2:14" x14ac:dyDescent="0.25">
      <c r="B289" t="s">
        <v>0</v>
      </c>
      <c r="C289" t="s">
        <v>331</v>
      </c>
      <c r="D289" t="s">
        <v>18</v>
      </c>
      <c r="E289" t="s">
        <v>3</v>
      </c>
      <c r="F289" t="s">
        <v>4</v>
      </c>
      <c r="G289" s="2" t="str">
        <f t="shared" si="4"/>
        <v>AWO_08S_PR/APPLIED-WATER</v>
      </c>
      <c r="H289" t="s">
        <v>305</v>
      </c>
      <c r="I289" t="s">
        <v>306</v>
      </c>
      <c r="L289" t="s">
        <v>8</v>
      </c>
      <c r="M289" t="s">
        <v>54</v>
      </c>
      <c r="N289" t="s">
        <v>9</v>
      </c>
    </row>
    <row r="290" spans="2:14" x14ac:dyDescent="0.25">
      <c r="B290" t="s">
        <v>0</v>
      </c>
      <c r="C290" t="s">
        <v>332</v>
      </c>
      <c r="D290" t="s">
        <v>18</v>
      </c>
      <c r="E290" t="s">
        <v>3</v>
      </c>
      <c r="F290" t="s">
        <v>4</v>
      </c>
      <c r="G290" s="2" t="str">
        <f t="shared" si="4"/>
        <v>AWO_08S_SA1/APPLIED-WATER</v>
      </c>
      <c r="H290" t="s">
        <v>305</v>
      </c>
      <c r="I290" t="s">
        <v>306</v>
      </c>
      <c r="L290" t="s">
        <v>8</v>
      </c>
      <c r="M290" t="s">
        <v>54</v>
      </c>
      <c r="N290" t="s">
        <v>9</v>
      </c>
    </row>
    <row r="291" spans="2:14" x14ac:dyDescent="0.25">
      <c r="B291" t="s">
        <v>0</v>
      </c>
      <c r="C291" t="s">
        <v>333</v>
      </c>
      <c r="D291" t="s">
        <v>18</v>
      </c>
      <c r="E291" t="s">
        <v>3</v>
      </c>
      <c r="F291" t="s">
        <v>4</v>
      </c>
      <c r="G291" s="2" t="str">
        <f t="shared" si="4"/>
        <v>AWO_08S_SA2/APPLIED-WATER</v>
      </c>
      <c r="H291" t="s">
        <v>305</v>
      </c>
      <c r="I291" t="s">
        <v>306</v>
      </c>
      <c r="L291" t="s">
        <v>8</v>
      </c>
      <c r="M291" t="s">
        <v>54</v>
      </c>
      <c r="N291" t="s">
        <v>9</v>
      </c>
    </row>
    <row r="292" spans="2:14" x14ac:dyDescent="0.25">
      <c r="B292" t="s">
        <v>0</v>
      </c>
      <c r="C292" t="s">
        <v>334</v>
      </c>
      <c r="D292" t="s">
        <v>18</v>
      </c>
      <c r="E292" t="s">
        <v>3</v>
      </c>
      <c r="F292" t="s">
        <v>4</v>
      </c>
      <c r="G292" s="2" t="str">
        <f t="shared" si="4"/>
        <v>AWO_08S_SA3/APPLIED-WATER</v>
      </c>
      <c r="H292" t="s">
        <v>305</v>
      </c>
      <c r="I292" t="s">
        <v>306</v>
      </c>
      <c r="L292" t="s">
        <v>8</v>
      </c>
      <c r="M292" t="s">
        <v>54</v>
      </c>
      <c r="N292" t="s">
        <v>9</v>
      </c>
    </row>
    <row r="293" spans="2:14" x14ac:dyDescent="0.25">
      <c r="B293" t="s">
        <v>0</v>
      </c>
      <c r="C293" t="s">
        <v>335</v>
      </c>
      <c r="D293" t="s">
        <v>18</v>
      </c>
      <c r="E293" t="s">
        <v>3</v>
      </c>
      <c r="F293" t="s">
        <v>4</v>
      </c>
      <c r="G293" s="2" t="str">
        <f t="shared" si="4"/>
        <v>AWO_09_NA/APPLIED-WATER</v>
      </c>
      <c r="H293" t="s">
        <v>305</v>
      </c>
      <c r="I293" t="s">
        <v>306</v>
      </c>
      <c r="L293" t="s">
        <v>8</v>
      </c>
      <c r="M293" t="s">
        <v>54</v>
      </c>
      <c r="N293" t="s">
        <v>9</v>
      </c>
    </row>
    <row r="294" spans="2:14" x14ac:dyDescent="0.25">
      <c r="B294" t="s">
        <v>0</v>
      </c>
      <c r="C294" t="s">
        <v>336</v>
      </c>
      <c r="D294" t="s">
        <v>18</v>
      </c>
      <c r="E294" t="s">
        <v>3</v>
      </c>
      <c r="F294" t="s">
        <v>4</v>
      </c>
      <c r="G294" s="2" t="str">
        <f t="shared" si="4"/>
        <v>AWO_09_PR/APPLIED-WATER</v>
      </c>
      <c r="H294" t="s">
        <v>305</v>
      </c>
      <c r="I294" t="s">
        <v>306</v>
      </c>
      <c r="L294" t="s">
        <v>8</v>
      </c>
      <c r="M294" t="s">
        <v>54</v>
      </c>
      <c r="N294" t="s">
        <v>9</v>
      </c>
    </row>
    <row r="295" spans="2:14" x14ac:dyDescent="0.25">
      <c r="B295" t="s">
        <v>0</v>
      </c>
      <c r="C295" t="s">
        <v>337</v>
      </c>
      <c r="D295" t="s">
        <v>18</v>
      </c>
      <c r="E295" t="s">
        <v>3</v>
      </c>
      <c r="F295" t="s">
        <v>4</v>
      </c>
      <c r="G295" s="2" t="str">
        <f t="shared" si="4"/>
        <v>AWO_09_SA1/APPLIED-WATER</v>
      </c>
      <c r="H295" t="s">
        <v>305</v>
      </c>
      <c r="I295" t="s">
        <v>306</v>
      </c>
      <c r="L295" t="s">
        <v>8</v>
      </c>
      <c r="M295" t="s">
        <v>54</v>
      </c>
      <c r="N295" t="s">
        <v>9</v>
      </c>
    </row>
    <row r="296" spans="2:14" x14ac:dyDescent="0.25">
      <c r="B296" t="s">
        <v>0</v>
      </c>
      <c r="C296" t="s">
        <v>338</v>
      </c>
      <c r="D296" t="s">
        <v>18</v>
      </c>
      <c r="E296" t="s">
        <v>3</v>
      </c>
      <c r="F296" t="s">
        <v>4</v>
      </c>
      <c r="G296" s="2" t="str">
        <f t="shared" si="4"/>
        <v>AWO_09_SA2/APPLIED-WATER</v>
      </c>
      <c r="H296" t="s">
        <v>305</v>
      </c>
      <c r="I296" t="s">
        <v>306</v>
      </c>
      <c r="L296" t="s">
        <v>8</v>
      </c>
      <c r="M296" t="s">
        <v>54</v>
      </c>
      <c r="N296" t="s">
        <v>9</v>
      </c>
    </row>
    <row r="297" spans="2:14" x14ac:dyDescent="0.25">
      <c r="B297" t="s">
        <v>0</v>
      </c>
      <c r="C297" t="s">
        <v>339</v>
      </c>
      <c r="D297" t="s">
        <v>18</v>
      </c>
      <c r="E297" t="s">
        <v>3</v>
      </c>
      <c r="F297" t="s">
        <v>4</v>
      </c>
      <c r="G297" s="2" t="str">
        <f t="shared" si="4"/>
        <v>AWO_10_NA/APPLIED-WATER</v>
      </c>
      <c r="H297" t="s">
        <v>305</v>
      </c>
      <c r="I297" t="s">
        <v>306</v>
      </c>
      <c r="L297" t="s">
        <v>8</v>
      </c>
      <c r="M297" t="s">
        <v>54</v>
      </c>
      <c r="N297" t="s">
        <v>9</v>
      </c>
    </row>
    <row r="298" spans="2:14" x14ac:dyDescent="0.25">
      <c r="B298" t="s">
        <v>0</v>
      </c>
      <c r="C298" t="s">
        <v>340</v>
      </c>
      <c r="D298" t="s">
        <v>18</v>
      </c>
      <c r="E298" t="s">
        <v>3</v>
      </c>
      <c r="F298" t="s">
        <v>4</v>
      </c>
      <c r="G298" s="2" t="str">
        <f t="shared" si="4"/>
        <v>AWO_11_NA/APPLIED-WATER</v>
      </c>
      <c r="H298" t="s">
        <v>305</v>
      </c>
      <c r="I298" t="s">
        <v>306</v>
      </c>
      <c r="L298" t="s">
        <v>8</v>
      </c>
      <c r="M298" t="s">
        <v>54</v>
      </c>
      <c r="N298" t="s">
        <v>9</v>
      </c>
    </row>
    <row r="299" spans="2:14" x14ac:dyDescent="0.25">
      <c r="B299" t="s">
        <v>0</v>
      </c>
      <c r="C299" t="s">
        <v>341</v>
      </c>
      <c r="D299" t="s">
        <v>18</v>
      </c>
      <c r="E299" t="s">
        <v>3</v>
      </c>
      <c r="F299" t="s">
        <v>4</v>
      </c>
      <c r="G299" s="2" t="str">
        <f t="shared" si="4"/>
        <v>AWO_11_PR/APPLIED-WATER</v>
      </c>
      <c r="H299" t="s">
        <v>305</v>
      </c>
      <c r="I299" t="s">
        <v>306</v>
      </c>
      <c r="L299" t="s">
        <v>8</v>
      </c>
      <c r="M299" t="s">
        <v>54</v>
      </c>
      <c r="N299" t="s">
        <v>9</v>
      </c>
    </row>
    <row r="300" spans="2:14" x14ac:dyDescent="0.25">
      <c r="B300" t="s">
        <v>0</v>
      </c>
      <c r="C300" t="s">
        <v>342</v>
      </c>
      <c r="D300" t="s">
        <v>18</v>
      </c>
      <c r="E300" t="s">
        <v>3</v>
      </c>
      <c r="F300" t="s">
        <v>4</v>
      </c>
      <c r="G300" s="2" t="str">
        <f t="shared" si="4"/>
        <v>AWO_11_SA1/APPLIED-WATER</v>
      </c>
      <c r="H300" t="s">
        <v>305</v>
      </c>
      <c r="I300" t="s">
        <v>306</v>
      </c>
      <c r="L300" t="s">
        <v>8</v>
      </c>
      <c r="M300" t="s">
        <v>54</v>
      </c>
      <c r="N300" t="s">
        <v>9</v>
      </c>
    </row>
    <row r="301" spans="2:14" x14ac:dyDescent="0.25">
      <c r="B301" t="s">
        <v>0</v>
      </c>
      <c r="C301" t="s">
        <v>343</v>
      </c>
      <c r="D301" t="s">
        <v>18</v>
      </c>
      <c r="E301" t="s">
        <v>3</v>
      </c>
      <c r="F301" t="s">
        <v>4</v>
      </c>
      <c r="G301" s="2" t="str">
        <f t="shared" si="4"/>
        <v>AWO_11_SA2/APPLIED-WATER</v>
      </c>
      <c r="H301" t="s">
        <v>305</v>
      </c>
      <c r="I301" t="s">
        <v>306</v>
      </c>
      <c r="L301" t="s">
        <v>8</v>
      </c>
      <c r="M301" t="s">
        <v>54</v>
      </c>
      <c r="N301" t="s">
        <v>9</v>
      </c>
    </row>
    <row r="302" spans="2:14" x14ac:dyDescent="0.25">
      <c r="B302" t="s">
        <v>0</v>
      </c>
      <c r="C302" t="s">
        <v>344</v>
      </c>
      <c r="D302" t="s">
        <v>18</v>
      </c>
      <c r="E302" t="s">
        <v>3</v>
      </c>
      <c r="F302" t="s">
        <v>4</v>
      </c>
      <c r="G302" s="2" t="str">
        <f t="shared" si="4"/>
        <v>AWO_11_SA3/APPLIED-WATER</v>
      </c>
      <c r="H302" t="s">
        <v>305</v>
      </c>
      <c r="I302" t="s">
        <v>306</v>
      </c>
      <c r="L302" t="s">
        <v>8</v>
      </c>
      <c r="M302" t="s">
        <v>54</v>
      </c>
      <c r="N302" t="s">
        <v>9</v>
      </c>
    </row>
    <row r="303" spans="2:14" x14ac:dyDescent="0.25">
      <c r="B303" t="s">
        <v>0</v>
      </c>
      <c r="C303" t="s">
        <v>345</v>
      </c>
      <c r="D303" t="s">
        <v>18</v>
      </c>
      <c r="E303" t="s">
        <v>3</v>
      </c>
      <c r="F303" t="s">
        <v>4</v>
      </c>
      <c r="G303" s="2" t="str">
        <f t="shared" si="4"/>
        <v>AWO_11_SA4/APPLIED-WATER</v>
      </c>
      <c r="H303" t="s">
        <v>305</v>
      </c>
      <c r="I303" t="s">
        <v>306</v>
      </c>
      <c r="L303" t="s">
        <v>8</v>
      </c>
      <c r="M303" t="s">
        <v>54</v>
      </c>
      <c r="N303" t="s">
        <v>9</v>
      </c>
    </row>
    <row r="304" spans="2:14" x14ac:dyDescent="0.25">
      <c r="B304" t="s">
        <v>0</v>
      </c>
      <c r="C304" t="s">
        <v>346</v>
      </c>
      <c r="D304" t="s">
        <v>18</v>
      </c>
      <c r="E304" t="s">
        <v>3</v>
      </c>
      <c r="F304" t="s">
        <v>4</v>
      </c>
      <c r="G304" s="2" t="str">
        <f t="shared" si="4"/>
        <v>AWO_12_NA/APPLIED-WATER</v>
      </c>
      <c r="H304" t="s">
        <v>305</v>
      </c>
      <c r="I304" t="s">
        <v>306</v>
      </c>
      <c r="L304" t="s">
        <v>8</v>
      </c>
      <c r="M304" t="s">
        <v>54</v>
      </c>
      <c r="N304" t="s">
        <v>9</v>
      </c>
    </row>
    <row r="305" spans="2:14" x14ac:dyDescent="0.25">
      <c r="B305" t="s">
        <v>0</v>
      </c>
      <c r="C305" t="s">
        <v>347</v>
      </c>
      <c r="D305" t="s">
        <v>18</v>
      </c>
      <c r="E305" t="s">
        <v>3</v>
      </c>
      <c r="F305" t="s">
        <v>4</v>
      </c>
      <c r="G305" s="2" t="str">
        <f t="shared" si="4"/>
        <v>AWO_12_SA/APPLIED-WATER</v>
      </c>
      <c r="H305" t="s">
        <v>305</v>
      </c>
      <c r="I305" t="s">
        <v>306</v>
      </c>
      <c r="L305" t="s">
        <v>8</v>
      </c>
      <c r="M305" t="s">
        <v>54</v>
      </c>
      <c r="N305" t="s">
        <v>9</v>
      </c>
    </row>
    <row r="306" spans="2:14" x14ac:dyDescent="0.25">
      <c r="B306" t="s">
        <v>0</v>
      </c>
      <c r="C306" t="s">
        <v>348</v>
      </c>
      <c r="D306" t="s">
        <v>18</v>
      </c>
      <c r="E306" t="s">
        <v>3</v>
      </c>
      <c r="F306" t="s">
        <v>4</v>
      </c>
      <c r="G306" s="2" t="str">
        <f t="shared" si="4"/>
        <v>AWO_13_NA/APPLIED-WATER</v>
      </c>
      <c r="H306" t="s">
        <v>305</v>
      </c>
      <c r="I306" t="s">
        <v>306</v>
      </c>
      <c r="L306" t="s">
        <v>8</v>
      </c>
      <c r="M306" t="s">
        <v>54</v>
      </c>
      <c r="N306" t="s">
        <v>9</v>
      </c>
    </row>
    <row r="307" spans="2:14" x14ac:dyDescent="0.25">
      <c r="B307" t="s">
        <v>0</v>
      </c>
      <c r="C307" t="s">
        <v>349</v>
      </c>
      <c r="D307" t="s">
        <v>18</v>
      </c>
      <c r="E307" t="s">
        <v>3</v>
      </c>
      <c r="F307" t="s">
        <v>4</v>
      </c>
      <c r="G307" s="2" t="str">
        <f t="shared" si="4"/>
        <v>AWO_14_NA/APPLIED-WATER</v>
      </c>
      <c r="H307" t="s">
        <v>305</v>
      </c>
      <c r="I307" t="s">
        <v>306</v>
      </c>
      <c r="L307" t="s">
        <v>8</v>
      </c>
      <c r="M307" t="s">
        <v>54</v>
      </c>
      <c r="N307" t="s">
        <v>9</v>
      </c>
    </row>
    <row r="308" spans="2:14" x14ac:dyDescent="0.25">
      <c r="B308" t="s">
        <v>0</v>
      </c>
      <c r="C308" t="s">
        <v>350</v>
      </c>
      <c r="D308" t="s">
        <v>18</v>
      </c>
      <c r="E308" t="s">
        <v>3</v>
      </c>
      <c r="F308" t="s">
        <v>4</v>
      </c>
      <c r="G308" s="2" t="str">
        <f t="shared" si="4"/>
        <v>AWO_15N_NA1/APPLIED-WATER</v>
      </c>
      <c r="H308" t="s">
        <v>305</v>
      </c>
      <c r="I308" t="s">
        <v>306</v>
      </c>
      <c r="L308" t="s">
        <v>8</v>
      </c>
      <c r="M308" t="s">
        <v>54</v>
      </c>
      <c r="N308" t="s">
        <v>9</v>
      </c>
    </row>
    <row r="309" spans="2:14" x14ac:dyDescent="0.25">
      <c r="B309" t="s">
        <v>0</v>
      </c>
      <c r="C309" t="s">
        <v>351</v>
      </c>
      <c r="D309" t="s">
        <v>18</v>
      </c>
      <c r="E309" t="s">
        <v>3</v>
      </c>
      <c r="F309" t="s">
        <v>4</v>
      </c>
      <c r="G309" s="2" t="str">
        <f t="shared" si="4"/>
        <v>AWO_15N_NA2/APPLIED-WATER</v>
      </c>
      <c r="H309" t="s">
        <v>305</v>
      </c>
      <c r="I309" t="s">
        <v>306</v>
      </c>
      <c r="L309" t="s">
        <v>8</v>
      </c>
      <c r="M309" t="s">
        <v>54</v>
      </c>
      <c r="N309" t="s">
        <v>9</v>
      </c>
    </row>
    <row r="310" spans="2:14" x14ac:dyDescent="0.25">
      <c r="B310" t="s">
        <v>0</v>
      </c>
      <c r="C310" t="s">
        <v>352</v>
      </c>
      <c r="D310" t="s">
        <v>18</v>
      </c>
      <c r="E310" t="s">
        <v>3</v>
      </c>
      <c r="F310" t="s">
        <v>4</v>
      </c>
      <c r="G310" s="2" t="str">
        <f t="shared" si="4"/>
        <v>AWO_15N_SA/APPLIED-WATER</v>
      </c>
      <c r="H310" t="s">
        <v>305</v>
      </c>
      <c r="I310" t="s">
        <v>306</v>
      </c>
      <c r="L310" t="s">
        <v>8</v>
      </c>
      <c r="M310" t="s">
        <v>54</v>
      </c>
      <c r="N310" t="s">
        <v>9</v>
      </c>
    </row>
    <row r="311" spans="2:14" x14ac:dyDescent="0.25">
      <c r="B311" t="s">
        <v>0</v>
      </c>
      <c r="C311" t="s">
        <v>353</v>
      </c>
      <c r="D311" t="s">
        <v>18</v>
      </c>
      <c r="E311" t="s">
        <v>3</v>
      </c>
      <c r="F311" t="s">
        <v>4</v>
      </c>
      <c r="G311" s="2" t="str">
        <f t="shared" si="4"/>
        <v>AWO_15S_NA1/APPLIED-WATER</v>
      </c>
      <c r="H311" t="s">
        <v>305</v>
      </c>
      <c r="I311" t="s">
        <v>306</v>
      </c>
      <c r="L311" t="s">
        <v>8</v>
      </c>
      <c r="M311" t="s">
        <v>54</v>
      </c>
      <c r="N311" t="s">
        <v>9</v>
      </c>
    </row>
    <row r="312" spans="2:14" x14ac:dyDescent="0.25">
      <c r="B312" t="s">
        <v>0</v>
      </c>
      <c r="C312" t="s">
        <v>354</v>
      </c>
      <c r="D312" t="s">
        <v>18</v>
      </c>
      <c r="E312" t="s">
        <v>3</v>
      </c>
      <c r="F312" t="s">
        <v>4</v>
      </c>
      <c r="G312" s="2" t="str">
        <f t="shared" si="4"/>
        <v>AWO_15S_NA2/APPLIED-WATER</v>
      </c>
      <c r="H312" t="s">
        <v>305</v>
      </c>
      <c r="I312" t="s">
        <v>306</v>
      </c>
      <c r="L312" t="s">
        <v>8</v>
      </c>
      <c r="M312" t="s">
        <v>54</v>
      </c>
      <c r="N312" t="s">
        <v>9</v>
      </c>
    </row>
    <row r="313" spans="2:14" x14ac:dyDescent="0.25">
      <c r="B313" t="s">
        <v>0</v>
      </c>
      <c r="C313" t="s">
        <v>355</v>
      </c>
      <c r="D313" t="s">
        <v>18</v>
      </c>
      <c r="E313" t="s">
        <v>3</v>
      </c>
      <c r="F313" t="s">
        <v>4</v>
      </c>
      <c r="G313" s="2" t="str">
        <f t="shared" si="4"/>
        <v>AWO_15S_SA/APPLIED-WATER</v>
      </c>
      <c r="H313" t="s">
        <v>305</v>
      </c>
      <c r="I313" t="s">
        <v>306</v>
      </c>
      <c r="L313" t="s">
        <v>8</v>
      </c>
      <c r="M313" t="s">
        <v>54</v>
      </c>
      <c r="N313" t="s">
        <v>9</v>
      </c>
    </row>
    <row r="314" spans="2:14" x14ac:dyDescent="0.25">
      <c r="B314" t="s">
        <v>0</v>
      </c>
      <c r="C314" t="s">
        <v>356</v>
      </c>
      <c r="D314" t="s">
        <v>18</v>
      </c>
      <c r="E314" t="s">
        <v>3</v>
      </c>
      <c r="F314" t="s">
        <v>4</v>
      </c>
      <c r="G314" s="2" t="str">
        <f t="shared" si="4"/>
        <v>AWO_16_NA1/APPLIED-WATER</v>
      </c>
      <c r="H314" t="s">
        <v>305</v>
      </c>
      <c r="I314" t="s">
        <v>306</v>
      </c>
      <c r="L314" t="s">
        <v>8</v>
      </c>
      <c r="M314" t="s">
        <v>54</v>
      </c>
      <c r="N314" t="s">
        <v>9</v>
      </c>
    </row>
    <row r="315" spans="2:14" x14ac:dyDescent="0.25">
      <c r="B315" t="s">
        <v>0</v>
      </c>
      <c r="C315" t="s">
        <v>357</v>
      </c>
      <c r="D315" t="s">
        <v>18</v>
      </c>
      <c r="E315" t="s">
        <v>3</v>
      </c>
      <c r="F315" t="s">
        <v>4</v>
      </c>
      <c r="G315" s="2" t="str">
        <f t="shared" si="4"/>
        <v>AWO_16_NA2/APPLIED-WATER</v>
      </c>
      <c r="H315" t="s">
        <v>305</v>
      </c>
      <c r="I315" t="s">
        <v>306</v>
      </c>
      <c r="L315" t="s">
        <v>8</v>
      </c>
      <c r="M315" t="s">
        <v>54</v>
      </c>
      <c r="N315" t="s">
        <v>9</v>
      </c>
    </row>
    <row r="316" spans="2:14" x14ac:dyDescent="0.25">
      <c r="B316" t="s">
        <v>0</v>
      </c>
      <c r="C316" t="s">
        <v>358</v>
      </c>
      <c r="D316" t="s">
        <v>18</v>
      </c>
      <c r="E316" t="s">
        <v>3</v>
      </c>
      <c r="F316" t="s">
        <v>4</v>
      </c>
      <c r="G316" s="2" t="str">
        <f t="shared" si="4"/>
        <v>AWO_16_PA/APPLIED-WATER</v>
      </c>
      <c r="H316" t="s">
        <v>305</v>
      </c>
      <c r="I316" t="s">
        <v>306</v>
      </c>
      <c r="L316" t="s">
        <v>8</v>
      </c>
      <c r="M316" t="s">
        <v>54</v>
      </c>
      <c r="N316" t="s">
        <v>9</v>
      </c>
    </row>
    <row r="317" spans="2:14" x14ac:dyDescent="0.25">
      <c r="B317" t="s">
        <v>0</v>
      </c>
      <c r="C317" t="s">
        <v>359</v>
      </c>
      <c r="D317" t="s">
        <v>18</v>
      </c>
      <c r="E317" t="s">
        <v>3</v>
      </c>
      <c r="F317" t="s">
        <v>4</v>
      </c>
      <c r="G317" s="2" t="str">
        <f t="shared" si="4"/>
        <v>AWO_16_SA/APPLIED-WATER</v>
      </c>
      <c r="H317" t="s">
        <v>305</v>
      </c>
      <c r="I317" t="s">
        <v>306</v>
      </c>
      <c r="L317" t="s">
        <v>8</v>
      </c>
      <c r="M317" t="s">
        <v>54</v>
      </c>
      <c r="N317" t="s">
        <v>9</v>
      </c>
    </row>
    <row r="318" spans="2:14" x14ac:dyDescent="0.25">
      <c r="B318" t="s">
        <v>0</v>
      </c>
      <c r="C318" t="s">
        <v>360</v>
      </c>
      <c r="D318" t="s">
        <v>18</v>
      </c>
      <c r="E318" t="s">
        <v>3</v>
      </c>
      <c r="F318" t="s">
        <v>4</v>
      </c>
      <c r="G318" s="2" t="str">
        <f t="shared" si="4"/>
        <v>AWO_17N_NA/APPLIED-WATER</v>
      </c>
      <c r="H318" t="s">
        <v>305</v>
      </c>
      <c r="I318" t="s">
        <v>306</v>
      </c>
      <c r="L318" t="s">
        <v>8</v>
      </c>
      <c r="M318" t="s">
        <v>54</v>
      </c>
      <c r="N318" t="s">
        <v>9</v>
      </c>
    </row>
    <row r="319" spans="2:14" x14ac:dyDescent="0.25">
      <c r="B319" t="s">
        <v>0</v>
      </c>
      <c r="C319" t="s">
        <v>361</v>
      </c>
      <c r="D319" t="s">
        <v>18</v>
      </c>
      <c r="E319" t="s">
        <v>3</v>
      </c>
      <c r="F319" t="s">
        <v>4</v>
      </c>
      <c r="G319" s="2" t="str">
        <f t="shared" si="4"/>
        <v>AWO_17N_NR/APPLIED-WATER</v>
      </c>
      <c r="H319" t="s">
        <v>305</v>
      </c>
      <c r="I319" t="s">
        <v>306</v>
      </c>
      <c r="L319" t="s">
        <v>8</v>
      </c>
      <c r="M319" t="s">
        <v>54</v>
      </c>
      <c r="N319" t="s">
        <v>9</v>
      </c>
    </row>
    <row r="320" spans="2:14" x14ac:dyDescent="0.25">
      <c r="B320" t="s">
        <v>0</v>
      </c>
      <c r="C320" t="s">
        <v>362</v>
      </c>
      <c r="D320" t="s">
        <v>18</v>
      </c>
      <c r="E320" t="s">
        <v>3</v>
      </c>
      <c r="F320" t="s">
        <v>4</v>
      </c>
      <c r="G320" s="2" t="str">
        <f t="shared" si="4"/>
        <v>AWO_17N_PR/APPLIED-WATER</v>
      </c>
      <c r="H320" t="s">
        <v>305</v>
      </c>
      <c r="I320" t="s">
        <v>306</v>
      </c>
      <c r="L320" t="s">
        <v>8</v>
      </c>
      <c r="M320" t="s">
        <v>54</v>
      </c>
      <c r="N320" t="s">
        <v>9</v>
      </c>
    </row>
    <row r="321" spans="2:14" x14ac:dyDescent="0.25">
      <c r="B321" t="s">
        <v>0</v>
      </c>
      <c r="C321" t="s">
        <v>363</v>
      </c>
      <c r="D321" t="s">
        <v>18</v>
      </c>
      <c r="E321" t="s">
        <v>3</v>
      </c>
      <c r="F321" t="s">
        <v>4</v>
      </c>
      <c r="G321" s="2" t="str">
        <f t="shared" si="4"/>
        <v>AWO_17S_NA/APPLIED-WATER</v>
      </c>
      <c r="H321" t="s">
        <v>305</v>
      </c>
      <c r="I321" t="s">
        <v>306</v>
      </c>
      <c r="L321" t="s">
        <v>8</v>
      </c>
      <c r="M321" t="s">
        <v>54</v>
      </c>
      <c r="N321" t="s">
        <v>9</v>
      </c>
    </row>
    <row r="322" spans="2:14" x14ac:dyDescent="0.25">
      <c r="B322" t="s">
        <v>0</v>
      </c>
      <c r="C322" t="s">
        <v>364</v>
      </c>
      <c r="D322" t="s">
        <v>18</v>
      </c>
      <c r="E322" t="s">
        <v>3</v>
      </c>
      <c r="F322" t="s">
        <v>4</v>
      </c>
      <c r="G322" s="2" t="str">
        <f t="shared" si="4"/>
        <v>AWO_17S_PR/APPLIED-WATER</v>
      </c>
      <c r="H322" t="s">
        <v>305</v>
      </c>
      <c r="I322" t="s">
        <v>306</v>
      </c>
      <c r="L322" t="s">
        <v>8</v>
      </c>
      <c r="M322" t="s">
        <v>54</v>
      </c>
      <c r="N322" t="s">
        <v>9</v>
      </c>
    </row>
    <row r="323" spans="2:14" x14ac:dyDescent="0.25">
      <c r="B323" t="s">
        <v>0</v>
      </c>
      <c r="C323" t="s">
        <v>365</v>
      </c>
      <c r="D323" t="s">
        <v>18</v>
      </c>
      <c r="E323" t="s">
        <v>3</v>
      </c>
      <c r="F323" t="s">
        <v>4</v>
      </c>
      <c r="G323" s="2" t="str">
        <f t="shared" ref="G323:G386" si="5">_xlfn.CONCAT(C323,"/",D323)</f>
        <v>AWO_17S_SA/APPLIED-WATER</v>
      </c>
      <c r="H323" t="s">
        <v>305</v>
      </c>
      <c r="I323" t="s">
        <v>306</v>
      </c>
      <c r="L323" t="s">
        <v>8</v>
      </c>
      <c r="M323" t="s">
        <v>54</v>
      </c>
      <c r="N323" t="s">
        <v>9</v>
      </c>
    </row>
    <row r="324" spans="2:14" x14ac:dyDescent="0.25">
      <c r="B324" t="s">
        <v>0</v>
      </c>
      <c r="C324" t="s">
        <v>366</v>
      </c>
      <c r="D324" t="s">
        <v>18</v>
      </c>
      <c r="E324" t="s">
        <v>3</v>
      </c>
      <c r="F324" t="s">
        <v>4</v>
      </c>
      <c r="G324" s="2" t="str">
        <f t="shared" si="5"/>
        <v>AWO_18_NA/APPLIED-WATER</v>
      </c>
      <c r="H324" t="s">
        <v>305</v>
      </c>
      <c r="I324" t="s">
        <v>306</v>
      </c>
      <c r="L324" t="s">
        <v>8</v>
      </c>
      <c r="M324" t="s">
        <v>54</v>
      </c>
      <c r="N324" t="s">
        <v>9</v>
      </c>
    </row>
    <row r="325" spans="2:14" x14ac:dyDescent="0.25">
      <c r="B325" t="s">
        <v>0</v>
      </c>
      <c r="C325" t="s">
        <v>367</v>
      </c>
      <c r="D325" t="s">
        <v>18</v>
      </c>
      <c r="E325" t="s">
        <v>3</v>
      </c>
      <c r="F325" t="s">
        <v>4</v>
      </c>
      <c r="G325" s="2" t="str">
        <f t="shared" si="5"/>
        <v>AWO_18_SA/APPLIED-WATER</v>
      </c>
      <c r="H325" t="s">
        <v>305</v>
      </c>
      <c r="I325" t="s">
        <v>306</v>
      </c>
      <c r="L325" t="s">
        <v>8</v>
      </c>
      <c r="M325" t="s">
        <v>54</v>
      </c>
      <c r="N325" t="s">
        <v>9</v>
      </c>
    </row>
    <row r="326" spans="2:14" x14ac:dyDescent="0.25">
      <c r="B326" t="s">
        <v>0</v>
      </c>
      <c r="C326" t="s">
        <v>368</v>
      </c>
      <c r="D326" t="s">
        <v>18</v>
      </c>
      <c r="E326" t="s">
        <v>3</v>
      </c>
      <c r="F326" t="s">
        <v>4</v>
      </c>
      <c r="G326" s="2" t="str">
        <f t="shared" si="5"/>
        <v>AWO_19_SA/APPLIED-WATER</v>
      </c>
      <c r="H326" t="s">
        <v>305</v>
      </c>
      <c r="I326" t="s">
        <v>306</v>
      </c>
      <c r="L326" t="s">
        <v>8</v>
      </c>
      <c r="M326" t="s">
        <v>54</v>
      </c>
      <c r="N326" t="s">
        <v>9</v>
      </c>
    </row>
    <row r="327" spans="2:14" x14ac:dyDescent="0.25">
      <c r="B327" t="s">
        <v>0</v>
      </c>
      <c r="C327" t="s">
        <v>369</v>
      </c>
      <c r="D327" t="s">
        <v>18</v>
      </c>
      <c r="E327" t="s">
        <v>3</v>
      </c>
      <c r="F327" t="s">
        <v>4</v>
      </c>
      <c r="G327" s="2" t="str">
        <f t="shared" si="5"/>
        <v>AWO_20_NA1/APPLIED-WATER</v>
      </c>
      <c r="H327" t="s">
        <v>305</v>
      </c>
      <c r="I327" t="s">
        <v>306</v>
      </c>
      <c r="L327" t="s">
        <v>8</v>
      </c>
      <c r="M327" t="s">
        <v>54</v>
      </c>
      <c r="N327" t="s">
        <v>9</v>
      </c>
    </row>
    <row r="328" spans="2:14" x14ac:dyDescent="0.25">
      <c r="B328" t="s">
        <v>0</v>
      </c>
      <c r="C328" t="s">
        <v>370</v>
      </c>
      <c r="D328" t="s">
        <v>18</v>
      </c>
      <c r="E328" t="s">
        <v>3</v>
      </c>
      <c r="F328" t="s">
        <v>4</v>
      </c>
      <c r="G328" s="2" t="str">
        <f t="shared" si="5"/>
        <v>AWO_20_NA2/APPLIED-WATER</v>
      </c>
      <c r="H328" t="s">
        <v>305</v>
      </c>
      <c r="I328" t="s">
        <v>306</v>
      </c>
      <c r="L328" t="s">
        <v>8</v>
      </c>
      <c r="M328" t="s">
        <v>54</v>
      </c>
      <c r="N328" t="s">
        <v>9</v>
      </c>
    </row>
    <row r="329" spans="2:14" x14ac:dyDescent="0.25">
      <c r="B329" t="s">
        <v>0</v>
      </c>
      <c r="C329" t="s">
        <v>371</v>
      </c>
      <c r="D329" t="s">
        <v>18</v>
      </c>
      <c r="E329" t="s">
        <v>3</v>
      </c>
      <c r="F329" t="s">
        <v>4</v>
      </c>
      <c r="G329" s="2" t="str">
        <f t="shared" si="5"/>
        <v>AWO_20_PA/APPLIED-WATER</v>
      </c>
      <c r="H329" t="s">
        <v>305</v>
      </c>
      <c r="I329" t="s">
        <v>306</v>
      </c>
      <c r="L329" t="s">
        <v>8</v>
      </c>
      <c r="M329" t="s">
        <v>54</v>
      </c>
      <c r="N329" t="s">
        <v>9</v>
      </c>
    </row>
    <row r="330" spans="2:14" x14ac:dyDescent="0.25">
      <c r="B330" t="s">
        <v>0</v>
      </c>
      <c r="C330" t="s">
        <v>372</v>
      </c>
      <c r="D330" t="s">
        <v>18</v>
      </c>
      <c r="E330" t="s">
        <v>3</v>
      </c>
      <c r="F330" t="s">
        <v>4</v>
      </c>
      <c r="G330" s="2" t="str">
        <f t="shared" si="5"/>
        <v>AWO_21_NA/APPLIED-WATER</v>
      </c>
      <c r="H330" t="s">
        <v>305</v>
      </c>
      <c r="I330" t="s">
        <v>306</v>
      </c>
      <c r="L330" t="s">
        <v>8</v>
      </c>
      <c r="M330" t="s">
        <v>54</v>
      </c>
      <c r="N330" t="s">
        <v>9</v>
      </c>
    </row>
    <row r="331" spans="2:14" x14ac:dyDescent="0.25">
      <c r="B331" t="s">
        <v>0</v>
      </c>
      <c r="C331" t="s">
        <v>373</v>
      </c>
      <c r="D331" t="s">
        <v>18</v>
      </c>
      <c r="E331" t="s">
        <v>3</v>
      </c>
      <c r="F331" t="s">
        <v>4</v>
      </c>
      <c r="G331" s="2" t="str">
        <f t="shared" si="5"/>
        <v>AWO_21_PA/APPLIED-WATER</v>
      </c>
      <c r="H331" t="s">
        <v>305</v>
      </c>
      <c r="I331" t="s">
        <v>306</v>
      </c>
      <c r="L331" t="s">
        <v>8</v>
      </c>
      <c r="M331" t="s">
        <v>54</v>
      </c>
      <c r="N331" t="s">
        <v>9</v>
      </c>
    </row>
    <row r="332" spans="2:14" x14ac:dyDescent="0.25">
      <c r="B332" t="s">
        <v>0</v>
      </c>
      <c r="C332" t="s">
        <v>374</v>
      </c>
      <c r="D332" t="s">
        <v>18</v>
      </c>
      <c r="E332" t="s">
        <v>3</v>
      </c>
      <c r="F332" t="s">
        <v>4</v>
      </c>
      <c r="G332" s="2" t="str">
        <f t="shared" si="5"/>
        <v>AWO_21_SA/APPLIED-WATER</v>
      </c>
      <c r="H332" t="s">
        <v>305</v>
      </c>
      <c r="I332" t="s">
        <v>306</v>
      </c>
      <c r="L332" t="s">
        <v>8</v>
      </c>
      <c r="M332" t="s">
        <v>54</v>
      </c>
      <c r="N332" t="s">
        <v>9</v>
      </c>
    </row>
    <row r="333" spans="2:14" x14ac:dyDescent="0.25">
      <c r="B333" t="s">
        <v>0</v>
      </c>
      <c r="C333" t="s">
        <v>375</v>
      </c>
      <c r="D333" t="s">
        <v>18</v>
      </c>
      <c r="E333" t="s">
        <v>3</v>
      </c>
      <c r="F333" t="s">
        <v>4</v>
      </c>
      <c r="G333" s="2" t="str">
        <f t="shared" si="5"/>
        <v>AWO_22_NA/APPLIED-WATER</v>
      </c>
      <c r="H333" t="s">
        <v>305</v>
      </c>
      <c r="I333" t="s">
        <v>306</v>
      </c>
      <c r="L333" t="s">
        <v>8</v>
      </c>
      <c r="M333" t="s">
        <v>54</v>
      </c>
      <c r="N333" t="s">
        <v>9</v>
      </c>
    </row>
    <row r="334" spans="2:14" x14ac:dyDescent="0.25">
      <c r="B334" t="s">
        <v>0</v>
      </c>
      <c r="C334" t="s">
        <v>376</v>
      </c>
      <c r="D334" t="s">
        <v>18</v>
      </c>
      <c r="E334" t="s">
        <v>3</v>
      </c>
      <c r="F334" t="s">
        <v>4</v>
      </c>
      <c r="G334" s="2" t="str">
        <f t="shared" si="5"/>
        <v>AWO_22_SA1/APPLIED-WATER</v>
      </c>
      <c r="H334" t="s">
        <v>305</v>
      </c>
      <c r="I334" t="s">
        <v>306</v>
      </c>
      <c r="L334" t="s">
        <v>8</v>
      </c>
      <c r="M334" t="s">
        <v>54</v>
      </c>
      <c r="N334" t="s">
        <v>9</v>
      </c>
    </row>
    <row r="335" spans="2:14" x14ac:dyDescent="0.25">
      <c r="B335" t="s">
        <v>0</v>
      </c>
      <c r="C335" t="s">
        <v>377</v>
      </c>
      <c r="D335" t="s">
        <v>18</v>
      </c>
      <c r="E335" t="s">
        <v>3</v>
      </c>
      <c r="F335" t="s">
        <v>4</v>
      </c>
      <c r="G335" s="2" t="str">
        <f t="shared" si="5"/>
        <v>AWO_22_SA2/APPLIED-WATER</v>
      </c>
      <c r="H335" t="s">
        <v>305</v>
      </c>
      <c r="I335" t="s">
        <v>306</v>
      </c>
      <c r="L335" t="s">
        <v>8</v>
      </c>
      <c r="M335" t="s">
        <v>54</v>
      </c>
      <c r="N335" t="s">
        <v>9</v>
      </c>
    </row>
    <row r="336" spans="2:14" x14ac:dyDescent="0.25">
      <c r="B336" t="s">
        <v>0</v>
      </c>
      <c r="C336" t="s">
        <v>378</v>
      </c>
      <c r="D336" t="s">
        <v>18</v>
      </c>
      <c r="E336" t="s">
        <v>3</v>
      </c>
      <c r="F336" t="s">
        <v>4</v>
      </c>
      <c r="G336" s="2" t="str">
        <f t="shared" si="5"/>
        <v>AWO_23_NA/APPLIED-WATER</v>
      </c>
      <c r="H336" t="s">
        <v>305</v>
      </c>
      <c r="I336" t="s">
        <v>306</v>
      </c>
      <c r="L336" t="s">
        <v>8</v>
      </c>
      <c r="M336" t="s">
        <v>54</v>
      </c>
      <c r="N336" t="s">
        <v>9</v>
      </c>
    </row>
    <row r="337" spans="2:14" x14ac:dyDescent="0.25">
      <c r="B337" t="s">
        <v>0</v>
      </c>
      <c r="C337" t="s">
        <v>379</v>
      </c>
      <c r="D337" t="s">
        <v>18</v>
      </c>
      <c r="E337" t="s">
        <v>3</v>
      </c>
      <c r="F337" t="s">
        <v>4</v>
      </c>
      <c r="G337" s="2" t="str">
        <f t="shared" si="5"/>
        <v>AWO_24_NA1/APPLIED-WATER</v>
      </c>
      <c r="H337" t="s">
        <v>305</v>
      </c>
      <c r="I337" t="s">
        <v>306</v>
      </c>
      <c r="L337" t="s">
        <v>8</v>
      </c>
      <c r="M337" t="s">
        <v>54</v>
      </c>
      <c r="N337" t="s">
        <v>9</v>
      </c>
    </row>
    <row r="338" spans="2:14" x14ac:dyDescent="0.25">
      <c r="B338" t="s">
        <v>0</v>
      </c>
      <c r="C338" t="s">
        <v>380</v>
      </c>
      <c r="D338" t="s">
        <v>18</v>
      </c>
      <c r="E338" t="s">
        <v>3</v>
      </c>
      <c r="F338" t="s">
        <v>4</v>
      </c>
      <c r="G338" s="2" t="str">
        <f t="shared" si="5"/>
        <v>AWO_24_NA2/APPLIED-WATER</v>
      </c>
      <c r="H338" t="s">
        <v>305</v>
      </c>
      <c r="I338" t="s">
        <v>306</v>
      </c>
      <c r="L338" t="s">
        <v>8</v>
      </c>
      <c r="M338" t="s">
        <v>54</v>
      </c>
      <c r="N338" t="s">
        <v>9</v>
      </c>
    </row>
    <row r="339" spans="2:14" x14ac:dyDescent="0.25">
      <c r="B339" t="s">
        <v>0</v>
      </c>
      <c r="C339" t="s">
        <v>381</v>
      </c>
      <c r="D339" t="s">
        <v>18</v>
      </c>
      <c r="E339" t="s">
        <v>3</v>
      </c>
      <c r="F339" t="s">
        <v>4</v>
      </c>
      <c r="G339" s="2" t="str">
        <f t="shared" si="5"/>
        <v>AWO_24_NA3/APPLIED-WATER</v>
      </c>
      <c r="H339" t="s">
        <v>305</v>
      </c>
      <c r="I339" t="s">
        <v>306</v>
      </c>
      <c r="L339" t="s">
        <v>8</v>
      </c>
      <c r="M339" t="s">
        <v>54</v>
      </c>
      <c r="N339" t="s">
        <v>9</v>
      </c>
    </row>
    <row r="340" spans="2:14" x14ac:dyDescent="0.25">
      <c r="B340" t="s">
        <v>0</v>
      </c>
      <c r="C340" t="s">
        <v>382</v>
      </c>
      <c r="D340" t="s">
        <v>18</v>
      </c>
      <c r="E340" t="s">
        <v>3</v>
      </c>
      <c r="F340" t="s">
        <v>4</v>
      </c>
      <c r="G340" s="2" t="str">
        <f t="shared" si="5"/>
        <v>AWO_25_NA/APPLIED-WATER</v>
      </c>
      <c r="H340" t="s">
        <v>305</v>
      </c>
      <c r="I340" t="s">
        <v>306</v>
      </c>
      <c r="L340" t="s">
        <v>8</v>
      </c>
      <c r="M340" t="s">
        <v>54</v>
      </c>
      <c r="N340" t="s">
        <v>9</v>
      </c>
    </row>
    <row r="341" spans="2:14" x14ac:dyDescent="0.25">
      <c r="B341" t="s">
        <v>0</v>
      </c>
      <c r="C341" t="s">
        <v>383</v>
      </c>
      <c r="D341" t="s">
        <v>18</v>
      </c>
      <c r="E341" t="s">
        <v>3</v>
      </c>
      <c r="F341" t="s">
        <v>4</v>
      </c>
      <c r="G341" s="2" t="str">
        <f t="shared" si="5"/>
        <v>AWO_25_PA1/APPLIED-WATER</v>
      </c>
      <c r="H341" t="s">
        <v>305</v>
      </c>
      <c r="I341" t="s">
        <v>306</v>
      </c>
      <c r="L341" t="s">
        <v>8</v>
      </c>
      <c r="M341" t="s">
        <v>54</v>
      </c>
      <c r="N341" t="s">
        <v>9</v>
      </c>
    </row>
    <row r="342" spans="2:14" x14ac:dyDescent="0.25">
      <c r="B342" t="s">
        <v>0</v>
      </c>
      <c r="C342" t="s">
        <v>384</v>
      </c>
      <c r="D342" t="s">
        <v>18</v>
      </c>
      <c r="E342" t="s">
        <v>3</v>
      </c>
      <c r="F342" t="s">
        <v>4</v>
      </c>
      <c r="G342" s="2" t="str">
        <f t="shared" si="5"/>
        <v>AWO_25_PA2/APPLIED-WATER</v>
      </c>
      <c r="H342" t="s">
        <v>305</v>
      </c>
      <c r="I342" t="s">
        <v>306</v>
      </c>
      <c r="L342" t="s">
        <v>8</v>
      </c>
      <c r="M342" t="s">
        <v>54</v>
      </c>
      <c r="N342" t="s">
        <v>9</v>
      </c>
    </row>
    <row r="343" spans="2:14" x14ac:dyDescent="0.25">
      <c r="B343" t="s">
        <v>0</v>
      </c>
      <c r="C343" t="s">
        <v>385</v>
      </c>
      <c r="D343" t="s">
        <v>18</v>
      </c>
      <c r="E343" t="s">
        <v>3</v>
      </c>
      <c r="F343" t="s">
        <v>4</v>
      </c>
      <c r="G343" s="2" t="str">
        <f t="shared" si="5"/>
        <v>AWO_26N_NA/APPLIED-WATER</v>
      </c>
      <c r="H343" t="s">
        <v>305</v>
      </c>
      <c r="I343" t="s">
        <v>306</v>
      </c>
      <c r="L343" t="s">
        <v>8</v>
      </c>
      <c r="M343" t="s">
        <v>54</v>
      </c>
      <c r="N343" t="s">
        <v>9</v>
      </c>
    </row>
    <row r="344" spans="2:14" x14ac:dyDescent="0.25">
      <c r="B344" t="s">
        <v>0</v>
      </c>
      <c r="C344" t="s">
        <v>386</v>
      </c>
      <c r="D344" t="s">
        <v>18</v>
      </c>
      <c r="E344" t="s">
        <v>3</v>
      </c>
      <c r="F344" t="s">
        <v>4</v>
      </c>
      <c r="G344" s="2" t="str">
        <f t="shared" si="5"/>
        <v>AWO_26S_NA/APPLIED-WATER</v>
      </c>
      <c r="H344" t="s">
        <v>305</v>
      </c>
      <c r="I344" t="s">
        <v>306</v>
      </c>
      <c r="L344" t="s">
        <v>8</v>
      </c>
      <c r="M344" t="s">
        <v>54</v>
      </c>
      <c r="N344" t="s">
        <v>9</v>
      </c>
    </row>
    <row r="345" spans="2:14" x14ac:dyDescent="0.25">
      <c r="B345" t="s">
        <v>0</v>
      </c>
      <c r="C345" t="s">
        <v>387</v>
      </c>
      <c r="D345" t="s">
        <v>18</v>
      </c>
      <c r="E345" t="s">
        <v>3</v>
      </c>
      <c r="F345" t="s">
        <v>4</v>
      </c>
      <c r="G345" s="2" t="str">
        <f t="shared" si="5"/>
        <v>AWO_50_PA1/APPLIED-WATER</v>
      </c>
      <c r="H345" t="s">
        <v>305</v>
      </c>
      <c r="I345" t="s">
        <v>306</v>
      </c>
      <c r="L345" t="s">
        <v>8</v>
      </c>
      <c r="M345" t="s">
        <v>54</v>
      </c>
      <c r="N345" t="s">
        <v>9</v>
      </c>
    </row>
    <row r="346" spans="2:14" x14ac:dyDescent="0.25">
      <c r="B346" t="s">
        <v>0</v>
      </c>
      <c r="C346" t="s">
        <v>388</v>
      </c>
      <c r="D346" t="s">
        <v>18</v>
      </c>
      <c r="E346" t="s">
        <v>3</v>
      </c>
      <c r="F346" t="s">
        <v>4</v>
      </c>
      <c r="G346" s="2" t="str">
        <f t="shared" si="5"/>
        <v>AWO_60N_NA1/APPLIED-WATER</v>
      </c>
      <c r="H346" t="s">
        <v>305</v>
      </c>
      <c r="I346" t="s">
        <v>306</v>
      </c>
      <c r="L346" t="s">
        <v>8</v>
      </c>
      <c r="M346" t="s">
        <v>54</v>
      </c>
      <c r="N346" t="s">
        <v>9</v>
      </c>
    </row>
    <row r="347" spans="2:14" x14ac:dyDescent="0.25">
      <c r="B347" t="s">
        <v>0</v>
      </c>
      <c r="C347" t="s">
        <v>389</v>
      </c>
      <c r="D347" t="s">
        <v>18</v>
      </c>
      <c r="E347" t="s">
        <v>3</v>
      </c>
      <c r="F347" t="s">
        <v>4</v>
      </c>
      <c r="G347" s="2" t="str">
        <f t="shared" si="5"/>
        <v>AWO_60N_NA2/APPLIED-WATER</v>
      </c>
      <c r="H347" t="s">
        <v>305</v>
      </c>
      <c r="I347" t="s">
        <v>306</v>
      </c>
      <c r="L347" t="s">
        <v>8</v>
      </c>
      <c r="M347" t="s">
        <v>54</v>
      </c>
      <c r="N347" t="s">
        <v>9</v>
      </c>
    </row>
    <row r="348" spans="2:14" x14ac:dyDescent="0.25">
      <c r="B348" t="s">
        <v>0</v>
      </c>
      <c r="C348" t="s">
        <v>390</v>
      </c>
      <c r="D348" t="s">
        <v>18</v>
      </c>
      <c r="E348" t="s">
        <v>3</v>
      </c>
      <c r="F348" t="s">
        <v>4</v>
      </c>
      <c r="G348" s="2" t="str">
        <f t="shared" si="5"/>
        <v>AWO_60N_NA3/APPLIED-WATER</v>
      </c>
      <c r="H348" t="s">
        <v>305</v>
      </c>
      <c r="I348" t="s">
        <v>306</v>
      </c>
      <c r="L348" t="s">
        <v>8</v>
      </c>
      <c r="M348" t="s">
        <v>54</v>
      </c>
      <c r="N348" t="s">
        <v>9</v>
      </c>
    </row>
    <row r="349" spans="2:14" x14ac:dyDescent="0.25">
      <c r="B349" t="s">
        <v>0</v>
      </c>
      <c r="C349" t="s">
        <v>391</v>
      </c>
      <c r="D349" t="s">
        <v>18</v>
      </c>
      <c r="E349" t="s">
        <v>3</v>
      </c>
      <c r="F349" t="s">
        <v>4</v>
      </c>
      <c r="G349" s="2" t="str">
        <f t="shared" si="5"/>
        <v>AWO_60N_NA4/APPLIED-WATER</v>
      </c>
      <c r="H349" t="s">
        <v>305</v>
      </c>
      <c r="I349" t="s">
        <v>306</v>
      </c>
      <c r="L349" t="s">
        <v>8</v>
      </c>
      <c r="M349" t="s">
        <v>54</v>
      </c>
      <c r="N349" t="s">
        <v>9</v>
      </c>
    </row>
    <row r="350" spans="2:14" x14ac:dyDescent="0.25">
      <c r="B350" t="s">
        <v>0</v>
      </c>
      <c r="C350" t="s">
        <v>392</v>
      </c>
      <c r="D350" t="s">
        <v>18</v>
      </c>
      <c r="E350" t="s">
        <v>3</v>
      </c>
      <c r="F350" t="s">
        <v>4</v>
      </c>
      <c r="G350" s="2" t="str">
        <f t="shared" si="5"/>
        <v>AWO_60N_NA5/APPLIED-WATER</v>
      </c>
      <c r="H350" t="s">
        <v>305</v>
      </c>
      <c r="I350" t="s">
        <v>306</v>
      </c>
      <c r="L350" t="s">
        <v>8</v>
      </c>
      <c r="M350" t="s">
        <v>54</v>
      </c>
      <c r="N350" t="s">
        <v>9</v>
      </c>
    </row>
    <row r="351" spans="2:14" x14ac:dyDescent="0.25">
      <c r="B351" t="s">
        <v>0</v>
      </c>
      <c r="C351" t="s">
        <v>393</v>
      </c>
      <c r="D351" t="s">
        <v>18</v>
      </c>
      <c r="E351" t="s">
        <v>3</v>
      </c>
      <c r="F351" t="s">
        <v>4</v>
      </c>
      <c r="G351" s="2" t="str">
        <f t="shared" si="5"/>
        <v>AWO_60S_NA1/APPLIED-WATER</v>
      </c>
      <c r="H351" t="s">
        <v>305</v>
      </c>
      <c r="I351" t="s">
        <v>306</v>
      </c>
      <c r="L351" t="s">
        <v>8</v>
      </c>
      <c r="M351" t="s">
        <v>54</v>
      </c>
      <c r="N351" t="s">
        <v>9</v>
      </c>
    </row>
    <row r="352" spans="2:14" x14ac:dyDescent="0.25">
      <c r="B352" t="s">
        <v>0</v>
      </c>
      <c r="C352" t="s">
        <v>394</v>
      </c>
      <c r="D352" t="s">
        <v>18</v>
      </c>
      <c r="E352" t="s">
        <v>3</v>
      </c>
      <c r="F352" t="s">
        <v>4</v>
      </c>
      <c r="G352" s="2" t="str">
        <f t="shared" si="5"/>
        <v>AWO_60S_NA2/APPLIED-WATER</v>
      </c>
      <c r="H352" t="s">
        <v>305</v>
      </c>
      <c r="I352" t="s">
        <v>306</v>
      </c>
      <c r="L352" t="s">
        <v>8</v>
      </c>
      <c r="M352" t="s">
        <v>54</v>
      </c>
      <c r="N352" t="s">
        <v>9</v>
      </c>
    </row>
    <row r="353" spans="2:14" x14ac:dyDescent="0.25">
      <c r="B353" t="s">
        <v>0</v>
      </c>
      <c r="C353" t="s">
        <v>395</v>
      </c>
      <c r="D353" t="s">
        <v>18</v>
      </c>
      <c r="E353" t="s">
        <v>3</v>
      </c>
      <c r="F353" t="s">
        <v>4</v>
      </c>
      <c r="G353" s="2" t="str">
        <f t="shared" si="5"/>
        <v>AWO_60S_PA1/APPLIED-WATER</v>
      </c>
      <c r="H353" t="s">
        <v>305</v>
      </c>
      <c r="I353" t="s">
        <v>306</v>
      </c>
      <c r="L353" t="s">
        <v>8</v>
      </c>
      <c r="M353" t="s">
        <v>54</v>
      </c>
      <c r="N353" t="s">
        <v>9</v>
      </c>
    </row>
    <row r="354" spans="2:14" x14ac:dyDescent="0.25">
      <c r="B354" t="s">
        <v>0</v>
      </c>
      <c r="C354" t="s">
        <v>396</v>
      </c>
      <c r="D354" t="s">
        <v>18</v>
      </c>
      <c r="E354" t="s">
        <v>3</v>
      </c>
      <c r="F354" t="s">
        <v>4</v>
      </c>
      <c r="G354" s="2" t="str">
        <f t="shared" si="5"/>
        <v>AWO_60S_PA2/APPLIED-WATER</v>
      </c>
      <c r="H354" t="s">
        <v>305</v>
      </c>
      <c r="I354" t="s">
        <v>306</v>
      </c>
      <c r="L354" t="s">
        <v>8</v>
      </c>
      <c r="M354" t="s">
        <v>54</v>
      </c>
      <c r="N354" t="s">
        <v>9</v>
      </c>
    </row>
    <row r="355" spans="2:14" x14ac:dyDescent="0.25">
      <c r="B355" t="s">
        <v>0</v>
      </c>
      <c r="C355" t="s">
        <v>397</v>
      </c>
      <c r="D355" t="s">
        <v>18</v>
      </c>
      <c r="E355" t="s">
        <v>3</v>
      </c>
      <c r="F355" t="s">
        <v>4</v>
      </c>
      <c r="G355" s="2" t="str">
        <f t="shared" si="5"/>
        <v>AWO_61_NA1/APPLIED-WATER</v>
      </c>
      <c r="H355" t="s">
        <v>305</v>
      </c>
      <c r="I355" t="s">
        <v>306</v>
      </c>
      <c r="L355" t="s">
        <v>8</v>
      </c>
      <c r="M355" t="s">
        <v>54</v>
      </c>
      <c r="N355" t="s">
        <v>9</v>
      </c>
    </row>
    <row r="356" spans="2:14" x14ac:dyDescent="0.25">
      <c r="B356" t="s">
        <v>0</v>
      </c>
      <c r="C356" t="s">
        <v>398</v>
      </c>
      <c r="D356" t="s">
        <v>18</v>
      </c>
      <c r="E356" t="s">
        <v>3</v>
      </c>
      <c r="F356" t="s">
        <v>4</v>
      </c>
      <c r="G356" s="2" t="str">
        <f t="shared" si="5"/>
        <v>AWO_61_NA2/APPLIED-WATER</v>
      </c>
      <c r="H356" t="s">
        <v>305</v>
      </c>
      <c r="I356" t="s">
        <v>306</v>
      </c>
      <c r="L356" t="s">
        <v>8</v>
      </c>
      <c r="M356" t="s">
        <v>54</v>
      </c>
      <c r="N356" t="s">
        <v>9</v>
      </c>
    </row>
    <row r="357" spans="2:14" x14ac:dyDescent="0.25">
      <c r="B357" t="s">
        <v>0</v>
      </c>
      <c r="C357" t="s">
        <v>399</v>
      </c>
      <c r="D357" t="s">
        <v>18</v>
      </c>
      <c r="E357" t="s">
        <v>3</v>
      </c>
      <c r="F357" t="s">
        <v>4</v>
      </c>
      <c r="G357" s="2" t="str">
        <f t="shared" si="5"/>
        <v>AWO_61_NA3/APPLIED-WATER</v>
      </c>
      <c r="H357" t="s">
        <v>305</v>
      </c>
      <c r="I357" t="s">
        <v>306</v>
      </c>
      <c r="L357" t="s">
        <v>8</v>
      </c>
      <c r="M357" t="s">
        <v>54</v>
      </c>
      <c r="N357" t="s">
        <v>9</v>
      </c>
    </row>
    <row r="358" spans="2:14" x14ac:dyDescent="0.25">
      <c r="B358" t="s">
        <v>0</v>
      </c>
      <c r="C358" t="s">
        <v>400</v>
      </c>
      <c r="D358" t="s">
        <v>18</v>
      </c>
      <c r="E358" t="s">
        <v>3</v>
      </c>
      <c r="F358" t="s">
        <v>4</v>
      </c>
      <c r="G358" s="2" t="str">
        <f t="shared" si="5"/>
        <v>AWO_61_NA4/APPLIED-WATER</v>
      </c>
      <c r="H358" t="s">
        <v>305</v>
      </c>
      <c r="I358" t="s">
        <v>306</v>
      </c>
      <c r="L358" t="s">
        <v>8</v>
      </c>
      <c r="M358" t="s">
        <v>54</v>
      </c>
      <c r="N358" t="s">
        <v>9</v>
      </c>
    </row>
    <row r="359" spans="2:14" x14ac:dyDescent="0.25">
      <c r="B359" t="s">
        <v>0</v>
      </c>
      <c r="C359" t="s">
        <v>401</v>
      </c>
      <c r="D359" t="s">
        <v>18</v>
      </c>
      <c r="E359" t="s">
        <v>3</v>
      </c>
      <c r="F359" t="s">
        <v>4</v>
      </c>
      <c r="G359" s="2" t="str">
        <f t="shared" si="5"/>
        <v>AWO_61_NA5/APPLIED-WATER</v>
      </c>
      <c r="H359" t="s">
        <v>305</v>
      </c>
      <c r="I359" t="s">
        <v>306</v>
      </c>
      <c r="L359" t="s">
        <v>8</v>
      </c>
      <c r="M359" t="s">
        <v>54</v>
      </c>
      <c r="N359" t="s">
        <v>9</v>
      </c>
    </row>
    <row r="360" spans="2:14" x14ac:dyDescent="0.25">
      <c r="B360" t="s">
        <v>0</v>
      </c>
      <c r="C360" t="s">
        <v>402</v>
      </c>
      <c r="D360" t="s">
        <v>18</v>
      </c>
      <c r="E360" t="s">
        <v>3</v>
      </c>
      <c r="F360" t="s">
        <v>4</v>
      </c>
      <c r="G360" s="2" t="str">
        <f t="shared" si="5"/>
        <v>AWO_61_NA6/APPLIED-WATER</v>
      </c>
      <c r="H360" t="s">
        <v>305</v>
      </c>
      <c r="I360" t="s">
        <v>306</v>
      </c>
      <c r="L360" t="s">
        <v>8</v>
      </c>
      <c r="M360" t="s">
        <v>54</v>
      </c>
      <c r="N360" t="s">
        <v>9</v>
      </c>
    </row>
    <row r="361" spans="2:14" x14ac:dyDescent="0.25">
      <c r="B361" t="s">
        <v>0</v>
      </c>
      <c r="C361" t="s">
        <v>403</v>
      </c>
      <c r="D361" t="s">
        <v>18</v>
      </c>
      <c r="E361" t="s">
        <v>3</v>
      </c>
      <c r="F361" t="s">
        <v>4</v>
      </c>
      <c r="G361" s="2" t="str">
        <f t="shared" si="5"/>
        <v>AWO_61_PA1/APPLIED-WATER</v>
      </c>
      <c r="H361" t="s">
        <v>305</v>
      </c>
      <c r="I361" t="s">
        <v>306</v>
      </c>
      <c r="L361" t="s">
        <v>8</v>
      </c>
      <c r="M361" t="s">
        <v>54</v>
      </c>
      <c r="N361" t="s">
        <v>9</v>
      </c>
    </row>
    <row r="362" spans="2:14" x14ac:dyDescent="0.25">
      <c r="B362" t="s">
        <v>0</v>
      </c>
      <c r="C362" t="s">
        <v>404</v>
      </c>
      <c r="D362" t="s">
        <v>18</v>
      </c>
      <c r="E362" t="s">
        <v>3</v>
      </c>
      <c r="F362" t="s">
        <v>4</v>
      </c>
      <c r="G362" s="2" t="str">
        <f t="shared" si="5"/>
        <v>AWO_61_PA2/APPLIED-WATER</v>
      </c>
      <c r="H362" t="s">
        <v>305</v>
      </c>
      <c r="I362" t="s">
        <v>306</v>
      </c>
      <c r="L362" t="s">
        <v>8</v>
      </c>
      <c r="M362" t="s">
        <v>54</v>
      </c>
      <c r="N362" t="s">
        <v>9</v>
      </c>
    </row>
    <row r="363" spans="2:14" x14ac:dyDescent="0.25">
      <c r="B363" t="s">
        <v>0</v>
      </c>
      <c r="C363" t="s">
        <v>405</v>
      </c>
      <c r="D363" t="s">
        <v>18</v>
      </c>
      <c r="E363" t="s">
        <v>3</v>
      </c>
      <c r="F363" t="s">
        <v>4</v>
      </c>
      <c r="G363" s="2" t="str">
        <f t="shared" si="5"/>
        <v>AWO_61_PA3/APPLIED-WATER</v>
      </c>
      <c r="H363" t="s">
        <v>305</v>
      </c>
      <c r="I363" t="s">
        <v>306</v>
      </c>
      <c r="L363" t="s">
        <v>8</v>
      </c>
      <c r="M363" t="s">
        <v>54</v>
      </c>
      <c r="N363" t="s">
        <v>9</v>
      </c>
    </row>
    <row r="364" spans="2:14" x14ac:dyDescent="0.25">
      <c r="B364" t="s">
        <v>0</v>
      </c>
      <c r="C364" t="s">
        <v>406</v>
      </c>
      <c r="D364" t="s">
        <v>18</v>
      </c>
      <c r="E364" t="s">
        <v>3</v>
      </c>
      <c r="F364" t="s">
        <v>4</v>
      </c>
      <c r="G364" s="2" t="str">
        <f t="shared" si="5"/>
        <v>AWO_62_NA1/APPLIED-WATER</v>
      </c>
      <c r="H364" t="s">
        <v>305</v>
      </c>
      <c r="I364" t="s">
        <v>306</v>
      </c>
      <c r="L364" t="s">
        <v>8</v>
      </c>
      <c r="M364" t="s">
        <v>54</v>
      </c>
      <c r="N364" t="s">
        <v>9</v>
      </c>
    </row>
    <row r="365" spans="2:14" x14ac:dyDescent="0.25">
      <c r="B365" t="s">
        <v>0</v>
      </c>
      <c r="C365" t="s">
        <v>407</v>
      </c>
      <c r="D365" t="s">
        <v>18</v>
      </c>
      <c r="E365" t="s">
        <v>3</v>
      </c>
      <c r="F365" t="s">
        <v>4</v>
      </c>
      <c r="G365" s="2" t="str">
        <f t="shared" si="5"/>
        <v>AWO_62_NA2/APPLIED-WATER</v>
      </c>
      <c r="H365" t="s">
        <v>305</v>
      </c>
      <c r="I365" t="s">
        <v>306</v>
      </c>
      <c r="L365" t="s">
        <v>8</v>
      </c>
      <c r="M365" t="s">
        <v>54</v>
      </c>
      <c r="N365" t="s">
        <v>9</v>
      </c>
    </row>
    <row r="366" spans="2:14" x14ac:dyDescent="0.25">
      <c r="B366" t="s">
        <v>0</v>
      </c>
      <c r="C366" t="s">
        <v>408</v>
      </c>
      <c r="D366" t="s">
        <v>18</v>
      </c>
      <c r="E366" t="s">
        <v>3</v>
      </c>
      <c r="F366" t="s">
        <v>4</v>
      </c>
      <c r="G366" s="2" t="str">
        <f t="shared" si="5"/>
        <v>AWO_62_NA3/APPLIED-WATER</v>
      </c>
      <c r="H366" t="s">
        <v>305</v>
      </c>
      <c r="I366" t="s">
        <v>306</v>
      </c>
      <c r="L366" t="s">
        <v>8</v>
      </c>
      <c r="M366" t="s">
        <v>54</v>
      </c>
      <c r="N366" t="s">
        <v>9</v>
      </c>
    </row>
    <row r="367" spans="2:14" x14ac:dyDescent="0.25">
      <c r="B367" t="s">
        <v>0</v>
      </c>
      <c r="C367" t="s">
        <v>409</v>
      </c>
      <c r="D367" t="s">
        <v>18</v>
      </c>
      <c r="E367" t="s">
        <v>3</v>
      </c>
      <c r="F367" t="s">
        <v>4</v>
      </c>
      <c r="G367" s="2" t="str">
        <f t="shared" si="5"/>
        <v>AWO_62_NA4/APPLIED-WATER</v>
      </c>
      <c r="H367" t="s">
        <v>305</v>
      </c>
      <c r="I367" t="s">
        <v>306</v>
      </c>
      <c r="L367" t="s">
        <v>8</v>
      </c>
      <c r="M367" t="s">
        <v>54</v>
      </c>
      <c r="N367" t="s">
        <v>9</v>
      </c>
    </row>
    <row r="368" spans="2:14" x14ac:dyDescent="0.25">
      <c r="B368" t="s">
        <v>0</v>
      </c>
      <c r="C368" t="s">
        <v>410</v>
      </c>
      <c r="D368" t="s">
        <v>18</v>
      </c>
      <c r="E368" t="s">
        <v>3</v>
      </c>
      <c r="F368" t="s">
        <v>4</v>
      </c>
      <c r="G368" s="2" t="str">
        <f t="shared" si="5"/>
        <v>AWO_62_NA5/APPLIED-WATER</v>
      </c>
      <c r="H368" t="s">
        <v>305</v>
      </c>
      <c r="I368" t="s">
        <v>306</v>
      </c>
      <c r="L368" t="s">
        <v>8</v>
      </c>
      <c r="M368" t="s">
        <v>54</v>
      </c>
      <c r="N368" t="s">
        <v>9</v>
      </c>
    </row>
    <row r="369" spans="2:14" x14ac:dyDescent="0.25">
      <c r="B369" t="s">
        <v>0</v>
      </c>
      <c r="C369" t="s">
        <v>411</v>
      </c>
      <c r="D369" t="s">
        <v>18</v>
      </c>
      <c r="E369" t="s">
        <v>3</v>
      </c>
      <c r="F369" t="s">
        <v>4</v>
      </c>
      <c r="G369" s="2" t="str">
        <f t="shared" si="5"/>
        <v>AWO_62_NA6/APPLIED-WATER</v>
      </c>
      <c r="H369" t="s">
        <v>305</v>
      </c>
      <c r="I369" t="s">
        <v>306</v>
      </c>
      <c r="L369" t="s">
        <v>8</v>
      </c>
      <c r="M369" t="s">
        <v>54</v>
      </c>
      <c r="N369" t="s">
        <v>9</v>
      </c>
    </row>
    <row r="370" spans="2:14" x14ac:dyDescent="0.25">
      <c r="B370" t="s">
        <v>0</v>
      </c>
      <c r="C370" t="s">
        <v>412</v>
      </c>
      <c r="D370" t="s">
        <v>18</v>
      </c>
      <c r="E370" t="s">
        <v>3</v>
      </c>
      <c r="F370" t="s">
        <v>4</v>
      </c>
      <c r="G370" s="2" t="str">
        <f t="shared" si="5"/>
        <v>AWO_63_NA1/APPLIED-WATER</v>
      </c>
      <c r="H370" t="s">
        <v>305</v>
      </c>
      <c r="I370" t="s">
        <v>306</v>
      </c>
      <c r="L370" t="s">
        <v>8</v>
      </c>
      <c r="M370" t="s">
        <v>54</v>
      </c>
      <c r="N370" t="s">
        <v>9</v>
      </c>
    </row>
    <row r="371" spans="2:14" x14ac:dyDescent="0.25">
      <c r="B371" t="s">
        <v>0</v>
      </c>
      <c r="C371" t="s">
        <v>413</v>
      </c>
      <c r="D371" t="s">
        <v>18</v>
      </c>
      <c r="E371" t="s">
        <v>3</v>
      </c>
      <c r="F371" t="s">
        <v>4</v>
      </c>
      <c r="G371" s="2" t="str">
        <f t="shared" si="5"/>
        <v>AWO_63_NA2/APPLIED-WATER</v>
      </c>
      <c r="H371" t="s">
        <v>305</v>
      </c>
      <c r="I371" t="s">
        <v>306</v>
      </c>
      <c r="L371" t="s">
        <v>8</v>
      </c>
      <c r="M371" t="s">
        <v>54</v>
      </c>
      <c r="N371" t="s">
        <v>9</v>
      </c>
    </row>
    <row r="372" spans="2:14" x14ac:dyDescent="0.25">
      <c r="B372" t="s">
        <v>0</v>
      </c>
      <c r="C372" t="s">
        <v>414</v>
      </c>
      <c r="D372" t="s">
        <v>18</v>
      </c>
      <c r="E372" t="s">
        <v>3</v>
      </c>
      <c r="F372" t="s">
        <v>4</v>
      </c>
      <c r="G372" s="2" t="str">
        <f t="shared" si="5"/>
        <v>AWO_63_NA3/APPLIED-WATER</v>
      </c>
      <c r="H372" t="s">
        <v>305</v>
      </c>
      <c r="I372" t="s">
        <v>306</v>
      </c>
      <c r="L372" t="s">
        <v>8</v>
      </c>
      <c r="M372" t="s">
        <v>54</v>
      </c>
      <c r="N372" t="s">
        <v>9</v>
      </c>
    </row>
    <row r="373" spans="2:14" x14ac:dyDescent="0.25">
      <c r="B373" t="s">
        <v>0</v>
      </c>
      <c r="C373" t="s">
        <v>415</v>
      </c>
      <c r="D373" t="s">
        <v>18</v>
      </c>
      <c r="E373" t="s">
        <v>3</v>
      </c>
      <c r="F373" t="s">
        <v>4</v>
      </c>
      <c r="G373" s="2" t="str">
        <f t="shared" si="5"/>
        <v>AWO_63_NA4/APPLIED-WATER</v>
      </c>
      <c r="H373" t="s">
        <v>305</v>
      </c>
      <c r="I373" t="s">
        <v>306</v>
      </c>
      <c r="L373" t="s">
        <v>8</v>
      </c>
      <c r="M373" t="s">
        <v>54</v>
      </c>
      <c r="N373" t="s">
        <v>9</v>
      </c>
    </row>
    <row r="374" spans="2:14" x14ac:dyDescent="0.25">
      <c r="B374" t="s">
        <v>0</v>
      </c>
      <c r="C374" t="s">
        <v>416</v>
      </c>
      <c r="D374" t="s">
        <v>18</v>
      </c>
      <c r="E374" t="s">
        <v>3</v>
      </c>
      <c r="F374" t="s">
        <v>4</v>
      </c>
      <c r="G374" s="2" t="str">
        <f t="shared" si="5"/>
        <v>AWO_63_NA5/APPLIED-WATER</v>
      </c>
      <c r="H374" t="s">
        <v>305</v>
      </c>
      <c r="I374" t="s">
        <v>306</v>
      </c>
      <c r="L374" t="s">
        <v>8</v>
      </c>
      <c r="M374" t="s">
        <v>54</v>
      </c>
      <c r="N374" t="s">
        <v>9</v>
      </c>
    </row>
    <row r="375" spans="2:14" x14ac:dyDescent="0.25">
      <c r="B375" t="s">
        <v>0</v>
      </c>
      <c r="C375" t="s">
        <v>417</v>
      </c>
      <c r="D375" t="s">
        <v>18</v>
      </c>
      <c r="E375" t="s">
        <v>3</v>
      </c>
      <c r="F375" t="s">
        <v>4</v>
      </c>
      <c r="G375" s="2" t="str">
        <f t="shared" si="5"/>
        <v>AWO_63_PR1/APPLIED-WATER</v>
      </c>
      <c r="H375" t="s">
        <v>305</v>
      </c>
      <c r="I375" t="s">
        <v>306</v>
      </c>
      <c r="L375" t="s">
        <v>8</v>
      </c>
      <c r="M375" t="s">
        <v>54</v>
      </c>
      <c r="N375" t="s">
        <v>9</v>
      </c>
    </row>
    <row r="376" spans="2:14" x14ac:dyDescent="0.25">
      <c r="B376" t="s">
        <v>0</v>
      </c>
      <c r="C376" t="s">
        <v>418</v>
      </c>
      <c r="D376" t="s">
        <v>18</v>
      </c>
      <c r="E376" t="s">
        <v>3</v>
      </c>
      <c r="F376" t="s">
        <v>4</v>
      </c>
      <c r="G376" s="2" t="str">
        <f t="shared" si="5"/>
        <v>AWO_63_PR2/APPLIED-WATER</v>
      </c>
      <c r="H376" t="s">
        <v>305</v>
      </c>
      <c r="I376" t="s">
        <v>306</v>
      </c>
      <c r="L376" t="s">
        <v>8</v>
      </c>
      <c r="M376" t="s">
        <v>54</v>
      </c>
      <c r="N376" t="s">
        <v>9</v>
      </c>
    </row>
    <row r="377" spans="2:14" x14ac:dyDescent="0.25">
      <c r="B377" t="s">
        <v>0</v>
      </c>
      <c r="C377" t="s">
        <v>419</v>
      </c>
      <c r="D377" t="s">
        <v>18</v>
      </c>
      <c r="E377" t="s">
        <v>3</v>
      </c>
      <c r="F377" t="s">
        <v>4</v>
      </c>
      <c r="G377" s="2" t="str">
        <f t="shared" si="5"/>
        <v>AWO_63_PR3/APPLIED-WATER</v>
      </c>
      <c r="H377" t="s">
        <v>305</v>
      </c>
      <c r="I377" t="s">
        <v>306</v>
      </c>
      <c r="L377" t="s">
        <v>8</v>
      </c>
      <c r="M377" t="s">
        <v>54</v>
      </c>
      <c r="N377" t="s">
        <v>9</v>
      </c>
    </row>
    <row r="378" spans="2:14" x14ac:dyDescent="0.25">
      <c r="B378" t="s">
        <v>0</v>
      </c>
      <c r="C378" t="s">
        <v>420</v>
      </c>
      <c r="D378" t="s">
        <v>18</v>
      </c>
      <c r="E378" t="s">
        <v>3</v>
      </c>
      <c r="F378" t="s">
        <v>4</v>
      </c>
      <c r="G378" s="2" t="str">
        <f t="shared" si="5"/>
        <v>AWO_64_NA1/APPLIED-WATER</v>
      </c>
      <c r="H378" t="s">
        <v>305</v>
      </c>
      <c r="I378" t="s">
        <v>306</v>
      </c>
      <c r="L378" t="s">
        <v>8</v>
      </c>
      <c r="M378" t="s">
        <v>54</v>
      </c>
      <c r="N378" t="s">
        <v>9</v>
      </c>
    </row>
    <row r="379" spans="2:14" x14ac:dyDescent="0.25">
      <c r="B379" t="s">
        <v>0</v>
      </c>
      <c r="C379" t="s">
        <v>421</v>
      </c>
      <c r="D379" t="s">
        <v>18</v>
      </c>
      <c r="E379" t="s">
        <v>3</v>
      </c>
      <c r="F379" t="s">
        <v>4</v>
      </c>
      <c r="G379" s="2" t="str">
        <f t="shared" si="5"/>
        <v>AWO_64_NA2/APPLIED-WATER</v>
      </c>
      <c r="H379" t="s">
        <v>305</v>
      </c>
      <c r="I379" t="s">
        <v>306</v>
      </c>
      <c r="L379" t="s">
        <v>8</v>
      </c>
      <c r="M379" t="s">
        <v>54</v>
      </c>
      <c r="N379" t="s">
        <v>9</v>
      </c>
    </row>
    <row r="380" spans="2:14" x14ac:dyDescent="0.25">
      <c r="B380" t="s">
        <v>0</v>
      </c>
      <c r="C380" t="s">
        <v>422</v>
      </c>
      <c r="D380" t="s">
        <v>18</v>
      </c>
      <c r="E380" t="s">
        <v>3</v>
      </c>
      <c r="F380" t="s">
        <v>4</v>
      </c>
      <c r="G380" s="2" t="str">
        <f t="shared" si="5"/>
        <v>AWO_64_PA1/APPLIED-WATER</v>
      </c>
      <c r="H380" t="s">
        <v>305</v>
      </c>
      <c r="I380" t="s">
        <v>306</v>
      </c>
      <c r="L380" t="s">
        <v>8</v>
      </c>
      <c r="M380" t="s">
        <v>54</v>
      </c>
      <c r="N380" t="s">
        <v>9</v>
      </c>
    </row>
    <row r="381" spans="2:14" x14ac:dyDescent="0.25">
      <c r="B381" t="s">
        <v>0</v>
      </c>
      <c r="C381" t="s">
        <v>423</v>
      </c>
      <c r="D381" t="s">
        <v>18</v>
      </c>
      <c r="E381" t="s">
        <v>3</v>
      </c>
      <c r="F381" t="s">
        <v>4</v>
      </c>
      <c r="G381" s="2" t="str">
        <f t="shared" si="5"/>
        <v>AWO_64_PA2/APPLIED-WATER</v>
      </c>
      <c r="H381" t="s">
        <v>305</v>
      </c>
      <c r="I381" t="s">
        <v>306</v>
      </c>
      <c r="L381" t="s">
        <v>8</v>
      </c>
      <c r="M381" t="s">
        <v>54</v>
      </c>
      <c r="N381" t="s">
        <v>9</v>
      </c>
    </row>
    <row r="382" spans="2:14" x14ac:dyDescent="0.25">
      <c r="B382" t="s">
        <v>0</v>
      </c>
      <c r="C382" t="s">
        <v>424</v>
      </c>
      <c r="D382" t="s">
        <v>18</v>
      </c>
      <c r="E382" t="s">
        <v>3</v>
      </c>
      <c r="F382" t="s">
        <v>4</v>
      </c>
      <c r="G382" s="2" t="str">
        <f t="shared" si="5"/>
        <v>AWO_64_PA3/APPLIED-WATER</v>
      </c>
      <c r="H382" t="s">
        <v>305</v>
      </c>
      <c r="I382" t="s">
        <v>306</v>
      </c>
      <c r="L382" t="s">
        <v>8</v>
      </c>
      <c r="M382" t="s">
        <v>54</v>
      </c>
      <c r="N382" t="s">
        <v>9</v>
      </c>
    </row>
    <row r="383" spans="2:14" x14ac:dyDescent="0.25">
      <c r="B383" t="s">
        <v>0</v>
      </c>
      <c r="C383" t="s">
        <v>425</v>
      </c>
      <c r="D383" t="s">
        <v>18</v>
      </c>
      <c r="E383" t="s">
        <v>3</v>
      </c>
      <c r="F383" t="s">
        <v>4</v>
      </c>
      <c r="G383" s="2" t="str">
        <f t="shared" si="5"/>
        <v>AWO_64_XA/APPLIED-WATER</v>
      </c>
      <c r="H383" t="s">
        <v>305</v>
      </c>
      <c r="I383" t="s">
        <v>306</v>
      </c>
      <c r="L383" t="s">
        <v>8</v>
      </c>
      <c r="M383" t="s">
        <v>54</v>
      </c>
      <c r="N383" t="s">
        <v>9</v>
      </c>
    </row>
    <row r="384" spans="2:14" x14ac:dyDescent="0.25">
      <c r="B384" t="s">
        <v>0</v>
      </c>
      <c r="C384" t="s">
        <v>426</v>
      </c>
      <c r="D384" t="s">
        <v>18</v>
      </c>
      <c r="E384" t="s">
        <v>3</v>
      </c>
      <c r="F384" t="s">
        <v>4</v>
      </c>
      <c r="G384" s="2" t="str">
        <f t="shared" si="5"/>
        <v>AWO_71_NA1/APPLIED-WATER</v>
      </c>
      <c r="H384" t="s">
        <v>305</v>
      </c>
      <c r="I384" t="s">
        <v>306</v>
      </c>
      <c r="L384" t="s">
        <v>8</v>
      </c>
      <c r="M384" t="s">
        <v>54</v>
      </c>
      <c r="N384" t="s">
        <v>9</v>
      </c>
    </row>
    <row r="385" spans="2:14" x14ac:dyDescent="0.25">
      <c r="B385" t="s">
        <v>0</v>
      </c>
      <c r="C385" t="s">
        <v>427</v>
      </c>
      <c r="D385" t="s">
        <v>18</v>
      </c>
      <c r="E385" t="s">
        <v>3</v>
      </c>
      <c r="F385" t="s">
        <v>4</v>
      </c>
      <c r="G385" s="2" t="str">
        <f t="shared" si="5"/>
        <v>AWO_71_NA2/APPLIED-WATER</v>
      </c>
      <c r="H385" t="s">
        <v>305</v>
      </c>
      <c r="I385" t="s">
        <v>306</v>
      </c>
      <c r="L385" t="s">
        <v>8</v>
      </c>
      <c r="M385" t="s">
        <v>54</v>
      </c>
      <c r="N385" t="s">
        <v>9</v>
      </c>
    </row>
    <row r="386" spans="2:14" x14ac:dyDescent="0.25">
      <c r="B386" t="s">
        <v>0</v>
      </c>
      <c r="C386" t="s">
        <v>428</v>
      </c>
      <c r="D386" t="s">
        <v>18</v>
      </c>
      <c r="E386" t="s">
        <v>3</v>
      </c>
      <c r="F386" t="s">
        <v>4</v>
      </c>
      <c r="G386" s="2" t="str">
        <f t="shared" si="5"/>
        <v>AWO_71_NA3/APPLIED-WATER</v>
      </c>
      <c r="H386" t="s">
        <v>305</v>
      </c>
      <c r="I386" t="s">
        <v>306</v>
      </c>
      <c r="L386" t="s">
        <v>8</v>
      </c>
      <c r="N386" t="s">
        <v>9</v>
      </c>
    </row>
    <row r="387" spans="2:14" x14ac:dyDescent="0.25">
      <c r="B387" t="s">
        <v>0</v>
      </c>
      <c r="C387" t="s">
        <v>429</v>
      </c>
      <c r="D387" t="s">
        <v>18</v>
      </c>
      <c r="E387" t="s">
        <v>3</v>
      </c>
      <c r="F387" t="s">
        <v>4</v>
      </c>
      <c r="G387" s="2" t="str">
        <f t="shared" ref="G387:G450" si="6">_xlfn.CONCAT(C387,"/",D387)</f>
        <v>AWO_71_PA1/APPLIED-WATER</v>
      </c>
      <c r="H387" t="s">
        <v>305</v>
      </c>
      <c r="I387" t="s">
        <v>306</v>
      </c>
      <c r="L387" t="s">
        <v>8</v>
      </c>
      <c r="M387" t="s">
        <v>54</v>
      </c>
      <c r="N387" t="s">
        <v>9</v>
      </c>
    </row>
    <row r="388" spans="2:14" x14ac:dyDescent="0.25">
      <c r="B388" t="s">
        <v>0</v>
      </c>
      <c r="C388" t="s">
        <v>430</v>
      </c>
      <c r="D388" t="s">
        <v>18</v>
      </c>
      <c r="E388" t="s">
        <v>3</v>
      </c>
      <c r="F388" t="s">
        <v>4</v>
      </c>
      <c r="G388" s="2" t="str">
        <f t="shared" si="6"/>
        <v>AWO_71_PA2/APPLIED-WATER</v>
      </c>
      <c r="H388" t="s">
        <v>305</v>
      </c>
      <c r="I388" t="s">
        <v>306</v>
      </c>
      <c r="L388" t="s">
        <v>8</v>
      </c>
      <c r="M388" t="s">
        <v>54</v>
      </c>
      <c r="N388" t="s">
        <v>9</v>
      </c>
    </row>
    <row r="389" spans="2:14" x14ac:dyDescent="0.25">
      <c r="B389" t="s">
        <v>0</v>
      </c>
      <c r="C389" t="s">
        <v>431</v>
      </c>
      <c r="D389" t="s">
        <v>18</v>
      </c>
      <c r="E389" t="s">
        <v>3</v>
      </c>
      <c r="F389" t="s">
        <v>4</v>
      </c>
      <c r="G389" s="2" t="str">
        <f t="shared" si="6"/>
        <v>AWO_71_PA3/APPLIED-WATER</v>
      </c>
      <c r="H389" t="s">
        <v>305</v>
      </c>
      <c r="I389" t="s">
        <v>306</v>
      </c>
      <c r="L389" t="s">
        <v>8</v>
      </c>
      <c r="M389" t="s">
        <v>54</v>
      </c>
      <c r="N389" t="s">
        <v>9</v>
      </c>
    </row>
    <row r="390" spans="2:14" x14ac:dyDescent="0.25">
      <c r="B390" t="s">
        <v>0</v>
      </c>
      <c r="C390" t="s">
        <v>432</v>
      </c>
      <c r="D390" t="s">
        <v>18</v>
      </c>
      <c r="E390" t="s">
        <v>3</v>
      </c>
      <c r="F390" t="s">
        <v>4</v>
      </c>
      <c r="G390" s="2" t="str">
        <f t="shared" si="6"/>
        <v>AWO_71_PA4/APPLIED-WATER</v>
      </c>
      <c r="H390" t="s">
        <v>305</v>
      </c>
      <c r="I390" t="s">
        <v>306</v>
      </c>
      <c r="L390" t="s">
        <v>8</v>
      </c>
      <c r="M390" t="s">
        <v>54</v>
      </c>
      <c r="N390" t="s">
        <v>9</v>
      </c>
    </row>
    <row r="391" spans="2:14" x14ac:dyDescent="0.25">
      <c r="B391" t="s">
        <v>0</v>
      </c>
      <c r="C391" t="s">
        <v>433</v>
      </c>
      <c r="D391" t="s">
        <v>18</v>
      </c>
      <c r="E391" t="s">
        <v>3</v>
      </c>
      <c r="F391" t="s">
        <v>4</v>
      </c>
      <c r="G391" s="2" t="str">
        <f t="shared" si="6"/>
        <v>AWO_71_PA5/APPLIED-WATER</v>
      </c>
      <c r="H391" t="s">
        <v>305</v>
      </c>
      <c r="I391" t="s">
        <v>306</v>
      </c>
      <c r="L391" t="s">
        <v>8</v>
      </c>
      <c r="M391" t="s">
        <v>54</v>
      </c>
      <c r="N391" t="s">
        <v>9</v>
      </c>
    </row>
    <row r="392" spans="2:14" x14ac:dyDescent="0.25">
      <c r="B392" t="s">
        <v>0</v>
      </c>
      <c r="C392" t="s">
        <v>434</v>
      </c>
      <c r="D392" t="s">
        <v>18</v>
      </c>
      <c r="E392" t="s">
        <v>3</v>
      </c>
      <c r="F392" t="s">
        <v>4</v>
      </c>
      <c r="G392" s="2" t="str">
        <f t="shared" si="6"/>
        <v>AWO_71_PA6/APPLIED-WATER</v>
      </c>
      <c r="H392" t="s">
        <v>305</v>
      </c>
      <c r="I392" t="s">
        <v>306</v>
      </c>
      <c r="L392" t="s">
        <v>8</v>
      </c>
      <c r="M392" t="s">
        <v>54</v>
      </c>
      <c r="N392" t="s">
        <v>9</v>
      </c>
    </row>
    <row r="393" spans="2:14" x14ac:dyDescent="0.25">
      <c r="B393" t="s">
        <v>0</v>
      </c>
      <c r="C393" t="s">
        <v>435</v>
      </c>
      <c r="D393" t="s">
        <v>18</v>
      </c>
      <c r="E393" t="s">
        <v>3</v>
      </c>
      <c r="F393" t="s">
        <v>4</v>
      </c>
      <c r="G393" s="2" t="str">
        <f t="shared" si="6"/>
        <v>AWO_71_PA7/APPLIED-WATER</v>
      </c>
      <c r="H393" t="s">
        <v>305</v>
      </c>
      <c r="I393" t="s">
        <v>306</v>
      </c>
      <c r="L393" t="s">
        <v>8</v>
      </c>
      <c r="N393" t="s">
        <v>9</v>
      </c>
    </row>
    <row r="394" spans="2:14" x14ac:dyDescent="0.25">
      <c r="B394" t="s">
        <v>0</v>
      </c>
      <c r="C394" t="s">
        <v>436</v>
      </c>
      <c r="D394" t="s">
        <v>18</v>
      </c>
      <c r="E394" t="s">
        <v>3</v>
      </c>
      <c r="F394" t="s">
        <v>4</v>
      </c>
      <c r="G394" s="2" t="str">
        <f t="shared" si="6"/>
        <v>AWO_71_PA8/APPLIED-WATER</v>
      </c>
      <c r="H394" t="s">
        <v>305</v>
      </c>
      <c r="I394" t="s">
        <v>306</v>
      </c>
      <c r="L394" t="s">
        <v>8</v>
      </c>
      <c r="M394" t="s">
        <v>54</v>
      </c>
      <c r="N394" t="s">
        <v>9</v>
      </c>
    </row>
    <row r="395" spans="2:14" x14ac:dyDescent="0.25">
      <c r="B395" t="s">
        <v>0</v>
      </c>
      <c r="C395" t="s">
        <v>437</v>
      </c>
      <c r="D395" t="s">
        <v>18</v>
      </c>
      <c r="E395" t="s">
        <v>3</v>
      </c>
      <c r="F395" t="s">
        <v>4</v>
      </c>
      <c r="G395" s="2" t="str">
        <f t="shared" si="6"/>
        <v>AWO_72_NA1/APPLIED-WATER</v>
      </c>
      <c r="H395" t="s">
        <v>305</v>
      </c>
      <c r="I395" t="s">
        <v>306</v>
      </c>
      <c r="L395" t="s">
        <v>8</v>
      </c>
      <c r="M395" t="s">
        <v>54</v>
      </c>
      <c r="N395" t="s">
        <v>9</v>
      </c>
    </row>
    <row r="396" spans="2:14" x14ac:dyDescent="0.25">
      <c r="B396" t="s">
        <v>0</v>
      </c>
      <c r="C396" t="s">
        <v>438</v>
      </c>
      <c r="D396" t="s">
        <v>18</v>
      </c>
      <c r="E396" t="s">
        <v>3</v>
      </c>
      <c r="F396" t="s">
        <v>4</v>
      </c>
      <c r="G396" s="2" t="str">
        <f t="shared" si="6"/>
        <v>AWO_72_NA2/APPLIED-WATER</v>
      </c>
      <c r="H396" t="s">
        <v>305</v>
      </c>
      <c r="I396" t="s">
        <v>306</v>
      </c>
      <c r="L396" t="s">
        <v>8</v>
      </c>
      <c r="M396" t="s">
        <v>54</v>
      </c>
      <c r="N396" t="s">
        <v>9</v>
      </c>
    </row>
    <row r="397" spans="2:14" x14ac:dyDescent="0.25">
      <c r="B397" t="s">
        <v>0</v>
      </c>
      <c r="C397" t="s">
        <v>439</v>
      </c>
      <c r="D397" t="s">
        <v>18</v>
      </c>
      <c r="E397" t="s">
        <v>3</v>
      </c>
      <c r="F397" t="s">
        <v>4</v>
      </c>
      <c r="G397" s="2" t="str">
        <f t="shared" si="6"/>
        <v>AWO_72_PA/APPLIED-WATER</v>
      </c>
      <c r="H397" t="s">
        <v>305</v>
      </c>
      <c r="I397" t="s">
        <v>306</v>
      </c>
      <c r="L397" t="s">
        <v>8</v>
      </c>
      <c r="M397" t="s">
        <v>54</v>
      </c>
      <c r="N397" t="s">
        <v>9</v>
      </c>
    </row>
    <row r="398" spans="2:14" x14ac:dyDescent="0.25">
      <c r="B398" t="s">
        <v>0</v>
      </c>
      <c r="C398" t="s">
        <v>440</v>
      </c>
      <c r="D398" t="s">
        <v>18</v>
      </c>
      <c r="E398" t="s">
        <v>3</v>
      </c>
      <c r="F398" t="s">
        <v>4</v>
      </c>
      <c r="G398" s="2" t="str">
        <f t="shared" si="6"/>
        <v>AWO_72_PR1/APPLIED-WATER</v>
      </c>
      <c r="H398" t="s">
        <v>305</v>
      </c>
      <c r="I398" t="s">
        <v>306</v>
      </c>
      <c r="L398" t="s">
        <v>8</v>
      </c>
      <c r="M398" t="s">
        <v>54</v>
      </c>
      <c r="N398" t="s">
        <v>9</v>
      </c>
    </row>
    <row r="399" spans="2:14" x14ac:dyDescent="0.25">
      <c r="B399" t="s">
        <v>0</v>
      </c>
      <c r="C399" t="s">
        <v>441</v>
      </c>
      <c r="D399" t="s">
        <v>18</v>
      </c>
      <c r="E399" t="s">
        <v>3</v>
      </c>
      <c r="F399" t="s">
        <v>4</v>
      </c>
      <c r="G399" s="2" t="str">
        <f t="shared" si="6"/>
        <v>AWO_72_PR2/APPLIED-WATER</v>
      </c>
      <c r="H399" t="s">
        <v>305</v>
      </c>
      <c r="I399" t="s">
        <v>306</v>
      </c>
      <c r="L399" t="s">
        <v>8</v>
      </c>
      <c r="M399" t="s">
        <v>54</v>
      </c>
      <c r="N399" t="s">
        <v>9</v>
      </c>
    </row>
    <row r="400" spans="2:14" x14ac:dyDescent="0.25">
      <c r="B400" t="s">
        <v>0</v>
      </c>
      <c r="C400" t="s">
        <v>442</v>
      </c>
      <c r="D400" t="s">
        <v>18</v>
      </c>
      <c r="E400" t="s">
        <v>3</v>
      </c>
      <c r="F400" t="s">
        <v>4</v>
      </c>
      <c r="G400" s="2" t="str">
        <f t="shared" si="6"/>
        <v>AWO_72_PR3/APPLIED-WATER</v>
      </c>
      <c r="H400" t="s">
        <v>305</v>
      </c>
      <c r="I400" t="s">
        <v>306</v>
      </c>
      <c r="L400" t="s">
        <v>8</v>
      </c>
      <c r="M400" t="s">
        <v>54</v>
      </c>
      <c r="N400" t="s">
        <v>9</v>
      </c>
    </row>
    <row r="401" spans="2:14" x14ac:dyDescent="0.25">
      <c r="B401" t="s">
        <v>0</v>
      </c>
      <c r="C401" t="s">
        <v>443</v>
      </c>
      <c r="D401" t="s">
        <v>18</v>
      </c>
      <c r="E401" t="s">
        <v>3</v>
      </c>
      <c r="F401" t="s">
        <v>4</v>
      </c>
      <c r="G401" s="2" t="str">
        <f t="shared" si="6"/>
        <v>AWO_72_PR4/APPLIED-WATER</v>
      </c>
      <c r="H401" t="s">
        <v>305</v>
      </c>
      <c r="I401" t="s">
        <v>306</v>
      </c>
      <c r="L401" t="s">
        <v>8</v>
      </c>
      <c r="M401" t="s">
        <v>54</v>
      </c>
      <c r="N401" t="s">
        <v>9</v>
      </c>
    </row>
    <row r="402" spans="2:14" x14ac:dyDescent="0.25">
      <c r="B402" t="s">
        <v>0</v>
      </c>
      <c r="C402" t="s">
        <v>444</v>
      </c>
      <c r="D402" t="s">
        <v>18</v>
      </c>
      <c r="E402" t="s">
        <v>3</v>
      </c>
      <c r="F402" t="s">
        <v>4</v>
      </c>
      <c r="G402" s="2" t="str">
        <f t="shared" si="6"/>
        <v>AWO_72_PR5/APPLIED-WATER</v>
      </c>
      <c r="H402" t="s">
        <v>305</v>
      </c>
      <c r="I402" t="s">
        <v>306</v>
      </c>
      <c r="L402" t="s">
        <v>8</v>
      </c>
      <c r="M402" t="s">
        <v>54</v>
      </c>
      <c r="N402" t="s">
        <v>9</v>
      </c>
    </row>
    <row r="403" spans="2:14" x14ac:dyDescent="0.25">
      <c r="B403" t="s">
        <v>0</v>
      </c>
      <c r="C403" t="s">
        <v>445</v>
      </c>
      <c r="D403" t="s">
        <v>18</v>
      </c>
      <c r="E403" t="s">
        <v>3</v>
      </c>
      <c r="F403" t="s">
        <v>4</v>
      </c>
      <c r="G403" s="2" t="str">
        <f t="shared" si="6"/>
        <v>AWO_72_PR6/APPLIED-WATER</v>
      </c>
      <c r="H403" t="s">
        <v>305</v>
      </c>
      <c r="I403" t="s">
        <v>306</v>
      </c>
      <c r="L403" t="s">
        <v>8</v>
      </c>
      <c r="M403" t="s">
        <v>54</v>
      </c>
      <c r="N403" t="s">
        <v>9</v>
      </c>
    </row>
    <row r="404" spans="2:14" x14ac:dyDescent="0.25">
      <c r="B404" t="s">
        <v>0</v>
      </c>
      <c r="C404" t="s">
        <v>446</v>
      </c>
      <c r="D404" t="s">
        <v>18</v>
      </c>
      <c r="E404" t="s">
        <v>3</v>
      </c>
      <c r="F404" t="s">
        <v>4</v>
      </c>
      <c r="G404" s="2" t="str">
        <f t="shared" si="6"/>
        <v>AWO_72_XA1/APPLIED-WATER</v>
      </c>
      <c r="H404" t="s">
        <v>305</v>
      </c>
      <c r="I404" t="s">
        <v>306</v>
      </c>
      <c r="L404" t="s">
        <v>8</v>
      </c>
      <c r="M404" t="s">
        <v>54</v>
      </c>
      <c r="N404" t="s">
        <v>9</v>
      </c>
    </row>
    <row r="405" spans="2:14" x14ac:dyDescent="0.25">
      <c r="B405" t="s">
        <v>0</v>
      </c>
      <c r="C405" t="s">
        <v>447</v>
      </c>
      <c r="D405" t="s">
        <v>18</v>
      </c>
      <c r="E405" t="s">
        <v>3</v>
      </c>
      <c r="F405" t="s">
        <v>4</v>
      </c>
      <c r="G405" s="2" t="str">
        <f t="shared" si="6"/>
        <v>AWO_72_XA2/APPLIED-WATER</v>
      </c>
      <c r="H405" t="s">
        <v>305</v>
      </c>
      <c r="I405" t="s">
        <v>306</v>
      </c>
      <c r="L405" t="s">
        <v>8</v>
      </c>
      <c r="M405" t="s">
        <v>54</v>
      </c>
      <c r="N405" t="s">
        <v>9</v>
      </c>
    </row>
    <row r="406" spans="2:14" x14ac:dyDescent="0.25">
      <c r="B406" t="s">
        <v>0</v>
      </c>
      <c r="C406" t="s">
        <v>448</v>
      </c>
      <c r="D406" t="s">
        <v>18</v>
      </c>
      <c r="E406" t="s">
        <v>3</v>
      </c>
      <c r="F406" t="s">
        <v>4</v>
      </c>
      <c r="G406" s="2" t="str">
        <f t="shared" si="6"/>
        <v>AWO_72_XA3/APPLIED-WATER</v>
      </c>
      <c r="H406" t="s">
        <v>305</v>
      </c>
      <c r="I406" t="s">
        <v>306</v>
      </c>
      <c r="L406" t="s">
        <v>8</v>
      </c>
      <c r="M406" t="s">
        <v>54</v>
      </c>
      <c r="N406" t="s">
        <v>9</v>
      </c>
    </row>
    <row r="407" spans="2:14" x14ac:dyDescent="0.25">
      <c r="B407" t="s">
        <v>0</v>
      </c>
      <c r="C407" t="s">
        <v>449</v>
      </c>
      <c r="D407" t="s">
        <v>18</v>
      </c>
      <c r="E407" t="s">
        <v>3</v>
      </c>
      <c r="F407" t="s">
        <v>4</v>
      </c>
      <c r="G407" s="2" t="str">
        <f t="shared" si="6"/>
        <v>AWO_73_NA/APPLIED-WATER</v>
      </c>
      <c r="H407" t="s">
        <v>305</v>
      </c>
      <c r="I407" t="s">
        <v>306</v>
      </c>
      <c r="L407" t="s">
        <v>8</v>
      </c>
      <c r="M407" t="s">
        <v>54</v>
      </c>
      <c r="N407" t="s">
        <v>9</v>
      </c>
    </row>
    <row r="408" spans="2:14" x14ac:dyDescent="0.25">
      <c r="B408" t="s">
        <v>0</v>
      </c>
      <c r="C408" t="s">
        <v>450</v>
      </c>
      <c r="D408" t="s">
        <v>18</v>
      </c>
      <c r="E408" t="s">
        <v>3</v>
      </c>
      <c r="F408" t="s">
        <v>4</v>
      </c>
      <c r="G408" s="2" t="str">
        <f t="shared" si="6"/>
        <v>AWO_73_PA1/APPLIED-WATER</v>
      </c>
      <c r="H408" t="s">
        <v>305</v>
      </c>
      <c r="I408" t="s">
        <v>306</v>
      </c>
      <c r="L408" t="s">
        <v>8</v>
      </c>
      <c r="M408" t="s">
        <v>54</v>
      </c>
      <c r="N408" t="s">
        <v>9</v>
      </c>
    </row>
    <row r="409" spans="2:14" x14ac:dyDescent="0.25">
      <c r="B409" t="s">
        <v>0</v>
      </c>
      <c r="C409" t="s">
        <v>451</v>
      </c>
      <c r="D409" t="s">
        <v>18</v>
      </c>
      <c r="E409" t="s">
        <v>3</v>
      </c>
      <c r="F409" t="s">
        <v>4</v>
      </c>
      <c r="G409" s="2" t="str">
        <f t="shared" si="6"/>
        <v>AWO_73_PA2/APPLIED-WATER</v>
      </c>
      <c r="H409" t="s">
        <v>305</v>
      </c>
      <c r="I409" t="s">
        <v>306</v>
      </c>
      <c r="L409" t="s">
        <v>8</v>
      </c>
      <c r="M409" t="s">
        <v>54</v>
      </c>
      <c r="N409" t="s">
        <v>9</v>
      </c>
    </row>
    <row r="410" spans="2:14" x14ac:dyDescent="0.25">
      <c r="B410" t="s">
        <v>0</v>
      </c>
      <c r="C410" t="s">
        <v>452</v>
      </c>
      <c r="D410" t="s">
        <v>18</v>
      </c>
      <c r="E410" t="s">
        <v>3</v>
      </c>
      <c r="F410" t="s">
        <v>4</v>
      </c>
      <c r="G410" s="2" t="str">
        <f t="shared" si="6"/>
        <v>AWO_73_PA3/APPLIED-WATER</v>
      </c>
      <c r="H410" t="s">
        <v>305</v>
      </c>
      <c r="I410" t="s">
        <v>306</v>
      </c>
      <c r="L410" t="s">
        <v>8</v>
      </c>
      <c r="M410" t="s">
        <v>54</v>
      </c>
      <c r="N410" t="s">
        <v>9</v>
      </c>
    </row>
    <row r="411" spans="2:14" x14ac:dyDescent="0.25">
      <c r="B411" t="s">
        <v>0</v>
      </c>
      <c r="C411" t="s">
        <v>453</v>
      </c>
      <c r="D411" t="s">
        <v>18</v>
      </c>
      <c r="E411" t="s">
        <v>3</v>
      </c>
      <c r="F411" t="s">
        <v>4</v>
      </c>
      <c r="G411" s="2" t="str">
        <f t="shared" si="6"/>
        <v>AWO_73_XA/APPLIED-WATER</v>
      </c>
      <c r="H411" t="s">
        <v>305</v>
      </c>
      <c r="I411" t="s">
        <v>306</v>
      </c>
      <c r="L411" t="s">
        <v>8</v>
      </c>
      <c r="M411" t="s">
        <v>54</v>
      </c>
      <c r="N411" t="s">
        <v>9</v>
      </c>
    </row>
    <row r="412" spans="2:14" x14ac:dyDescent="0.25">
      <c r="B412" t="s">
        <v>0</v>
      </c>
      <c r="C412" t="s">
        <v>454</v>
      </c>
      <c r="D412" t="s">
        <v>18</v>
      </c>
      <c r="E412" t="s">
        <v>3</v>
      </c>
      <c r="F412" t="s">
        <v>4</v>
      </c>
      <c r="G412" s="2" t="str">
        <f t="shared" si="6"/>
        <v>AWO_90_NA/APPLIED-WATER</v>
      </c>
      <c r="H412" t="s">
        <v>305</v>
      </c>
      <c r="I412" t="s">
        <v>306</v>
      </c>
      <c r="L412" t="s">
        <v>8</v>
      </c>
      <c r="N412" t="s">
        <v>9</v>
      </c>
    </row>
    <row r="413" spans="2:14" x14ac:dyDescent="0.25">
      <c r="B413" t="s">
        <v>0</v>
      </c>
      <c r="C413" t="s">
        <v>455</v>
      </c>
      <c r="D413" t="s">
        <v>18</v>
      </c>
      <c r="E413" t="s">
        <v>3</v>
      </c>
      <c r="F413" t="s">
        <v>4</v>
      </c>
      <c r="G413" s="2" t="str">
        <f t="shared" si="6"/>
        <v>AWO_90_PA1/APPLIED-WATER</v>
      </c>
      <c r="H413" t="s">
        <v>305</v>
      </c>
      <c r="I413" t="s">
        <v>306</v>
      </c>
      <c r="L413" t="s">
        <v>8</v>
      </c>
      <c r="M413" t="s">
        <v>54</v>
      </c>
      <c r="N413" t="s">
        <v>9</v>
      </c>
    </row>
    <row r="414" spans="2:14" x14ac:dyDescent="0.25">
      <c r="B414" t="s">
        <v>0</v>
      </c>
      <c r="C414" t="s">
        <v>456</v>
      </c>
      <c r="D414" t="s">
        <v>18</v>
      </c>
      <c r="E414" t="s">
        <v>3</v>
      </c>
      <c r="F414" t="s">
        <v>4</v>
      </c>
      <c r="G414" s="2" t="str">
        <f t="shared" si="6"/>
        <v>AWO_90_PA2/APPLIED-WATER</v>
      </c>
      <c r="H414" t="s">
        <v>305</v>
      </c>
      <c r="I414" t="s">
        <v>306</v>
      </c>
      <c r="L414" t="s">
        <v>8</v>
      </c>
      <c r="M414" t="s">
        <v>54</v>
      </c>
      <c r="N414" t="s">
        <v>9</v>
      </c>
    </row>
    <row r="415" spans="2:14" x14ac:dyDescent="0.25">
      <c r="B415" t="s">
        <v>0</v>
      </c>
      <c r="C415" t="s">
        <v>457</v>
      </c>
      <c r="D415" t="s">
        <v>18</v>
      </c>
      <c r="E415" t="s">
        <v>3</v>
      </c>
      <c r="F415" t="s">
        <v>4</v>
      </c>
      <c r="G415" s="2" t="str">
        <f t="shared" si="6"/>
        <v>AWO_91_PA/APPLIED-WATER</v>
      </c>
      <c r="H415" t="s">
        <v>305</v>
      </c>
      <c r="I415" t="s">
        <v>306</v>
      </c>
      <c r="L415" t="s">
        <v>8</v>
      </c>
      <c r="M415" t="s">
        <v>54</v>
      </c>
      <c r="N415" t="s">
        <v>9</v>
      </c>
    </row>
    <row r="416" spans="2:14" x14ac:dyDescent="0.25">
      <c r="B416" t="s">
        <v>0</v>
      </c>
      <c r="C416" t="s">
        <v>458</v>
      </c>
      <c r="D416" t="s">
        <v>18</v>
      </c>
      <c r="E416" t="s">
        <v>3</v>
      </c>
      <c r="F416" t="s">
        <v>4</v>
      </c>
      <c r="G416" s="2" t="str">
        <f t="shared" si="6"/>
        <v>AWO_91_PR/APPLIED-WATER</v>
      </c>
      <c r="H416" t="s">
        <v>305</v>
      </c>
      <c r="I416" t="s">
        <v>306</v>
      </c>
      <c r="L416" t="s">
        <v>8</v>
      </c>
      <c r="M416" t="s">
        <v>54</v>
      </c>
      <c r="N416" t="s">
        <v>9</v>
      </c>
    </row>
    <row r="417" spans="2:14" x14ac:dyDescent="0.25">
      <c r="B417" t="s">
        <v>0</v>
      </c>
      <c r="C417" t="s">
        <v>459</v>
      </c>
      <c r="D417" t="s">
        <v>18</v>
      </c>
      <c r="E417" t="s">
        <v>3</v>
      </c>
      <c r="F417" t="s">
        <v>4</v>
      </c>
      <c r="G417" s="2" t="str">
        <f t="shared" si="6"/>
        <v>AWR_02_NA/APPLIED-WATER</v>
      </c>
      <c r="H417" t="s">
        <v>305</v>
      </c>
      <c r="I417" t="s">
        <v>306</v>
      </c>
      <c r="L417" t="s">
        <v>8</v>
      </c>
      <c r="M417" t="s">
        <v>54</v>
      </c>
      <c r="N417" t="s">
        <v>9</v>
      </c>
    </row>
    <row r="418" spans="2:14" x14ac:dyDescent="0.25">
      <c r="B418" t="s">
        <v>0</v>
      </c>
      <c r="C418" t="s">
        <v>460</v>
      </c>
      <c r="D418" t="s">
        <v>18</v>
      </c>
      <c r="E418" t="s">
        <v>3</v>
      </c>
      <c r="F418" t="s">
        <v>4</v>
      </c>
      <c r="G418" s="2" t="str">
        <f t="shared" si="6"/>
        <v>AWR_02_PA/APPLIED-WATER</v>
      </c>
      <c r="H418" t="s">
        <v>305</v>
      </c>
      <c r="I418" t="s">
        <v>306</v>
      </c>
      <c r="L418" t="s">
        <v>8</v>
      </c>
      <c r="M418" t="s">
        <v>54</v>
      </c>
      <c r="N418" t="s">
        <v>9</v>
      </c>
    </row>
    <row r="419" spans="2:14" x14ac:dyDescent="0.25">
      <c r="B419" t="s">
        <v>0</v>
      </c>
      <c r="C419" t="s">
        <v>461</v>
      </c>
      <c r="D419" t="s">
        <v>18</v>
      </c>
      <c r="E419" t="s">
        <v>3</v>
      </c>
      <c r="F419" t="s">
        <v>4</v>
      </c>
      <c r="G419" s="2" t="str">
        <f t="shared" si="6"/>
        <v>AWR_02_SA/APPLIED-WATER</v>
      </c>
      <c r="H419" t="s">
        <v>305</v>
      </c>
      <c r="I419" t="s">
        <v>306</v>
      </c>
      <c r="L419" t="s">
        <v>8</v>
      </c>
      <c r="M419" t="s">
        <v>54</v>
      </c>
      <c r="N419" t="s">
        <v>9</v>
      </c>
    </row>
    <row r="420" spans="2:14" x14ac:dyDescent="0.25">
      <c r="B420" t="s">
        <v>0</v>
      </c>
      <c r="C420" t="s">
        <v>462</v>
      </c>
      <c r="D420" t="s">
        <v>18</v>
      </c>
      <c r="E420" t="s">
        <v>3</v>
      </c>
      <c r="F420" t="s">
        <v>4</v>
      </c>
      <c r="G420" s="2" t="str">
        <f t="shared" si="6"/>
        <v>AWR_03_NA/APPLIED-WATER</v>
      </c>
      <c r="H420" t="s">
        <v>305</v>
      </c>
      <c r="I420" t="s">
        <v>306</v>
      </c>
      <c r="L420" t="s">
        <v>8</v>
      </c>
      <c r="M420" t="s">
        <v>54</v>
      </c>
      <c r="N420" t="s">
        <v>9</v>
      </c>
    </row>
    <row r="421" spans="2:14" x14ac:dyDescent="0.25">
      <c r="B421" t="s">
        <v>0</v>
      </c>
      <c r="C421" t="s">
        <v>463</v>
      </c>
      <c r="D421" t="s">
        <v>18</v>
      </c>
      <c r="E421" t="s">
        <v>3</v>
      </c>
      <c r="F421" t="s">
        <v>4</v>
      </c>
      <c r="G421" s="2" t="str">
        <f t="shared" si="6"/>
        <v>AWR_03_PA/APPLIED-WATER</v>
      </c>
      <c r="H421" t="s">
        <v>305</v>
      </c>
      <c r="I421" t="s">
        <v>306</v>
      </c>
      <c r="L421" t="s">
        <v>8</v>
      </c>
      <c r="M421" t="s">
        <v>54</v>
      </c>
      <c r="N421" t="s">
        <v>9</v>
      </c>
    </row>
    <row r="422" spans="2:14" x14ac:dyDescent="0.25">
      <c r="B422" t="s">
        <v>0</v>
      </c>
      <c r="C422" t="s">
        <v>464</v>
      </c>
      <c r="D422" t="s">
        <v>18</v>
      </c>
      <c r="E422" t="s">
        <v>3</v>
      </c>
      <c r="F422" t="s">
        <v>4</v>
      </c>
      <c r="G422" s="2" t="str">
        <f t="shared" si="6"/>
        <v>AWR_03_SA/APPLIED-WATER</v>
      </c>
      <c r="H422" t="s">
        <v>305</v>
      </c>
      <c r="I422" t="s">
        <v>306</v>
      </c>
      <c r="L422" t="s">
        <v>8</v>
      </c>
      <c r="M422" t="s">
        <v>54</v>
      </c>
      <c r="N422" t="s">
        <v>9</v>
      </c>
    </row>
    <row r="423" spans="2:14" x14ac:dyDescent="0.25">
      <c r="B423" t="s">
        <v>0</v>
      </c>
      <c r="C423" t="s">
        <v>465</v>
      </c>
      <c r="D423" t="s">
        <v>18</v>
      </c>
      <c r="E423" t="s">
        <v>3</v>
      </c>
      <c r="F423" t="s">
        <v>4</v>
      </c>
      <c r="G423" s="2" t="str">
        <f t="shared" si="6"/>
        <v>AWR_04_NA/APPLIED-WATER</v>
      </c>
      <c r="H423" t="s">
        <v>305</v>
      </c>
      <c r="I423" t="s">
        <v>306</v>
      </c>
      <c r="L423" t="s">
        <v>8</v>
      </c>
      <c r="M423" t="s">
        <v>54</v>
      </c>
      <c r="N423" t="s">
        <v>9</v>
      </c>
    </row>
    <row r="424" spans="2:14" x14ac:dyDescent="0.25">
      <c r="B424" t="s">
        <v>0</v>
      </c>
      <c r="C424" t="s">
        <v>466</v>
      </c>
      <c r="D424" t="s">
        <v>18</v>
      </c>
      <c r="E424" t="s">
        <v>3</v>
      </c>
      <c r="F424" t="s">
        <v>4</v>
      </c>
      <c r="G424" s="2" t="str">
        <f t="shared" si="6"/>
        <v>AWR_04_PA1/APPLIED-WATER</v>
      </c>
      <c r="H424" t="s">
        <v>305</v>
      </c>
      <c r="I424" t="s">
        <v>306</v>
      </c>
      <c r="L424" t="s">
        <v>8</v>
      </c>
      <c r="M424" t="s">
        <v>54</v>
      </c>
      <c r="N424" t="s">
        <v>9</v>
      </c>
    </row>
    <row r="425" spans="2:14" x14ac:dyDescent="0.25">
      <c r="B425" t="s">
        <v>0</v>
      </c>
      <c r="C425" t="s">
        <v>467</v>
      </c>
      <c r="D425" t="s">
        <v>18</v>
      </c>
      <c r="E425" t="s">
        <v>3</v>
      </c>
      <c r="F425" t="s">
        <v>4</v>
      </c>
      <c r="G425" s="2" t="str">
        <f t="shared" si="6"/>
        <v>AWR_04_PA2/APPLIED-WATER</v>
      </c>
      <c r="H425" t="s">
        <v>305</v>
      </c>
      <c r="I425" t="s">
        <v>306</v>
      </c>
      <c r="L425" t="s">
        <v>8</v>
      </c>
      <c r="M425" t="s">
        <v>54</v>
      </c>
      <c r="N425" t="s">
        <v>9</v>
      </c>
    </row>
    <row r="426" spans="2:14" x14ac:dyDescent="0.25">
      <c r="B426" t="s">
        <v>0</v>
      </c>
      <c r="C426" t="s">
        <v>468</v>
      </c>
      <c r="D426" t="s">
        <v>18</v>
      </c>
      <c r="E426" t="s">
        <v>3</v>
      </c>
      <c r="F426" t="s">
        <v>4</v>
      </c>
      <c r="G426" s="2" t="str">
        <f t="shared" si="6"/>
        <v>AWR_05_NA/APPLIED-WATER</v>
      </c>
      <c r="H426" t="s">
        <v>305</v>
      </c>
      <c r="I426" t="s">
        <v>306</v>
      </c>
      <c r="L426" t="s">
        <v>8</v>
      </c>
      <c r="M426" t="s">
        <v>54</v>
      </c>
      <c r="N426" t="s">
        <v>9</v>
      </c>
    </row>
    <row r="427" spans="2:14" x14ac:dyDescent="0.25">
      <c r="B427" t="s">
        <v>0</v>
      </c>
      <c r="C427" t="s">
        <v>469</v>
      </c>
      <c r="D427" t="s">
        <v>18</v>
      </c>
      <c r="E427" t="s">
        <v>3</v>
      </c>
      <c r="F427" t="s">
        <v>4</v>
      </c>
      <c r="G427" s="2" t="str">
        <f t="shared" si="6"/>
        <v>AWR_06_NA/APPLIED-WATER</v>
      </c>
      <c r="H427" t="s">
        <v>305</v>
      </c>
      <c r="I427" t="s">
        <v>306</v>
      </c>
      <c r="L427" t="s">
        <v>8</v>
      </c>
      <c r="M427" t="s">
        <v>54</v>
      </c>
      <c r="N427" t="s">
        <v>9</v>
      </c>
    </row>
    <row r="428" spans="2:14" x14ac:dyDescent="0.25">
      <c r="B428" t="s">
        <v>0</v>
      </c>
      <c r="C428" t="s">
        <v>470</v>
      </c>
      <c r="D428" t="s">
        <v>18</v>
      </c>
      <c r="E428" t="s">
        <v>3</v>
      </c>
      <c r="F428" t="s">
        <v>4</v>
      </c>
      <c r="G428" s="2" t="str">
        <f t="shared" si="6"/>
        <v>AWR_06_PA/APPLIED-WATER</v>
      </c>
      <c r="H428" t="s">
        <v>305</v>
      </c>
      <c r="I428" t="s">
        <v>306</v>
      </c>
      <c r="L428" t="s">
        <v>8</v>
      </c>
      <c r="M428" t="s">
        <v>54</v>
      </c>
      <c r="N428" t="s">
        <v>9</v>
      </c>
    </row>
    <row r="429" spans="2:14" x14ac:dyDescent="0.25">
      <c r="B429" t="s">
        <v>0</v>
      </c>
      <c r="C429" t="s">
        <v>471</v>
      </c>
      <c r="D429" t="s">
        <v>18</v>
      </c>
      <c r="E429" t="s">
        <v>3</v>
      </c>
      <c r="F429" t="s">
        <v>4</v>
      </c>
      <c r="G429" s="2" t="str">
        <f t="shared" si="6"/>
        <v>AWR_07N_NA/APPLIED-WATER</v>
      </c>
      <c r="H429" t="s">
        <v>305</v>
      </c>
      <c r="I429" t="s">
        <v>306</v>
      </c>
      <c r="L429" t="s">
        <v>8</v>
      </c>
      <c r="M429" t="s">
        <v>54</v>
      </c>
      <c r="N429" t="s">
        <v>9</v>
      </c>
    </row>
    <row r="430" spans="2:14" x14ac:dyDescent="0.25">
      <c r="B430" t="s">
        <v>0</v>
      </c>
      <c r="C430" t="s">
        <v>472</v>
      </c>
      <c r="D430" t="s">
        <v>18</v>
      </c>
      <c r="E430" t="s">
        <v>3</v>
      </c>
      <c r="F430" t="s">
        <v>4</v>
      </c>
      <c r="G430" s="2" t="str">
        <f t="shared" si="6"/>
        <v>AWR_07N_PA/APPLIED-WATER</v>
      </c>
      <c r="H430" t="s">
        <v>305</v>
      </c>
      <c r="I430" t="s">
        <v>306</v>
      </c>
      <c r="L430" t="s">
        <v>8</v>
      </c>
      <c r="M430" t="s">
        <v>54</v>
      </c>
      <c r="N430" t="s">
        <v>9</v>
      </c>
    </row>
    <row r="431" spans="2:14" x14ac:dyDescent="0.25">
      <c r="B431" t="s">
        <v>0</v>
      </c>
      <c r="C431" t="s">
        <v>473</v>
      </c>
      <c r="D431" t="s">
        <v>18</v>
      </c>
      <c r="E431" t="s">
        <v>3</v>
      </c>
      <c r="F431" t="s">
        <v>4</v>
      </c>
      <c r="G431" s="2" t="str">
        <f t="shared" si="6"/>
        <v>AWR_07S_NA/APPLIED-WATER</v>
      </c>
      <c r="H431" t="s">
        <v>305</v>
      </c>
      <c r="I431" t="s">
        <v>306</v>
      </c>
      <c r="L431" t="s">
        <v>8</v>
      </c>
      <c r="M431" t="s">
        <v>54</v>
      </c>
      <c r="N431" t="s">
        <v>9</v>
      </c>
    </row>
    <row r="432" spans="2:14" x14ac:dyDescent="0.25">
      <c r="B432" t="s">
        <v>0</v>
      </c>
      <c r="C432" t="s">
        <v>474</v>
      </c>
      <c r="D432" t="s">
        <v>18</v>
      </c>
      <c r="E432" t="s">
        <v>3</v>
      </c>
      <c r="F432" t="s">
        <v>4</v>
      </c>
      <c r="G432" s="2" t="str">
        <f t="shared" si="6"/>
        <v>AWR_07S_PA/APPLIED-WATER</v>
      </c>
      <c r="H432" t="s">
        <v>305</v>
      </c>
      <c r="I432" t="s">
        <v>306</v>
      </c>
      <c r="L432" t="s">
        <v>8</v>
      </c>
      <c r="M432" t="s">
        <v>54</v>
      </c>
      <c r="N432" t="s">
        <v>9</v>
      </c>
    </row>
    <row r="433" spans="2:14" x14ac:dyDescent="0.25">
      <c r="B433" t="s">
        <v>0</v>
      </c>
      <c r="C433" t="s">
        <v>475</v>
      </c>
      <c r="D433" t="s">
        <v>18</v>
      </c>
      <c r="E433" t="s">
        <v>3</v>
      </c>
      <c r="F433" t="s">
        <v>4</v>
      </c>
      <c r="G433" s="2" t="str">
        <f t="shared" si="6"/>
        <v>AWR_08N_NA/APPLIED-WATER</v>
      </c>
      <c r="H433" t="s">
        <v>305</v>
      </c>
      <c r="I433" t="s">
        <v>306</v>
      </c>
      <c r="L433" t="s">
        <v>8</v>
      </c>
      <c r="M433" t="s">
        <v>54</v>
      </c>
      <c r="N433" t="s">
        <v>9</v>
      </c>
    </row>
    <row r="434" spans="2:14" x14ac:dyDescent="0.25">
      <c r="B434" t="s">
        <v>0</v>
      </c>
      <c r="C434" t="s">
        <v>476</v>
      </c>
      <c r="D434" t="s">
        <v>18</v>
      </c>
      <c r="E434" t="s">
        <v>3</v>
      </c>
      <c r="F434" t="s">
        <v>4</v>
      </c>
      <c r="G434" s="2" t="str">
        <f t="shared" si="6"/>
        <v>AWR_08N_PA/APPLIED-WATER</v>
      </c>
      <c r="H434" t="s">
        <v>305</v>
      </c>
      <c r="I434" t="s">
        <v>306</v>
      </c>
      <c r="L434" t="s">
        <v>8</v>
      </c>
      <c r="M434" t="s">
        <v>54</v>
      </c>
      <c r="N434" t="s">
        <v>9</v>
      </c>
    </row>
    <row r="435" spans="2:14" x14ac:dyDescent="0.25">
      <c r="B435" t="s">
        <v>0</v>
      </c>
      <c r="C435" t="s">
        <v>477</v>
      </c>
      <c r="D435" t="s">
        <v>18</v>
      </c>
      <c r="E435" t="s">
        <v>3</v>
      </c>
      <c r="F435" t="s">
        <v>4</v>
      </c>
      <c r="G435" s="2" t="str">
        <f t="shared" si="6"/>
        <v>AWR_08N_PR1/APPLIED-WATER</v>
      </c>
      <c r="H435" t="s">
        <v>305</v>
      </c>
      <c r="I435" t="s">
        <v>306</v>
      </c>
      <c r="L435" t="s">
        <v>8</v>
      </c>
      <c r="M435" t="s">
        <v>54</v>
      </c>
      <c r="N435" t="s">
        <v>9</v>
      </c>
    </row>
    <row r="436" spans="2:14" x14ac:dyDescent="0.25">
      <c r="B436" t="s">
        <v>0</v>
      </c>
      <c r="C436" t="s">
        <v>478</v>
      </c>
      <c r="D436" t="s">
        <v>18</v>
      </c>
      <c r="E436" t="s">
        <v>3</v>
      </c>
      <c r="F436" t="s">
        <v>4</v>
      </c>
      <c r="G436" s="2" t="str">
        <f t="shared" si="6"/>
        <v>AWR_08N_PR2/APPLIED-WATER</v>
      </c>
      <c r="H436" t="s">
        <v>305</v>
      </c>
      <c r="I436" t="s">
        <v>306</v>
      </c>
      <c r="L436" t="s">
        <v>8</v>
      </c>
      <c r="M436" t="s">
        <v>54</v>
      </c>
      <c r="N436" t="s">
        <v>9</v>
      </c>
    </row>
    <row r="437" spans="2:14" x14ac:dyDescent="0.25">
      <c r="B437" t="s">
        <v>0</v>
      </c>
      <c r="C437" t="s">
        <v>479</v>
      </c>
      <c r="D437" t="s">
        <v>18</v>
      </c>
      <c r="E437" t="s">
        <v>3</v>
      </c>
      <c r="F437" t="s">
        <v>4</v>
      </c>
      <c r="G437" s="2" t="str">
        <f t="shared" si="6"/>
        <v>AWR_08N_SA1/APPLIED-WATER</v>
      </c>
      <c r="H437" t="s">
        <v>305</v>
      </c>
      <c r="I437" t="s">
        <v>306</v>
      </c>
      <c r="L437" t="s">
        <v>8</v>
      </c>
      <c r="M437" t="s">
        <v>54</v>
      </c>
      <c r="N437" t="s">
        <v>9</v>
      </c>
    </row>
    <row r="438" spans="2:14" x14ac:dyDescent="0.25">
      <c r="B438" t="s">
        <v>0</v>
      </c>
      <c r="C438" t="s">
        <v>480</v>
      </c>
      <c r="D438" t="s">
        <v>18</v>
      </c>
      <c r="E438" t="s">
        <v>3</v>
      </c>
      <c r="F438" t="s">
        <v>4</v>
      </c>
      <c r="G438" s="2" t="str">
        <f t="shared" si="6"/>
        <v>AWR_08N_SA2/APPLIED-WATER</v>
      </c>
      <c r="H438" t="s">
        <v>305</v>
      </c>
      <c r="I438" t="s">
        <v>306</v>
      </c>
      <c r="L438" t="s">
        <v>8</v>
      </c>
      <c r="M438" t="s">
        <v>54</v>
      </c>
      <c r="N438" t="s">
        <v>9</v>
      </c>
    </row>
    <row r="439" spans="2:14" x14ac:dyDescent="0.25">
      <c r="B439" t="s">
        <v>0</v>
      </c>
      <c r="C439" t="s">
        <v>481</v>
      </c>
      <c r="D439" t="s">
        <v>18</v>
      </c>
      <c r="E439" t="s">
        <v>3</v>
      </c>
      <c r="F439" t="s">
        <v>4</v>
      </c>
      <c r="G439" s="2" t="str">
        <f t="shared" si="6"/>
        <v>AWR_08S_NA1/APPLIED-WATER</v>
      </c>
      <c r="H439" t="s">
        <v>305</v>
      </c>
      <c r="I439" t="s">
        <v>306</v>
      </c>
      <c r="L439" t="s">
        <v>8</v>
      </c>
      <c r="M439" t="s">
        <v>54</v>
      </c>
      <c r="N439" t="s">
        <v>9</v>
      </c>
    </row>
    <row r="440" spans="2:14" x14ac:dyDescent="0.25">
      <c r="B440" t="s">
        <v>0</v>
      </c>
      <c r="C440" t="s">
        <v>482</v>
      </c>
      <c r="D440" t="s">
        <v>18</v>
      </c>
      <c r="E440" t="s">
        <v>3</v>
      </c>
      <c r="F440" t="s">
        <v>4</v>
      </c>
      <c r="G440" s="2" t="str">
        <f t="shared" si="6"/>
        <v>AWR_08S_NA2/APPLIED-WATER</v>
      </c>
      <c r="H440" t="s">
        <v>305</v>
      </c>
      <c r="I440" t="s">
        <v>306</v>
      </c>
      <c r="L440" t="s">
        <v>8</v>
      </c>
      <c r="M440" t="s">
        <v>54</v>
      </c>
      <c r="N440" t="s">
        <v>9</v>
      </c>
    </row>
    <row r="441" spans="2:14" x14ac:dyDescent="0.25">
      <c r="B441" t="s">
        <v>0</v>
      </c>
      <c r="C441" t="s">
        <v>483</v>
      </c>
      <c r="D441" t="s">
        <v>18</v>
      </c>
      <c r="E441" t="s">
        <v>3</v>
      </c>
      <c r="F441" t="s">
        <v>4</v>
      </c>
      <c r="G441" s="2" t="str">
        <f t="shared" si="6"/>
        <v>AWR_08S_PA/APPLIED-WATER</v>
      </c>
      <c r="H441" t="s">
        <v>305</v>
      </c>
      <c r="I441" t="s">
        <v>306</v>
      </c>
      <c r="L441" t="s">
        <v>8</v>
      </c>
      <c r="M441" t="s">
        <v>54</v>
      </c>
      <c r="N441" t="s">
        <v>9</v>
      </c>
    </row>
    <row r="442" spans="2:14" x14ac:dyDescent="0.25">
      <c r="B442" t="s">
        <v>0</v>
      </c>
      <c r="C442" t="s">
        <v>484</v>
      </c>
      <c r="D442" t="s">
        <v>18</v>
      </c>
      <c r="E442" t="s">
        <v>3</v>
      </c>
      <c r="F442" t="s">
        <v>4</v>
      </c>
      <c r="G442" s="2" t="str">
        <f t="shared" si="6"/>
        <v>AWR_08S_PR/APPLIED-WATER</v>
      </c>
      <c r="H442" t="s">
        <v>305</v>
      </c>
      <c r="I442" t="s">
        <v>306</v>
      </c>
      <c r="L442" t="s">
        <v>8</v>
      </c>
      <c r="M442" t="s">
        <v>54</v>
      </c>
      <c r="N442" t="s">
        <v>9</v>
      </c>
    </row>
    <row r="443" spans="2:14" x14ac:dyDescent="0.25">
      <c r="B443" t="s">
        <v>0</v>
      </c>
      <c r="C443" t="s">
        <v>485</v>
      </c>
      <c r="D443" t="s">
        <v>18</v>
      </c>
      <c r="E443" t="s">
        <v>3</v>
      </c>
      <c r="F443" t="s">
        <v>4</v>
      </c>
      <c r="G443" s="2" t="str">
        <f t="shared" si="6"/>
        <v>AWR_08S_SA1/APPLIED-WATER</v>
      </c>
      <c r="H443" t="s">
        <v>305</v>
      </c>
      <c r="I443" t="s">
        <v>306</v>
      </c>
      <c r="L443" t="s">
        <v>8</v>
      </c>
      <c r="M443" t="s">
        <v>54</v>
      </c>
      <c r="N443" t="s">
        <v>9</v>
      </c>
    </row>
    <row r="444" spans="2:14" x14ac:dyDescent="0.25">
      <c r="B444" t="s">
        <v>0</v>
      </c>
      <c r="C444" t="s">
        <v>486</v>
      </c>
      <c r="D444" t="s">
        <v>18</v>
      </c>
      <c r="E444" t="s">
        <v>3</v>
      </c>
      <c r="F444" t="s">
        <v>4</v>
      </c>
      <c r="G444" s="2" t="str">
        <f t="shared" si="6"/>
        <v>AWR_08S_SA2/APPLIED-WATER</v>
      </c>
      <c r="H444" t="s">
        <v>305</v>
      </c>
      <c r="I444" t="s">
        <v>306</v>
      </c>
      <c r="L444" t="s">
        <v>8</v>
      </c>
      <c r="M444" t="s">
        <v>54</v>
      </c>
      <c r="N444" t="s">
        <v>9</v>
      </c>
    </row>
    <row r="445" spans="2:14" x14ac:dyDescent="0.25">
      <c r="B445" t="s">
        <v>0</v>
      </c>
      <c r="C445" t="s">
        <v>487</v>
      </c>
      <c r="D445" t="s">
        <v>18</v>
      </c>
      <c r="E445" t="s">
        <v>3</v>
      </c>
      <c r="F445" t="s">
        <v>4</v>
      </c>
      <c r="G445" s="2" t="str">
        <f t="shared" si="6"/>
        <v>AWR_08S_SA3/APPLIED-WATER</v>
      </c>
      <c r="H445" t="s">
        <v>305</v>
      </c>
      <c r="I445" t="s">
        <v>306</v>
      </c>
      <c r="L445" t="s">
        <v>8</v>
      </c>
      <c r="M445" t="s">
        <v>54</v>
      </c>
      <c r="N445" t="s">
        <v>9</v>
      </c>
    </row>
    <row r="446" spans="2:14" x14ac:dyDescent="0.25">
      <c r="B446" t="s">
        <v>0</v>
      </c>
      <c r="C446" t="s">
        <v>488</v>
      </c>
      <c r="D446" t="s">
        <v>18</v>
      </c>
      <c r="E446" t="s">
        <v>3</v>
      </c>
      <c r="F446" t="s">
        <v>4</v>
      </c>
      <c r="G446" s="2" t="str">
        <f t="shared" si="6"/>
        <v>AWR_09_NA/APPLIED-WATER</v>
      </c>
      <c r="H446" t="s">
        <v>305</v>
      </c>
      <c r="I446" t="s">
        <v>306</v>
      </c>
      <c r="L446" t="s">
        <v>8</v>
      </c>
      <c r="M446" t="s">
        <v>54</v>
      </c>
      <c r="N446" t="s">
        <v>9</v>
      </c>
    </row>
    <row r="447" spans="2:14" x14ac:dyDescent="0.25">
      <c r="B447" t="s">
        <v>0</v>
      </c>
      <c r="C447" t="s">
        <v>489</v>
      </c>
      <c r="D447" t="s">
        <v>18</v>
      </c>
      <c r="E447" t="s">
        <v>3</v>
      </c>
      <c r="F447" t="s">
        <v>4</v>
      </c>
      <c r="G447" s="2" t="str">
        <f t="shared" si="6"/>
        <v>AWR_09_PR/APPLIED-WATER</v>
      </c>
      <c r="H447" t="s">
        <v>305</v>
      </c>
      <c r="I447" t="s">
        <v>306</v>
      </c>
      <c r="L447" t="s">
        <v>8</v>
      </c>
      <c r="M447" t="s">
        <v>54</v>
      </c>
      <c r="N447" t="s">
        <v>9</v>
      </c>
    </row>
    <row r="448" spans="2:14" x14ac:dyDescent="0.25">
      <c r="B448" t="s">
        <v>0</v>
      </c>
      <c r="C448" t="s">
        <v>490</v>
      </c>
      <c r="D448" t="s">
        <v>18</v>
      </c>
      <c r="E448" t="s">
        <v>3</v>
      </c>
      <c r="F448" t="s">
        <v>4</v>
      </c>
      <c r="G448" s="2" t="str">
        <f t="shared" si="6"/>
        <v>AWR_09_SA1/APPLIED-WATER</v>
      </c>
      <c r="H448" t="s">
        <v>305</v>
      </c>
      <c r="I448" t="s">
        <v>306</v>
      </c>
      <c r="L448" t="s">
        <v>8</v>
      </c>
      <c r="M448" t="s">
        <v>54</v>
      </c>
      <c r="N448" t="s">
        <v>9</v>
      </c>
    </row>
    <row r="449" spans="2:14" x14ac:dyDescent="0.25">
      <c r="B449" t="s">
        <v>0</v>
      </c>
      <c r="C449" t="s">
        <v>491</v>
      </c>
      <c r="D449" t="s">
        <v>18</v>
      </c>
      <c r="E449" t="s">
        <v>3</v>
      </c>
      <c r="F449" t="s">
        <v>4</v>
      </c>
      <c r="G449" s="2" t="str">
        <f t="shared" si="6"/>
        <v>AWR_09_SA2/APPLIED-WATER</v>
      </c>
      <c r="H449" t="s">
        <v>305</v>
      </c>
      <c r="I449" t="s">
        <v>306</v>
      </c>
      <c r="L449" t="s">
        <v>8</v>
      </c>
      <c r="M449" t="s">
        <v>54</v>
      </c>
      <c r="N449" t="s">
        <v>9</v>
      </c>
    </row>
    <row r="450" spans="2:14" x14ac:dyDescent="0.25">
      <c r="B450" t="s">
        <v>0</v>
      </c>
      <c r="C450" t="s">
        <v>492</v>
      </c>
      <c r="D450" t="s">
        <v>18</v>
      </c>
      <c r="E450" t="s">
        <v>3</v>
      </c>
      <c r="F450" t="s">
        <v>4</v>
      </c>
      <c r="G450" s="2" t="str">
        <f t="shared" si="6"/>
        <v>AWR_10_NA/APPLIED-WATER</v>
      </c>
      <c r="H450" t="s">
        <v>305</v>
      </c>
      <c r="I450" t="s">
        <v>306</v>
      </c>
      <c r="L450" t="s">
        <v>8</v>
      </c>
      <c r="M450" t="s">
        <v>54</v>
      </c>
      <c r="N450" t="s">
        <v>9</v>
      </c>
    </row>
    <row r="451" spans="2:14" x14ac:dyDescent="0.25">
      <c r="B451" t="s">
        <v>0</v>
      </c>
      <c r="C451" t="s">
        <v>493</v>
      </c>
      <c r="D451" t="s">
        <v>18</v>
      </c>
      <c r="E451" t="s">
        <v>3</v>
      </c>
      <c r="F451" t="s">
        <v>4</v>
      </c>
      <c r="G451" s="2" t="str">
        <f t="shared" ref="G451:G514" si="7">_xlfn.CONCAT(C451,"/",D451)</f>
        <v>AWR_11_NA/APPLIED-WATER</v>
      </c>
      <c r="H451" t="s">
        <v>305</v>
      </c>
      <c r="I451" t="s">
        <v>306</v>
      </c>
      <c r="L451" t="s">
        <v>8</v>
      </c>
      <c r="M451" t="s">
        <v>54</v>
      </c>
      <c r="N451" t="s">
        <v>9</v>
      </c>
    </row>
    <row r="452" spans="2:14" x14ac:dyDescent="0.25">
      <c r="B452" t="s">
        <v>0</v>
      </c>
      <c r="C452" t="s">
        <v>494</v>
      </c>
      <c r="D452" t="s">
        <v>18</v>
      </c>
      <c r="E452" t="s">
        <v>3</v>
      </c>
      <c r="F452" t="s">
        <v>4</v>
      </c>
      <c r="G452" s="2" t="str">
        <f t="shared" si="7"/>
        <v>AWR_11_PR/APPLIED-WATER</v>
      </c>
      <c r="H452" t="s">
        <v>305</v>
      </c>
      <c r="I452" t="s">
        <v>306</v>
      </c>
      <c r="L452" t="s">
        <v>8</v>
      </c>
      <c r="M452" t="s">
        <v>54</v>
      </c>
      <c r="N452" t="s">
        <v>9</v>
      </c>
    </row>
    <row r="453" spans="2:14" x14ac:dyDescent="0.25">
      <c r="B453" t="s">
        <v>0</v>
      </c>
      <c r="C453" t="s">
        <v>495</v>
      </c>
      <c r="D453" t="s">
        <v>18</v>
      </c>
      <c r="E453" t="s">
        <v>3</v>
      </c>
      <c r="F453" t="s">
        <v>4</v>
      </c>
      <c r="G453" s="2" t="str">
        <f t="shared" si="7"/>
        <v>AWR_11_SA1/APPLIED-WATER</v>
      </c>
      <c r="H453" t="s">
        <v>305</v>
      </c>
      <c r="I453" t="s">
        <v>306</v>
      </c>
      <c r="L453" t="s">
        <v>8</v>
      </c>
      <c r="M453" t="s">
        <v>54</v>
      </c>
      <c r="N453" t="s">
        <v>9</v>
      </c>
    </row>
    <row r="454" spans="2:14" x14ac:dyDescent="0.25">
      <c r="B454" t="s">
        <v>0</v>
      </c>
      <c r="C454" t="s">
        <v>496</v>
      </c>
      <c r="D454" t="s">
        <v>18</v>
      </c>
      <c r="E454" t="s">
        <v>3</v>
      </c>
      <c r="F454" t="s">
        <v>4</v>
      </c>
      <c r="G454" s="2" t="str">
        <f t="shared" si="7"/>
        <v>AWR_11_SA2/APPLIED-WATER</v>
      </c>
      <c r="H454" t="s">
        <v>305</v>
      </c>
      <c r="I454" t="s">
        <v>306</v>
      </c>
      <c r="L454" t="s">
        <v>8</v>
      </c>
      <c r="M454" t="s">
        <v>54</v>
      </c>
      <c r="N454" t="s">
        <v>9</v>
      </c>
    </row>
    <row r="455" spans="2:14" x14ac:dyDescent="0.25">
      <c r="B455" t="s">
        <v>0</v>
      </c>
      <c r="C455" t="s">
        <v>497</v>
      </c>
      <c r="D455" t="s">
        <v>18</v>
      </c>
      <c r="E455" t="s">
        <v>3</v>
      </c>
      <c r="F455" t="s">
        <v>4</v>
      </c>
      <c r="G455" s="2" t="str">
        <f t="shared" si="7"/>
        <v>AWR_11_SA3/APPLIED-WATER</v>
      </c>
      <c r="H455" t="s">
        <v>305</v>
      </c>
      <c r="I455" t="s">
        <v>306</v>
      </c>
      <c r="L455" t="s">
        <v>8</v>
      </c>
      <c r="M455" t="s">
        <v>54</v>
      </c>
      <c r="N455" t="s">
        <v>9</v>
      </c>
    </row>
    <row r="456" spans="2:14" x14ac:dyDescent="0.25">
      <c r="B456" t="s">
        <v>0</v>
      </c>
      <c r="C456" t="s">
        <v>498</v>
      </c>
      <c r="D456" t="s">
        <v>18</v>
      </c>
      <c r="E456" t="s">
        <v>3</v>
      </c>
      <c r="F456" t="s">
        <v>4</v>
      </c>
      <c r="G456" s="2" t="str">
        <f t="shared" si="7"/>
        <v>AWR_11_SA4/APPLIED-WATER</v>
      </c>
      <c r="H456" t="s">
        <v>305</v>
      </c>
      <c r="I456" t="s">
        <v>306</v>
      </c>
      <c r="L456" t="s">
        <v>8</v>
      </c>
      <c r="M456" t="s">
        <v>54</v>
      </c>
      <c r="N456" t="s">
        <v>9</v>
      </c>
    </row>
    <row r="457" spans="2:14" x14ac:dyDescent="0.25">
      <c r="B457" t="s">
        <v>0</v>
      </c>
      <c r="C457" t="s">
        <v>499</v>
      </c>
      <c r="D457" t="s">
        <v>18</v>
      </c>
      <c r="E457" t="s">
        <v>3</v>
      </c>
      <c r="F457" t="s">
        <v>4</v>
      </c>
      <c r="G457" s="2" t="str">
        <f t="shared" si="7"/>
        <v>AWR_12_NA/APPLIED-WATER</v>
      </c>
      <c r="H457" t="s">
        <v>305</v>
      </c>
      <c r="I457" t="s">
        <v>306</v>
      </c>
      <c r="L457" t="s">
        <v>8</v>
      </c>
      <c r="M457" t="s">
        <v>54</v>
      </c>
      <c r="N457" t="s">
        <v>9</v>
      </c>
    </row>
    <row r="458" spans="2:14" x14ac:dyDescent="0.25">
      <c r="B458" t="s">
        <v>0</v>
      </c>
      <c r="C458" t="s">
        <v>500</v>
      </c>
      <c r="D458" t="s">
        <v>18</v>
      </c>
      <c r="E458" t="s">
        <v>3</v>
      </c>
      <c r="F458" t="s">
        <v>4</v>
      </c>
      <c r="G458" s="2" t="str">
        <f t="shared" si="7"/>
        <v>AWR_12_SA/APPLIED-WATER</v>
      </c>
      <c r="H458" t="s">
        <v>305</v>
      </c>
      <c r="I458" t="s">
        <v>306</v>
      </c>
      <c r="L458" t="s">
        <v>8</v>
      </c>
      <c r="M458" t="s">
        <v>54</v>
      </c>
      <c r="N458" t="s">
        <v>9</v>
      </c>
    </row>
    <row r="459" spans="2:14" x14ac:dyDescent="0.25">
      <c r="B459" t="s">
        <v>0</v>
      </c>
      <c r="C459" t="s">
        <v>501</v>
      </c>
      <c r="D459" t="s">
        <v>18</v>
      </c>
      <c r="E459" t="s">
        <v>3</v>
      </c>
      <c r="F459" t="s">
        <v>4</v>
      </c>
      <c r="G459" s="2" t="str">
        <f t="shared" si="7"/>
        <v>AWR_13_NA/APPLIED-WATER</v>
      </c>
      <c r="H459" t="s">
        <v>305</v>
      </c>
      <c r="I459" t="s">
        <v>306</v>
      </c>
      <c r="L459" t="s">
        <v>8</v>
      </c>
      <c r="M459" t="s">
        <v>54</v>
      </c>
      <c r="N459" t="s">
        <v>9</v>
      </c>
    </row>
    <row r="460" spans="2:14" x14ac:dyDescent="0.25">
      <c r="B460" t="s">
        <v>0</v>
      </c>
      <c r="C460" t="s">
        <v>502</v>
      </c>
      <c r="D460" t="s">
        <v>18</v>
      </c>
      <c r="E460" t="s">
        <v>3</v>
      </c>
      <c r="F460" t="s">
        <v>4</v>
      </c>
      <c r="G460" s="2" t="str">
        <f t="shared" si="7"/>
        <v>AWR_14_NA/APPLIED-WATER</v>
      </c>
      <c r="H460" t="s">
        <v>305</v>
      </c>
      <c r="I460" t="s">
        <v>306</v>
      </c>
      <c r="L460" t="s">
        <v>8</v>
      </c>
      <c r="M460" t="s">
        <v>54</v>
      </c>
      <c r="N460" t="s">
        <v>9</v>
      </c>
    </row>
    <row r="461" spans="2:14" x14ac:dyDescent="0.25">
      <c r="B461" t="s">
        <v>0</v>
      </c>
      <c r="C461" t="s">
        <v>503</v>
      </c>
      <c r="D461" t="s">
        <v>18</v>
      </c>
      <c r="E461" t="s">
        <v>3</v>
      </c>
      <c r="F461" t="s">
        <v>4</v>
      </c>
      <c r="G461" s="2" t="str">
        <f t="shared" si="7"/>
        <v>AWR_15N_NA1/APPLIED-WATER</v>
      </c>
      <c r="H461" t="s">
        <v>305</v>
      </c>
      <c r="I461" t="s">
        <v>306</v>
      </c>
      <c r="L461" t="s">
        <v>8</v>
      </c>
      <c r="M461" t="s">
        <v>54</v>
      </c>
      <c r="N461" t="s">
        <v>9</v>
      </c>
    </row>
    <row r="462" spans="2:14" x14ac:dyDescent="0.25">
      <c r="B462" t="s">
        <v>0</v>
      </c>
      <c r="C462" t="s">
        <v>504</v>
      </c>
      <c r="D462" t="s">
        <v>18</v>
      </c>
      <c r="E462" t="s">
        <v>3</v>
      </c>
      <c r="F462" t="s">
        <v>4</v>
      </c>
      <c r="G462" s="2" t="str">
        <f t="shared" si="7"/>
        <v>AWR_15N_NA2/APPLIED-WATER</v>
      </c>
      <c r="H462" t="s">
        <v>305</v>
      </c>
      <c r="I462" t="s">
        <v>306</v>
      </c>
      <c r="L462" t="s">
        <v>8</v>
      </c>
      <c r="M462" t="s">
        <v>54</v>
      </c>
      <c r="N462" t="s">
        <v>9</v>
      </c>
    </row>
    <row r="463" spans="2:14" x14ac:dyDescent="0.25">
      <c r="B463" t="s">
        <v>0</v>
      </c>
      <c r="C463" t="s">
        <v>505</v>
      </c>
      <c r="D463" t="s">
        <v>18</v>
      </c>
      <c r="E463" t="s">
        <v>3</v>
      </c>
      <c r="F463" t="s">
        <v>4</v>
      </c>
      <c r="G463" s="2" t="str">
        <f t="shared" si="7"/>
        <v>AWR_15N_SA/APPLIED-WATER</v>
      </c>
      <c r="H463" t="s">
        <v>305</v>
      </c>
      <c r="I463" t="s">
        <v>306</v>
      </c>
      <c r="L463" t="s">
        <v>8</v>
      </c>
      <c r="M463" t="s">
        <v>54</v>
      </c>
      <c r="N463" t="s">
        <v>9</v>
      </c>
    </row>
    <row r="464" spans="2:14" x14ac:dyDescent="0.25">
      <c r="B464" t="s">
        <v>0</v>
      </c>
      <c r="C464" t="s">
        <v>506</v>
      </c>
      <c r="D464" t="s">
        <v>18</v>
      </c>
      <c r="E464" t="s">
        <v>3</v>
      </c>
      <c r="F464" t="s">
        <v>4</v>
      </c>
      <c r="G464" s="2" t="str">
        <f t="shared" si="7"/>
        <v>AWR_15S_NA1/APPLIED-WATER</v>
      </c>
      <c r="H464" t="s">
        <v>305</v>
      </c>
      <c r="I464" t="s">
        <v>306</v>
      </c>
      <c r="L464" t="s">
        <v>8</v>
      </c>
      <c r="M464" t="s">
        <v>54</v>
      </c>
      <c r="N464" t="s">
        <v>9</v>
      </c>
    </row>
    <row r="465" spans="2:14" x14ac:dyDescent="0.25">
      <c r="B465" t="s">
        <v>0</v>
      </c>
      <c r="C465" t="s">
        <v>507</v>
      </c>
      <c r="D465" t="s">
        <v>18</v>
      </c>
      <c r="E465" t="s">
        <v>3</v>
      </c>
      <c r="F465" t="s">
        <v>4</v>
      </c>
      <c r="G465" s="2" t="str">
        <f t="shared" si="7"/>
        <v>AWR_15S_NA2/APPLIED-WATER</v>
      </c>
      <c r="H465" t="s">
        <v>305</v>
      </c>
      <c r="I465" t="s">
        <v>306</v>
      </c>
      <c r="L465" t="s">
        <v>8</v>
      </c>
      <c r="M465" t="s">
        <v>54</v>
      </c>
      <c r="N465" t="s">
        <v>9</v>
      </c>
    </row>
    <row r="466" spans="2:14" x14ac:dyDescent="0.25">
      <c r="B466" t="s">
        <v>0</v>
      </c>
      <c r="C466" t="s">
        <v>508</v>
      </c>
      <c r="D466" t="s">
        <v>18</v>
      </c>
      <c r="E466" t="s">
        <v>3</v>
      </c>
      <c r="F466" t="s">
        <v>4</v>
      </c>
      <c r="G466" s="2" t="str">
        <f t="shared" si="7"/>
        <v>AWR_15S_SA/APPLIED-WATER</v>
      </c>
      <c r="H466" t="s">
        <v>305</v>
      </c>
      <c r="I466" t="s">
        <v>306</v>
      </c>
      <c r="L466" t="s">
        <v>8</v>
      </c>
      <c r="M466" t="s">
        <v>54</v>
      </c>
      <c r="N466" t="s">
        <v>9</v>
      </c>
    </row>
    <row r="467" spans="2:14" x14ac:dyDescent="0.25">
      <c r="B467" t="s">
        <v>0</v>
      </c>
      <c r="C467" t="s">
        <v>509</v>
      </c>
      <c r="D467" t="s">
        <v>18</v>
      </c>
      <c r="E467" t="s">
        <v>3</v>
      </c>
      <c r="F467" t="s">
        <v>4</v>
      </c>
      <c r="G467" s="2" t="str">
        <f t="shared" si="7"/>
        <v>AWR_16_NA1/APPLIED-WATER</v>
      </c>
      <c r="H467" t="s">
        <v>305</v>
      </c>
      <c r="I467" t="s">
        <v>306</v>
      </c>
      <c r="L467" t="s">
        <v>8</v>
      </c>
      <c r="M467" t="s">
        <v>54</v>
      </c>
      <c r="N467" t="s">
        <v>9</v>
      </c>
    </row>
    <row r="468" spans="2:14" x14ac:dyDescent="0.25">
      <c r="B468" t="s">
        <v>0</v>
      </c>
      <c r="C468" t="s">
        <v>510</v>
      </c>
      <c r="D468" t="s">
        <v>18</v>
      </c>
      <c r="E468" t="s">
        <v>3</v>
      </c>
      <c r="F468" t="s">
        <v>4</v>
      </c>
      <c r="G468" s="2" t="str">
        <f t="shared" si="7"/>
        <v>AWR_16_NA2/APPLIED-WATER</v>
      </c>
      <c r="H468" t="s">
        <v>305</v>
      </c>
      <c r="I468" t="s">
        <v>306</v>
      </c>
      <c r="L468" t="s">
        <v>8</v>
      </c>
      <c r="M468" t="s">
        <v>54</v>
      </c>
      <c r="N468" t="s">
        <v>9</v>
      </c>
    </row>
    <row r="469" spans="2:14" x14ac:dyDescent="0.25">
      <c r="B469" t="s">
        <v>0</v>
      </c>
      <c r="C469" t="s">
        <v>511</v>
      </c>
      <c r="D469" t="s">
        <v>18</v>
      </c>
      <c r="E469" t="s">
        <v>3</v>
      </c>
      <c r="F469" t="s">
        <v>4</v>
      </c>
      <c r="G469" s="2" t="str">
        <f t="shared" si="7"/>
        <v>AWR_16_PA/APPLIED-WATER</v>
      </c>
      <c r="H469" t="s">
        <v>305</v>
      </c>
      <c r="I469" t="s">
        <v>306</v>
      </c>
      <c r="L469" t="s">
        <v>8</v>
      </c>
      <c r="M469" t="s">
        <v>54</v>
      </c>
      <c r="N469" t="s">
        <v>9</v>
      </c>
    </row>
    <row r="470" spans="2:14" x14ac:dyDescent="0.25">
      <c r="B470" t="s">
        <v>0</v>
      </c>
      <c r="C470" t="s">
        <v>512</v>
      </c>
      <c r="D470" t="s">
        <v>18</v>
      </c>
      <c r="E470" t="s">
        <v>3</v>
      </c>
      <c r="F470" t="s">
        <v>4</v>
      </c>
      <c r="G470" s="2" t="str">
        <f t="shared" si="7"/>
        <v>AWR_16_SA/APPLIED-WATER</v>
      </c>
      <c r="H470" t="s">
        <v>305</v>
      </c>
      <c r="I470" t="s">
        <v>306</v>
      </c>
      <c r="L470" t="s">
        <v>8</v>
      </c>
      <c r="M470" t="s">
        <v>54</v>
      </c>
      <c r="N470" t="s">
        <v>9</v>
      </c>
    </row>
    <row r="471" spans="2:14" x14ac:dyDescent="0.25">
      <c r="B471" t="s">
        <v>0</v>
      </c>
      <c r="C471" t="s">
        <v>513</v>
      </c>
      <c r="D471" t="s">
        <v>18</v>
      </c>
      <c r="E471" t="s">
        <v>3</v>
      </c>
      <c r="F471" t="s">
        <v>4</v>
      </c>
      <c r="G471" s="2" t="str">
        <f t="shared" si="7"/>
        <v>AWR_17N_NA/APPLIED-WATER</v>
      </c>
      <c r="H471" t="s">
        <v>305</v>
      </c>
      <c r="I471" t="s">
        <v>306</v>
      </c>
      <c r="L471" t="s">
        <v>8</v>
      </c>
      <c r="M471" t="s">
        <v>54</v>
      </c>
      <c r="N471" t="s">
        <v>9</v>
      </c>
    </row>
    <row r="472" spans="2:14" x14ac:dyDescent="0.25">
      <c r="B472" t="s">
        <v>0</v>
      </c>
      <c r="C472" t="s">
        <v>514</v>
      </c>
      <c r="D472" t="s">
        <v>18</v>
      </c>
      <c r="E472" t="s">
        <v>3</v>
      </c>
      <c r="F472" t="s">
        <v>4</v>
      </c>
      <c r="G472" s="2" t="str">
        <f t="shared" si="7"/>
        <v>AWR_17N_NR/APPLIED-WATER</v>
      </c>
      <c r="H472" t="s">
        <v>305</v>
      </c>
      <c r="I472" t="s">
        <v>306</v>
      </c>
      <c r="L472" t="s">
        <v>8</v>
      </c>
      <c r="M472" t="s">
        <v>54</v>
      </c>
      <c r="N472" t="s">
        <v>9</v>
      </c>
    </row>
    <row r="473" spans="2:14" x14ac:dyDescent="0.25">
      <c r="B473" t="s">
        <v>0</v>
      </c>
      <c r="C473" t="s">
        <v>515</v>
      </c>
      <c r="D473" t="s">
        <v>18</v>
      </c>
      <c r="E473" t="s">
        <v>3</v>
      </c>
      <c r="F473" t="s">
        <v>4</v>
      </c>
      <c r="G473" s="2" t="str">
        <f t="shared" si="7"/>
        <v>AWR_17N_PR/APPLIED-WATER</v>
      </c>
      <c r="H473" t="s">
        <v>305</v>
      </c>
      <c r="I473" t="s">
        <v>306</v>
      </c>
      <c r="L473" t="s">
        <v>8</v>
      </c>
      <c r="M473" t="s">
        <v>54</v>
      </c>
      <c r="N473" t="s">
        <v>9</v>
      </c>
    </row>
    <row r="474" spans="2:14" x14ac:dyDescent="0.25">
      <c r="B474" t="s">
        <v>0</v>
      </c>
      <c r="C474" t="s">
        <v>516</v>
      </c>
      <c r="D474" t="s">
        <v>18</v>
      </c>
      <c r="E474" t="s">
        <v>3</v>
      </c>
      <c r="F474" t="s">
        <v>4</v>
      </c>
      <c r="G474" s="2" t="str">
        <f t="shared" si="7"/>
        <v>AWR_17S_NA/APPLIED-WATER</v>
      </c>
      <c r="H474" t="s">
        <v>305</v>
      </c>
      <c r="I474" t="s">
        <v>306</v>
      </c>
      <c r="L474" t="s">
        <v>8</v>
      </c>
      <c r="M474" t="s">
        <v>54</v>
      </c>
      <c r="N474" t="s">
        <v>9</v>
      </c>
    </row>
    <row r="475" spans="2:14" x14ac:dyDescent="0.25">
      <c r="B475" t="s">
        <v>0</v>
      </c>
      <c r="C475" t="s">
        <v>517</v>
      </c>
      <c r="D475" t="s">
        <v>18</v>
      </c>
      <c r="E475" t="s">
        <v>3</v>
      </c>
      <c r="F475" t="s">
        <v>4</v>
      </c>
      <c r="G475" s="2" t="str">
        <f t="shared" si="7"/>
        <v>AWR_17S_PR/APPLIED-WATER</v>
      </c>
      <c r="H475" t="s">
        <v>305</v>
      </c>
      <c r="I475" t="s">
        <v>306</v>
      </c>
      <c r="L475" t="s">
        <v>8</v>
      </c>
      <c r="M475" t="s">
        <v>54</v>
      </c>
      <c r="N475" t="s">
        <v>9</v>
      </c>
    </row>
    <row r="476" spans="2:14" x14ac:dyDescent="0.25">
      <c r="B476" t="s">
        <v>0</v>
      </c>
      <c r="C476" t="s">
        <v>518</v>
      </c>
      <c r="D476" t="s">
        <v>18</v>
      </c>
      <c r="E476" t="s">
        <v>3</v>
      </c>
      <c r="F476" t="s">
        <v>4</v>
      </c>
      <c r="G476" s="2" t="str">
        <f t="shared" si="7"/>
        <v>AWR_17S_SA/APPLIED-WATER</v>
      </c>
      <c r="H476" t="s">
        <v>305</v>
      </c>
      <c r="I476" t="s">
        <v>306</v>
      </c>
      <c r="L476" t="s">
        <v>8</v>
      </c>
      <c r="M476" t="s">
        <v>54</v>
      </c>
      <c r="N476" t="s">
        <v>9</v>
      </c>
    </row>
    <row r="477" spans="2:14" x14ac:dyDescent="0.25">
      <c r="B477" t="s">
        <v>0</v>
      </c>
      <c r="C477" t="s">
        <v>519</v>
      </c>
      <c r="D477" t="s">
        <v>18</v>
      </c>
      <c r="E477" t="s">
        <v>3</v>
      </c>
      <c r="F477" t="s">
        <v>4</v>
      </c>
      <c r="G477" s="2" t="str">
        <f t="shared" si="7"/>
        <v>AWR_18_NA/APPLIED-WATER</v>
      </c>
      <c r="H477" t="s">
        <v>305</v>
      </c>
      <c r="I477" t="s">
        <v>306</v>
      </c>
      <c r="L477" t="s">
        <v>8</v>
      </c>
      <c r="M477" t="s">
        <v>54</v>
      </c>
      <c r="N477" t="s">
        <v>9</v>
      </c>
    </row>
    <row r="478" spans="2:14" x14ac:dyDescent="0.25">
      <c r="B478" t="s">
        <v>0</v>
      </c>
      <c r="C478" t="s">
        <v>520</v>
      </c>
      <c r="D478" t="s">
        <v>18</v>
      </c>
      <c r="E478" t="s">
        <v>3</v>
      </c>
      <c r="F478" t="s">
        <v>4</v>
      </c>
      <c r="G478" s="2" t="str">
        <f t="shared" si="7"/>
        <v>AWR_18_SA/APPLIED-WATER</v>
      </c>
      <c r="H478" t="s">
        <v>305</v>
      </c>
      <c r="I478" t="s">
        <v>306</v>
      </c>
      <c r="L478" t="s">
        <v>8</v>
      </c>
      <c r="M478" t="s">
        <v>54</v>
      </c>
      <c r="N478" t="s">
        <v>9</v>
      </c>
    </row>
    <row r="479" spans="2:14" x14ac:dyDescent="0.25">
      <c r="B479" t="s">
        <v>0</v>
      </c>
      <c r="C479" t="s">
        <v>521</v>
      </c>
      <c r="D479" t="s">
        <v>18</v>
      </c>
      <c r="E479" t="s">
        <v>3</v>
      </c>
      <c r="F479" t="s">
        <v>4</v>
      </c>
      <c r="G479" s="2" t="str">
        <f t="shared" si="7"/>
        <v>AWR_19_SA/APPLIED-WATER</v>
      </c>
      <c r="H479" t="s">
        <v>305</v>
      </c>
      <c r="I479" t="s">
        <v>306</v>
      </c>
      <c r="L479" t="s">
        <v>8</v>
      </c>
      <c r="M479" t="s">
        <v>54</v>
      </c>
      <c r="N479" t="s">
        <v>9</v>
      </c>
    </row>
    <row r="480" spans="2:14" x14ac:dyDescent="0.25">
      <c r="B480" t="s">
        <v>0</v>
      </c>
      <c r="C480" t="s">
        <v>522</v>
      </c>
      <c r="D480" t="s">
        <v>18</v>
      </c>
      <c r="E480" t="s">
        <v>3</v>
      </c>
      <c r="F480" t="s">
        <v>4</v>
      </c>
      <c r="G480" s="2" t="str">
        <f t="shared" si="7"/>
        <v>AWR_20_NA1/APPLIED-WATER</v>
      </c>
      <c r="H480" t="s">
        <v>305</v>
      </c>
      <c r="I480" t="s">
        <v>306</v>
      </c>
      <c r="L480" t="s">
        <v>8</v>
      </c>
      <c r="M480" t="s">
        <v>54</v>
      </c>
      <c r="N480" t="s">
        <v>9</v>
      </c>
    </row>
    <row r="481" spans="2:14" x14ac:dyDescent="0.25">
      <c r="B481" t="s">
        <v>0</v>
      </c>
      <c r="C481" t="s">
        <v>523</v>
      </c>
      <c r="D481" t="s">
        <v>18</v>
      </c>
      <c r="E481" t="s">
        <v>3</v>
      </c>
      <c r="F481" t="s">
        <v>4</v>
      </c>
      <c r="G481" s="2" t="str">
        <f t="shared" si="7"/>
        <v>AWR_20_NA2/APPLIED-WATER</v>
      </c>
      <c r="H481" t="s">
        <v>305</v>
      </c>
      <c r="I481" t="s">
        <v>306</v>
      </c>
      <c r="L481" t="s">
        <v>8</v>
      </c>
      <c r="M481" t="s">
        <v>54</v>
      </c>
      <c r="N481" t="s">
        <v>9</v>
      </c>
    </row>
    <row r="482" spans="2:14" x14ac:dyDescent="0.25">
      <c r="B482" t="s">
        <v>0</v>
      </c>
      <c r="C482" t="s">
        <v>524</v>
      </c>
      <c r="D482" t="s">
        <v>18</v>
      </c>
      <c r="E482" t="s">
        <v>3</v>
      </c>
      <c r="F482" t="s">
        <v>4</v>
      </c>
      <c r="G482" s="2" t="str">
        <f t="shared" si="7"/>
        <v>AWR_20_PA/APPLIED-WATER</v>
      </c>
      <c r="H482" t="s">
        <v>305</v>
      </c>
      <c r="I482" t="s">
        <v>306</v>
      </c>
      <c r="L482" t="s">
        <v>8</v>
      </c>
      <c r="M482" t="s">
        <v>54</v>
      </c>
      <c r="N482" t="s">
        <v>9</v>
      </c>
    </row>
    <row r="483" spans="2:14" x14ac:dyDescent="0.25">
      <c r="B483" t="s">
        <v>0</v>
      </c>
      <c r="C483" t="s">
        <v>525</v>
      </c>
      <c r="D483" t="s">
        <v>18</v>
      </c>
      <c r="E483" t="s">
        <v>3</v>
      </c>
      <c r="F483" t="s">
        <v>4</v>
      </c>
      <c r="G483" s="2" t="str">
        <f t="shared" si="7"/>
        <v>AWR_21_NA/APPLIED-WATER</v>
      </c>
      <c r="H483" t="s">
        <v>305</v>
      </c>
      <c r="I483" t="s">
        <v>306</v>
      </c>
      <c r="L483" t="s">
        <v>8</v>
      </c>
      <c r="M483" t="s">
        <v>54</v>
      </c>
      <c r="N483" t="s">
        <v>9</v>
      </c>
    </row>
    <row r="484" spans="2:14" x14ac:dyDescent="0.25">
      <c r="B484" t="s">
        <v>0</v>
      </c>
      <c r="C484" t="s">
        <v>526</v>
      </c>
      <c r="D484" t="s">
        <v>18</v>
      </c>
      <c r="E484" t="s">
        <v>3</v>
      </c>
      <c r="F484" t="s">
        <v>4</v>
      </c>
      <c r="G484" s="2" t="str">
        <f t="shared" si="7"/>
        <v>AWR_21_PA/APPLIED-WATER</v>
      </c>
      <c r="H484" t="s">
        <v>305</v>
      </c>
      <c r="I484" t="s">
        <v>306</v>
      </c>
      <c r="L484" t="s">
        <v>8</v>
      </c>
      <c r="M484" t="s">
        <v>54</v>
      </c>
      <c r="N484" t="s">
        <v>9</v>
      </c>
    </row>
    <row r="485" spans="2:14" x14ac:dyDescent="0.25">
      <c r="B485" t="s">
        <v>0</v>
      </c>
      <c r="C485" t="s">
        <v>527</v>
      </c>
      <c r="D485" t="s">
        <v>18</v>
      </c>
      <c r="E485" t="s">
        <v>3</v>
      </c>
      <c r="F485" t="s">
        <v>4</v>
      </c>
      <c r="G485" s="2" t="str">
        <f t="shared" si="7"/>
        <v>AWR_21_SA/APPLIED-WATER</v>
      </c>
      <c r="H485" t="s">
        <v>305</v>
      </c>
      <c r="I485" t="s">
        <v>306</v>
      </c>
      <c r="L485" t="s">
        <v>8</v>
      </c>
      <c r="M485" t="s">
        <v>54</v>
      </c>
      <c r="N485" t="s">
        <v>9</v>
      </c>
    </row>
    <row r="486" spans="2:14" x14ac:dyDescent="0.25">
      <c r="B486" t="s">
        <v>0</v>
      </c>
      <c r="C486" t="s">
        <v>528</v>
      </c>
      <c r="D486" t="s">
        <v>18</v>
      </c>
      <c r="E486" t="s">
        <v>3</v>
      </c>
      <c r="F486" t="s">
        <v>4</v>
      </c>
      <c r="G486" s="2" t="str">
        <f t="shared" si="7"/>
        <v>AWR_22_NA/APPLIED-WATER</v>
      </c>
      <c r="H486" t="s">
        <v>305</v>
      </c>
      <c r="I486" t="s">
        <v>306</v>
      </c>
      <c r="L486" t="s">
        <v>8</v>
      </c>
      <c r="M486" t="s">
        <v>54</v>
      </c>
      <c r="N486" t="s">
        <v>9</v>
      </c>
    </row>
    <row r="487" spans="2:14" x14ac:dyDescent="0.25">
      <c r="B487" t="s">
        <v>0</v>
      </c>
      <c r="C487" t="s">
        <v>529</v>
      </c>
      <c r="D487" t="s">
        <v>18</v>
      </c>
      <c r="E487" t="s">
        <v>3</v>
      </c>
      <c r="F487" t="s">
        <v>4</v>
      </c>
      <c r="G487" s="2" t="str">
        <f t="shared" si="7"/>
        <v>AWR_22_SA1/APPLIED-WATER</v>
      </c>
      <c r="H487" t="s">
        <v>305</v>
      </c>
      <c r="I487" t="s">
        <v>306</v>
      </c>
      <c r="L487" t="s">
        <v>8</v>
      </c>
      <c r="M487" t="s">
        <v>54</v>
      </c>
      <c r="N487" t="s">
        <v>9</v>
      </c>
    </row>
    <row r="488" spans="2:14" x14ac:dyDescent="0.25">
      <c r="B488" t="s">
        <v>0</v>
      </c>
      <c r="C488" t="s">
        <v>530</v>
      </c>
      <c r="D488" t="s">
        <v>18</v>
      </c>
      <c r="E488" t="s">
        <v>3</v>
      </c>
      <c r="F488" t="s">
        <v>4</v>
      </c>
      <c r="G488" s="2" t="str">
        <f t="shared" si="7"/>
        <v>AWR_22_SA2/APPLIED-WATER</v>
      </c>
      <c r="H488" t="s">
        <v>305</v>
      </c>
      <c r="I488" t="s">
        <v>306</v>
      </c>
      <c r="L488" t="s">
        <v>8</v>
      </c>
      <c r="M488" t="s">
        <v>54</v>
      </c>
      <c r="N488" t="s">
        <v>9</v>
      </c>
    </row>
    <row r="489" spans="2:14" x14ac:dyDescent="0.25">
      <c r="B489" t="s">
        <v>0</v>
      </c>
      <c r="C489" t="s">
        <v>531</v>
      </c>
      <c r="D489" t="s">
        <v>18</v>
      </c>
      <c r="E489" t="s">
        <v>3</v>
      </c>
      <c r="F489" t="s">
        <v>4</v>
      </c>
      <c r="G489" s="2" t="str">
        <f t="shared" si="7"/>
        <v>AWR_23_NA/APPLIED-WATER</v>
      </c>
      <c r="H489" t="s">
        <v>305</v>
      </c>
      <c r="I489" t="s">
        <v>306</v>
      </c>
      <c r="L489" t="s">
        <v>8</v>
      </c>
      <c r="M489" t="s">
        <v>54</v>
      </c>
      <c r="N489" t="s">
        <v>9</v>
      </c>
    </row>
    <row r="490" spans="2:14" x14ac:dyDescent="0.25">
      <c r="B490" t="s">
        <v>0</v>
      </c>
      <c r="C490" t="s">
        <v>532</v>
      </c>
      <c r="D490" t="s">
        <v>18</v>
      </c>
      <c r="E490" t="s">
        <v>3</v>
      </c>
      <c r="F490" t="s">
        <v>4</v>
      </c>
      <c r="G490" s="2" t="str">
        <f t="shared" si="7"/>
        <v>AWR_24_NA1/APPLIED-WATER</v>
      </c>
      <c r="H490" t="s">
        <v>305</v>
      </c>
      <c r="I490" t="s">
        <v>306</v>
      </c>
      <c r="L490" t="s">
        <v>8</v>
      </c>
      <c r="M490" t="s">
        <v>54</v>
      </c>
      <c r="N490" t="s">
        <v>9</v>
      </c>
    </row>
    <row r="491" spans="2:14" x14ac:dyDescent="0.25">
      <c r="B491" t="s">
        <v>0</v>
      </c>
      <c r="C491" t="s">
        <v>533</v>
      </c>
      <c r="D491" t="s">
        <v>18</v>
      </c>
      <c r="E491" t="s">
        <v>3</v>
      </c>
      <c r="F491" t="s">
        <v>4</v>
      </c>
      <c r="G491" s="2" t="str">
        <f t="shared" si="7"/>
        <v>AWR_24_NA2/APPLIED-WATER</v>
      </c>
      <c r="H491" t="s">
        <v>305</v>
      </c>
      <c r="I491" t="s">
        <v>306</v>
      </c>
      <c r="L491" t="s">
        <v>8</v>
      </c>
      <c r="M491" t="s">
        <v>54</v>
      </c>
      <c r="N491" t="s">
        <v>9</v>
      </c>
    </row>
    <row r="492" spans="2:14" x14ac:dyDescent="0.25">
      <c r="B492" t="s">
        <v>0</v>
      </c>
      <c r="C492" t="s">
        <v>534</v>
      </c>
      <c r="D492" t="s">
        <v>18</v>
      </c>
      <c r="E492" t="s">
        <v>3</v>
      </c>
      <c r="F492" t="s">
        <v>4</v>
      </c>
      <c r="G492" s="2" t="str">
        <f t="shared" si="7"/>
        <v>AWR_24_NA3/APPLIED-WATER</v>
      </c>
      <c r="H492" t="s">
        <v>305</v>
      </c>
      <c r="I492" t="s">
        <v>306</v>
      </c>
      <c r="L492" t="s">
        <v>8</v>
      </c>
      <c r="M492" t="s">
        <v>54</v>
      </c>
      <c r="N492" t="s">
        <v>9</v>
      </c>
    </row>
    <row r="493" spans="2:14" x14ac:dyDescent="0.25">
      <c r="B493" t="s">
        <v>0</v>
      </c>
      <c r="C493" t="s">
        <v>535</v>
      </c>
      <c r="D493" t="s">
        <v>18</v>
      </c>
      <c r="E493" t="s">
        <v>3</v>
      </c>
      <c r="F493" t="s">
        <v>4</v>
      </c>
      <c r="G493" s="2" t="str">
        <f t="shared" si="7"/>
        <v>AWR_25_NA/APPLIED-WATER</v>
      </c>
      <c r="H493" t="s">
        <v>305</v>
      </c>
      <c r="I493" t="s">
        <v>306</v>
      </c>
      <c r="L493" t="s">
        <v>8</v>
      </c>
      <c r="M493" t="s">
        <v>54</v>
      </c>
      <c r="N493" t="s">
        <v>9</v>
      </c>
    </row>
    <row r="494" spans="2:14" x14ac:dyDescent="0.25">
      <c r="B494" t="s">
        <v>0</v>
      </c>
      <c r="C494" t="s">
        <v>536</v>
      </c>
      <c r="D494" t="s">
        <v>18</v>
      </c>
      <c r="E494" t="s">
        <v>3</v>
      </c>
      <c r="F494" t="s">
        <v>4</v>
      </c>
      <c r="G494" s="2" t="str">
        <f t="shared" si="7"/>
        <v>AWR_25_PA1/APPLIED-WATER</v>
      </c>
      <c r="H494" t="s">
        <v>305</v>
      </c>
      <c r="I494" t="s">
        <v>306</v>
      </c>
      <c r="L494" t="s">
        <v>8</v>
      </c>
      <c r="M494" t="s">
        <v>54</v>
      </c>
      <c r="N494" t="s">
        <v>9</v>
      </c>
    </row>
    <row r="495" spans="2:14" x14ac:dyDescent="0.25">
      <c r="B495" t="s">
        <v>0</v>
      </c>
      <c r="C495" t="s">
        <v>537</v>
      </c>
      <c r="D495" t="s">
        <v>18</v>
      </c>
      <c r="E495" t="s">
        <v>3</v>
      </c>
      <c r="F495" t="s">
        <v>4</v>
      </c>
      <c r="G495" s="2" t="str">
        <f t="shared" si="7"/>
        <v>AWR_25_PA2/APPLIED-WATER</v>
      </c>
      <c r="H495" t="s">
        <v>305</v>
      </c>
      <c r="I495" t="s">
        <v>306</v>
      </c>
      <c r="L495" t="s">
        <v>8</v>
      </c>
      <c r="M495" t="s">
        <v>54</v>
      </c>
      <c r="N495" t="s">
        <v>9</v>
      </c>
    </row>
    <row r="496" spans="2:14" x14ac:dyDescent="0.25">
      <c r="B496" t="s">
        <v>0</v>
      </c>
      <c r="C496" t="s">
        <v>538</v>
      </c>
      <c r="D496" t="s">
        <v>18</v>
      </c>
      <c r="E496" t="s">
        <v>3</v>
      </c>
      <c r="F496" t="s">
        <v>4</v>
      </c>
      <c r="G496" s="2" t="str">
        <f t="shared" si="7"/>
        <v>AWR_26N_NA/APPLIED-WATER</v>
      </c>
      <c r="H496" t="s">
        <v>305</v>
      </c>
      <c r="I496" t="s">
        <v>306</v>
      </c>
      <c r="L496" t="s">
        <v>8</v>
      </c>
      <c r="M496" t="s">
        <v>54</v>
      </c>
      <c r="N496" t="s">
        <v>9</v>
      </c>
    </row>
    <row r="497" spans="2:14" x14ac:dyDescent="0.25">
      <c r="B497" t="s">
        <v>0</v>
      </c>
      <c r="C497" t="s">
        <v>539</v>
      </c>
      <c r="D497" t="s">
        <v>18</v>
      </c>
      <c r="E497" t="s">
        <v>3</v>
      </c>
      <c r="F497" t="s">
        <v>4</v>
      </c>
      <c r="G497" s="2" t="str">
        <f t="shared" si="7"/>
        <v>AWR_26S_NA/APPLIED-WATER</v>
      </c>
      <c r="H497" t="s">
        <v>305</v>
      </c>
      <c r="I497" t="s">
        <v>306</v>
      </c>
      <c r="L497" t="s">
        <v>8</v>
      </c>
      <c r="M497" t="s">
        <v>54</v>
      </c>
      <c r="N497" t="s">
        <v>9</v>
      </c>
    </row>
    <row r="498" spans="2:14" x14ac:dyDescent="0.25">
      <c r="B498" t="s">
        <v>0</v>
      </c>
      <c r="C498" t="s">
        <v>540</v>
      </c>
      <c r="D498" t="s">
        <v>18</v>
      </c>
      <c r="E498" t="s">
        <v>3</v>
      </c>
      <c r="F498" t="s">
        <v>4</v>
      </c>
      <c r="G498" s="2" t="str">
        <f t="shared" si="7"/>
        <v>AWR_50_PA1/APPLIED-WATER</v>
      </c>
      <c r="H498" t="s">
        <v>305</v>
      </c>
      <c r="I498" t="s">
        <v>306</v>
      </c>
      <c r="L498" t="s">
        <v>8</v>
      </c>
      <c r="M498" t="s">
        <v>54</v>
      </c>
      <c r="N498" t="s">
        <v>9</v>
      </c>
    </row>
    <row r="499" spans="2:14" x14ac:dyDescent="0.25">
      <c r="B499" t="s">
        <v>0</v>
      </c>
      <c r="C499" t="s">
        <v>541</v>
      </c>
      <c r="D499" t="s">
        <v>18</v>
      </c>
      <c r="E499" t="s">
        <v>3</v>
      </c>
      <c r="F499" t="s">
        <v>4</v>
      </c>
      <c r="G499" s="2" t="str">
        <f t="shared" si="7"/>
        <v>AWR_60N_NA1/APPLIED-WATER</v>
      </c>
      <c r="H499" t="s">
        <v>305</v>
      </c>
      <c r="I499" t="s">
        <v>306</v>
      </c>
      <c r="L499" t="s">
        <v>8</v>
      </c>
      <c r="M499" t="s">
        <v>54</v>
      </c>
      <c r="N499" t="s">
        <v>9</v>
      </c>
    </row>
    <row r="500" spans="2:14" x14ac:dyDescent="0.25">
      <c r="B500" t="s">
        <v>0</v>
      </c>
      <c r="C500" t="s">
        <v>542</v>
      </c>
      <c r="D500" t="s">
        <v>18</v>
      </c>
      <c r="E500" t="s">
        <v>3</v>
      </c>
      <c r="F500" t="s">
        <v>4</v>
      </c>
      <c r="G500" s="2" t="str">
        <f t="shared" si="7"/>
        <v>AWR_60N_NA2/APPLIED-WATER</v>
      </c>
      <c r="H500" t="s">
        <v>305</v>
      </c>
      <c r="I500" t="s">
        <v>306</v>
      </c>
      <c r="L500" t="s">
        <v>8</v>
      </c>
      <c r="M500" t="s">
        <v>54</v>
      </c>
      <c r="N500" t="s">
        <v>9</v>
      </c>
    </row>
    <row r="501" spans="2:14" x14ac:dyDescent="0.25">
      <c r="B501" t="s">
        <v>0</v>
      </c>
      <c r="C501" t="s">
        <v>543</v>
      </c>
      <c r="D501" t="s">
        <v>18</v>
      </c>
      <c r="E501" t="s">
        <v>3</v>
      </c>
      <c r="F501" t="s">
        <v>4</v>
      </c>
      <c r="G501" s="2" t="str">
        <f t="shared" si="7"/>
        <v>AWR_60N_NA3/APPLIED-WATER</v>
      </c>
      <c r="H501" t="s">
        <v>305</v>
      </c>
      <c r="I501" t="s">
        <v>306</v>
      </c>
      <c r="L501" t="s">
        <v>8</v>
      </c>
      <c r="M501" t="s">
        <v>54</v>
      </c>
      <c r="N501" t="s">
        <v>9</v>
      </c>
    </row>
    <row r="502" spans="2:14" x14ac:dyDescent="0.25">
      <c r="B502" t="s">
        <v>0</v>
      </c>
      <c r="C502" t="s">
        <v>544</v>
      </c>
      <c r="D502" t="s">
        <v>18</v>
      </c>
      <c r="E502" t="s">
        <v>3</v>
      </c>
      <c r="F502" t="s">
        <v>4</v>
      </c>
      <c r="G502" s="2" t="str">
        <f t="shared" si="7"/>
        <v>AWR_60N_NA4/APPLIED-WATER</v>
      </c>
      <c r="H502" t="s">
        <v>305</v>
      </c>
      <c r="I502" t="s">
        <v>306</v>
      </c>
      <c r="L502" t="s">
        <v>8</v>
      </c>
      <c r="M502" t="s">
        <v>54</v>
      </c>
      <c r="N502" t="s">
        <v>9</v>
      </c>
    </row>
    <row r="503" spans="2:14" x14ac:dyDescent="0.25">
      <c r="B503" t="s">
        <v>0</v>
      </c>
      <c r="C503" t="s">
        <v>545</v>
      </c>
      <c r="D503" t="s">
        <v>18</v>
      </c>
      <c r="E503" t="s">
        <v>3</v>
      </c>
      <c r="F503" t="s">
        <v>4</v>
      </c>
      <c r="G503" s="2" t="str">
        <f t="shared" si="7"/>
        <v>AWR_60N_NA5/APPLIED-WATER</v>
      </c>
      <c r="H503" t="s">
        <v>305</v>
      </c>
      <c r="I503" t="s">
        <v>306</v>
      </c>
      <c r="L503" t="s">
        <v>8</v>
      </c>
      <c r="M503" t="s">
        <v>54</v>
      </c>
      <c r="N503" t="s">
        <v>9</v>
      </c>
    </row>
    <row r="504" spans="2:14" x14ac:dyDescent="0.25">
      <c r="B504" t="s">
        <v>0</v>
      </c>
      <c r="C504" t="s">
        <v>546</v>
      </c>
      <c r="D504" t="s">
        <v>18</v>
      </c>
      <c r="E504" t="s">
        <v>3</v>
      </c>
      <c r="F504" t="s">
        <v>4</v>
      </c>
      <c r="G504" s="2" t="str">
        <f t="shared" si="7"/>
        <v>AWR_60S_NA1/APPLIED-WATER</v>
      </c>
      <c r="H504" t="s">
        <v>305</v>
      </c>
      <c r="I504" t="s">
        <v>306</v>
      </c>
      <c r="L504" t="s">
        <v>8</v>
      </c>
      <c r="M504" t="s">
        <v>54</v>
      </c>
      <c r="N504" t="s">
        <v>9</v>
      </c>
    </row>
    <row r="505" spans="2:14" x14ac:dyDescent="0.25">
      <c r="B505" t="s">
        <v>0</v>
      </c>
      <c r="C505" t="s">
        <v>547</v>
      </c>
      <c r="D505" t="s">
        <v>18</v>
      </c>
      <c r="E505" t="s">
        <v>3</v>
      </c>
      <c r="F505" t="s">
        <v>4</v>
      </c>
      <c r="G505" s="2" t="str">
        <f t="shared" si="7"/>
        <v>AWR_60S_NA2/APPLIED-WATER</v>
      </c>
      <c r="H505" t="s">
        <v>305</v>
      </c>
      <c r="I505" t="s">
        <v>306</v>
      </c>
      <c r="L505" t="s">
        <v>8</v>
      </c>
      <c r="M505" t="s">
        <v>54</v>
      </c>
      <c r="N505" t="s">
        <v>9</v>
      </c>
    </row>
    <row r="506" spans="2:14" x14ac:dyDescent="0.25">
      <c r="B506" t="s">
        <v>0</v>
      </c>
      <c r="C506" t="s">
        <v>548</v>
      </c>
      <c r="D506" t="s">
        <v>18</v>
      </c>
      <c r="E506" t="s">
        <v>3</v>
      </c>
      <c r="F506" t="s">
        <v>4</v>
      </c>
      <c r="G506" s="2" t="str">
        <f t="shared" si="7"/>
        <v>AWR_60S_PA1/APPLIED-WATER</v>
      </c>
      <c r="H506" t="s">
        <v>305</v>
      </c>
      <c r="I506" t="s">
        <v>306</v>
      </c>
      <c r="L506" t="s">
        <v>8</v>
      </c>
      <c r="M506" t="s">
        <v>54</v>
      </c>
      <c r="N506" t="s">
        <v>9</v>
      </c>
    </row>
    <row r="507" spans="2:14" x14ac:dyDescent="0.25">
      <c r="B507" t="s">
        <v>0</v>
      </c>
      <c r="C507" t="s">
        <v>549</v>
      </c>
      <c r="D507" t="s">
        <v>18</v>
      </c>
      <c r="E507" t="s">
        <v>3</v>
      </c>
      <c r="F507" t="s">
        <v>4</v>
      </c>
      <c r="G507" s="2" t="str">
        <f t="shared" si="7"/>
        <v>AWR_60S_PA2/APPLIED-WATER</v>
      </c>
      <c r="H507" t="s">
        <v>305</v>
      </c>
      <c r="I507" t="s">
        <v>306</v>
      </c>
      <c r="L507" t="s">
        <v>8</v>
      </c>
      <c r="M507" t="s">
        <v>54</v>
      </c>
      <c r="N507" t="s">
        <v>9</v>
      </c>
    </row>
    <row r="508" spans="2:14" x14ac:dyDescent="0.25">
      <c r="B508" t="s">
        <v>0</v>
      </c>
      <c r="C508" t="s">
        <v>550</v>
      </c>
      <c r="D508" t="s">
        <v>18</v>
      </c>
      <c r="E508" t="s">
        <v>3</v>
      </c>
      <c r="F508" t="s">
        <v>4</v>
      </c>
      <c r="G508" s="2" t="str">
        <f t="shared" si="7"/>
        <v>AWR_61_NA1/APPLIED-WATER</v>
      </c>
      <c r="H508" t="s">
        <v>305</v>
      </c>
      <c r="I508" t="s">
        <v>306</v>
      </c>
      <c r="L508" t="s">
        <v>8</v>
      </c>
      <c r="M508" t="s">
        <v>54</v>
      </c>
      <c r="N508" t="s">
        <v>9</v>
      </c>
    </row>
    <row r="509" spans="2:14" x14ac:dyDescent="0.25">
      <c r="B509" t="s">
        <v>0</v>
      </c>
      <c r="C509" t="s">
        <v>551</v>
      </c>
      <c r="D509" t="s">
        <v>18</v>
      </c>
      <c r="E509" t="s">
        <v>3</v>
      </c>
      <c r="F509" t="s">
        <v>4</v>
      </c>
      <c r="G509" s="2" t="str">
        <f t="shared" si="7"/>
        <v>AWR_61_NA2/APPLIED-WATER</v>
      </c>
      <c r="H509" t="s">
        <v>305</v>
      </c>
      <c r="I509" t="s">
        <v>306</v>
      </c>
      <c r="L509" t="s">
        <v>8</v>
      </c>
      <c r="M509" t="s">
        <v>54</v>
      </c>
      <c r="N509" t="s">
        <v>9</v>
      </c>
    </row>
    <row r="510" spans="2:14" x14ac:dyDescent="0.25">
      <c r="B510" t="s">
        <v>0</v>
      </c>
      <c r="C510" t="s">
        <v>552</v>
      </c>
      <c r="D510" t="s">
        <v>18</v>
      </c>
      <c r="E510" t="s">
        <v>3</v>
      </c>
      <c r="F510" t="s">
        <v>4</v>
      </c>
      <c r="G510" s="2" t="str">
        <f t="shared" si="7"/>
        <v>AWR_61_NA3/APPLIED-WATER</v>
      </c>
      <c r="H510" t="s">
        <v>305</v>
      </c>
      <c r="I510" t="s">
        <v>306</v>
      </c>
      <c r="L510" t="s">
        <v>8</v>
      </c>
      <c r="M510" t="s">
        <v>54</v>
      </c>
      <c r="N510" t="s">
        <v>9</v>
      </c>
    </row>
    <row r="511" spans="2:14" x14ac:dyDescent="0.25">
      <c r="B511" t="s">
        <v>0</v>
      </c>
      <c r="C511" t="s">
        <v>553</v>
      </c>
      <c r="D511" t="s">
        <v>18</v>
      </c>
      <c r="E511" t="s">
        <v>3</v>
      </c>
      <c r="F511" t="s">
        <v>4</v>
      </c>
      <c r="G511" s="2" t="str">
        <f t="shared" si="7"/>
        <v>AWR_61_NA4/APPLIED-WATER</v>
      </c>
      <c r="H511" t="s">
        <v>305</v>
      </c>
      <c r="I511" t="s">
        <v>306</v>
      </c>
      <c r="L511" t="s">
        <v>8</v>
      </c>
      <c r="M511" t="s">
        <v>54</v>
      </c>
      <c r="N511" t="s">
        <v>9</v>
      </c>
    </row>
    <row r="512" spans="2:14" x14ac:dyDescent="0.25">
      <c r="B512" t="s">
        <v>0</v>
      </c>
      <c r="C512" t="s">
        <v>554</v>
      </c>
      <c r="D512" t="s">
        <v>18</v>
      </c>
      <c r="E512" t="s">
        <v>3</v>
      </c>
      <c r="F512" t="s">
        <v>4</v>
      </c>
      <c r="G512" s="2" t="str">
        <f t="shared" si="7"/>
        <v>AWR_61_NA5/APPLIED-WATER</v>
      </c>
      <c r="H512" t="s">
        <v>305</v>
      </c>
      <c r="I512" t="s">
        <v>306</v>
      </c>
      <c r="L512" t="s">
        <v>8</v>
      </c>
      <c r="M512" t="s">
        <v>54</v>
      </c>
      <c r="N512" t="s">
        <v>9</v>
      </c>
    </row>
    <row r="513" spans="2:14" x14ac:dyDescent="0.25">
      <c r="B513" t="s">
        <v>0</v>
      </c>
      <c r="C513" t="s">
        <v>555</v>
      </c>
      <c r="D513" t="s">
        <v>18</v>
      </c>
      <c r="E513" t="s">
        <v>3</v>
      </c>
      <c r="F513" t="s">
        <v>4</v>
      </c>
      <c r="G513" s="2" t="str">
        <f t="shared" si="7"/>
        <v>AWR_61_NA6/APPLIED-WATER</v>
      </c>
      <c r="H513" t="s">
        <v>305</v>
      </c>
      <c r="I513" t="s">
        <v>306</v>
      </c>
      <c r="L513" t="s">
        <v>8</v>
      </c>
      <c r="M513" t="s">
        <v>54</v>
      </c>
      <c r="N513" t="s">
        <v>9</v>
      </c>
    </row>
    <row r="514" spans="2:14" x14ac:dyDescent="0.25">
      <c r="B514" t="s">
        <v>0</v>
      </c>
      <c r="C514" t="s">
        <v>556</v>
      </c>
      <c r="D514" t="s">
        <v>18</v>
      </c>
      <c r="E514" t="s">
        <v>3</v>
      </c>
      <c r="F514" t="s">
        <v>4</v>
      </c>
      <c r="G514" s="2" t="str">
        <f t="shared" si="7"/>
        <v>AWR_61_PA1/APPLIED-WATER</v>
      </c>
      <c r="H514" t="s">
        <v>305</v>
      </c>
      <c r="I514" t="s">
        <v>306</v>
      </c>
      <c r="L514" t="s">
        <v>8</v>
      </c>
      <c r="M514" t="s">
        <v>54</v>
      </c>
      <c r="N514" t="s">
        <v>9</v>
      </c>
    </row>
    <row r="515" spans="2:14" x14ac:dyDescent="0.25">
      <c r="B515" t="s">
        <v>0</v>
      </c>
      <c r="C515" t="s">
        <v>557</v>
      </c>
      <c r="D515" t="s">
        <v>18</v>
      </c>
      <c r="E515" t="s">
        <v>3</v>
      </c>
      <c r="F515" t="s">
        <v>4</v>
      </c>
      <c r="G515" s="2" t="str">
        <f t="shared" ref="G515:G578" si="8">_xlfn.CONCAT(C515,"/",D515)</f>
        <v>AWR_61_PA2/APPLIED-WATER</v>
      </c>
      <c r="H515" t="s">
        <v>305</v>
      </c>
      <c r="I515" t="s">
        <v>306</v>
      </c>
      <c r="L515" t="s">
        <v>8</v>
      </c>
      <c r="M515" t="s">
        <v>54</v>
      </c>
      <c r="N515" t="s">
        <v>9</v>
      </c>
    </row>
    <row r="516" spans="2:14" x14ac:dyDescent="0.25">
      <c r="B516" t="s">
        <v>0</v>
      </c>
      <c r="C516" t="s">
        <v>558</v>
      </c>
      <c r="D516" t="s">
        <v>18</v>
      </c>
      <c r="E516" t="s">
        <v>3</v>
      </c>
      <c r="F516" t="s">
        <v>4</v>
      </c>
      <c r="G516" s="2" t="str">
        <f t="shared" si="8"/>
        <v>AWR_61_PA3/APPLIED-WATER</v>
      </c>
      <c r="H516" t="s">
        <v>305</v>
      </c>
      <c r="I516" t="s">
        <v>306</v>
      </c>
      <c r="L516" t="s">
        <v>8</v>
      </c>
      <c r="M516" t="s">
        <v>54</v>
      </c>
      <c r="N516" t="s">
        <v>9</v>
      </c>
    </row>
    <row r="517" spans="2:14" x14ac:dyDescent="0.25">
      <c r="B517" t="s">
        <v>0</v>
      </c>
      <c r="C517" t="s">
        <v>559</v>
      </c>
      <c r="D517" t="s">
        <v>18</v>
      </c>
      <c r="E517" t="s">
        <v>3</v>
      </c>
      <c r="F517" t="s">
        <v>4</v>
      </c>
      <c r="G517" s="2" t="str">
        <f t="shared" si="8"/>
        <v>AWR_62_NA1/APPLIED-WATER</v>
      </c>
      <c r="H517" t="s">
        <v>305</v>
      </c>
      <c r="I517" t="s">
        <v>306</v>
      </c>
      <c r="L517" t="s">
        <v>8</v>
      </c>
      <c r="M517" t="s">
        <v>54</v>
      </c>
      <c r="N517" t="s">
        <v>9</v>
      </c>
    </row>
    <row r="518" spans="2:14" x14ac:dyDescent="0.25">
      <c r="B518" t="s">
        <v>0</v>
      </c>
      <c r="C518" t="s">
        <v>560</v>
      </c>
      <c r="D518" t="s">
        <v>18</v>
      </c>
      <c r="E518" t="s">
        <v>3</v>
      </c>
      <c r="F518" t="s">
        <v>4</v>
      </c>
      <c r="G518" s="2" t="str">
        <f t="shared" si="8"/>
        <v>AWR_62_NA2/APPLIED-WATER</v>
      </c>
      <c r="H518" t="s">
        <v>305</v>
      </c>
      <c r="I518" t="s">
        <v>306</v>
      </c>
      <c r="L518" t="s">
        <v>8</v>
      </c>
      <c r="M518" t="s">
        <v>54</v>
      </c>
      <c r="N518" t="s">
        <v>9</v>
      </c>
    </row>
    <row r="519" spans="2:14" x14ac:dyDescent="0.25">
      <c r="B519" t="s">
        <v>0</v>
      </c>
      <c r="C519" t="s">
        <v>561</v>
      </c>
      <c r="D519" t="s">
        <v>18</v>
      </c>
      <c r="E519" t="s">
        <v>3</v>
      </c>
      <c r="F519" t="s">
        <v>4</v>
      </c>
      <c r="G519" s="2" t="str">
        <f t="shared" si="8"/>
        <v>AWR_62_NA3/APPLIED-WATER</v>
      </c>
      <c r="H519" t="s">
        <v>305</v>
      </c>
      <c r="I519" t="s">
        <v>306</v>
      </c>
      <c r="L519" t="s">
        <v>8</v>
      </c>
      <c r="M519" t="s">
        <v>54</v>
      </c>
      <c r="N519" t="s">
        <v>9</v>
      </c>
    </row>
    <row r="520" spans="2:14" x14ac:dyDescent="0.25">
      <c r="B520" t="s">
        <v>0</v>
      </c>
      <c r="C520" t="s">
        <v>562</v>
      </c>
      <c r="D520" t="s">
        <v>18</v>
      </c>
      <c r="E520" t="s">
        <v>3</v>
      </c>
      <c r="F520" t="s">
        <v>4</v>
      </c>
      <c r="G520" s="2" t="str">
        <f t="shared" si="8"/>
        <v>AWR_62_NA4/APPLIED-WATER</v>
      </c>
      <c r="H520" t="s">
        <v>305</v>
      </c>
      <c r="I520" t="s">
        <v>306</v>
      </c>
      <c r="L520" t="s">
        <v>8</v>
      </c>
      <c r="M520" t="s">
        <v>54</v>
      </c>
      <c r="N520" t="s">
        <v>9</v>
      </c>
    </row>
    <row r="521" spans="2:14" x14ac:dyDescent="0.25">
      <c r="B521" t="s">
        <v>0</v>
      </c>
      <c r="C521" t="s">
        <v>563</v>
      </c>
      <c r="D521" t="s">
        <v>18</v>
      </c>
      <c r="E521" t="s">
        <v>3</v>
      </c>
      <c r="F521" t="s">
        <v>4</v>
      </c>
      <c r="G521" s="2" t="str">
        <f t="shared" si="8"/>
        <v>AWR_62_NA5/APPLIED-WATER</v>
      </c>
      <c r="H521" t="s">
        <v>305</v>
      </c>
      <c r="I521" t="s">
        <v>306</v>
      </c>
      <c r="L521" t="s">
        <v>8</v>
      </c>
      <c r="M521" t="s">
        <v>54</v>
      </c>
      <c r="N521" t="s">
        <v>9</v>
      </c>
    </row>
    <row r="522" spans="2:14" x14ac:dyDescent="0.25">
      <c r="B522" t="s">
        <v>0</v>
      </c>
      <c r="C522" t="s">
        <v>564</v>
      </c>
      <c r="D522" t="s">
        <v>18</v>
      </c>
      <c r="E522" t="s">
        <v>3</v>
      </c>
      <c r="F522" t="s">
        <v>4</v>
      </c>
      <c r="G522" s="2" t="str">
        <f t="shared" si="8"/>
        <v>AWR_62_NA6/APPLIED-WATER</v>
      </c>
      <c r="H522" t="s">
        <v>305</v>
      </c>
      <c r="I522" t="s">
        <v>306</v>
      </c>
      <c r="L522" t="s">
        <v>8</v>
      </c>
      <c r="M522" t="s">
        <v>54</v>
      </c>
      <c r="N522" t="s">
        <v>9</v>
      </c>
    </row>
    <row r="523" spans="2:14" x14ac:dyDescent="0.25">
      <c r="B523" t="s">
        <v>0</v>
      </c>
      <c r="C523" t="s">
        <v>565</v>
      </c>
      <c r="D523" t="s">
        <v>18</v>
      </c>
      <c r="E523" t="s">
        <v>3</v>
      </c>
      <c r="F523" t="s">
        <v>4</v>
      </c>
      <c r="G523" s="2" t="str">
        <f t="shared" si="8"/>
        <v>AWR_63_NA1/APPLIED-WATER</v>
      </c>
      <c r="H523" t="s">
        <v>305</v>
      </c>
      <c r="I523" t="s">
        <v>306</v>
      </c>
      <c r="L523" t="s">
        <v>8</v>
      </c>
      <c r="M523" t="s">
        <v>54</v>
      </c>
      <c r="N523" t="s">
        <v>9</v>
      </c>
    </row>
    <row r="524" spans="2:14" x14ac:dyDescent="0.25">
      <c r="B524" t="s">
        <v>0</v>
      </c>
      <c r="C524" t="s">
        <v>566</v>
      </c>
      <c r="D524" t="s">
        <v>18</v>
      </c>
      <c r="E524" t="s">
        <v>3</v>
      </c>
      <c r="F524" t="s">
        <v>4</v>
      </c>
      <c r="G524" s="2" t="str">
        <f t="shared" si="8"/>
        <v>AWR_63_NA2/APPLIED-WATER</v>
      </c>
      <c r="H524" t="s">
        <v>305</v>
      </c>
      <c r="I524" t="s">
        <v>306</v>
      </c>
      <c r="L524" t="s">
        <v>8</v>
      </c>
      <c r="M524" t="s">
        <v>54</v>
      </c>
      <c r="N524" t="s">
        <v>9</v>
      </c>
    </row>
    <row r="525" spans="2:14" x14ac:dyDescent="0.25">
      <c r="B525" t="s">
        <v>0</v>
      </c>
      <c r="C525" t="s">
        <v>567</v>
      </c>
      <c r="D525" t="s">
        <v>18</v>
      </c>
      <c r="E525" t="s">
        <v>3</v>
      </c>
      <c r="F525" t="s">
        <v>4</v>
      </c>
      <c r="G525" s="2" t="str">
        <f t="shared" si="8"/>
        <v>AWR_63_NA3/APPLIED-WATER</v>
      </c>
      <c r="H525" t="s">
        <v>305</v>
      </c>
      <c r="I525" t="s">
        <v>306</v>
      </c>
      <c r="L525" t="s">
        <v>8</v>
      </c>
      <c r="M525" t="s">
        <v>54</v>
      </c>
      <c r="N525" t="s">
        <v>9</v>
      </c>
    </row>
    <row r="526" spans="2:14" x14ac:dyDescent="0.25">
      <c r="B526" t="s">
        <v>0</v>
      </c>
      <c r="C526" t="s">
        <v>568</v>
      </c>
      <c r="D526" t="s">
        <v>18</v>
      </c>
      <c r="E526" t="s">
        <v>3</v>
      </c>
      <c r="F526" t="s">
        <v>4</v>
      </c>
      <c r="G526" s="2" t="str">
        <f t="shared" si="8"/>
        <v>AWR_63_NA4/APPLIED-WATER</v>
      </c>
      <c r="H526" t="s">
        <v>305</v>
      </c>
      <c r="I526" t="s">
        <v>306</v>
      </c>
      <c r="L526" t="s">
        <v>8</v>
      </c>
      <c r="M526" t="s">
        <v>54</v>
      </c>
      <c r="N526" t="s">
        <v>9</v>
      </c>
    </row>
    <row r="527" spans="2:14" x14ac:dyDescent="0.25">
      <c r="B527" t="s">
        <v>0</v>
      </c>
      <c r="C527" t="s">
        <v>569</v>
      </c>
      <c r="D527" t="s">
        <v>18</v>
      </c>
      <c r="E527" t="s">
        <v>3</v>
      </c>
      <c r="F527" t="s">
        <v>4</v>
      </c>
      <c r="G527" s="2" t="str">
        <f t="shared" si="8"/>
        <v>AWR_63_NA5/APPLIED-WATER</v>
      </c>
      <c r="H527" t="s">
        <v>305</v>
      </c>
      <c r="I527" t="s">
        <v>306</v>
      </c>
      <c r="L527" t="s">
        <v>8</v>
      </c>
      <c r="M527" t="s">
        <v>54</v>
      </c>
      <c r="N527" t="s">
        <v>9</v>
      </c>
    </row>
    <row r="528" spans="2:14" x14ac:dyDescent="0.25">
      <c r="B528" t="s">
        <v>0</v>
      </c>
      <c r="C528" t="s">
        <v>570</v>
      </c>
      <c r="D528" t="s">
        <v>18</v>
      </c>
      <c r="E528" t="s">
        <v>3</v>
      </c>
      <c r="F528" t="s">
        <v>4</v>
      </c>
      <c r="G528" s="2" t="str">
        <f t="shared" si="8"/>
        <v>AWR_63_PR1/APPLIED-WATER</v>
      </c>
      <c r="H528" t="s">
        <v>305</v>
      </c>
      <c r="I528" t="s">
        <v>306</v>
      </c>
      <c r="L528" t="s">
        <v>8</v>
      </c>
      <c r="M528" t="s">
        <v>54</v>
      </c>
      <c r="N528" t="s">
        <v>9</v>
      </c>
    </row>
    <row r="529" spans="2:14" x14ac:dyDescent="0.25">
      <c r="B529" t="s">
        <v>0</v>
      </c>
      <c r="C529" t="s">
        <v>571</v>
      </c>
      <c r="D529" t="s">
        <v>18</v>
      </c>
      <c r="E529" t="s">
        <v>3</v>
      </c>
      <c r="F529" t="s">
        <v>4</v>
      </c>
      <c r="G529" s="2" t="str">
        <f t="shared" si="8"/>
        <v>AWR_63_PR2/APPLIED-WATER</v>
      </c>
      <c r="H529" t="s">
        <v>305</v>
      </c>
      <c r="I529" t="s">
        <v>306</v>
      </c>
      <c r="L529" t="s">
        <v>8</v>
      </c>
      <c r="M529" t="s">
        <v>54</v>
      </c>
      <c r="N529" t="s">
        <v>9</v>
      </c>
    </row>
    <row r="530" spans="2:14" x14ac:dyDescent="0.25">
      <c r="B530" t="s">
        <v>0</v>
      </c>
      <c r="C530" t="s">
        <v>572</v>
      </c>
      <c r="D530" t="s">
        <v>18</v>
      </c>
      <c r="E530" t="s">
        <v>3</v>
      </c>
      <c r="F530" t="s">
        <v>4</v>
      </c>
      <c r="G530" s="2" t="str">
        <f t="shared" si="8"/>
        <v>AWR_63_PR3/APPLIED-WATER</v>
      </c>
      <c r="H530" t="s">
        <v>305</v>
      </c>
      <c r="I530" t="s">
        <v>306</v>
      </c>
      <c r="L530" t="s">
        <v>8</v>
      </c>
      <c r="M530" t="s">
        <v>54</v>
      </c>
      <c r="N530" t="s">
        <v>9</v>
      </c>
    </row>
    <row r="531" spans="2:14" x14ac:dyDescent="0.25">
      <c r="B531" t="s">
        <v>0</v>
      </c>
      <c r="C531" t="s">
        <v>573</v>
      </c>
      <c r="D531" t="s">
        <v>18</v>
      </c>
      <c r="E531" t="s">
        <v>3</v>
      </c>
      <c r="F531" t="s">
        <v>4</v>
      </c>
      <c r="G531" s="2" t="str">
        <f t="shared" si="8"/>
        <v>AWR_64_NA1/APPLIED-WATER</v>
      </c>
      <c r="H531" t="s">
        <v>305</v>
      </c>
      <c r="I531" t="s">
        <v>306</v>
      </c>
      <c r="L531" t="s">
        <v>8</v>
      </c>
      <c r="M531" t="s">
        <v>54</v>
      </c>
      <c r="N531" t="s">
        <v>9</v>
      </c>
    </row>
    <row r="532" spans="2:14" x14ac:dyDescent="0.25">
      <c r="B532" t="s">
        <v>0</v>
      </c>
      <c r="C532" t="s">
        <v>574</v>
      </c>
      <c r="D532" t="s">
        <v>18</v>
      </c>
      <c r="E532" t="s">
        <v>3</v>
      </c>
      <c r="F532" t="s">
        <v>4</v>
      </c>
      <c r="G532" s="2" t="str">
        <f t="shared" si="8"/>
        <v>AWR_64_NA2/APPLIED-WATER</v>
      </c>
      <c r="H532" t="s">
        <v>305</v>
      </c>
      <c r="I532" t="s">
        <v>306</v>
      </c>
      <c r="L532" t="s">
        <v>8</v>
      </c>
      <c r="M532" t="s">
        <v>54</v>
      </c>
      <c r="N532" t="s">
        <v>9</v>
      </c>
    </row>
    <row r="533" spans="2:14" x14ac:dyDescent="0.25">
      <c r="B533" t="s">
        <v>0</v>
      </c>
      <c r="C533" t="s">
        <v>575</v>
      </c>
      <c r="D533" t="s">
        <v>18</v>
      </c>
      <c r="E533" t="s">
        <v>3</v>
      </c>
      <c r="F533" t="s">
        <v>4</v>
      </c>
      <c r="G533" s="2" t="str">
        <f t="shared" si="8"/>
        <v>AWR_64_PA1/APPLIED-WATER</v>
      </c>
      <c r="H533" t="s">
        <v>305</v>
      </c>
      <c r="I533" t="s">
        <v>306</v>
      </c>
      <c r="L533" t="s">
        <v>8</v>
      </c>
      <c r="M533" t="s">
        <v>54</v>
      </c>
      <c r="N533" t="s">
        <v>9</v>
      </c>
    </row>
    <row r="534" spans="2:14" x14ac:dyDescent="0.25">
      <c r="B534" t="s">
        <v>0</v>
      </c>
      <c r="C534" t="s">
        <v>576</v>
      </c>
      <c r="D534" t="s">
        <v>18</v>
      </c>
      <c r="E534" t="s">
        <v>3</v>
      </c>
      <c r="F534" t="s">
        <v>4</v>
      </c>
      <c r="G534" s="2" t="str">
        <f t="shared" si="8"/>
        <v>AWR_64_PA2/APPLIED-WATER</v>
      </c>
      <c r="H534" t="s">
        <v>305</v>
      </c>
      <c r="I534" t="s">
        <v>306</v>
      </c>
      <c r="L534" t="s">
        <v>8</v>
      </c>
      <c r="M534" t="s">
        <v>54</v>
      </c>
      <c r="N534" t="s">
        <v>9</v>
      </c>
    </row>
    <row r="535" spans="2:14" x14ac:dyDescent="0.25">
      <c r="B535" t="s">
        <v>0</v>
      </c>
      <c r="C535" t="s">
        <v>577</v>
      </c>
      <c r="D535" t="s">
        <v>18</v>
      </c>
      <c r="E535" t="s">
        <v>3</v>
      </c>
      <c r="F535" t="s">
        <v>4</v>
      </c>
      <c r="G535" s="2" t="str">
        <f t="shared" si="8"/>
        <v>AWR_64_PA3/APPLIED-WATER</v>
      </c>
      <c r="H535" t="s">
        <v>305</v>
      </c>
      <c r="I535" t="s">
        <v>306</v>
      </c>
      <c r="L535" t="s">
        <v>8</v>
      </c>
      <c r="M535" t="s">
        <v>54</v>
      </c>
      <c r="N535" t="s">
        <v>9</v>
      </c>
    </row>
    <row r="536" spans="2:14" x14ac:dyDescent="0.25">
      <c r="B536" t="s">
        <v>0</v>
      </c>
      <c r="C536" t="s">
        <v>578</v>
      </c>
      <c r="D536" t="s">
        <v>18</v>
      </c>
      <c r="E536" t="s">
        <v>3</v>
      </c>
      <c r="F536" t="s">
        <v>4</v>
      </c>
      <c r="G536" s="2" t="str">
        <f t="shared" si="8"/>
        <v>AWR_64_XA/APPLIED-WATER</v>
      </c>
      <c r="H536" t="s">
        <v>305</v>
      </c>
      <c r="I536" t="s">
        <v>306</v>
      </c>
      <c r="L536" t="s">
        <v>8</v>
      </c>
      <c r="M536" t="s">
        <v>54</v>
      </c>
      <c r="N536" t="s">
        <v>9</v>
      </c>
    </row>
    <row r="537" spans="2:14" x14ac:dyDescent="0.25">
      <c r="B537" t="s">
        <v>0</v>
      </c>
      <c r="C537" t="s">
        <v>579</v>
      </c>
      <c r="D537" t="s">
        <v>18</v>
      </c>
      <c r="E537" t="s">
        <v>3</v>
      </c>
      <c r="F537" t="s">
        <v>4</v>
      </c>
      <c r="G537" s="2" t="str">
        <f t="shared" si="8"/>
        <v>AWR_71_NA1/APPLIED-WATER</v>
      </c>
      <c r="H537" t="s">
        <v>305</v>
      </c>
      <c r="I537" t="s">
        <v>306</v>
      </c>
      <c r="L537" t="s">
        <v>8</v>
      </c>
      <c r="M537" t="s">
        <v>54</v>
      </c>
      <c r="N537" t="s">
        <v>9</v>
      </c>
    </row>
    <row r="538" spans="2:14" x14ac:dyDescent="0.25">
      <c r="B538" t="s">
        <v>0</v>
      </c>
      <c r="C538" t="s">
        <v>580</v>
      </c>
      <c r="D538" t="s">
        <v>18</v>
      </c>
      <c r="E538" t="s">
        <v>3</v>
      </c>
      <c r="F538" t="s">
        <v>4</v>
      </c>
      <c r="G538" s="2" t="str">
        <f t="shared" si="8"/>
        <v>AWR_71_NA2/APPLIED-WATER</v>
      </c>
      <c r="H538" t="s">
        <v>305</v>
      </c>
      <c r="I538" t="s">
        <v>306</v>
      </c>
      <c r="L538" t="s">
        <v>8</v>
      </c>
      <c r="M538" t="s">
        <v>54</v>
      </c>
      <c r="N538" t="s">
        <v>9</v>
      </c>
    </row>
    <row r="539" spans="2:14" x14ac:dyDescent="0.25">
      <c r="B539" t="s">
        <v>0</v>
      </c>
      <c r="C539" t="s">
        <v>581</v>
      </c>
      <c r="D539" t="s">
        <v>18</v>
      </c>
      <c r="E539" t="s">
        <v>3</v>
      </c>
      <c r="F539" t="s">
        <v>4</v>
      </c>
      <c r="G539" s="2" t="str">
        <f t="shared" si="8"/>
        <v>AWR_71_NA3/APPLIED-WATER</v>
      </c>
      <c r="H539" t="s">
        <v>305</v>
      </c>
      <c r="I539" t="s">
        <v>306</v>
      </c>
      <c r="L539" t="s">
        <v>8</v>
      </c>
      <c r="N539" t="s">
        <v>9</v>
      </c>
    </row>
    <row r="540" spans="2:14" x14ac:dyDescent="0.25">
      <c r="B540" t="s">
        <v>0</v>
      </c>
      <c r="C540" t="s">
        <v>582</v>
      </c>
      <c r="D540" t="s">
        <v>18</v>
      </c>
      <c r="E540" t="s">
        <v>3</v>
      </c>
      <c r="F540" t="s">
        <v>4</v>
      </c>
      <c r="G540" s="2" t="str">
        <f t="shared" si="8"/>
        <v>AWR_71_PA1/APPLIED-WATER</v>
      </c>
      <c r="H540" t="s">
        <v>305</v>
      </c>
      <c r="I540" t="s">
        <v>306</v>
      </c>
      <c r="L540" t="s">
        <v>8</v>
      </c>
      <c r="M540" t="s">
        <v>54</v>
      </c>
      <c r="N540" t="s">
        <v>9</v>
      </c>
    </row>
    <row r="541" spans="2:14" x14ac:dyDescent="0.25">
      <c r="B541" t="s">
        <v>0</v>
      </c>
      <c r="C541" t="s">
        <v>583</v>
      </c>
      <c r="D541" t="s">
        <v>18</v>
      </c>
      <c r="E541" t="s">
        <v>3</v>
      </c>
      <c r="F541" t="s">
        <v>4</v>
      </c>
      <c r="G541" s="2" t="str">
        <f t="shared" si="8"/>
        <v>AWR_71_PA2/APPLIED-WATER</v>
      </c>
      <c r="H541" t="s">
        <v>305</v>
      </c>
      <c r="I541" t="s">
        <v>306</v>
      </c>
      <c r="L541" t="s">
        <v>8</v>
      </c>
      <c r="M541" t="s">
        <v>54</v>
      </c>
      <c r="N541" t="s">
        <v>9</v>
      </c>
    </row>
    <row r="542" spans="2:14" x14ac:dyDescent="0.25">
      <c r="B542" t="s">
        <v>0</v>
      </c>
      <c r="C542" t="s">
        <v>584</v>
      </c>
      <c r="D542" t="s">
        <v>18</v>
      </c>
      <c r="E542" t="s">
        <v>3</v>
      </c>
      <c r="F542" t="s">
        <v>4</v>
      </c>
      <c r="G542" s="2" t="str">
        <f t="shared" si="8"/>
        <v>AWR_71_PA3/APPLIED-WATER</v>
      </c>
      <c r="H542" t="s">
        <v>305</v>
      </c>
      <c r="I542" t="s">
        <v>306</v>
      </c>
      <c r="L542" t="s">
        <v>8</v>
      </c>
      <c r="M542" t="s">
        <v>54</v>
      </c>
      <c r="N542" t="s">
        <v>9</v>
      </c>
    </row>
    <row r="543" spans="2:14" x14ac:dyDescent="0.25">
      <c r="B543" t="s">
        <v>0</v>
      </c>
      <c r="C543" t="s">
        <v>585</v>
      </c>
      <c r="D543" t="s">
        <v>18</v>
      </c>
      <c r="E543" t="s">
        <v>3</v>
      </c>
      <c r="F543" t="s">
        <v>4</v>
      </c>
      <c r="G543" s="2" t="str">
        <f t="shared" si="8"/>
        <v>AWR_71_PA4/APPLIED-WATER</v>
      </c>
      <c r="H543" t="s">
        <v>305</v>
      </c>
      <c r="I543" t="s">
        <v>306</v>
      </c>
      <c r="L543" t="s">
        <v>8</v>
      </c>
      <c r="M543" t="s">
        <v>54</v>
      </c>
      <c r="N543" t="s">
        <v>9</v>
      </c>
    </row>
    <row r="544" spans="2:14" x14ac:dyDescent="0.25">
      <c r="B544" t="s">
        <v>0</v>
      </c>
      <c r="C544" t="s">
        <v>586</v>
      </c>
      <c r="D544" t="s">
        <v>18</v>
      </c>
      <c r="E544" t="s">
        <v>3</v>
      </c>
      <c r="F544" t="s">
        <v>4</v>
      </c>
      <c r="G544" s="2" t="str">
        <f t="shared" si="8"/>
        <v>AWR_71_PA5/APPLIED-WATER</v>
      </c>
      <c r="H544" t="s">
        <v>305</v>
      </c>
      <c r="I544" t="s">
        <v>306</v>
      </c>
      <c r="L544" t="s">
        <v>8</v>
      </c>
      <c r="M544" t="s">
        <v>54</v>
      </c>
      <c r="N544" t="s">
        <v>9</v>
      </c>
    </row>
    <row r="545" spans="2:14" x14ac:dyDescent="0.25">
      <c r="B545" t="s">
        <v>0</v>
      </c>
      <c r="C545" t="s">
        <v>587</v>
      </c>
      <c r="D545" t="s">
        <v>18</v>
      </c>
      <c r="E545" t="s">
        <v>3</v>
      </c>
      <c r="F545" t="s">
        <v>4</v>
      </c>
      <c r="G545" s="2" t="str">
        <f t="shared" si="8"/>
        <v>AWR_71_PA6/APPLIED-WATER</v>
      </c>
      <c r="H545" t="s">
        <v>305</v>
      </c>
      <c r="I545" t="s">
        <v>306</v>
      </c>
      <c r="L545" t="s">
        <v>8</v>
      </c>
      <c r="M545" t="s">
        <v>54</v>
      </c>
      <c r="N545" t="s">
        <v>9</v>
      </c>
    </row>
    <row r="546" spans="2:14" x14ac:dyDescent="0.25">
      <c r="B546" t="s">
        <v>0</v>
      </c>
      <c r="C546" t="s">
        <v>588</v>
      </c>
      <c r="D546" t="s">
        <v>18</v>
      </c>
      <c r="E546" t="s">
        <v>3</v>
      </c>
      <c r="F546" t="s">
        <v>4</v>
      </c>
      <c r="G546" s="2" t="str">
        <f t="shared" si="8"/>
        <v>AWR_71_PA7/APPLIED-WATER</v>
      </c>
      <c r="H546" t="s">
        <v>305</v>
      </c>
      <c r="I546" t="s">
        <v>306</v>
      </c>
      <c r="L546" t="s">
        <v>8</v>
      </c>
      <c r="N546" t="s">
        <v>9</v>
      </c>
    </row>
    <row r="547" spans="2:14" x14ac:dyDescent="0.25">
      <c r="B547" t="s">
        <v>0</v>
      </c>
      <c r="C547" t="s">
        <v>589</v>
      </c>
      <c r="D547" t="s">
        <v>18</v>
      </c>
      <c r="E547" t="s">
        <v>3</v>
      </c>
      <c r="F547" t="s">
        <v>4</v>
      </c>
      <c r="G547" s="2" t="str">
        <f t="shared" si="8"/>
        <v>AWR_71_PA8/APPLIED-WATER</v>
      </c>
      <c r="H547" t="s">
        <v>305</v>
      </c>
      <c r="I547" t="s">
        <v>306</v>
      </c>
      <c r="L547" t="s">
        <v>8</v>
      </c>
      <c r="M547" t="s">
        <v>54</v>
      </c>
      <c r="N547" t="s">
        <v>9</v>
      </c>
    </row>
    <row r="548" spans="2:14" x14ac:dyDescent="0.25">
      <c r="B548" t="s">
        <v>0</v>
      </c>
      <c r="C548" t="s">
        <v>590</v>
      </c>
      <c r="D548" t="s">
        <v>18</v>
      </c>
      <c r="E548" t="s">
        <v>3</v>
      </c>
      <c r="F548" t="s">
        <v>4</v>
      </c>
      <c r="G548" s="2" t="str">
        <f t="shared" si="8"/>
        <v>AWR_72_NA1/APPLIED-WATER</v>
      </c>
      <c r="H548" t="s">
        <v>305</v>
      </c>
      <c r="I548" t="s">
        <v>306</v>
      </c>
      <c r="L548" t="s">
        <v>8</v>
      </c>
      <c r="M548" t="s">
        <v>54</v>
      </c>
      <c r="N548" t="s">
        <v>9</v>
      </c>
    </row>
    <row r="549" spans="2:14" x14ac:dyDescent="0.25">
      <c r="B549" t="s">
        <v>0</v>
      </c>
      <c r="C549" t="s">
        <v>591</v>
      </c>
      <c r="D549" t="s">
        <v>18</v>
      </c>
      <c r="E549" t="s">
        <v>3</v>
      </c>
      <c r="F549" t="s">
        <v>4</v>
      </c>
      <c r="G549" s="2" t="str">
        <f t="shared" si="8"/>
        <v>AWR_72_NA2/APPLIED-WATER</v>
      </c>
      <c r="H549" t="s">
        <v>305</v>
      </c>
      <c r="I549" t="s">
        <v>306</v>
      </c>
      <c r="L549" t="s">
        <v>8</v>
      </c>
      <c r="M549" t="s">
        <v>54</v>
      </c>
      <c r="N549" t="s">
        <v>9</v>
      </c>
    </row>
    <row r="550" spans="2:14" x14ac:dyDescent="0.25">
      <c r="B550" t="s">
        <v>0</v>
      </c>
      <c r="C550" t="s">
        <v>592</v>
      </c>
      <c r="D550" t="s">
        <v>18</v>
      </c>
      <c r="E550" t="s">
        <v>3</v>
      </c>
      <c r="F550" t="s">
        <v>4</v>
      </c>
      <c r="G550" s="2" t="str">
        <f t="shared" si="8"/>
        <v>AWR_72_PA/APPLIED-WATER</v>
      </c>
      <c r="H550" t="s">
        <v>305</v>
      </c>
      <c r="I550" t="s">
        <v>306</v>
      </c>
      <c r="L550" t="s">
        <v>8</v>
      </c>
      <c r="M550" t="s">
        <v>54</v>
      </c>
      <c r="N550" t="s">
        <v>9</v>
      </c>
    </row>
    <row r="551" spans="2:14" x14ac:dyDescent="0.25">
      <c r="B551" t="s">
        <v>0</v>
      </c>
      <c r="C551" t="s">
        <v>593</v>
      </c>
      <c r="D551" t="s">
        <v>18</v>
      </c>
      <c r="E551" t="s">
        <v>3</v>
      </c>
      <c r="F551" t="s">
        <v>4</v>
      </c>
      <c r="G551" s="2" t="str">
        <f t="shared" si="8"/>
        <v>AWR_72_PR1/APPLIED-WATER</v>
      </c>
      <c r="H551" t="s">
        <v>305</v>
      </c>
      <c r="I551" t="s">
        <v>306</v>
      </c>
      <c r="L551" t="s">
        <v>8</v>
      </c>
      <c r="M551" t="s">
        <v>54</v>
      </c>
      <c r="N551" t="s">
        <v>9</v>
      </c>
    </row>
    <row r="552" spans="2:14" x14ac:dyDescent="0.25">
      <c r="B552" t="s">
        <v>0</v>
      </c>
      <c r="C552" t="s">
        <v>594</v>
      </c>
      <c r="D552" t="s">
        <v>18</v>
      </c>
      <c r="E552" t="s">
        <v>3</v>
      </c>
      <c r="F552" t="s">
        <v>4</v>
      </c>
      <c r="G552" s="2" t="str">
        <f t="shared" si="8"/>
        <v>AWR_72_PR2/APPLIED-WATER</v>
      </c>
      <c r="H552" t="s">
        <v>305</v>
      </c>
      <c r="I552" t="s">
        <v>306</v>
      </c>
      <c r="L552" t="s">
        <v>8</v>
      </c>
      <c r="M552" t="s">
        <v>54</v>
      </c>
      <c r="N552" t="s">
        <v>9</v>
      </c>
    </row>
    <row r="553" spans="2:14" x14ac:dyDescent="0.25">
      <c r="B553" t="s">
        <v>0</v>
      </c>
      <c r="C553" t="s">
        <v>595</v>
      </c>
      <c r="D553" t="s">
        <v>18</v>
      </c>
      <c r="E553" t="s">
        <v>3</v>
      </c>
      <c r="F553" t="s">
        <v>4</v>
      </c>
      <c r="G553" s="2" t="str">
        <f t="shared" si="8"/>
        <v>AWR_72_PR3/APPLIED-WATER</v>
      </c>
      <c r="H553" t="s">
        <v>305</v>
      </c>
      <c r="I553" t="s">
        <v>306</v>
      </c>
      <c r="L553" t="s">
        <v>8</v>
      </c>
      <c r="M553" t="s">
        <v>54</v>
      </c>
      <c r="N553" t="s">
        <v>9</v>
      </c>
    </row>
    <row r="554" spans="2:14" x14ac:dyDescent="0.25">
      <c r="B554" t="s">
        <v>0</v>
      </c>
      <c r="C554" t="s">
        <v>596</v>
      </c>
      <c r="D554" t="s">
        <v>18</v>
      </c>
      <c r="E554" t="s">
        <v>3</v>
      </c>
      <c r="F554" t="s">
        <v>4</v>
      </c>
      <c r="G554" s="2" t="str">
        <f t="shared" si="8"/>
        <v>AWR_72_PR4/APPLIED-WATER</v>
      </c>
      <c r="H554" t="s">
        <v>305</v>
      </c>
      <c r="I554" t="s">
        <v>306</v>
      </c>
      <c r="L554" t="s">
        <v>8</v>
      </c>
      <c r="M554" t="s">
        <v>54</v>
      </c>
      <c r="N554" t="s">
        <v>9</v>
      </c>
    </row>
    <row r="555" spans="2:14" x14ac:dyDescent="0.25">
      <c r="B555" t="s">
        <v>0</v>
      </c>
      <c r="C555" t="s">
        <v>597</v>
      </c>
      <c r="D555" t="s">
        <v>18</v>
      </c>
      <c r="E555" t="s">
        <v>3</v>
      </c>
      <c r="F555" t="s">
        <v>4</v>
      </c>
      <c r="G555" s="2" t="str">
        <f t="shared" si="8"/>
        <v>AWR_72_PR5/APPLIED-WATER</v>
      </c>
      <c r="H555" t="s">
        <v>305</v>
      </c>
      <c r="I555" t="s">
        <v>306</v>
      </c>
      <c r="L555" t="s">
        <v>8</v>
      </c>
      <c r="M555" t="s">
        <v>54</v>
      </c>
      <c r="N555" t="s">
        <v>9</v>
      </c>
    </row>
    <row r="556" spans="2:14" x14ac:dyDescent="0.25">
      <c r="B556" t="s">
        <v>0</v>
      </c>
      <c r="C556" t="s">
        <v>598</v>
      </c>
      <c r="D556" t="s">
        <v>18</v>
      </c>
      <c r="E556" t="s">
        <v>3</v>
      </c>
      <c r="F556" t="s">
        <v>4</v>
      </c>
      <c r="G556" s="2" t="str">
        <f t="shared" si="8"/>
        <v>AWR_72_PR6/APPLIED-WATER</v>
      </c>
      <c r="H556" t="s">
        <v>305</v>
      </c>
      <c r="I556" t="s">
        <v>306</v>
      </c>
      <c r="L556" t="s">
        <v>8</v>
      </c>
      <c r="M556" t="s">
        <v>54</v>
      </c>
      <c r="N556" t="s">
        <v>9</v>
      </c>
    </row>
    <row r="557" spans="2:14" x14ac:dyDescent="0.25">
      <c r="B557" t="s">
        <v>0</v>
      </c>
      <c r="C557" t="s">
        <v>599</v>
      </c>
      <c r="D557" t="s">
        <v>18</v>
      </c>
      <c r="E557" t="s">
        <v>3</v>
      </c>
      <c r="F557" t="s">
        <v>4</v>
      </c>
      <c r="G557" s="2" t="str">
        <f t="shared" si="8"/>
        <v>AWR_72_XA1/APPLIED-WATER</v>
      </c>
      <c r="H557" t="s">
        <v>305</v>
      </c>
      <c r="I557" t="s">
        <v>306</v>
      </c>
      <c r="L557" t="s">
        <v>8</v>
      </c>
      <c r="M557" t="s">
        <v>54</v>
      </c>
      <c r="N557" t="s">
        <v>9</v>
      </c>
    </row>
    <row r="558" spans="2:14" x14ac:dyDescent="0.25">
      <c r="B558" t="s">
        <v>0</v>
      </c>
      <c r="C558" t="s">
        <v>600</v>
      </c>
      <c r="D558" t="s">
        <v>18</v>
      </c>
      <c r="E558" t="s">
        <v>3</v>
      </c>
      <c r="F558" t="s">
        <v>4</v>
      </c>
      <c r="G558" s="2" t="str">
        <f t="shared" si="8"/>
        <v>AWR_72_XA2/APPLIED-WATER</v>
      </c>
      <c r="H558" t="s">
        <v>305</v>
      </c>
      <c r="I558" t="s">
        <v>306</v>
      </c>
      <c r="L558" t="s">
        <v>8</v>
      </c>
      <c r="M558" t="s">
        <v>54</v>
      </c>
      <c r="N558" t="s">
        <v>9</v>
      </c>
    </row>
    <row r="559" spans="2:14" x14ac:dyDescent="0.25">
      <c r="B559" t="s">
        <v>0</v>
      </c>
      <c r="C559" t="s">
        <v>601</v>
      </c>
      <c r="D559" t="s">
        <v>18</v>
      </c>
      <c r="E559" t="s">
        <v>3</v>
      </c>
      <c r="F559" t="s">
        <v>4</v>
      </c>
      <c r="G559" s="2" t="str">
        <f t="shared" si="8"/>
        <v>AWR_72_XA3/APPLIED-WATER</v>
      </c>
      <c r="H559" t="s">
        <v>305</v>
      </c>
      <c r="I559" t="s">
        <v>306</v>
      </c>
      <c r="L559" t="s">
        <v>8</v>
      </c>
      <c r="M559" t="s">
        <v>54</v>
      </c>
      <c r="N559" t="s">
        <v>9</v>
      </c>
    </row>
    <row r="560" spans="2:14" x14ac:dyDescent="0.25">
      <c r="B560" t="s">
        <v>0</v>
      </c>
      <c r="C560" t="s">
        <v>602</v>
      </c>
      <c r="D560" t="s">
        <v>18</v>
      </c>
      <c r="E560" t="s">
        <v>3</v>
      </c>
      <c r="F560" t="s">
        <v>4</v>
      </c>
      <c r="G560" s="2" t="str">
        <f t="shared" si="8"/>
        <v>AWR_73_NA/APPLIED-WATER</v>
      </c>
      <c r="H560" t="s">
        <v>305</v>
      </c>
      <c r="I560" t="s">
        <v>306</v>
      </c>
      <c r="L560" t="s">
        <v>8</v>
      </c>
      <c r="M560" t="s">
        <v>54</v>
      </c>
      <c r="N560" t="s">
        <v>9</v>
      </c>
    </row>
    <row r="561" spans="2:14" x14ac:dyDescent="0.25">
      <c r="B561" t="s">
        <v>0</v>
      </c>
      <c r="C561" t="s">
        <v>603</v>
      </c>
      <c r="D561" t="s">
        <v>18</v>
      </c>
      <c r="E561" t="s">
        <v>3</v>
      </c>
      <c r="F561" t="s">
        <v>4</v>
      </c>
      <c r="G561" s="2" t="str">
        <f t="shared" si="8"/>
        <v>AWR_73_PA1/APPLIED-WATER</v>
      </c>
      <c r="H561" t="s">
        <v>305</v>
      </c>
      <c r="I561" t="s">
        <v>306</v>
      </c>
      <c r="L561" t="s">
        <v>8</v>
      </c>
      <c r="M561" t="s">
        <v>54</v>
      </c>
      <c r="N561" t="s">
        <v>9</v>
      </c>
    </row>
    <row r="562" spans="2:14" x14ac:dyDescent="0.25">
      <c r="B562" t="s">
        <v>0</v>
      </c>
      <c r="C562" t="s">
        <v>604</v>
      </c>
      <c r="D562" t="s">
        <v>18</v>
      </c>
      <c r="E562" t="s">
        <v>3</v>
      </c>
      <c r="F562" t="s">
        <v>4</v>
      </c>
      <c r="G562" s="2" t="str">
        <f t="shared" si="8"/>
        <v>AWR_73_PA2/APPLIED-WATER</v>
      </c>
      <c r="H562" t="s">
        <v>305</v>
      </c>
      <c r="I562" t="s">
        <v>306</v>
      </c>
      <c r="L562" t="s">
        <v>8</v>
      </c>
      <c r="M562" t="s">
        <v>54</v>
      </c>
      <c r="N562" t="s">
        <v>9</v>
      </c>
    </row>
    <row r="563" spans="2:14" x14ac:dyDescent="0.25">
      <c r="B563" t="s">
        <v>0</v>
      </c>
      <c r="C563" t="s">
        <v>605</v>
      </c>
      <c r="D563" t="s">
        <v>18</v>
      </c>
      <c r="E563" t="s">
        <v>3</v>
      </c>
      <c r="F563" t="s">
        <v>4</v>
      </c>
      <c r="G563" s="2" t="str">
        <f t="shared" si="8"/>
        <v>AWR_73_PA3/APPLIED-WATER</v>
      </c>
      <c r="H563" t="s">
        <v>305</v>
      </c>
      <c r="I563" t="s">
        <v>306</v>
      </c>
      <c r="L563" t="s">
        <v>8</v>
      </c>
      <c r="M563" t="s">
        <v>54</v>
      </c>
      <c r="N563" t="s">
        <v>9</v>
      </c>
    </row>
    <row r="564" spans="2:14" x14ac:dyDescent="0.25">
      <c r="B564" t="s">
        <v>0</v>
      </c>
      <c r="C564" t="s">
        <v>606</v>
      </c>
      <c r="D564" t="s">
        <v>18</v>
      </c>
      <c r="E564" t="s">
        <v>3</v>
      </c>
      <c r="F564" t="s">
        <v>4</v>
      </c>
      <c r="G564" s="2" t="str">
        <f t="shared" si="8"/>
        <v>AWR_73_XA/APPLIED-WATER</v>
      </c>
      <c r="H564" t="s">
        <v>305</v>
      </c>
      <c r="I564" t="s">
        <v>306</v>
      </c>
      <c r="L564" t="s">
        <v>8</v>
      </c>
      <c r="M564" t="s">
        <v>54</v>
      </c>
      <c r="N564" t="s">
        <v>9</v>
      </c>
    </row>
    <row r="565" spans="2:14" x14ac:dyDescent="0.25">
      <c r="B565" t="s">
        <v>0</v>
      </c>
      <c r="C565" t="s">
        <v>607</v>
      </c>
      <c r="D565" t="s">
        <v>18</v>
      </c>
      <c r="E565" t="s">
        <v>3</v>
      </c>
      <c r="F565" t="s">
        <v>4</v>
      </c>
      <c r="G565" s="2" t="str">
        <f t="shared" si="8"/>
        <v>AWR_90_NA/APPLIED-WATER</v>
      </c>
      <c r="H565" t="s">
        <v>305</v>
      </c>
      <c r="I565" t="s">
        <v>306</v>
      </c>
      <c r="L565" t="s">
        <v>8</v>
      </c>
      <c r="N565" t="s">
        <v>9</v>
      </c>
    </row>
    <row r="566" spans="2:14" x14ac:dyDescent="0.25">
      <c r="B566" t="s">
        <v>0</v>
      </c>
      <c r="C566" t="s">
        <v>608</v>
      </c>
      <c r="D566" t="s">
        <v>18</v>
      </c>
      <c r="E566" t="s">
        <v>3</v>
      </c>
      <c r="F566" t="s">
        <v>4</v>
      </c>
      <c r="G566" s="2" t="str">
        <f t="shared" si="8"/>
        <v>AWR_90_PA1/APPLIED-WATER</v>
      </c>
      <c r="H566" t="s">
        <v>305</v>
      </c>
      <c r="I566" t="s">
        <v>306</v>
      </c>
      <c r="L566" t="s">
        <v>8</v>
      </c>
      <c r="M566" t="s">
        <v>54</v>
      </c>
      <c r="N566" t="s">
        <v>9</v>
      </c>
    </row>
    <row r="567" spans="2:14" x14ac:dyDescent="0.25">
      <c r="B567" t="s">
        <v>0</v>
      </c>
      <c r="C567" t="s">
        <v>609</v>
      </c>
      <c r="D567" t="s">
        <v>18</v>
      </c>
      <c r="E567" t="s">
        <v>3</v>
      </c>
      <c r="F567" t="s">
        <v>4</v>
      </c>
      <c r="G567" s="2" t="str">
        <f t="shared" si="8"/>
        <v>AWR_90_PA2/APPLIED-WATER</v>
      </c>
      <c r="H567" t="s">
        <v>305</v>
      </c>
      <c r="I567" t="s">
        <v>306</v>
      </c>
      <c r="L567" t="s">
        <v>8</v>
      </c>
      <c r="M567" t="s">
        <v>54</v>
      </c>
      <c r="N567" t="s">
        <v>9</v>
      </c>
    </row>
    <row r="568" spans="2:14" x14ac:dyDescent="0.25">
      <c r="B568" t="s">
        <v>0</v>
      </c>
      <c r="C568" t="s">
        <v>610</v>
      </c>
      <c r="D568" t="s">
        <v>18</v>
      </c>
      <c r="E568" t="s">
        <v>3</v>
      </c>
      <c r="F568" t="s">
        <v>4</v>
      </c>
      <c r="G568" s="2" t="str">
        <f t="shared" si="8"/>
        <v>AWR_91_PA/APPLIED-WATER</v>
      </c>
      <c r="H568" t="s">
        <v>305</v>
      </c>
      <c r="I568" t="s">
        <v>306</v>
      </c>
      <c r="L568" t="s">
        <v>8</v>
      </c>
      <c r="M568" t="s">
        <v>54</v>
      </c>
      <c r="N568" t="s">
        <v>9</v>
      </c>
    </row>
    <row r="569" spans="2:14" x14ac:dyDescent="0.25">
      <c r="B569" t="s">
        <v>0</v>
      </c>
      <c r="C569" t="s">
        <v>611</v>
      </c>
      <c r="D569" t="s">
        <v>18</v>
      </c>
      <c r="E569" t="s">
        <v>3</v>
      </c>
      <c r="F569" t="s">
        <v>4</v>
      </c>
      <c r="G569" s="2" t="str">
        <f t="shared" si="8"/>
        <v>AWR_91_PR/APPLIED-WATER</v>
      </c>
      <c r="H569" t="s">
        <v>305</v>
      </c>
      <c r="I569" t="s">
        <v>306</v>
      </c>
      <c r="L569" t="s">
        <v>8</v>
      </c>
      <c r="M569" t="s">
        <v>54</v>
      </c>
      <c r="N569" t="s">
        <v>9</v>
      </c>
    </row>
    <row r="570" spans="2:14" x14ac:dyDescent="0.25">
      <c r="B570" t="s">
        <v>0</v>
      </c>
      <c r="C570" t="s">
        <v>612</v>
      </c>
      <c r="D570" t="s">
        <v>18</v>
      </c>
      <c r="E570" t="s">
        <v>3</v>
      </c>
      <c r="F570" t="s">
        <v>4</v>
      </c>
      <c r="G570" s="2" t="str">
        <f t="shared" si="8"/>
        <v>AWW_05_NA/APPLIED-WATER</v>
      </c>
      <c r="H570" t="s">
        <v>305</v>
      </c>
      <c r="I570" t="s">
        <v>306</v>
      </c>
      <c r="L570" t="s">
        <v>8</v>
      </c>
      <c r="M570" t="s">
        <v>54</v>
      </c>
      <c r="N570" t="s">
        <v>9</v>
      </c>
    </row>
    <row r="571" spans="2:14" x14ac:dyDescent="0.25">
      <c r="B571" t="s">
        <v>0</v>
      </c>
      <c r="C571" t="s">
        <v>613</v>
      </c>
      <c r="D571" t="s">
        <v>18</v>
      </c>
      <c r="E571" t="s">
        <v>3</v>
      </c>
      <c r="F571" t="s">
        <v>4</v>
      </c>
      <c r="G571" s="2" t="str">
        <f t="shared" si="8"/>
        <v>AWW_08N_PA/APPLIED-WATER</v>
      </c>
      <c r="H571" t="s">
        <v>305</v>
      </c>
      <c r="I571" t="s">
        <v>306</v>
      </c>
      <c r="L571" t="s">
        <v>8</v>
      </c>
      <c r="M571" t="s">
        <v>54</v>
      </c>
      <c r="N571" t="s">
        <v>9</v>
      </c>
    </row>
    <row r="572" spans="2:14" x14ac:dyDescent="0.25">
      <c r="B572" t="s">
        <v>0</v>
      </c>
      <c r="C572" t="s">
        <v>614</v>
      </c>
      <c r="D572" t="s">
        <v>18</v>
      </c>
      <c r="E572" t="s">
        <v>3</v>
      </c>
      <c r="F572" t="s">
        <v>4</v>
      </c>
      <c r="G572" s="2" t="str">
        <f t="shared" si="8"/>
        <v>AWW_08N_PR1/APPLIED-WATER</v>
      </c>
      <c r="H572" t="s">
        <v>305</v>
      </c>
      <c r="I572" t="s">
        <v>306</v>
      </c>
      <c r="L572" t="s">
        <v>8</v>
      </c>
      <c r="M572" t="s">
        <v>54</v>
      </c>
      <c r="N572" t="s">
        <v>9</v>
      </c>
    </row>
    <row r="573" spans="2:14" x14ac:dyDescent="0.25">
      <c r="B573" t="s">
        <v>0</v>
      </c>
      <c r="C573" t="s">
        <v>615</v>
      </c>
      <c r="D573" t="s">
        <v>18</v>
      </c>
      <c r="E573" t="s">
        <v>3</v>
      </c>
      <c r="F573" t="s">
        <v>4</v>
      </c>
      <c r="G573" s="2" t="str">
        <f t="shared" si="8"/>
        <v>AWW_08N_PR2/APPLIED-WATER</v>
      </c>
      <c r="H573" t="s">
        <v>305</v>
      </c>
      <c r="I573" t="s">
        <v>306</v>
      </c>
      <c r="L573" t="s">
        <v>8</v>
      </c>
      <c r="M573" t="s">
        <v>54</v>
      </c>
      <c r="N573" t="s">
        <v>9</v>
      </c>
    </row>
    <row r="574" spans="2:14" x14ac:dyDescent="0.25">
      <c r="B574" t="s">
        <v>0</v>
      </c>
      <c r="C574" t="s">
        <v>616</v>
      </c>
      <c r="D574" t="s">
        <v>18</v>
      </c>
      <c r="E574" t="s">
        <v>3</v>
      </c>
      <c r="F574" t="s">
        <v>4</v>
      </c>
      <c r="G574" s="2" t="str">
        <f t="shared" si="8"/>
        <v>AWW_08N_SA1/APPLIED-WATER</v>
      </c>
      <c r="H574" t="s">
        <v>305</v>
      </c>
      <c r="I574" t="s">
        <v>306</v>
      </c>
      <c r="L574" t="s">
        <v>8</v>
      </c>
      <c r="M574" t="s">
        <v>54</v>
      </c>
      <c r="N574" t="s">
        <v>9</v>
      </c>
    </row>
    <row r="575" spans="2:14" x14ac:dyDescent="0.25">
      <c r="B575" t="s">
        <v>0</v>
      </c>
      <c r="C575" t="s">
        <v>617</v>
      </c>
      <c r="D575" t="s">
        <v>18</v>
      </c>
      <c r="E575" t="s">
        <v>3</v>
      </c>
      <c r="F575" t="s">
        <v>4</v>
      </c>
      <c r="G575" s="2" t="str">
        <f t="shared" si="8"/>
        <v>AWW_08N_SA2/APPLIED-WATER</v>
      </c>
      <c r="H575" t="s">
        <v>305</v>
      </c>
      <c r="I575" t="s">
        <v>306</v>
      </c>
      <c r="L575" t="s">
        <v>8</v>
      </c>
      <c r="M575" t="s">
        <v>54</v>
      </c>
      <c r="N575" t="s">
        <v>9</v>
      </c>
    </row>
    <row r="576" spans="2:14" x14ac:dyDescent="0.25">
      <c r="B576" t="s">
        <v>0</v>
      </c>
      <c r="C576" t="s">
        <v>618</v>
      </c>
      <c r="D576" t="s">
        <v>18</v>
      </c>
      <c r="E576" t="s">
        <v>3</v>
      </c>
      <c r="F576" t="s">
        <v>4</v>
      </c>
      <c r="G576" s="2" t="str">
        <f t="shared" si="8"/>
        <v>AWW_08S_PA/APPLIED-WATER</v>
      </c>
      <c r="H576" t="s">
        <v>305</v>
      </c>
      <c r="I576" t="s">
        <v>306</v>
      </c>
      <c r="L576" t="s">
        <v>8</v>
      </c>
      <c r="M576" t="s">
        <v>54</v>
      </c>
      <c r="N576" t="s">
        <v>9</v>
      </c>
    </row>
    <row r="577" spans="2:14" x14ac:dyDescent="0.25">
      <c r="B577" t="s">
        <v>0</v>
      </c>
      <c r="C577" t="s">
        <v>619</v>
      </c>
      <c r="D577" t="s">
        <v>18</v>
      </c>
      <c r="E577" t="s">
        <v>3</v>
      </c>
      <c r="F577" t="s">
        <v>4</v>
      </c>
      <c r="G577" s="2" t="str">
        <f t="shared" si="8"/>
        <v>AWW_08S_PR/APPLIED-WATER</v>
      </c>
      <c r="H577" t="s">
        <v>305</v>
      </c>
      <c r="I577" t="s">
        <v>306</v>
      </c>
      <c r="L577" t="s">
        <v>8</v>
      </c>
      <c r="M577" t="s">
        <v>54</v>
      </c>
      <c r="N577" t="s">
        <v>9</v>
      </c>
    </row>
    <row r="578" spans="2:14" x14ac:dyDescent="0.25">
      <c r="B578" t="s">
        <v>0</v>
      </c>
      <c r="C578" t="s">
        <v>620</v>
      </c>
      <c r="D578" t="s">
        <v>18</v>
      </c>
      <c r="E578" t="s">
        <v>3</v>
      </c>
      <c r="F578" t="s">
        <v>4</v>
      </c>
      <c r="G578" s="2" t="str">
        <f t="shared" si="8"/>
        <v>AWW_08S_SA1/APPLIED-WATER</v>
      </c>
      <c r="H578" t="s">
        <v>305</v>
      </c>
      <c r="I578" t="s">
        <v>306</v>
      </c>
      <c r="L578" t="s">
        <v>8</v>
      </c>
      <c r="M578" t="s">
        <v>54</v>
      </c>
      <c r="N578" t="s">
        <v>9</v>
      </c>
    </row>
    <row r="579" spans="2:14" x14ac:dyDescent="0.25">
      <c r="B579" t="s">
        <v>0</v>
      </c>
      <c r="C579" t="s">
        <v>621</v>
      </c>
      <c r="D579" t="s">
        <v>18</v>
      </c>
      <c r="E579" t="s">
        <v>3</v>
      </c>
      <c r="F579" t="s">
        <v>4</v>
      </c>
      <c r="G579" s="2" t="str">
        <f t="shared" ref="G579:G642" si="9">_xlfn.CONCAT(C579,"/",D579)</f>
        <v>AWW_08S_SA2/APPLIED-WATER</v>
      </c>
      <c r="H579" t="s">
        <v>305</v>
      </c>
      <c r="I579" t="s">
        <v>306</v>
      </c>
      <c r="L579" t="s">
        <v>8</v>
      </c>
      <c r="M579" t="s">
        <v>54</v>
      </c>
      <c r="N579" t="s">
        <v>9</v>
      </c>
    </row>
    <row r="580" spans="2:14" x14ac:dyDescent="0.25">
      <c r="B580" t="s">
        <v>0</v>
      </c>
      <c r="C580" t="s">
        <v>622</v>
      </c>
      <c r="D580" t="s">
        <v>18</v>
      </c>
      <c r="E580" t="s">
        <v>3</v>
      </c>
      <c r="F580" t="s">
        <v>4</v>
      </c>
      <c r="G580" s="2" t="str">
        <f t="shared" si="9"/>
        <v>AWW_09_NA/APPLIED-WATER</v>
      </c>
      <c r="H580" t="s">
        <v>305</v>
      </c>
      <c r="I580" t="s">
        <v>306</v>
      </c>
      <c r="L580" t="s">
        <v>8</v>
      </c>
      <c r="M580" t="s">
        <v>54</v>
      </c>
      <c r="N580" t="s">
        <v>9</v>
      </c>
    </row>
    <row r="581" spans="2:14" x14ac:dyDescent="0.25">
      <c r="B581" t="s">
        <v>0</v>
      </c>
      <c r="C581" t="s">
        <v>623</v>
      </c>
      <c r="D581" t="s">
        <v>18</v>
      </c>
      <c r="E581" t="s">
        <v>3</v>
      </c>
      <c r="F581" t="s">
        <v>4</v>
      </c>
      <c r="G581" s="2" t="str">
        <f t="shared" si="9"/>
        <v>AWW_09_PR/APPLIED-WATER</v>
      </c>
      <c r="H581" t="s">
        <v>305</v>
      </c>
      <c r="I581" t="s">
        <v>306</v>
      </c>
      <c r="L581" t="s">
        <v>8</v>
      </c>
      <c r="M581" t="s">
        <v>54</v>
      </c>
      <c r="N581" t="s">
        <v>9</v>
      </c>
    </row>
    <row r="582" spans="2:14" x14ac:dyDescent="0.25">
      <c r="B582" t="s">
        <v>0</v>
      </c>
      <c r="C582" t="s">
        <v>624</v>
      </c>
      <c r="D582" t="s">
        <v>18</v>
      </c>
      <c r="E582" t="s">
        <v>3</v>
      </c>
      <c r="F582" t="s">
        <v>4</v>
      </c>
      <c r="G582" s="2" t="str">
        <f t="shared" si="9"/>
        <v>AWW_09_SA2/APPLIED-WATER</v>
      </c>
      <c r="H582" t="s">
        <v>305</v>
      </c>
      <c r="I582" t="s">
        <v>306</v>
      </c>
      <c r="L582" t="s">
        <v>8</v>
      </c>
      <c r="M582" t="s">
        <v>54</v>
      </c>
      <c r="N582" t="s">
        <v>9</v>
      </c>
    </row>
    <row r="583" spans="2:14" x14ac:dyDescent="0.25">
      <c r="B583" t="s">
        <v>0</v>
      </c>
      <c r="C583" t="s">
        <v>625</v>
      </c>
      <c r="D583" t="s">
        <v>18</v>
      </c>
      <c r="E583" t="s">
        <v>3</v>
      </c>
      <c r="F583" t="s">
        <v>4</v>
      </c>
      <c r="G583" s="2" t="str">
        <f t="shared" si="9"/>
        <v>AWW_10_NA/APPLIED-WATER</v>
      </c>
      <c r="H583" t="s">
        <v>305</v>
      </c>
      <c r="I583" t="s">
        <v>306</v>
      </c>
      <c r="L583" t="s">
        <v>8</v>
      </c>
      <c r="M583" t="s">
        <v>54</v>
      </c>
      <c r="N583" t="s">
        <v>9</v>
      </c>
    </row>
    <row r="584" spans="2:14" x14ac:dyDescent="0.25">
      <c r="B584" t="s">
        <v>0</v>
      </c>
      <c r="C584" t="s">
        <v>626</v>
      </c>
      <c r="D584" t="s">
        <v>18</v>
      </c>
      <c r="E584" t="s">
        <v>3</v>
      </c>
      <c r="F584" t="s">
        <v>4</v>
      </c>
      <c r="G584" s="2" t="str">
        <f t="shared" si="9"/>
        <v>AWW_11_NA/APPLIED-WATER</v>
      </c>
      <c r="H584" t="s">
        <v>305</v>
      </c>
      <c r="I584" t="s">
        <v>306</v>
      </c>
      <c r="L584" t="s">
        <v>8</v>
      </c>
      <c r="M584" t="s">
        <v>54</v>
      </c>
      <c r="N584" t="s">
        <v>9</v>
      </c>
    </row>
    <row r="585" spans="2:14" x14ac:dyDescent="0.25">
      <c r="B585" t="s">
        <v>0</v>
      </c>
      <c r="C585" t="s">
        <v>627</v>
      </c>
      <c r="D585" t="s">
        <v>18</v>
      </c>
      <c r="E585" t="s">
        <v>3</v>
      </c>
      <c r="F585" t="s">
        <v>4</v>
      </c>
      <c r="G585" s="2" t="str">
        <f t="shared" si="9"/>
        <v>AWW_11_PR/APPLIED-WATER</v>
      </c>
      <c r="H585" t="s">
        <v>305</v>
      </c>
      <c r="I585" t="s">
        <v>306</v>
      </c>
      <c r="L585" t="s">
        <v>8</v>
      </c>
      <c r="M585" t="s">
        <v>54</v>
      </c>
      <c r="N585" t="s">
        <v>9</v>
      </c>
    </row>
    <row r="586" spans="2:14" x14ac:dyDescent="0.25">
      <c r="B586" t="s">
        <v>0</v>
      </c>
      <c r="C586" t="s">
        <v>628</v>
      </c>
      <c r="D586" t="s">
        <v>18</v>
      </c>
      <c r="E586" t="s">
        <v>3</v>
      </c>
      <c r="F586" t="s">
        <v>4</v>
      </c>
      <c r="G586" s="2" t="str">
        <f t="shared" si="9"/>
        <v>AWW_11_SA1/APPLIED-WATER</v>
      </c>
      <c r="H586" t="s">
        <v>305</v>
      </c>
      <c r="I586" t="s">
        <v>306</v>
      </c>
      <c r="L586" t="s">
        <v>8</v>
      </c>
      <c r="M586" t="s">
        <v>54</v>
      </c>
      <c r="N586" t="s">
        <v>9</v>
      </c>
    </row>
    <row r="587" spans="2:14" x14ac:dyDescent="0.25">
      <c r="B587" t="s">
        <v>0</v>
      </c>
      <c r="C587" t="s">
        <v>629</v>
      </c>
      <c r="D587" t="s">
        <v>18</v>
      </c>
      <c r="E587" t="s">
        <v>3</v>
      </c>
      <c r="F587" t="s">
        <v>4</v>
      </c>
      <c r="G587" s="2" t="str">
        <f t="shared" si="9"/>
        <v>AWW_11_SA2/APPLIED-WATER</v>
      </c>
      <c r="H587" t="s">
        <v>305</v>
      </c>
      <c r="I587" t="s">
        <v>306</v>
      </c>
      <c r="L587" t="s">
        <v>8</v>
      </c>
      <c r="M587" t="s">
        <v>54</v>
      </c>
      <c r="N587" t="s">
        <v>9</v>
      </c>
    </row>
    <row r="588" spans="2:14" x14ac:dyDescent="0.25">
      <c r="B588" t="s">
        <v>0</v>
      </c>
      <c r="C588" t="s">
        <v>630</v>
      </c>
      <c r="D588" t="s">
        <v>18</v>
      </c>
      <c r="E588" t="s">
        <v>3</v>
      </c>
      <c r="F588" t="s">
        <v>4</v>
      </c>
      <c r="G588" s="2" t="str">
        <f t="shared" si="9"/>
        <v>AWW_11_SA3/APPLIED-WATER</v>
      </c>
      <c r="H588" t="s">
        <v>305</v>
      </c>
      <c r="I588" t="s">
        <v>306</v>
      </c>
      <c r="L588" t="s">
        <v>8</v>
      </c>
      <c r="M588" t="s">
        <v>54</v>
      </c>
      <c r="N588" t="s">
        <v>9</v>
      </c>
    </row>
    <row r="589" spans="2:14" x14ac:dyDescent="0.25">
      <c r="B589" t="s">
        <v>0</v>
      </c>
      <c r="C589" t="s">
        <v>631</v>
      </c>
      <c r="D589" t="s">
        <v>18</v>
      </c>
      <c r="E589" t="s">
        <v>3</v>
      </c>
      <c r="F589" t="s">
        <v>4</v>
      </c>
      <c r="G589" s="2" t="str">
        <f t="shared" si="9"/>
        <v>AWW_11_SA4/APPLIED-WATER</v>
      </c>
      <c r="H589" t="s">
        <v>305</v>
      </c>
      <c r="I589" t="s">
        <v>306</v>
      </c>
      <c r="L589" t="s">
        <v>8</v>
      </c>
      <c r="M589" t="s">
        <v>54</v>
      </c>
      <c r="N589" t="s">
        <v>9</v>
      </c>
    </row>
    <row r="590" spans="2:14" x14ac:dyDescent="0.25">
      <c r="B590" t="s">
        <v>0</v>
      </c>
      <c r="C590" t="s">
        <v>632</v>
      </c>
      <c r="D590" t="s">
        <v>18</v>
      </c>
      <c r="E590" t="s">
        <v>3</v>
      </c>
      <c r="F590" t="s">
        <v>4</v>
      </c>
      <c r="G590" s="2" t="str">
        <f t="shared" si="9"/>
        <v>AWW_12_NA/APPLIED-WATER</v>
      </c>
      <c r="H590" t="s">
        <v>305</v>
      </c>
      <c r="I590" t="s">
        <v>306</v>
      </c>
      <c r="L590" t="s">
        <v>8</v>
      </c>
      <c r="M590" t="s">
        <v>54</v>
      </c>
      <c r="N590" t="s">
        <v>9</v>
      </c>
    </row>
    <row r="591" spans="2:14" x14ac:dyDescent="0.25">
      <c r="B591" t="s">
        <v>0</v>
      </c>
      <c r="C591" t="s">
        <v>633</v>
      </c>
      <c r="D591" t="s">
        <v>18</v>
      </c>
      <c r="E591" t="s">
        <v>3</v>
      </c>
      <c r="F591" t="s">
        <v>4</v>
      </c>
      <c r="G591" s="2" t="str">
        <f t="shared" si="9"/>
        <v>AWW_17N_NR/APPLIED-WATER</v>
      </c>
      <c r="H591" t="s">
        <v>305</v>
      </c>
      <c r="I591" t="s">
        <v>306</v>
      </c>
      <c r="L591" t="s">
        <v>8</v>
      </c>
      <c r="M591" t="s">
        <v>54</v>
      </c>
      <c r="N591" t="s">
        <v>9</v>
      </c>
    </row>
    <row r="592" spans="2:14" x14ac:dyDescent="0.25">
      <c r="B592" t="s">
        <v>0</v>
      </c>
      <c r="C592" t="s">
        <v>634</v>
      </c>
      <c r="D592" t="s">
        <v>18</v>
      </c>
      <c r="E592" t="s">
        <v>3</v>
      </c>
      <c r="F592" t="s">
        <v>4</v>
      </c>
      <c r="G592" s="2" t="str">
        <f t="shared" si="9"/>
        <v>AWW_17N_PR/APPLIED-WATER</v>
      </c>
      <c r="H592" t="s">
        <v>305</v>
      </c>
      <c r="I592" t="s">
        <v>306</v>
      </c>
      <c r="L592" t="s">
        <v>8</v>
      </c>
      <c r="M592" t="s">
        <v>54</v>
      </c>
      <c r="N592" t="s">
        <v>9</v>
      </c>
    </row>
    <row r="593" spans="2:14" x14ac:dyDescent="0.25">
      <c r="B593" t="s">
        <v>0</v>
      </c>
      <c r="C593" t="s">
        <v>635</v>
      </c>
      <c r="D593" t="s">
        <v>18</v>
      </c>
      <c r="E593" t="s">
        <v>3</v>
      </c>
      <c r="F593" t="s">
        <v>4</v>
      </c>
      <c r="G593" s="2" t="str">
        <f t="shared" si="9"/>
        <v>AWW_17S_PR/APPLIED-WATER</v>
      </c>
      <c r="H593" t="s">
        <v>305</v>
      </c>
      <c r="I593" t="s">
        <v>306</v>
      </c>
      <c r="L593" t="s">
        <v>8</v>
      </c>
      <c r="M593" t="s">
        <v>54</v>
      </c>
      <c r="N593" t="s">
        <v>9</v>
      </c>
    </row>
    <row r="594" spans="2:14" x14ac:dyDescent="0.25">
      <c r="B594" t="s">
        <v>0</v>
      </c>
      <c r="C594" t="s">
        <v>636</v>
      </c>
      <c r="D594" t="s">
        <v>18</v>
      </c>
      <c r="E594" t="s">
        <v>3</v>
      </c>
      <c r="F594" t="s">
        <v>4</v>
      </c>
      <c r="G594" s="2" t="str">
        <f t="shared" si="9"/>
        <v>AWW_21_PA/APPLIED-WATER</v>
      </c>
      <c r="H594" t="s">
        <v>305</v>
      </c>
      <c r="I594" t="s">
        <v>306</v>
      </c>
      <c r="L594" t="s">
        <v>8</v>
      </c>
      <c r="M594" t="s">
        <v>54</v>
      </c>
      <c r="N594" t="s">
        <v>9</v>
      </c>
    </row>
    <row r="595" spans="2:14" x14ac:dyDescent="0.25">
      <c r="B595" t="s">
        <v>0</v>
      </c>
      <c r="C595" t="s">
        <v>637</v>
      </c>
      <c r="D595" t="s">
        <v>18</v>
      </c>
      <c r="E595" t="s">
        <v>3</v>
      </c>
      <c r="F595" t="s">
        <v>4</v>
      </c>
      <c r="G595" s="2" t="str">
        <f t="shared" si="9"/>
        <v>AWW_63_PR1/APPLIED-WATER</v>
      </c>
      <c r="H595" t="s">
        <v>305</v>
      </c>
      <c r="I595" t="s">
        <v>306</v>
      </c>
      <c r="L595" t="s">
        <v>8</v>
      </c>
      <c r="M595" t="s">
        <v>54</v>
      </c>
      <c r="N595" t="s">
        <v>9</v>
      </c>
    </row>
    <row r="596" spans="2:14" x14ac:dyDescent="0.25">
      <c r="B596" t="s">
        <v>0</v>
      </c>
      <c r="C596" t="s">
        <v>638</v>
      </c>
      <c r="D596" t="s">
        <v>18</v>
      </c>
      <c r="E596" t="s">
        <v>3</v>
      </c>
      <c r="F596" t="s">
        <v>4</v>
      </c>
      <c r="G596" s="2" t="str">
        <f t="shared" si="9"/>
        <v>AWW_63_PR2/APPLIED-WATER</v>
      </c>
      <c r="H596" t="s">
        <v>305</v>
      </c>
      <c r="I596" t="s">
        <v>306</v>
      </c>
      <c r="L596" t="s">
        <v>8</v>
      </c>
      <c r="M596" t="s">
        <v>54</v>
      </c>
      <c r="N596" t="s">
        <v>9</v>
      </c>
    </row>
    <row r="597" spans="2:14" x14ac:dyDescent="0.25">
      <c r="B597" t="s">
        <v>0</v>
      </c>
      <c r="C597" t="s">
        <v>639</v>
      </c>
      <c r="D597" t="s">
        <v>18</v>
      </c>
      <c r="E597" t="s">
        <v>3</v>
      </c>
      <c r="F597" t="s">
        <v>4</v>
      </c>
      <c r="G597" s="2" t="str">
        <f t="shared" si="9"/>
        <v>AWW_63_PR3/APPLIED-WATER</v>
      </c>
      <c r="H597" t="s">
        <v>305</v>
      </c>
      <c r="I597" t="s">
        <v>306</v>
      </c>
      <c r="L597" t="s">
        <v>8</v>
      </c>
      <c r="M597" t="s">
        <v>54</v>
      </c>
      <c r="N597" t="s">
        <v>9</v>
      </c>
    </row>
    <row r="598" spans="2:14" x14ac:dyDescent="0.25">
      <c r="B598" t="s">
        <v>0</v>
      </c>
      <c r="C598" t="s">
        <v>640</v>
      </c>
      <c r="D598" t="s">
        <v>18</v>
      </c>
      <c r="E598" t="s">
        <v>3</v>
      </c>
      <c r="F598" t="s">
        <v>4</v>
      </c>
      <c r="G598" s="2" t="str">
        <f t="shared" si="9"/>
        <v>AWW_72_PR1/APPLIED-WATER</v>
      </c>
      <c r="H598" t="s">
        <v>305</v>
      </c>
      <c r="I598" t="s">
        <v>306</v>
      </c>
      <c r="L598" t="s">
        <v>8</v>
      </c>
      <c r="M598" t="s">
        <v>54</v>
      </c>
      <c r="N598" t="s">
        <v>9</v>
      </c>
    </row>
    <row r="599" spans="2:14" x14ac:dyDescent="0.25">
      <c r="B599" t="s">
        <v>0</v>
      </c>
      <c r="C599" t="s">
        <v>641</v>
      </c>
      <c r="D599" t="s">
        <v>18</v>
      </c>
      <c r="E599" t="s">
        <v>3</v>
      </c>
      <c r="F599" t="s">
        <v>4</v>
      </c>
      <c r="G599" s="2" t="str">
        <f t="shared" si="9"/>
        <v>AWW_72_PR2/APPLIED-WATER</v>
      </c>
      <c r="H599" t="s">
        <v>305</v>
      </c>
      <c r="I599" t="s">
        <v>306</v>
      </c>
      <c r="L599" t="s">
        <v>8</v>
      </c>
      <c r="M599" t="s">
        <v>54</v>
      </c>
      <c r="N599" t="s">
        <v>9</v>
      </c>
    </row>
    <row r="600" spans="2:14" x14ac:dyDescent="0.25">
      <c r="B600" t="s">
        <v>0</v>
      </c>
      <c r="C600" t="s">
        <v>642</v>
      </c>
      <c r="D600" t="s">
        <v>18</v>
      </c>
      <c r="E600" t="s">
        <v>3</v>
      </c>
      <c r="F600" t="s">
        <v>4</v>
      </c>
      <c r="G600" s="2" t="str">
        <f t="shared" si="9"/>
        <v>AWW_72_PR3/APPLIED-WATER</v>
      </c>
      <c r="H600" t="s">
        <v>305</v>
      </c>
      <c r="I600" t="s">
        <v>306</v>
      </c>
      <c r="L600" t="s">
        <v>8</v>
      </c>
      <c r="M600" t="s">
        <v>54</v>
      </c>
      <c r="N600" t="s">
        <v>9</v>
      </c>
    </row>
    <row r="601" spans="2:14" x14ac:dyDescent="0.25">
      <c r="B601" t="s">
        <v>0</v>
      </c>
      <c r="C601" t="s">
        <v>643</v>
      </c>
      <c r="D601" t="s">
        <v>18</v>
      </c>
      <c r="E601" t="s">
        <v>3</v>
      </c>
      <c r="F601" t="s">
        <v>4</v>
      </c>
      <c r="G601" s="2" t="str">
        <f t="shared" si="9"/>
        <v>AWW_72_PR4/APPLIED-WATER</v>
      </c>
      <c r="H601" t="s">
        <v>305</v>
      </c>
      <c r="I601" t="s">
        <v>306</v>
      </c>
      <c r="L601" t="s">
        <v>8</v>
      </c>
      <c r="M601" t="s">
        <v>54</v>
      </c>
      <c r="N601" t="s">
        <v>9</v>
      </c>
    </row>
    <row r="602" spans="2:14" x14ac:dyDescent="0.25">
      <c r="B602" t="s">
        <v>0</v>
      </c>
      <c r="C602" t="s">
        <v>644</v>
      </c>
      <c r="D602" t="s">
        <v>18</v>
      </c>
      <c r="E602" t="s">
        <v>3</v>
      </c>
      <c r="F602" t="s">
        <v>4</v>
      </c>
      <c r="G602" s="2" t="str">
        <f t="shared" si="9"/>
        <v>AWW_72_PR5/APPLIED-WATER</v>
      </c>
      <c r="H602" t="s">
        <v>305</v>
      </c>
      <c r="I602" t="s">
        <v>306</v>
      </c>
      <c r="L602" t="s">
        <v>8</v>
      </c>
      <c r="M602" t="s">
        <v>54</v>
      </c>
      <c r="N602" t="s">
        <v>9</v>
      </c>
    </row>
    <row r="603" spans="2:14" x14ac:dyDescent="0.25">
      <c r="B603" t="s">
        <v>0</v>
      </c>
      <c r="C603" t="s">
        <v>645</v>
      </c>
      <c r="D603" t="s">
        <v>18</v>
      </c>
      <c r="E603" t="s">
        <v>3</v>
      </c>
      <c r="F603" t="s">
        <v>4</v>
      </c>
      <c r="G603" s="2" t="str">
        <f t="shared" si="9"/>
        <v>AWW_72_PR6/APPLIED-WATER</v>
      </c>
      <c r="H603" t="s">
        <v>305</v>
      </c>
      <c r="I603" t="s">
        <v>306</v>
      </c>
      <c r="L603" t="s">
        <v>8</v>
      </c>
      <c r="M603" t="s">
        <v>54</v>
      </c>
      <c r="N603" t="s">
        <v>9</v>
      </c>
    </row>
    <row r="604" spans="2:14" x14ac:dyDescent="0.25">
      <c r="B604" t="s">
        <v>0</v>
      </c>
      <c r="C604" t="s">
        <v>646</v>
      </c>
      <c r="D604" t="s">
        <v>18</v>
      </c>
      <c r="E604" t="s">
        <v>3</v>
      </c>
      <c r="F604" t="s">
        <v>4</v>
      </c>
      <c r="G604" s="2" t="str">
        <f t="shared" si="9"/>
        <v>AWW_91_PR/APPLIED-WATER</v>
      </c>
      <c r="H604" t="s">
        <v>305</v>
      </c>
      <c r="I604" t="s">
        <v>306</v>
      </c>
      <c r="L604" t="s">
        <v>8</v>
      </c>
      <c r="M604" t="s">
        <v>54</v>
      </c>
      <c r="N604" t="s">
        <v>9</v>
      </c>
    </row>
    <row r="605" spans="2:14" x14ac:dyDescent="0.25">
      <c r="B605" t="s">
        <v>0</v>
      </c>
      <c r="C605" t="s">
        <v>647</v>
      </c>
      <c r="D605" t="s">
        <v>51</v>
      </c>
      <c r="E605" t="s">
        <v>3</v>
      </c>
      <c r="F605" t="s">
        <v>4</v>
      </c>
      <c r="G605" s="2" t="str">
        <f t="shared" si="9"/>
        <v>DP_02_INT/DEEP-PERCOLATION</v>
      </c>
      <c r="H605" t="s">
        <v>305</v>
      </c>
      <c r="I605" t="s">
        <v>306</v>
      </c>
      <c r="L605" t="s">
        <v>8</v>
      </c>
      <c r="M605" t="s">
        <v>54</v>
      </c>
      <c r="N605" t="s">
        <v>9</v>
      </c>
    </row>
    <row r="606" spans="2:14" x14ac:dyDescent="0.25">
      <c r="B606" t="s">
        <v>0</v>
      </c>
      <c r="C606" t="s">
        <v>648</v>
      </c>
      <c r="D606" t="s">
        <v>51</v>
      </c>
      <c r="E606" t="s">
        <v>3</v>
      </c>
      <c r="F606" t="s">
        <v>4</v>
      </c>
      <c r="G606" s="2" t="str">
        <f t="shared" si="9"/>
        <v>DP_03_INT/DEEP-PERCOLATION</v>
      </c>
      <c r="H606" t="s">
        <v>305</v>
      </c>
      <c r="I606" t="s">
        <v>306</v>
      </c>
      <c r="L606" t="s">
        <v>8</v>
      </c>
      <c r="M606" t="s">
        <v>54</v>
      </c>
      <c r="N606" t="s">
        <v>9</v>
      </c>
    </row>
    <row r="607" spans="2:14" x14ac:dyDescent="0.25">
      <c r="B607" t="s">
        <v>0</v>
      </c>
      <c r="C607" t="s">
        <v>649</v>
      </c>
      <c r="D607" t="s">
        <v>51</v>
      </c>
      <c r="E607" t="s">
        <v>3</v>
      </c>
      <c r="F607" t="s">
        <v>4</v>
      </c>
      <c r="G607" s="2" t="str">
        <f t="shared" si="9"/>
        <v>DP_04_INT/DEEP-PERCOLATION</v>
      </c>
      <c r="H607" t="s">
        <v>305</v>
      </c>
      <c r="I607" t="s">
        <v>306</v>
      </c>
      <c r="L607" t="s">
        <v>8</v>
      </c>
      <c r="M607" t="s">
        <v>54</v>
      </c>
      <c r="N607" t="s">
        <v>9</v>
      </c>
    </row>
    <row r="608" spans="2:14" x14ac:dyDescent="0.25">
      <c r="B608" t="s">
        <v>0</v>
      </c>
      <c r="C608" t="s">
        <v>650</v>
      </c>
      <c r="D608" t="s">
        <v>51</v>
      </c>
      <c r="E608" t="s">
        <v>3</v>
      </c>
      <c r="F608" t="s">
        <v>4</v>
      </c>
      <c r="G608" s="2" t="str">
        <f t="shared" si="9"/>
        <v>DP_05_INT/DEEP-PERCOLATION</v>
      </c>
      <c r="H608" t="s">
        <v>305</v>
      </c>
      <c r="I608" t="s">
        <v>306</v>
      </c>
      <c r="L608" t="s">
        <v>8</v>
      </c>
      <c r="M608" t="s">
        <v>54</v>
      </c>
      <c r="N608" t="s">
        <v>9</v>
      </c>
    </row>
    <row r="609" spans="2:14" x14ac:dyDescent="0.25">
      <c r="B609" t="s">
        <v>0</v>
      </c>
      <c r="C609" t="s">
        <v>651</v>
      </c>
      <c r="D609" t="s">
        <v>51</v>
      </c>
      <c r="E609" t="s">
        <v>3</v>
      </c>
      <c r="F609" t="s">
        <v>4</v>
      </c>
      <c r="G609" s="2" t="str">
        <f t="shared" si="9"/>
        <v>DP_06_INT/DEEP-PERCOLATION</v>
      </c>
      <c r="H609" t="s">
        <v>305</v>
      </c>
      <c r="I609" t="s">
        <v>306</v>
      </c>
      <c r="L609" t="s">
        <v>8</v>
      </c>
      <c r="M609" t="s">
        <v>54</v>
      </c>
      <c r="N609" t="s">
        <v>9</v>
      </c>
    </row>
    <row r="610" spans="2:14" x14ac:dyDescent="0.25">
      <c r="B610" t="s">
        <v>0</v>
      </c>
      <c r="C610" t="s">
        <v>652</v>
      </c>
      <c r="D610" t="s">
        <v>51</v>
      </c>
      <c r="E610" t="s">
        <v>3</v>
      </c>
      <c r="F610" t="s">
        <v>4</v>
      </c>
      <c r="G610" s="2" t="str">
        <f t="shared" si="9"/>
        <v>DP_07N_INT/DEEP-PERCOLATION</v>
      </c>
      <c r="H610" t="s">
        <v>305</v>
      </c>
      <c r="I610" t="s">
        <v>306</v>
      </c>
      <c r="L610" t="s">
        <v>8</v>
      </c>
      <c r="M610" t="s">
        <v>54</v>
      </c>
      <c r="N610" t="s">
        <v>9</v>
      </c>
    </row>
    <row r="611" spans="2:14" x14ac:dyDescent="0.25">
      <c r="B611" t="s">
        <v>0</v>
      </c>
      <c r="C611" t="s">
        <v>653</v>
      </c>
      <c r="D611" t="s">
        <v>51</v>
      </c>
      <c r="E611" t="s">
        <v>3</v>
      </c>
      <c r="F611" t="s">
        <v>4</v>
      </c>
      <c r="G611" s="2" t="str">
        <f t="shared" si="9"/>
        <v>DP_07S_INT/DEEP-PERCOLATION</v>
      </c>
      <c r="H611" t="s">
        <v>305</v>
      </c>
      <c r="I611" t="s">
        <v>306</v>
      </c>
      <c r="L611" t="s">
        <v>8</v>
      </c>
      <c r="M611" t="s">
        <v>54</v>
      </c>
      <c r="N611" t="s">
        <v>9</v>
      </c>
    </row>
    <row r="612" spans="2:14" x14ac:dyDescent="0.25">
      <c r="B612" t="s">
        <v>0</v>
      </c>
      <c r="C612" t="s">
        <v>654</v>
      </c>
      <c r="D612" t="s">
        <v>51</v>
      </c>
      <c r="E612" t="s">
        <v>3</v>
      </c>
      <c r="F612" t="s">
        <v>4</v>
      </c>
      <c r="G612" s="2" t="str">
        <f t="shared" si="9"/>
        <v>DP_08N_INT/DEEP-PERCOLATION</v>
      </c>
      <c r="H612" t="s">
        <v>305</v>
      </c>
      <c r="I612" t="s">
        <v>306</v>
      </c>
      <c r="L612" t="s">
        <v>8</v>
      </c>
      <c r="M612" t="s">
        <v>54</v>
      </c>
      <c r="N612" t="s">
        <v>9</v>
      </c>
    </row>
    <row r="613" spans="2:14" x14ac:dyDescent="0.25">
      <c r="B613" t="s">
        <v>0</v>
      </c>
      <c r="C613" t="s">
        <v>655</v>
      </c>
      <c r="D613" t="s">
        <v>51</v>
      </c>
      <c r="E613" t="s">
        <v>3</v>
      </c>
      <c r="F613" t="s">
        <v>4</v>
      </c>
      <c r="G613" s="2" t="str">
        <f t="shared" si="9"/>
        <v>DP_08S_INT/DEEP-PERCOLATION</v>
      </c>
      <c r="H613" t="s">
        <v>305</v>
      </c>
      <c r="I613" t="s">
        <v>306</v>
      </c>
      <c r="L613" t="s">
        <v>8</v>
      </c>
      <c r="M613" t="s">
        <v>54</v>
      </c>
      <c r="N613" t="s">
        <v>9</v>
      </c>
    </row>
    <row r="614" spans="2:14" x14ac:dyDescent="0.25">
      <c r="B614" t="s">
        <v>0</v>
      </c>
      <c r="C614" t="s">
        <v>656</v>
      </c>
      <c r="D614" t="s">
        <v>51</v>
      </c>
      <c r="E614" t="s">
        <v>3</v>
      </c>
      <c r="F614" t="s">
        <v>4</v>
      </c>
      <c r="G614" s="2" t="str">
        <f t="shared" si="9"/>
        <v>DP_09_INT/DEEP-PERCOLATION</v>
      </c>
      <c r="H614" t="s">
        <v>305</v>
      </c>
      <c r="I614" t="s">
        <v>306</v>
      </c>
      <c r="L614" t="s">
        <v>8</v>
      </c>
      <c r="M614" t="s">
        <v>54</v>
      </c>
      <c r="N614" t="s">
        <v>9</v>
      </c>
    </row>
    <row r="615" spans="2:14" x14ac:dyDescent="0.25">
      <c r="B615" t="s">
        <v>0</v>
      </c>
      <c r="C615" t="s">
        <v>657</v>
      </c>
      <c r="D615" t="s">
        <v>51</v>
      </c>
      <c r="E615" t="s">
        <v>3</v>
      </c>
      <c r="F615" t="s">
        <v>4</v>
      </c>
      <c r="G615" s="2" t="str">
        <f t="shared" si="9"/>
        <v>DP_10_INT/DEEP-PERCOLATION</v>
      </c>
      <c r="H615" t="s">
        <v>305</v>
      </c>
      <c r="I615" t="s">
        <v>306</v>
      </c>
      <c r="L615" t="s">
        <v>8</v>
      </c>
      <c r="M615" t="s">
        <v>54</v>
      </c>
      <c r="N615" t="s">
        <v>9</v>
      </c>
    </row>
    <row r="616" spans="2:14" x14ac:dyDescent="0.25">
      <c r="B616" t="s">
        <v>0</v>
      </c>
      <c r="C616" t="s">
        <v>658</v>
      </c>
      <c r="D616" t="s">
        <v>51</v>
      </c>
      <c r="E616" t="s">
        <v>3</v>
      </c>
      <c r="F616" t="s">
        <v>4</v>
      </c>
      <c r="G616" s="2" t="str">
        <f t="shared" si="9"/>
        <v>DP_11_INT/DEEP-PERCOLATION</v>
      </c>
      <c r="H616" t="s">
        <v>305</v>
      </c>
      <c r="I616" t="s">
        <v>306</v>
      </c>
      <c r="L616" t="s">
        <v>8</v>
      </c>
      <c r="M616" t="s">
        <v>54</v>
      </c>
      <c r="N616" t="s">
        <v>9</v>
      </c>
    </row>
    <row r="617" spans="2:14" x14ac:dyDescent="0.25">
      <c r="B617" t="s">
        <v>0</v>
      </c>
      <c r="C617" t="s">
        <v>659</v>
      </c>
      <c r="D617" t="s">
        <v>51</v>
      </c>
      <c r="E617" t="s">
        <v>3</v>
      </c>
      <c r="F617" t="s">
        <v>4</v>
      </c>
      <c r="G617" s="2" t="str">
        <f t="shared" si="9"/>
        <v>DP_12_INT/DEEP-PERCOLATION</v>
      </c>
      <c r="H617" t="s">
        <v>305</v>
      </c>
      <c r="I617" t="s">
        <v>306</v>
      </c>
      <c r="L617" t="s">
        <v>8</v>
      </c>
      <c r="M617" t="s">
        <v>54</v>
      </c>
      <c r="N617" t="s">
        <v>9</v>
      </c>
    </row>
    <row r="618" spans="2:14" x14ac:dyDescent="0.25">
      <c r="B618" t="s">
        <v>0</v>
      </c>
      <c r="C618" t="s">
        <v>660</v>
      </c>
      <c r="D618" t="s">
        <v>51</v>
      </c>
      <c r="E618" t="s">
        <v>3</v>
      </c>
      <c r="F618" t="s">
        <v>4</v>
      </c>
      <c r="G618" s="2" t="str">
        <f t="shared" si="9"/>
        <v>DP_13_INT/DEEP-PERCOLATION</v>
      </c>
      <c r="H618" t="s">
        <v>305</v>
      </c>
      <c r="I618" t="s">
        <v>306</v>
      </c>
      <c r="L618" t="s">
        <v>8</v>
      </c>
      <c r="M618" t="s">
        <v>54</v>
      </c>
      <c r="N618" t="s">
        <v>9</v>
      </c>
    </row>
    <row r="619" spans="2:14" x14ac:dyDescent="0.25">
      <c r="B619" t="s">
        <v>0</v>
      </c>
      <c r="C619" t="s">
        <v>661</v>
      </c>
      <c r="D619" t="s">
        <v>51</v>
      </c>
      <c r="E619" t="s">
        <v>3</v>
      </c>
      <c r="F619" t="s">
        <v>4</v>
      </c>
      <c r="G619" s="2" t="str">
        <f t="shared" si="9"/>
        <v>DP_14_INT/DEEP-PERCOLATION</v>
      </c>
      <c r="H619" t="s">
        <v>305</v>
      </c>
      <c r="I619" t="s">
        <v>306</v>
      </c>
      <c r="L619" t="s">
        <v>8</v>
      </c>
      <c r="M619" t="s">
        <v>54</v>
      </c>
      <c r="N619" t="s">
        <v>9</v>
      </c>
    </row>
    <row r="620" spans="2:14" x14ac:dyDescent="0.25">
      <c r="B620" t="s">
        <v>0</v>
      </c>
      <c r="C620" t="s">
        <v>662</v>
      </c>
      <c r="D620" t="s">
        <v>51</v>
      </c>
      <c r="E620" t="s">
        <v>3</v>
      </c>
      <c r="F620" t="s">
        <v>4</v>
      </c>
      <c r="G620" s="2" t="str">
        <f t="shared" si="9"/>
        <v>DP_15N_INT/DEEP-PERCOLATION</v>
      </c>
      <c r="H620" t="s">
        <v>305</v>
      </c>
      <c r="I620" t="s">
        <v>306</v>
      </c>
      <c r="L620" t="s">
        <v>8</v>
      </c>
      <c r="M620" t="s">
        <v>54</v>
      </c>
      <c r="N620" t="s">
        <v>9</v>
      </c>
    </row>
    <row r="621" spans="2:14" x14ac:dyDescent="0.25">
      <c r="B621" t="s">
        <v>0</v>
      </c>
      <c r="C621" t="s">
        <v>663</v>
      </c>
      <c r="D621" t="s">
        <v>51</v>
      </c>
      <c r="E621" t="s">
        <v>3</v>
      </c>
      <c r="F621" t="s">
        <v>4</v>
      </c>
      <c r="G621" s="2" t="str">
        <f t="shared" si="9"/>
        <v>DP_15S_INT/DEEP-PERCOLATION</v>
      </c>
      <c r="H621" t="s">
        <v>305</v>
      </c>
      <c r="I621" t="s">
        <v>306</v>
      </c>
      <c r="L621" t="s">
        <v>8</v>
      </c>
      <c r="M621" t="s">
        <v>54</v>
      </c>
      <c r="N621" t="s">
        <v>9</v>
      </c>
    </row>
    <row r="622" spans="2:14" x14ac:dyDescent="0.25">
      <c r="B622" t="s">
        <v>0</v>
      </c>
      <c r="C622" t="s">
        <v>664</v>
      </c>
      <c r="D622" t="s">
        <v>51</v>
      </c>
      <c r="E622" t="s">
        <v>3</v>
      </c>
      <c r="F622" t="s">
        <v>4</v>
      </c>
      <c r="G622" s="2" t="str">
        <f t="shared" si="9"/>
        <v>DP_16_INT/DEEP-PERCOLATION</v>
      </c>
      <c r="H622" t="s">
        <v>305</v>
      </c>
      <c r="I622" t="s">
        <v>306</v>
      </c>
      <c r="L622" t="s">
        <v>8</v>
      </c>
      <c r="M622" t="s">
        <v>54</v>
      </c>
      <c r="N622" t="s">
        <v>9</v>
      </c>
    </row>
    <row r="623" spans="2:14" x14ac:dyDescent="0.25">
      <c r="B623" t="s">
        <v>0</v>
      </c>
      <c r="C623" t="s">
        <v>665</v>
      </c>
      <c r="D623" t="s">
        <v>51</v>
      </c>
      <c r="E623" t="s">
        <v>3</v>
      </c>
      <c r="F623" t="s">
        <v>4</v>
      </c>
      <c r="G623" s="2" t="str">
        <f t="shared" si="9"/>
        <v>DP_17N_INT/DEEP-PERCOLATION</v>
      </c>
      <c r="H623" t="s">
        <v>305</v>
      </c>
      <c r="I623" t="s">
        <v>306</v>
      </c>
      <c r="L623" t="s">
        <v>8</v>
      </c>
      <c r="M623" t="s">
        <v>54</v>
      </c>
      <c r="N623" t="s">
        <v>9</v>
      </c>
    </row>
    <row r="624" spans="2:14" x14ac:dyDescent="0.25">
      <c r="B624" t="s">
        <v>0</v>
      </c>
      <c r="C624" t="s">
        <v>666</v>
      </c>
      <c r="D624" t="s">
        <v>51</v>
      </c>
      <c r="E624" t="s">
        <v>3</v>
      </c>
      <c r="F624" t="s">
        <v>4</v>
      </c>
      <c r="G624" s="2" t="str">
        <f t="shared" si="9"/>
        <v>DP_17S_INT/DEEP-PERCOLATION</v>
      </c>
      <c r="H624" t="s">
        <v>305</v>
      </c>
      <c r="I624" t="s">
        <v>306</v>
      </c>
      <c r="L624" t="s">
        <v>8</v>
      </c>
      <c r="M624" t="s">
        <v>54</v>
      </c>
      <c r="N624" t="s">
        <v>9</v>
      </c>
    </row>
    <row r="625" spans="2:14" x14ac:dyDescent="0.25">
      <c r="B625" t="s">
        <v>0</v>
      </c>
      <c r="C625" t="s">
        <v>667</v>
      </c>
      <c r="D625" t="s">
        <v>51</v>
      </c>
      <c r="E625" t="s">
        <v>3</v>
      </c>
      <c r="F625" t="s">
        <v>4</v>
      </c>
      <c r="G625" s="2" t="str">
        <f t="shared" si="9"/>
        <v>DP_18_INT/DEEP-PERCOLATION</v>
      </c>
      <c r="H625" t="s">
        <v>305</v>
      </c>
      <c r="I625" t="s">
        <v>306</v>
      </c>
      <c r="L625" t="s">
        <v>8</v>
      </c>
      <c r="M625" t="s">
        <v>54</v>
      </c>
      <c r="N625" t="s">
        <v>9</v>
      </c>
    </row>
    <row r="626" spans="2:14" x14ac:dyDescent="0.25">
      <c r="B626" t="s">
        <v>0</v>
      </c>
      <c r="C626" t="s">
        <v>668</v>
      </c>
      <c r="D626" t="s">
        <v>51</v>
      </c>
      <c r="E626" t="s">
        <v>3</v>
      </c>
      <c r="F626" t="s">
        <v>4</v>
      </c>
      <c r="G626" s="2" t="str">
        <f t="shared" si="9"/>
        <v>DP_19_INT/DEEP-PERCOLATION</v>
      </c>
      <c r="H626" t="s">
        <v>305</v>
      </c>
      <c r="I626" t="s">
        <v>306</v>
      </c>
      <c r="L626" t="s">
        <v>8</v>
      </c>
      <c r="M626" t="s">
        <v>54</v>
      </c>
      <c r="N626" t="s">
        <v>9</v>
      </c>
    </row>
    <row r="627" spans="2:14" x14ac:dyDescent="0.25">
      <c r="B627" t="s">
        <v>0</v>
      </c>
      <c r="C627" t="s">
        <v>669</v>
      </c>
      <c r="D627" t="s">
        <v>51</v>
      </c>
      <c r="E627" t="s">
        <v>3</v>
      </c>
      <c r="F627" t="s">
        <v>4</v>
      </c>
      <c r="G627" s="2" t="str">
        <f t="shared" si="9"/>
        <v>DP_20_INT/DEEP-PERCOLATION</v>
      </c>
      <c r="H627" t="s">
        <v>305</v>
      </c>
      <c r="I627" t="s">
        <v>306</v>
      </c>
      <c r="L627" t="s">
        <v>8</v>
      </c>
      <c r="M627" t="s">
        <v>54</v>
      </c>
      <c r="N627" t="s">
        <v>9</v>
      </c>
    </row>
    <row r="628" spans="2:14" x14ac:dyDescent="0.25">
      <c r="B628" t="s">
        <v>0</v>
      </c>
      <c r="C628" t="s">
        <v>670</v>
      </c>
      <c r="D628" t="s">
        <v>51</v>
      </c>
      <c r="E628" t="s">
        <v>3</v>
      </c>
      <c r="F628" t="s">
        <v>4</v>
      </c>
      <c r="G628" s="2" t="str">
        <f t="shared" si="9"/>
        <v>DP_21_INT/DEEP-PERCOLATION</v>
      </c>
      <c r="H628" t="s">
        <v>305</v>
      </c>
      <c r="I628" t="s">
        <v>306</v>
      </c>
      <c r="L628" t="s">
        <v>8</v>
      </c>
      <c r="M628" t="s">
        <v>54</v>
      </c>
      <c r="N628" t="s">
        <v>9</v>
      </c>
    </row>
    <row r="629" spans="2:14" x14ac:dyDescent="0.25">
      <c r="B629" t="s">
        <v>0</v>
      </c>
      <c r="C629" t="s">
        <v>671</v>
      </c>
      <c r="D629" t="s">
        <v>51</v>
      </c>
      <c r="E629" t="s">
        <v>3</v>
      </c>
      <c r="F629" t="s">
        <v>4</v>
      </c>
      <c r="G629" s="2" t="str">
        <f t="shared" si="9"/>
        <v>DP_22_INT/DEEP-PERCOLATION</v>
      </c>
      <c r="H629" t="s">
        <v>305</v>
      </c>
      <c r="I629" t="s">
        <v>306</v>
      </c>
      <c r="L629" t="s">
        <v>8</v>
      </c>
      <c r="M629" t="s">
        <v>54</v>
      </c>
      <c r="N629" t="s">
        <v>9</v>
      </c>
    </row>
    <row r="630" spans="2:14" x14ac:dyDescent="0.25">
      <c r="B630" t="s">
        <v>0</v>
      </c>
      <c r="C630" t="s">
        <v>672</v>
      </c>
      <c r="D630" t="s">
        <v>51</v>
      </c>
      <c r="E630" t="s">
        <v>3</v>
      </c>
      <c r="F630" t="s">
        <v>4</v>
      </c>
      <c r="G630" s="2" t="str">
        <f t="shared" si="9"/>
        <v>DP_23_INT/DEEP-PERCOLATION</v>
      </c>
      <c r="H630" t="s">
        <v>305</v>
      </c>
      <c r="I630" t="s">
        <v>306</v>
      </c>
      <c r="L630" t="s">
        <v>8</v>
      </c>
      <c r="M630" t="s">
        <v>54</v>
      </c>
      <c r="N630" t="s">
        <v>9</v>
      </c>
    </row>
    <row r="631" spans="2:14" x14ac:dyDescent="0.25">
      <c r="B631" t="s">
        <v>0</v>
      </c>
      <c r="C631" t="s">
        <v>673</v>
      </c>
      <c r="D631" t="s">
        <v>51</v>
      </c>
      <c r="E631" t="s">
        <v>3</v>
      </c>
      <c r="F631" t="s">
        <v>4</v>
      </c>
      <c r="G631" s="2" t="str">
        <f t="shared" si="9"/>
        <v>DP_24_INT/DEEP-PERCOLATION</v>
      </c>
      <c r="H631" t="s">
        <v>305</v>
      </c>
      <c r="I631" t="s">
        <v>306</v>
      </c>
      <c r="L631" t="s">
        <v>8</v>
      </c>
      <c r="M631" t="s">
        <v>54</v>
      </c>
      <c r="N631" t="s">
        <v>9</v>
      </c>
    </row>
    <row r="632" spans="2:14" x14ac:dyDescent="0.25">
      <c r="B632" t="s">
        <v>0</v>
      </c>
      <c r="C632" t="s">
        <v>674</v>
      </c>
      <c r="D632" t="s">
        <v>51</v>
      </c>
      <c r="E632" t="s">
        <v>3</v>
      </c>
      <c r="F632" t="s">
        <v>4</v>
      </c>
      <c r="G632" s="2" t="str">
        <f t="shared" si="9"/>
        <v>DP_25_INT/DEEP-PERCOLATION</v>
      </c>
      <c r="H632" t="s">
        <v>305</v>
      </c>
      <c r="I632" t="s">
        <v>306</v>
      </c>
      <c r="L632" t="s">
        <v>8</v>
      </c>
      <c r="M632" t="s">
        <v>54</v>
      </c>
      <c r="N632" t="s">
        <v>9</v>
      </c>
    </row>
    <row r="633" spans="2:14" x14ac:dyDescent="0.25">
      <c r="B633" t="s">
        <v>0</v>
      </c>
      <c r="C633" t="s">
        <v>675</v>
      </c>
      <c r="D633" t="s">
        <v>51</v>
      </c>
      <c r="E633" t="s">
        <v>3</v>
      </c>
      <c r="F633" t="s">
        <v>4</v>
      </c>
      <c r="G633" s="2" t="str">
        <f t="shared" si="9"/>
        <v>DP_26N_INT/DEEP-PERCOLATION</v>
      </c>
      <c r="H633" t="s">
        <v>305</v>
      </c>
      <c r="I633" t="s">
        <v>306</v>
      </c>
      <c r="L633" t="s">
        <v>8</v>
      </c>
      <c r="M633" t="s">
        <v>54</v>
      </c>
      <c r="N633" t="s">
        <v>9</v>
      </c>
    </row>
    <row r="634" spans="2:14" x14ac:dyDescent="0.25">
      <c r="B634" t="s">
        <v>0</v>
      </c>
      <c r="C634" t="s">
        <v>676</v>
      </c>
      <c r="D634" t="s">
        <v>51</v>
      </c>
      <c r="E634" t="s">
        <v>3</v>
      </c>
      <c r="F634" t="s">
        <v>4</v>
      </c>
      <c r="G634" s="2" t="str">
        <f t="shared" si="9"/>
        <v>DP_26S_INT/DEEP-PERCOLATION</v>
      </c>
      <c r="H634" t="s">
        <v>305</v>
      </c>
      <c r="I634" t="s">
        <v>306</v>
      </c>
      <c r="L634" t="s">
        <v>8</v>
      </c>
      <c r="M634" t="s">
        <v>54</v>
      </c>
      <c r="N634" t="s">
        <v>9</v>
      </c>
    </row>
    <row r="635" spans="2:14" x14ac:dyDescent="0.25">
      <c r="B635" t="s">
        <v>0</v>
      </c>
      <c r="C635" t="s">
        <v>677</v>
      </c>
      <c r="D635" t="s">
        <v>51</v>
      </c>
      <c r="E635" t="s">
        <v>3</v>
      </c>
      <c r="F635" t="s">
        <v>4</v>
      </c>
      <c r="G635" s="2" t="str">
        <f t="shared" si="9"/>
        <v>DP_50_INT/DEEP-PERCOLATION</v>
      </c>
      <c r="H635" t="s">
        <v>305</v>
      </c>
      <c r="I635" t="s">
        <v>306</v>
      </c>
      <c r="L635" t="s">
        <v>8</v>
      </c>
      <c r="N635" t="s">
        <v>9</v>
      </c>
    </row>
    <row r="636" spans="2:14" x14ac:dyDescent="0.25">
      <c r="B636" t="s">
        <v>0</v>
      </c>
      <c r="C636" t="s">
        <v>678</v>
      </c>
      <c r="D636" t="s">
        <v>51</v>
      </c>
      <c r="E636" t="s">
        <v>3</v>
      </c>
      <c r="F636" t="s">
        <v>4</v>
      </c>
      <c r="G636" s="2" t="str">
        <f t="shared" si="9"/>
        <v>DP_60N_INT/DEEP-PERCOLATION</v>
      </c>
      <c r="H636" t="s">
        <v>305</v>
      </c>
      <c r="I636" t="s">
        <v>306</v>
      </c>
      <c r="L636" t="s">
        <v>8</v>
      </c>
      <c r="M636" t="s">
        <v>54</v>
      </c>
      <c r="N636" t="s">
        <v>9</v>
      </c>
    </row>
    <row r="637" spans="2:14" x14ac:dyDescent="0.25">
      <c r="B637" t="s">
        <v>0</v>
      </c>
      <c r="C637" t="s">
        <v>679</v>
      </c>
      <c r="D637" t="s">
        <v>51</v>
      </c>
      <c r="E637" t="s">
        <v>3</v>
      </c>
      <c r="F637" t="s">
        <v>4</v>
      </c>
      <c r="G637" s="2" t="str">
        <f t="shared" si="9"/>
        <v>DP_60S_INT/DEEP-PERCOLATION</v>
      </c>
      <c r="H637" t="s">
        <v>305</v>
      </c>
      <c r="I637" t="s">
        <v>306</v>
      </c>
      <c r="L637" t="s">
        <v>8</v>
      </c>
      <c r="M637" t="s">
        <v>54</v>
      </c>
      <c r="N637" t="s">
        <v>9</v>
      </c>
    </row>
    <row r="638" spans="2:14" x14ac:dyDescent="0.25">
      <c r="B638" t="s">
        <v>0</v>
      </c>
      <c r="C638" t="s">
        <v>680</v>
      </c>
      <c r="D638" t="s">
        <v>51</v>
      </c>
      <c r="E638" t="s">
        <v>3</v>
      </c>
      <c r="F638" t="s">
        <v>4</v>
      </c>
      <c r="G638" s="2" t="str">
        <f t="shared" si="9"/>
        <v>DP_61_INT/DEEP-PERCOLATION</v>
      </c>
      <c r="H638" t="s">
        <v>305</v>
      </c>
      <c r="I638" t="s">
        <v>306</v>
      </c>
      <c r="L638" t="s">
        <v>8</v>
      </c>
      <c r="M638" t="s">
        <v>54</v>
      </c>
      <c r="N638" t="s">
        <v>9</v>
      </c>
    </row>
    <row r="639" spans="2:14" x14ac:dyDescent="0.25">
      <c r="B639" t="s">
        <v>0</v>
      </c>
      <c r="C639" t="s">
        <v>681</v>
      </c>
      <c r="D639" t="s">
        <v>51</v>
      </c>
      <c r="E639" t="s">
        <v>3</v>
      </c>
      <c r="F639" t="s">
        <v>4</v>
      </c>
      <c r="G639" s="2" t="str">
        <f t="shared" si="9"/>
        <v>DP_62_INT/DEEP-PERCOLATION</v>
      </c>
      <c r="H639" t="s">
        <v>305</v>
      </c>
      <c r="I639" t="s">
        <v>306</v>
      </c>
      <c r="L639" t="s">
        <v>8</v>
      </c>
      <c r="M639" t="s">
        <v>54</v>
      </c>
      <c r="N639" t="s">
        <v>9</v>
      </c>
    </row>
    <row r="640" spans="2:14" x14ac:dyDescent="0.25">
      <c r="B640" t="s">
        <v>0</v>
      </c>
      <c r="C640" t="s">
        <v>682</v>
      </c>
      <c r="D640" t="s">
        <v>51</v>
      </c>
      <c r="E640" t="s">
        <v>3</v>
      </c>
      <c r="F640" t="s">
        <v>4</v>
      </c>
      <c r="G640" s="2" t="str">
        <f t="shared" si="9"/>
        <v>DP_63_INT/DEEP-PERCOLATION</v>
      </c>
      <c r="H640" t="s">
        <v>305</v>
      </c>
      <c r="I640" t="s">
        <v>306</v>
      </c>
      <c r="L640" t="s">
        <v>8</v>
      </c>
      <c r="M640" t="s">
        <v>54</v>
      </c>
      <c r="N640" t="s">
        <v>9</v>
      </c>
    </row>
    <row r="641" spans="2:14" x14ac:dyDescent="0.25">
      <c r="B641" t="s">
        <v>0</v>
      </c>
      <c r="C641" t="s">
        <v>683</v>
      </c>
      <c r="D641" t="s">
        <v>51</v>
      </c>
      <c r="E641" t="s">
        <v>3</v>
      </c>
      <c r="F641" t="s">
        <v>4</v>
      </c>
      <c r="G641" s="2" t="str">
        <f t="shared" si="9"/>
        <v>DP_64_INT/DEEP-PERCOLATION</v>
      </c>
      <c r="H641" t="s">
        <v>305</v>
      </c>
      <c r="I641" t="s">
        <v>306</v>
      </c>
      <c r="L641" t="s">
        <v>8</v>
      </c>
      <c r="M641" t="s">
        <v>54</v>
      </c>
      <c r="N641" t="s">
        <v>9</v>
      </c>
    </row>
    <row r="642" spans="2:14" x14ac:dyDescent="0.25">
      <c r="B642" t="s">
        <v>0</v>
      </c>
      <c r="C642" t="s">
        <v>684</v>
      </c>
      <c r="D642" t="s">
        <v>51</v>
      </c>
      <c r="E642" t="s">
        <v>3</v>
      </c>
      <c r="F642" t="s">
        <v>4</v>
      </c>
      <c r="G642" s="2" t="str">
        <f t="shared" si="9"/>
        <v>DP_71_INT/DEEP-PERCOLATION</v>
      </c>
      <c r="H642" t="s">
        <v>305</v>
      </c>
      <c r="I642" t="s">
        <v>306</v>
      </c>
      <c r="L642" t="s">
        <v>8</v>
      </c>
      <c r="M642" t="s">
        <v>54</v>
      </c>
      <c r="N642" t="s">
        <v>9</v>
      </c>
    </row>
    <row r="643" spans="2:14" x14ac:dyDescent="0.25">
      <c r="B643" t="s">
        <v>0</v>
      </c>
      <c r="C643" t="s">
        <v>685</v>
      </c>
      <c r="D643" t="s">
        <v>51</v>
      </c>
      <c r="E643" t="s">
        <v>3</v>
      </c>
      <c r="F643" t="s">
        <v>4</v>
      </c>
      <c r="G643" s="2" t="str">
        <f t="shared" ref="G643:G706" si="10">_xlfn.CONCAT(C643,"/",D643)</f>
        <v>DP_72_INT/DEEP-PERCOLATION</v>
      </c>
      <c r="H643" t="s">
        <v>305</v>
      </c>
      <c r="I643" t="s">
        <v>306</v>
      </c>
      <c r="L643" t="s">
        <v>8</v>
      </c>
      <c r="M643" t="s">
        <v>54</v>
      </c>
      <c r="N643" t="s">
        <v>9</v>
      </c>
    </row>
    <row r="644" spans="2:14" x14ac:dyDescent="0.25">
      <c r="B644" t="s">
        <v>0</v>
      </c>
      <c r="C644" t="s">
        <v>686</v>
      </c>
      <c r="D644" t="s">
        <v>51</v>
      </c>
      <c r="E644" t="s">
        <v>3</v>
      </c>
      <c r="F644" t="s">
        <v>4</v>
      </c>
      <c r="G644" s="2" t="str">
        <f t="shared" si="10"/>
        <v>DP_73_INT/DEEP-PERCOLATION</v>
      </c>
      <c r="H644" t="s">
        <v>305</v>
      </c>
      <c r="I644" t="s">
        <v>306</v>
      </c>
      <c r="L644" t="s">
        <v>8</v>
      </c>
      <c r="M644" t="s">
        <v>54</v>
      </c>
      <c r="N644" t="s">
        <v>9</v>
      </c>
    </row>
    <row r="645" spans="2:14" x14ac:dyDescent="0.25">
      <c r="B645" t="s">
        <v>0</v>
      </c>
      <c r="C645" t="s">
        <v>687</v>
      </c>
      <c r="D645" t="s">
        <v>51</v>
      </c>
      <c r="E645" t="s">
        <v>3</v>
      </c>
      <c r="F645" t="s">
        <v>4</v>
      </c>
      <c r="G645" s="2" t="str">
        <f t="shared" si="10"/>
        <v>DP_90_INT/DEEP-PERCOLATION</v>
      </c>
      <c r="H645" t="s">
        <v>305</v>
      </c>
      <c r="I645" t="s">
        <v>306</v>
      </c>
      <c r="L645" t="s">
        <v>8</v>
      </c>
      <c r="M645" t="s">
        <v>54</v>
      </c>
      <c r="N645" t="s">
        <v>9</v>
      </c>
    </row>
    <row r="646" spans="2:14" x14ac:dyDescent="0.25">
      <c r="B646" t="s">
        <v>0</v>
      </c>
      <c r="C646" t="s">
        <v>688</v>
      </c>
      <c r="D646" t="s">
        <v>51</v>
      </c>
      <c r="E646" t="s">
        <v>3</v>
      </c>
      <c r="F646" t="s">
        <v>4</v>
      </c>
      <c r="G646" s="2" t="str">
        <f t="shared" si="10"/>
        <v>DP_91_INT/DEEP-PERCOLATION</v>
      </c>
      <c r="H646" t="s">
        <v>305</v>
      </c>
      <c r="I646" t="s">
        <v>306</v>
      </c>
      <c r="L646" t="s">
        <v>8</v>
      </c>
      <c r="M646" t="s">
        <v>54</v>
      </c>
      <c r="N646" t="s">
        <v>9</v>
      </c>
    </row>
    <row r="647" spans="2:14" x14ac:dyDescent="0.25">
      <c r="B647" t="s">
        <v>0</v>
      </c>
      <c r="C647" t="s">
        <v>689</v>
      </c>
      <c r="D647" t="s">
        <v>690</v>
      </c>
      <c r="E647" t="s">
        <v>3</v>
      </c>
      <c r="F647" t="s">
        <v>4</v>
      </c>
      <c r="G647" s="2" t="str">
        <f t="shared" si="10"/>
        <v>R_11_SA1/RETURN-FLOW</v>
      </c>
      <c r="H647" t="s">
        <v>305</v>
      </c>
      <c r="I647" t="s">
        <v>306</v>
      </c>
      <c r="L647" t="s">
        <v>8</v>
      </c>
      <c r="N647" t="s">
        <v>9</v>
      </c>
    </row>
    <row r="648" spans="2:14" x14ac:dyDescent="0.25">
      <c r="B648" t="s">
        <v>0</v>
      </c>
      <c r="C648" t="s">
        <v>691</v>
      </c>
      <c r="D648" t="s">
        <v>690</v>
      </c>
      <c r="E648" t="s">
        <v>3</v>
      </c>
      <c r="F648" t="s">
        <v>4</v>
      </c>
      <c r="G648" s="2" t="str">
        <f t="shared" si="10"/>
        <v>R_11_SA2/RETURN-FLOW</v>
      </c>
      <c r="H648" t="s">
        <v>305</v>
      </c>
      <c r="I648" t="s">
        <v>306</v>
      </c>
      <c r="L648" t="s">
        <v>8</v>
      </c>
      <c r="N648" t="s">
        <v>9</v>
      </c>
    </row>
    <row r="649" spans="2:14" x14ac:dyDescent="0.25">
      <c r="B649" t="s">
        <v>0</v>
      </c>
      <c r="C649" t="s">
        <v>692</v>
      </c>
      <c r="D649" t="s">
        <v>690</v>
      </c>
      <c r="E649" t="s">
        <v>3</v>
      </c>
      <c r="F649" t="s">
        <v>4</v>
      </c>
      <c r="G649" s="2" t="str">
        <f t="shared" si="10"/>
        <v>R_11_SA3/RETURN-FLOW</v>
      </c>
      <c r="H649" t="s">
        <v>305</v>
      </c>
      <c r="I649" t="s">
        <v>306</v>
      </c>
      <c r="L649" t="s">
        <v>8</v>
      </c>
      <c r="N649" t="s">
        <v>9</v>
      </c>
    </row>
    <row r="650" spans="2:14" x14ac:dyDescent="0.25">
      <c r="B650" t="s">
        <v>0</v>
      </c>
      <c r="C650" t="s">
        <v>693</v>
      </c>
      <c r="D650" t="s">
        <v>690</v>
      </c>
      <c r="E650" t="s">
        <v>3</v>
      </c>
      <c r="F650" t="s">
        <v>4</v>
      </c>
      <c r="G650" s="2" t="str">
        <f t="shared" si="10"/>
        <v>R_11_SA4/RETURN-FLOW</v>
      </c>
      <c r="H650" t="s">
        <v>305</v>
      </c>
      <c r="I650" t="s">
        <v>306</v>
      </c>
      <c r="L650" t="s">
        <v>8</v>
      </c>
      <c r="N650" t="s">
        <v>9</v>
      </c>
    </row>
    <row r="651" spans="2:14" x14ac:dyDescent="0.25">
      <c r="B651" t="s">
        <v>0</v>
      </c>
      <c r="C651" t="s">
        <v>694</v>
      </c>
      <c r="D651" t="s">
        <v>695</v>
      </c>
      <c r="E651" t="s">
        <v>3</v>
      </c>
      <c r="F651" t="s">
        <v>4</v>
      </c>
      <c r="G651" s="2" t="str">
        <f t="shared" si="10"/>
        <v>SR_02/SURFACE-RUNOFF</v>
      </c>
      <c r="H651" t="s">
        <v>305</v>
      </c>
      <c r="I651" t="s">
        <v>306</v>
      </c>
      <c r="L651" t="s">
        <v>8</v>
      </c>
      <c r="N651" t="s">
        <v>9</v>
      </c>
    </row>
    <row r="652" spans="2:14" x14ac:dyDescent="0.25">
      <c r="B652" t="s">
        <v>0</v>
      </c>
      <c r="C652" t="s">
        <v>696</v>
      </c>
      <c r="D652" t="s">
        <v>695</v>
      </c>
      <c r="E652" t="s">
        <v>3</v>
      </c>
      <c r="F652" t="s">
        <v>4</v>
      </c>
      <c r="G652" s="2" t="str">
        <f t="shared" si="10"/>
        <v>SR_03/SURFACE-RUNOFF</v>
      </c>
      <c r="H652" t="s">
        <v>305</v>
      </c>
      <c r="I652" t="s">
        <v>306</v>
      </c>
      <c r="L652" t="s">
        <v>8</v>
      </c>
      <c r="N652" t="s">
        <v>9</v>
      </c>
    </row>
    <row r="653" spans="2:14" x14ac:dyDescent="0.25">
      <c r="B653" t="s">
        <v>0</v>
      </c>
      <c r="C653" t="s">
        <v>697</v>
      </c>
      <c r="D653" t="s">
        <v>695</v>
      </c>
      <c r="E653" t="s">
        <v>3</v>
      </c>
      <c r="F653" t="s">
        <v>4</v>
      </c>
      <c r="G653" s="2" t="str">
        <f t="shared" si="10"/>
        <v>SR_04/SURFACE-RUNOFF</v>
      </c>
      <c r="H653" t="s">
        <v>305</v>
      </c>
      <c r="I653" t="s">
        <v>306</v>
      </c>
      <c r="L653" t="s">
        <v>8</v>
      </c>
      <c r="N653" t="s">
        <v>9</v>
      </c>
    </row>
    <row r="654" spans="2:14" x14ac:dyDescent="0.25">
      <c r="B654" t="s">
        <v>0</v>
      </c>
      <c r="C654" t="s">
        <v>698</v>
      </c>
      <c r="D654" t="s">
        <v>695</v>
      </c>
      <c r="E654" t="s">
        <v>3</v>
      </c>
      <c r="F654" t="s">
        <v>4</v>
      </c>
      <c r="G654" s="2" t="str">
        <f t="shared" si="10"/>
        <v>SR_05/SURFACE-RUNOFF</v>
      </c>
      <c r="H654" t="s">
        <v>305</v>
      </c>
      <c r="I654" t="s">
        <v>306</v>
      </c>
      <c r="L654" t="s">
        <v>8</v>
      </c>
      <c r="N654" t="s">
        <v>9</v>
      </c>
    </row>
    <row r="655" spans="2:14" x14ac:dyDescent="0.25">
      <c r="B655" t="s">
        <v>0</v>
      </c>
      <c r="C655" t="s">
        <v>699</v>
      </c>
      <c r="D655" t="s">
        <v>695</v>
      </c>
      <c r="E655" t="s">
        <v>3</v>
      </c>
      <c r="F655" t="s">
        <v>4</v>
      </c>
      <c r="G655" s="2" t="str">
        <f t="shared" si="10"/>
        <v>SR_06/SURFACE-RUNOFF</v>
      </c>
      <c r="H655" t="s">
        <v>305</v>
      </c>
      <c r="I655" t="s">
        <v>306</v>
      </c>
      <c r="L655" t="s">
        <v>8</v>
      </c>
      <c r="N655" t="s">
        <v>9</v>
      </c>
    </row>
    <row r="656" spans="2:14" x14ac:dyDescent="0.25">
      <c r="B656" t="s">
        <v>0</v>
      </c>
      <c r="C656" t="s">
        <v>700</v>
      </c>
      <c r="D656" t="s">
        <v>695</v>
      </c>
      <c r="E656" t="s">
        <v>3</v>
      </c>
      <c r="F656" t="s">
        <v>4</v>
      </c>
      <c r="G656" s="2" t="str">
        <f t="shared" si="10"/>
        <v>SR_07N/SURFACE-RUNOFF</v>
      </c>
      <c r="H656" t="s">
        <v>305</v>
      </c>
      <c r="I656" t="s">
        <v>306</v>
      </c>
      <c r="L656" t="s">
        <v>8</v>
      </c>
      <c r="N656" t="s">
        <v>9</v>
      </c>
    </row>
    <row r="657" spans="2:14" x14ac:dyDescent="0.25">
      <c r="B657" t="s">
        <v>0</v>
      </c>
      <c r="C657" t="s">
        <v>701</v>
      </c>
      <c r="D657" t="s">
        <v>695</v>
      </c>
      <c r="E657" t="s">
        <v>3</v>
      </c>
      <c r="F657" t="s">
        <v>4</v>
      </c>
      <c r="G657" s="2" t="str">
        <f t="shared" si="10"/>
        <v>SR_07S/SURFACE-RUNOFF</v>
      </c>
      <c r="H657" t="s">
        <v>305</v>
      </c>
      <c r="I657" t="s">
        <v>306</v>
      </c>
      <c r="L657" t="s">
        <v>8</v>
      </c>
      <c r="N657" t="s">
        <v>9</v>
      </c>
    </row>
    <row r="658" spans="2:14" x14ac:dyDescent="0.25">
      <c r="B658" t="s">
        <v>0</v>
      </c>
      <c r="C658" t="s">
        <v>702</v>
      </c>
      <c r="D658" t="s">
        <v>695</v>
      </c>
      <c r="E658" t="s">
        <v>3</v>
      </c>
      <c r="F658" t="s">
        <v>4</v>
      </c>
      <c r="G658" s="2" t="str">
        <f t="shared" si="10"/>
        <v>SR_08N/SURFACE-RUNOFF</v>
      </c>
      <c r="H658" t="s">
        <v>305</v>
      </c>
      <c r="I658" t="s">
        <v>306</v>
      </c>
      <c r="L658" t="s">
        <v>8</v>
      </c>
      <c r="N658" t="s">
        <v>9</v>
      </c>
    </row>
    <row r="659" spans="2:14" x14ac:dyDescent="0.25">
      <c r="B659" t="s">
        <v>0</v>
      </c>
      <c r="C659" t="s">
        <v>703</v>
      </c>
      <c r="D659" t="s">
        <v>695</v>
      </c>
      <c r="E659" t="s">
        <v>3</v>
      </c>
      <c r="F659" t="s">
        <v>4</v>
      </c>
      <c r="G659" s="2" t="str">
        <f t="shared" si="10"/>
        <v>SR_08S/SURFACE-RUNOFF</v>
      </c>
      <c r="H659" t="s">
        <v>305</v>
      </c>
      <c r="I659" t="s">
        <v>306</v>
      </c>
      <c r="L659" t="s">
        <v>8</v>
      </c>
      <c r="N659" t="s">
        <v>9</v>
      </c>
    </row>
    <row r="660" spans="2:14" x14ac:dyDescent="0.25">
      <c r="B660" t="s">
        <v>0</v>
      </c>
      <c r="C660" t="s">
        <v>704</v>
      </c>
      <c r="D660" t="s">
        <v>695</v>
      </c>
      <c r="E660" t="s">
        <v>3</v>
      </c>
      <c r="F660" t="s">
        <v>4</v>
      </c>
      <c r="G660" s="2" t="str">
        <f t="shared" si="10"/>
        <v>SR_09/SURFACE-RUNOFF</v>
      </c>
      <c r="H660" t="s">
        <v>305</v>
      </c>
      <c r="I660" t="s">
        <v>306</v>
      </c>
      <c r="L660" t="s">
        <v>8</v>
      </c>
      <c r="N660" t="s">
        <v>9</v>
      </c>
    </row>
    <row r="661" spans="2:14" x14ac:dyDescent="0.25">
      <c r="B661" t="s">
        <v>0</v>
      </c>
      <c r="C661" t="s">
        <v>705</v>
      </c>
      <c r="D661" t="s">
        <v>695</v>
      </c>
      <c r="E661" t="s">
        <v>3</v>
      </c>
      <c r="F661" t="s">
        <v>4</v>
      </c>
      <c r="G661" s="2" t="str">
        <f t="shared" si="10"/>
        <v>SR_10/SURFACE-RUNOFF</v>
      </c>
      <c r="H661" t="s">
        <v>305</v>
      </c>
      <c r="I661" t="s">
        <v>306</v>
      </c>
      <c r="L661" t="s">
        <v>8</v>
      </c>
      <c r="N661" t="s">
        <v>9</v>
      </c>
    </row>
    <row r="662" spans="2:14" x14ac:dyDescent="0.25">
      <c r="B662" t="s">
        <v>0</v>
      </c>
      <c r="C662" t="s">
        <v>706</v>
      </c>
      <c r="D662" t="s">
        <v>695</v>
      </c>
      <c r="E662" t="s">
        <v>3</v>
      </c>
      <c r="F662" t="s">
        <v>4</v>
      </c>
      <c r="G662" s="2" t="str">
        <f t="shared" si="10"/>
        <v>SR_11/SURFACE-RUNOFF</v>
      </c>
      <c r="H662" t="s">
        <v>305</v>
      </c>
      <c r="I662" t="s">
        <v>306</v>
      </c>
      <c r="L662" t="s">
        <v>8</v>
      </c>
      <c r="N662" t="s">
        <v>9</v>
      </c>
    </row>
    <row r="663" spans="2:14" x14ac:dyDescent="0.25">
      <c r="B663" t="s">
        <v>0</v>
      </c>
      <c r="C663" t="s">
        <v>707</v>
      </c>
      <c r="D663" t="s">
        <v>695</v>
      </c>
      <c r="E663" t="s">
        <v>3</v>
      </c>
      <c r="F663" t="s">
        <v>4</v>
      </c>
      <c r="G663" s="2" t="str">
        <f t="shared" si="10"/>
        <v>SR_12/SURFACE-RUNOFF</v>
      </c>
      <c r="H663" t="s">
        <v>305</v>
      </c>
      <c r="I663" t="s">
        <v>306</v>
      </c>
      <c r="L663" t="s">
        <v>8</v>
      </c>
      <c r="N663" t="s">
        <v>9</v>
      </c>
    </row>
    <row r="664" spans="2:14" x14ac:dyDescent="0.25">
      <c r="B664" t="s">
        <v>0</v>
      </c>
      <c r="C664" t="s">
        <v>708</v>
      </c>
      <c r="D664" t="s">
        <v>695</v>
      </c>
      <c r="E664" t="s">
        <v>3</v>
      </c>
      <c r="F664" t="s">
        <v>4</v>
      </c>
      <c r="G664" s="2" t="str">
        <f t="shared" si="10"/>
        <v>SR_13/SURFACE-RUNOFF</v>
      </c>
      <c r="H664" t="s">
        <v>305</v>
      </c>
      <c r="I664" t="s">
        <v>306</v>
      </c>
      <c r="L664" t="s">
        <v>8</v>
      </c>
      <c r="N664" t="s">
        <v>9</v>
      </c>
    </row>
    <row r="665" spans="2:14" x14ac:dyDescent="0.25">
      <c r="B665" t="s">
        <v>0</v>
      </c>
      <c r="C665" t="s">
        <v>709</v>
      </c>
      <c r="D665" t="s">
        <v>695</v>
      </c>
      <c r="E665" t="s">
        <v>3</v>
      </c>
      <c r="F665" t="s">
        <v>4</v>
      </c>
      <c r="G665" s="2" t="str">
        <f t="shared" si="10"/>
        <v>SR_14/SURFACE-RUNOFF</v>
      </c>
      <c r="H665" t="s">
        <v>305</v>
      </c>
      <c r="I665" t="s">
        <v>306</v>
      </c>
      <c r="L665" t="s">
        <v>8</v>
      </c>
      <c r="N665" t="s">
        <v>9</v>
      </c>
    </row>
    <row r="666" spans="2:14" x14ac:dyDescent="0.25">
      <c r="B666" t="s">
        <v>0</v>
      </c>
      <c r="C666" t="s">
        <v>710</v>
      </c>
      <c r="D666" t="s">
        <v>695</v>
      </c>
      <c r="E666" t="s">
        <v>3</v>
      </c>
      <c r="F666" t="s">
        <v>4</v>
      </c>
      <c r="G666" s="2" t="str">
        <f t="shared" si="10"/>
        <v>SR_15N/SURFACE-RUNOFF</v>
      </c>
      <c r="H666" t="s">
        <v>305</v>
      </c>
      <c r="I666" t="s">
        <v>306</v>
      </c>
      <c r="L666" t="s">
        <v>8</v>
      </c>
      <c r="N666" t="s">
        <v>9</v>
      </c>
    </row>
    <row r="667" spans="2:14" x14ac:dyDescent="0.25">
      <c r="B667" t="s">
        <v>0</v>
      </c>
      <c r="C667" t="s">
        <v>711</v>
      </c>
      <c r="D667" t="s">
        <v>695</v>
      </c>
      <c r="E667" t="s">
        <v>3</v>
      </c>
      <c r="F667" t="s">
        <v>4</v>
      </c>
      <c r="G667" s="2" t="str">
        <f t="shared" si="10"/>
        <v>SR_15S/SURFACE-RUNOFF</v>
      </c>
      <c r="H667" t="s">
        <v>305</v>
      </c>
      <c r="I667" t="s">
        <v>306</v>
      </c>
      <c r="L667" t="s">
        <v>8</v>
      </c>
      <c r="N667" t="s">
        <v>9</v>
      </c>
    </row>
    <row r="668" spans="2:14" x14ac:dyDescent="0.25">
      <c r="B668" t="s">
        <v>0</v>
      </c>
      <c r="C668" t="s">
        <v>712</v>
      </c>
      <c r="D668" t="s">
        <v>695</v>
      </c>
      <c r="E668" t="s">
        <v>3</v>
      </c>
      <c r="F668" t="s">
        <v>4</v>
      </c>
      <c r="G668" s="2" t="str">
        <f t="shared" si="10"/>
        <v>SR_16/SURFACE-RUNOFF</v>
      </c>
      <c r="H668" t="s">
        <v>305</v>
      </c>
      <c r="I668" t="s">
        <v>306</v>
      </c>
      <c r="L668" t="s">
        <v>8</v>
      </c>
      <c r="N668" t="s">
        <v>9</v>
      </c>
    </row>
    <row r="669" spans="2:14" x14ac:dyDescent="0.25">
      <c r="B669" t="s">
        <v>0</v>
      </c>
      <c r="C669" t="s">
        <v>713</v>
      </c>
      <c r="D669" t="s">
        <v>695</v>
      </c>
      <c r="E669" t="s">
        <v>3</v>
      </c>
      <c r="F669" t="s">
        <v>4</v>
      </c>
      <c r="G669" s="2" t="str">
        <f t="shared" si="10"/>
        <v>SR_17N/SURFACE-RUNOFF</v>
      </c>
      <c r="H669" t="s">
        <v>305</v>
      </c>
      <c r="I669" t="s">
        <v>306</v>
      </c>
      <c r="L669" t="s">
        <v>8</v>
      </c>
      <c r="N669" t="s">
        <v>9</v>
      </c>
    </row>
    <row r="670" spans="2:14" x14ac:dyDescent="0.25">
      <c r="B670" t="s">
        <v>0</v>
      </c>
      <c r="C670" t="s">
        <v>714</v>
      </c>
      <c r="D670" t="s">
        <v>695</v>
      </c>
      <c r="E670" t="s">
        <v>3</v>
      </c>
      <c r="F670" t="s">
        <v>4</v>
      </c>
      <c r="G670" s="2" t="str">
        <f t="shared" si="10"/>
        <v>SR_17S/SURFACE-RUNOFF</v>
      </c>
      <c r="H670" t="s">
        <v>305</v>
      </c>
      <c r="I670" t="s">
        <v>306</v>
      </c>
      <c r="L670" t="s">
        <v>8</v>
      </c>
      <c r="N670" t="s">
        <v>9</v>
      </c>
    </row>
    <row r="671" spans="2:14" x14ac:dyDescent="0.25">
      <c r="B671" t="s">
        <v>0</v>
      </c>
      <c r="C671" t="s">
        <v>715</v>
      </c>
      <c r="D671" t="s">
        <v>695</v>
      </c>
      <c r="E671" t="s">
        <v>3</v>
      </c>
      <c r="F671" t="s">
        <v>4</v>
      </c>
      <c r="G671" s="2" t="str">
        <f t="shared" si="10"/>
        <v>SR_18/SURFACE-RUNOFF</v>
      </c>
      <c r="H671" t="s">
        <v>305</v>
      </c>
      <c r="I671" t="s">
        <v>306</v>
      </c>
      <c r="L671" t="s">
        <v>8</v>
      </c>
      <c r="N671" t="s">
        <v>9</v>
      </c>
    </row>
    <row r="672" spans="2:14" x14ac:dyDescent="0.25">
      <c r="B672" t="s">
        <v>0</v>
      </c>
      <c r="C672" t="s">
        <v>716</v>
      </c>
      <c r="D672" t="s">
        <v>695</v>
      </c>
      <c r="E672" t="s">
        <v>3</v>
      </c>
      <c r="F672" t="s">
        <v>4</v>
      </c>
      <c r="G672" s="2" t="str">
        <f t="shared" si="10"/>
        <v>SR_19/SURFACE-RUNOFF</v>
      </c>
      <c r="H672" t="s">
        <v>305</v>
      </c>
      <c r="I672" t="s">
        <v>306</v>
      </c>
      <c r="L672" t="s">
        <v>8</v>
      </c>
      <c r="N672" t="s">
        <v>9</v>
      </c>
    </row>
    <row r="673" spans="2:14" x14ac:dyDescent="0.25">
      <c r="B673" t="s">
        <v>0</v>
      </c>
      <c r="C673" t="s">
        <v>717</v>
      </c>
      <c r="D673" t="s">
        <v>695</v>
      </c>
      <c r="E673" t="s">
        <v>3</v>
      </c>
      <c r="F673" t="s">
        <v>4</v>
      </c>
      <c r="G673" s="2" t="str">
        <f t="shared" si="10"/>
        <v>SR_20/SURFACE-RUNOFF</v>
      </c>
      <c r="H673" t="s">
        <v>305</v>
      </c>
      <c r="I673" t="s">
        <v>306</v>
      </c>
      <c r="L673" t="s">
        <v>8</v>
      </c>
      <c r="N673" t="s">
        <v>9</v>
      </c>
    </row>
    <row r="674" spans="2:14" x14ac:dyDescent="0.25">
      <c r="B674" t="s">
        <v>0</v>
      </c>
      <c r="C674" t="s">
        <v>718</v>
      </c>
      <c r="D674" t="s">
        <v>695</v>
      </c>
      <c r="E674" t="s">
        <v>3</v>
      </c>
      <c r="F674" t="s">
        <v>4</v>
      </c>
      <c r="G674" s="2" t="str">
        <f t="shared" si="10"/>
        <v>SR_21/SURFACE-RUNOFF</v>
      </c>
      <c r="H674" t="s">
        <v>305</v>
      </c>
      <c r="I674" t="s">
        <v>306</v>
      </c>
      <c r="L674" t="s">
        <v>8</v>
      </c>
      <c r="N674" t="s">
        <v>9</v>
      </c>
    </row>
    <row r="675" spans="2:14" x14ac:dyDescent="0.25">
      <c r="B675" t="s">
        <v>0</v>
      </c>
      <c r="C675" t="s">
        <v>719</v>
      </c>
      <c r="D675" t="s">
        <v>695</v>
      </c>
      <c r="E675" t="s">
        <v>3</v>
      </c>
      <c r="F675" t="s">
        <v>4</v>
      </c>
      <c r="G675" s="2" t="str">
        <f t="shared" si="10"/>
        <v>SR_22/SURFACE-RUNOFF</v>
      </c>
      <c r="H675" t="s">
        <v>305</v>
      </c>
      <c r="I675" t="s">
        <v>306</v>
      </c>
      <c r="L675" t="s">
        <v>8</v>
      </c>
      <c r="N675" t="s">
        <v>9</v>
      </c>
    </row>
    <row r="676" spans="2:14" x14ac:dyDescent="0.25">
      <c r="B676" t="s">
        <v>0</v>
      </c>
      <c r="C676" t="s">
        <v>720</v>
      </c>
      <c r="D676" t="s">
        <v>695</v>
      </c>
      <c r="E676" t="s">
        <v>3</v>
      </c>
      <c r="F676" t="s">
        <v>4</v>
      </c>
      <c r="G676" s="2" t="str">
        <f t="shared" si="10"/>
        <v>SR_23/SURFACE-RUNOFF</v>
      </c>
      <c r="H676" t="s">
        <v>305</v>
      </c>
      <c r="I676" t="s">
        <v>306</v>
      </c>
      <c r="L676" t="s">
        <v>8</v>
      </c>
      <c r="N676" t="s">
        <v>9</v>
      </c>
    </row>
    <row r="677" spans="2:14" x14ac:dyDescent="0.25">
      <c r="B677" t="s">
        <v>0</v>
      </c>
      <c r="C677" t="s">
        <v>721</v>
      </c>
      <c r="D677" t="s">
        <v>695</v>
      </c>
      <c r="E677" t="s">
        <v>3</v>
      </c>
      <c r="F677" t="s">
        <v>4</v>
      </c>
      <c r="G677" s="2" t="str">
        <f t="shared" si="10"/>
        <v>SR_24/SURFACE-RUNOFF</v>
      </c>
      <c r="H677" t="s">
        <v>305</v>
      </c>
      <c r="I677" t="s">
        <v>306</v>
      </c>
      <c r="L677" t="s">
        <v>8</v>
      </c>
      <c r="N677" t="s">
        <v>9</v>
      </c>
    </row>
    <row r="678" spans="2:14" x14ac:dyDescent="0.25">
      <c r="B678" t="s">
        <v>0</v>
      </c>
      <c r="C678" t="s">
        <v>722</v>
      </c>
      <c r="D678" t="s">
        <v>695</v>
      </c>
      <c r="E678" t="s">
        <v>3</v>
      </c>
      <c r="F678" t="s">
        <v>4</v>
      </c>
      <c r="G678" s="2" t="str">
        <f t="shared" si="10"/>
        <v>SR_25/SURFACE-RUNOFF</v>
      </c>
      <c r="H678" t="s">
        <v>305</v>
      </c>
      <c r="I678" t="s">
        <v>306</v>
      </c>
      <c r="L678" t="s">
        <v>8</v>
      </c>
      <c r="N678" t="s">
        <v>9</v>
      </c>
    </row>
    <row r="679" spans="2:14" x14ac:dyDescent="0.25">
      <c r="B679" t="s">
        <v>0</v>
      </c>
      <c r="C679" t="s">
        <v>723</v>
      </c>
      <c r="D679" t="s">
        <v>695</v>
      </c>
      <c r="E679" t="s">
        <v>3</v>
      </c>
      <c r="F679" t="s">
        <v>4</v>
      </c>
      <c r="G679" s="2" t="str">
        <f t="shared" si="10"/>
        <v>SR_26N/SURFACE-RUNOFF</v>
      </c>
      <c r="H679" t="s">
        <v>305</v>
      </c>
      <c r="I679" t="s">
        <v>306</v>
      </c>
      <c r="L679" t="s">
        <v>8</v>
      </c>
      <c r="N679" t="s">
        <v>9</v>
      </c>
    </row>
    <row r="680" spans="2:14" x14ac:dyDescent="0.25">
      <c r="B680" t="s">
        <v>0</v>
      </c>
      <c r="C680" t="s">
        <v>724</v>
      </c>
      <c r="D680" t="s">
        <v>695</v>
      </c>
      <c r="E680" t="s">
        <v>3</v>
      </c>
      <c r="F680" t="s">
        <v>4</v>
      </c>
      <c r="G680" s="2" t="str">
        <f t="shared" si="10"/>
        <v>SR_26S/SURFACE-RUNOFF</v>
      </c>
      <c r="H680" t="s">
        <v>305</v>
      </c>
      <c r="I680" t="s">
        <v>306</v>
      </c>
      <c r="L680" t="s">
        <v>8</v>
      </c>
      <c r="N680" t="s">
        <v>9</v>
      </c>
    </row>
    <row r="681" spans="2:14" x14ac:dyDescent="0.25">
      <c r="B681" t="s">
        <v>0</v>
      </c>
      <c r="C681" t="s">
        <v>725</v>
      </c>
      <c r="D681" t="s">
        <v>695</v>
      </c>
      <c r="E681" t="s">
        <v>3</v>
      </c>
      <c r="F681" t="s">
        <v>4</v>
      </c>
      <c r="G681" s="2" t="str">
        <f t="shared" si="10"/>
        <v>SR_50/SURFACE-RUNOFF</v>
      </c>
      <c r="H681" t="s">
        <v>305</v>
      </c>
      <c r="I681" t="s">
        <v>306</v>
      </c>
      <c r="L681" t="s">
        <v>8</v>
      </c>
      <c r="N681" t="s">
        <v>9</v>
      </c>
    </row>
    <row r="682" spans="2:14" x14ac:dyDescent="0.25">
      <c r="B682" t="s">
        <v>0</v>
      </c>
      <c r="C682" t="s">
        <v>726</v>
      </c>
      <c r="D682" t="s">
        <v>695</v>
      </c>
      <c r="E682" t="s">
        <v>3</v>
      </c>
      <c r="F682" t="s">
        <v>4</v>
      </c>
      <c r="G682" s="2" t="str">
        <f t="shared" si="10"/>
        <v>SR_60N/SURFACE-RUNOFF</v>
      </c>
      <c r="H682" t="s">
        <v>305</v>
      </c>
      <c r="I682" t="s">
        <v>306</v>
      </c>
      <c r="L682" t="s">
        <v>8</v>
      </c>
      <c r="N682" t="s">
        <v>9</v>
      </c>
    </row>
    <row r="683" spans="2:14" x14ac:dyDescent="0.25">
      <c r="B683" t="s">
        <v>0</v>
      </c>
      <c r="C683" t="s">
        <v>727</v>
      </c>
      <c r="D683" t="s">
        <v>695</v>
      </c>
      <c r="E683" t="s">
        <v>3</v>
      </c>
      <c r="F683" t="s">
        <v>4</v>
      </c>
      <c r="G683" s="2" t="str">
        <f t="shared" si="10"/>
        <v>SR_60S/SURFACE-RUNOFF</v>
      </c>
      <c r="H683" t="s">
        <v>305</v>
      </c>
      <c r="I683" t="s">
        <v>306</v>
      </c>
      <c r="L683" t="s">
        <v>8</v>
      </c>
      <c r="N683" t="s">
        <v>9</v>
      </c>
    </row>
    <row r="684" spans="2:14" x14ac:dyDescent="0.25">
      <c r="B684" t="s">
        <v>0</v>
      </c>
      <c r="C684" t="s">
        <v>728</v>
      </c>
      <c r="D684" t="s">
        <v>695</v>
      </c>
      <c r="E684" t="s">
        <v>3</v>
      </c>
      <c r="F684" t="s">
        <v>4</v>
      </c>
      <c r="G684" s="2" t="str">
        <f t="shared" si="10"/>
        <v>SR_61/SURFACE-RUNOFF</v>
      </c>
      <c r="H684" t="s">
        <v>305</v>
      </c>
      <c r="I684" t="s">
        <v>306</v>
      </c>
      <c r="L684" t="s">
        <v>8</v>
      </c>
      <c r="N684" t="s">
        <v>9</v>
      </c>
    </row>
    <row r="685" spans="2:14" x14ac:dyDescent="0.25">
      <c r="B685" t="s">
        <v>0</v>
      </c>
      <c r="C685" t="s">
        <v>729</v>
      </c>
      <c r="D685" t="s">
        <v>695</v>
      </c>
      <c r="E685" t="s">
        <v>3</v>
      </c>
      <c r="F685" t="s">
        <v>4</v>
      </c>
      <c r="G685" s="2" t="str">
        <f t="shared" si="10"/>
        <v>SR_62/SURFACE-RUNOFF</v>
      </c>
      <c r="H685" t="s">
        <v>305</v>
      </c>
      <c r="I685" t="s">
        <v>306</v>
      </c>
      <c r="L685" t="s">
        <v>8</v>
      </c>
      <c r="N685" t="s">
        <v>9</v>
      </c>
    </row>
    <row r="686" spans="2:14" x14ac:dyDescent="0.25">
      <c r="B686" t="s">
        <v>0</v>
      </c>
      <c r="C686" t="s">
        <v>730</v>
      </c>
      <c r="D686" t="s">
        <v>695</v>
      </c>
      <c r="E686" t="s">
        <v>3</v>
      </c>
      <c r="F686" t="s">
        <v>4</v>
      </c>
      <c r="G686" s="2" t="str">
        <f t="shared" si="10"/>
        <v>SR_63/SURFACE-RUNOFF</v>
      </c>
      <c r="H686" t="s">
        <v>305</v>
      </c>
      <c r="I686" t="s">
        <v>306</v>
      </c>
      <c r="L686" t="s">
        <v>8</v>
      </c>
      <c r="N686" t="s">
        <v>9</v>
      </c>
    </row>
    <row r="687" spans="2:14" x14ac:dyDescent="0.25">
      <c r="B687" t="s">
        <v>0</v>
      </c>
      <c r="C687" t="s">
        <v>731</v>
      </c>
      <c r="D687" t="s">
        <v>695</v>
      </c>
      <c r="E687" t="s">
        <v>3</v>
      </c>
      <c r="F687" t="s">
        <v>4</v>
      </c>
      <c r="G687" s="2" t="str">
        <f t="shared" si="10"/>
        <v>SR_64/SURFACE-RUNOFF</v>
      </c>
      <c r="H687" t="s">
        <v>305</v>
      </c>
      <c r="I687" t="s">
        <v>306</v>
      </c>
      <c r="L687" t="s">
        <v>8</v>
      </c>
      <c r="N687" t="s">
        <v>9</v>
      </c>
    </row>
    <row r="688" spans="2:14" x14ac:dyDescent="0.25">
      <c r="B688" t="s">
        <v>0</v>
      </c>
      <c r="C688" t="s">
        <v>732</v>
      </c>
      <c r="D688" t="s">
        <v>695</v>
      </c>
      <c r="E688" t="s">
        <v>3</v>
      </c>
      <c r="F688" t="s">
        <v>4</v>
      </c>
      <c r="G688" s="2" t="str">
        <f t="shared" si="10"/>
        <v>SR_71/SURFACE-RUNOFF</v>
      </c>
      <c r="H688" t="s">
        <v>305</v>
      </c>
      <c r="I688" t="s">
        <v>306</v>
      </c>
      <c r="L688" t="s">
        <v>8</v>
      </c>
      <c r="N688" t="s">
        <v>9</v>
      </c>
    </row>
    <row r="689" spans="2:14" x14ac:dyDescent="0.25">
      <c r="B689" t="s">
        <v>0</v>
      </c>
      <c r="C689" t="s">
        <v>733</v>
      </c>
      <c r="D689" t="s">
        <v>695</v>
      </c>
      <c r="E689" t="s">
        <v>3</v>
      </c>
      <c r="F689" t="s">
        <v>4</v>
      </c>
      <c r="G689" s="2" t="str">
        <f t="shared" si="10"/>
        <v>SR_72/SURFACE-RUNOFF</v>
      </c>
      <c r="H689" t="s">
        <v>305</v>
      </c>
      <c r="I689" t="s">
        <v>306</v>
      </c>
      <c r="L689" t="s">
        <v>8</v>
      </c>
      <c r="N689" t="s">
        <v>9</v>
      </c>
    </row>
    <row r="690" spans="2:14" x14ac:dyDescent="0.25">
      <c r="B690" t="s">
        <v>0</v>
      </c>
      <c r="C690" t="s">
        <v>734</v>
      </c>
      <c r="D690" t="s">
        <v>695</v>
      </c>
      <c r="E690" t="s">
        <v>3</v>
      </c>
      <c r="F690" t="s">
        <v>4</v>
      </c>
      <c r="G690" s="2" t="str">
        <f t="shared" si="10"/>
        <v>SR_73/SURFACE-RUNOFF</v>
      </c>
      <c r="H690" t="s">
        <v>305</v>
      </c>
      <c r="I690" t="s">
        <v>306</v>
      </c>
      <c r="L690" t="s">
        <v>8</v>
      </c>
      <c r="N690" t="s">
        <v>9</v>
      </c>
    </row>
    <row r="691" spans="2:14" x14ac:dyDescent="0.25">
      <c r="B691" t="s">
        <v>0</v>
      </c>
      <c r="C691" t="s">
        <v>735</v>
      </c>
      <c r="D691" t="s">
        <v>695</v>
      </c>
      <c r="E691" t="s">
        <v>3</v>
      </c>
      <c r="F691" t="s">
        <v>4</v>
      </c>
      <c r="G691" s="2" t="str">
        <f t="shared" si="10"/>
        <v>SR_90/SURFACE-RUNOFF</v>
      </c>
      <c r="H691" t="s">
        <v>305</v>
      </c>
      <c r="I691" t="s">
        <v>306</v>
      </c>
      <c r="L691" t="s">
        <v>8</v>
      </c>
      <c r="N691" t="s">
        <v>9</v>
      </c>
    </row>
    <row r="692" spans="2:14" x14ac:dyDescent="0.25">
      <c r="B692" t="s">
        <v>0</v>
      </c>
      <c r="C692" t="s">
        <v>736</v>
      </c>
      <c r="D692" t="s">
        <v>695</v>
      </c>
      <c r="E692" t="s">
        <v>3</v>
      </c>
      <c r="F692" t="s">
        <v>4</v>
      </c>
      <c r="G692" s="2" t="str">
        <f t="shared" si="10"/>
        <v>SR_91/SURFACE-RUNOFF</v>
      </c>
      <c r="H692" t="s">
        <v>305</v>
      </c>
      <c r="I692" t="s">
        <v>306</v>
      </c>
      <c r="L692" t="s">
        <v>8</v>
      </c>
      <c r="N692" t="s">
        <v>9</v>
      </c>
    </row>
    <row r="693" spans="2:14" x14ac:dyDescent="0.25">
      <c r="B693" t="s">
        <v>0</v>
      </c>
      <c r="C693" t="s">
        <v>737</v>
      </c>
      <c r="D693" t="s">
        <v>738</v>
      </c>
      <c r="E693" t="s">
        <v>3</v>
      </c>
      <c r="F693" t="s">
        <v>4</v>
      </c>
      <c r="G693" s="2" t="str">
        <f t="shared" si="10"/>
        <v>TW_02_NA/TAILWATER</v>
      </c>
      <c r="H693" t="s">
        <v>305</v>
      </c>
      <c r="I693" t="s">
        <v>306</v>
      </c>
      <c r="L693" t="s">
        <v>8</v>
      </c>
      <c r="N693" t="s">
        <v>9</v>
      </c>
    </row>
    <row r="694" spans="2:14" x14ac:dyDescent="0.25">
      <c r="B694" t="s">
        <v>0</v>
      </c>
      <c r="C694" t="s">
        <v>739</v>
      </c>
      <c r="D694" t="s">
        <v>738</v>
      </c>
      <c r="E694" t="s">
        <v>3</v>
      </c>
      <c r="F694" t="s">
        <v>4</v>
      </c>
      <c r="G694" s="2" t="str">
        <f t="shared" si="10"/>
        <v>TW_02_PA/TAILWATER</v>
      </c>
      <c r="H694" t="s">
        <v>305</v>
      </c>
      <c r="I694" t="s">
        <v>306</v>
      </c>
      <c r="L694" t="s">
        <v>8</v>
      </c>
      <c r="N694" t="s">
        <v>9</v>
      </c>
    </row>
    <row r="695" spans="2:14" x14ac:dyDescent="0.25">
      <c r="B695" t="s">
        <v>0</v>
      </c>
      <c r="C695" t="s">
        <v>740</v>
      </c>
      <c r="D695" t="s">
        <v>738</v>
      </c>
      <c r="E695" t="s">
        <v>3</v>
      </c>
      <c r="F695" t="s">
        <v>4</v>
      </c>
      <c r="G695" s="2" t="str">
        <f t="shared" si="10"/>
        <v>TW_02_SA/TAILWATER</v>
      </c>
      <c r="H695" t="s">
        <v>305</v>
      </c>
      <c r="I695" t="s">
        <v>306</v>
      </c>
      <c r="L695" t="s">
        <v>8</v>
      </c>
      <c r="N695" t="s">
        <v>9</v>
      </c>
    </row>
    <row r="696" spans="2:14" x14ac:dyDescent="0.25">
      <c r="B696" t="s">
        <v>0</v>
      </c>
      <c r="C696" t="s">
        <v>741</v>
      </c>
      <c r="D696" t="s">
        <v>738</v>
      </c>
      <c r="E696" t="s">
        <v>3</v>
      </c>
      <c r="F696" t="s">
        <v>4</v>
      </c>
      <c r="G696" s="2" t="str">
        <f t="shared" si="10"/>
        <v>TW_03_NA/TAILWATER</v>
      </c>
      <c r="H696" t="s">
        <v>305</v>
      </c>
      <c r="I696" t="s">
        <v>306</v>
      </c>
      <c r="L696" t="s">
        <v>8</v>
      </c>
      <c r="N696" t="s">
        <v>9</v>
      </c>
    </row>
    <row r="697" spans="2:14" x14ac:dyDescent="0.25">
      <c r="B697" t="s">
        <v>0</v>
      </c>
      <c r="C697" t="s">
        <v>742</v>
      </c>
      <c r="D697" t="s">
        <v>738</v>
      </c>
      <c r="E697" t="s">
        <v>3</v>
      </c>
      <c r="F697" t="s">
        <v>4</v>
      </c>
      <c r="G697" s="2" t="str">
        <f t="shared" si="10"/>
        <v>TW_03_PA/TAILWATER</v>
      </c>
      <c r="H697" t="s">
        <v>305</v>
      </c>
      <c r="I697" t="s">
        <v>306</v>
      </c>
      <c r="L697" t="s">
        <v>8</v>
      </c>
      <c r="N697" t="s">
        <v>9</v>
      </c>
    </row>
    <row r="698" spans="2:14" x14ac:dyDescent="0.25">
      <c r="B698" t="s">
        <v>0</v>
      </c>
      <c r="C698" t="s">
        <v>743</v>
      </c>
      <c r="D698" t="s">
        <v>738</v>
      </c>
      <c r="E698" t="s">
        <v>3</v>
      </c>
      <c r="F698" t="s">
        <v>4</v>
      </c>
      <c r="G698" s="2" t="str">
        <f t="shared" si="10"/>
        <v>TW_03_SA/TAILWATER</v>
      </c>
      <c r="H698" t="s">
        <v>305</v>
      </c>
      <c r="I698" t="s">
        <v>306</v>
      </c>
      <c r="L698" t="s">
        <v>8</v>
      </c>
      <c r="N698" t="s">
        <v>9</v>
      </c>
    </row>
    <row r="699" spans="2:14" x14ac:dyDescent="0.25">
      <c r="B699" t="s">
        <v>0</v>
      </c>
      <c r="C699" t="s">
        <v>744</v>
      </c>
      <c r="D699" t="s">
        <v>738</v>
      </c>
      <c r="E699" t="s">
        <v>3</v>
      </c>
      <c r="F699" t="s">
        <v>4</v>
      </c>
      <c r="G699" s="2" t="str">
        <f t="shared" si="10"/>
        <v>TW_04_NA/TAILWATER</v>
      </c>
      <c r="H699" t="s">
        <v>305</v>
      </c>
      <c r="I699" t="s">
        <v>306</v>
      </c>
      <c r="L699" t="s">
        <v>8</v>
      </c>
      <c r="N699" t="s">
        <v>9</v>
      </c>
    </row>
    <row r="700" spans="2:14" x14ac:dyDescent="0.25">
      <c r="B700" t="s">
        <v>0</v>
      </c>
      <c r="C700" t="s">
        <v>745</v>
      </c>
      <c r="D700" t="s">
        <v>738</v>
      </c>
      <c r="E700" t="s">
        <v>3</v>
      </c>
      <c r="F700" t="s">
        <v>4</v>
      </c>
      <c r="G700" s="2" t="str">
        <f t="shared" si="10"/>
        <v>TW_04_PA1/TAILWATER</v>
      </c>
      <c r="H700" t="s">
        <v>305</v>
      </c>
      <c r="I700" t="s">
        <v>306</v>
      </c>
      <c r="L700" t="s">
        <v>8</v>
      </c>
      <c r="N700" t="s">
        <v>9</v>
      </c>
    </row>
    <row r="701" spans="2:14" x14ac:dyDescent="0.25">
      <c r="B701" t="s">
        <v>0</v>
      </c>
      <c r="C701" t="s">
        <v>746</v>
      </c>
      <c r="D701" t="s">
        <v>738</v>
      </c>
      <c r="E701" t="s">
        <v>3</v>
      </c>
      <c r="F701" t="s">
        <v>4</v>
      </c>
      <c r="G701" s="2" t="str">
        <f t="shared" si="10"/>
        <v>TW_04_PA2/TAILWATER</v>
      </c>
      <c r="H701" t="s">
        <v>305</v>
      </c>
      <c r="I701" t="s">
        <v>306</v>
      </c>
      <c r="L701" t="s">
        <v>8</v>
      </c>
      <c r="N701" t="s">
        <v>9</v>
      </c>
    </row>
    <row r="702" spans="2:14" x14ac:dyDescent="0.25">
      <c r="B702" t="s">
        <v>0</v>
      </c>
      <c r="C702" t="s">
        <v>747</v>
      </c>
      <c r="D702" t="s">
        <v>738</v>
      </c>
      <c r="E702" t="s">
        <v>3</v>
      </c>
      <c r="F702" t="s">
        <v>4</v>
      </c>
      <c r="G702" s="2" t="str">
        <f t="shared" si="10"/>
        <v>TW_05_NA/TAILWATER</v>
      </c>
      <c r="H702" t="s">
        <v>305</v>
      </c>
      <c r="I702" t="s">
        <v>306</v>
      </c>
      <c r="L702" t="s">
        <v>8</v>
      </c>
      <c r="N702" t="s">
        <v>9</v>
      </c>
    </row>
    <row r="703" spans="2:14" x14ac:dyDescent="0.25">
      <c r="B703" t="s">
        <v>0</v>
      </c>
      <c r="C703" t="s">
        <v>748</v>
      </c>
      <c r="D703" t="s">
        <v>738</v>
      </c>
      <c r="E703" t="s">
        <v>3</v>
      </c>
      <c r="F703" t="s">
        <v>4</v>
      </c>
      <c r="G703" s="2" t="str">
        <f t="shared" si="10"/>
        <v>TW_06_NA/TAILWATER</v>
      </c>
      <c r="H703" t="s">
        <v>305</v>
      </c>
      <c r="I703" t="s">
        <v>306</v>
      </c>
      <c r="L703" t="s">
        <v>8</v>
      </c>
      <c r="N703" t="s">
        <v>9</v>
      </c>
    </row>
    <row r="704" spans="2:14" x14ac:dyDescent="0.25">
      <c r="B704" t="s">
        <v>0</v>
      </c>
      <c r="C704" t="s">
        <v>749</v>
      </c>
      <c r="D704" t="s">
        <v>738</v>
      </c>
      <c r="E704" t="s">
        <v>3</v>
      </c>
      <c r="F704" t="s">
        <v>4</v>
      </c>
      <c r="G704" s="2" t="str">
        <f t="shared" si="10"/>
        <v>TW_06_PA/TAILWATER</v>
      </c>
      <c r="H704" t="s">
        <v>305</v>
      </c>
      <c r="I704" t="s">
        <v>306</v>
      </c>
      <c r="L704" t="s">
        <v>8</v>
      </c>
      <c r="N704" t="s">
        <v>9</v>
      </c>
    </row>
    <row r="705" spans="2:14" x14ac:dyDescent="0.25">
      <c r="B705" t="s">
        <v>0</v>
      </c>
      <c r="C705" t="s">
        <v>750</v>
      </c>
      <c r="D705" t="s">
        <v>738</v>
      </c>
      <c r="E705" t="s">
        <v>3</v>
      </c>
      <c r="F705" t="s">
        <v>4</v>
      </c>
      <c r="G705" s="2" t="str">
        <f t="shared" si="10"/>
        <v>TW_07N_NA/TAILWATER</v>
      </c>
      <c r="H705" t="s">
        <v>305</v>
      </c>
      <c r="I705" t="s">
        <v>306</v>
      </c>
      <c r="L705" t="s">
        <v>8</v>
      </c>
      <c r="N705" t="s">
        <v>9</v>
      </c>
    </row>
    <row r="706" spans="2:14" x14ac:dyDescent="0.25">
      <c r="B706" t="s">
        <v>0</v>
      </c>
      <c r="C706" t="s">
        <v>751</v>
      </c>
      <c r="D706" t="s">
        <v>738</v>
      </c>
      <c r="E706" t="s">
        <v>3</v>
      </c>
      <c r="F706" t="s">
        <v>4</v>
      </c>
      <c r="G706" s="2" t="str">
        <f t="shared" si="10"/>
        <v>TW_07N_PA/TAILWATER</v>
      </c>
      <c r="H706" t="s">
        <v>305</v>
      </c>
      <c r="I706" t="s">
        <v>306</v>
      </c>
      <c r="L706" t="s">
        <v>8</v>
      </c>
      <c r="N706" t="s">
        <v>9</v>
      </c>
    </row>
    <row r="707" spans="2:14" x14ac:dyDescent="0.25">
      <c r="B707" t="s">
        <v>0</v>
      </c>
      <c r="C707" t="s">
        <v>752</v>
      </c>
      <c r="D707" t="s">
        <v>738</v>
      </c>
      <c r="E707" t="s">
        <v>3</v>
      </c>
      <c r="F707" t="s">
        <v>4</v>
      </c>
      <c r="G707" s="2" t="str">
        <f t="shared" ref="G707:G770" si="11">_xlfn.CONCAT(C707,"/",D707)</f>
        <v>TW_07S_NA/TAILWATER</v>
      </c>
      <c r="H707" t="s">
        <v>305</v>
      </c>
      <c r="I707" t="s">
        <v>306</v>
      </c>
      <c r="L707" t="s">
        <v>8</v>
      </c>
      <c r="N707" t="s">
        <v>9</v>
      </c>
    </row>
    <row r="708" spans="2:14" x14ac:dyDescent="0.25">
      <c r="B708" t="s">
        <v>0</v>
      </c>
      <c r="C708" t="s">
        <v>753</v>
      </c>
      <c r="D708" t="s">
        <v>738</v>
      </c>
      <c r="E708" t="s">
        <v>3</v>
      </c>
      <c r="F708" t="s">
        <v>4</v>
      </c>
      <c r="G708" s="2" t="str">
        <f t="shared" si="11"/>
        <v>TW_07S_PA/TAILWATER</v>
      </c>
      <c r="H708" t="s">
        <v>305</v>
      </c>
      <c r="I708" t="s">
        <v>306</v>
      </c>
      <c r="L708" t="s">
        <v>8</v>
      </c>
      <c r="N708" t="s">
        <v>9</v>
      </c>
    </row>
    <row r="709" spans="2:14" x14ac:dyDescent="0.25">
      <c r="B709" t="s">
        <v>0</v>
      </c>
      <c r="C709" t="s">
        <v>754</v>
      </c>
      <c r="D709" t="s">
        <v>738</v>
      </c>
      <c r="E709" t="s">
        <v>3</v>
      </c>
      <c r="F709" t="s">
        <v>4</v>
      </c>
      <c r="G709" s="2" t="str">
        <f t="shared" si="11"/>
        <v>TW_08N_NA/TAILWATER</v>
      </c>
      <c r="H709" t="s">
        <v>305</v>
      </c>
      <c r="I709" t="s">
        <v>306</v>
      </c>
      <c r="L709" t="s">
        <v>8</v>
      </c>
      <c r="N709" t="s">
        <v>9</v>
      </c>
    </row>
    <row r="710" spans="2:14" x14ac:dyDescent="0.25">
      <c r="B710" t="s">
        <v>0</v>
      </c>
      <c r="C710" t="s">
        <v>755</v>
      </c>
      <c r="D710" t="s">
        <v>738</v>
      </c>
      <c r="E710" t="s">
        <v>3</v>
      </c>
      <c r="F710" t="s">
        <v>4</v>
      </c>
      <c r="G710" s="2" t="str">
        <f t="shared" si="11"/>
        <v>TW_08N_PA/TAILWATER</v>
      </c>
      <c r="H710" t="s">
        <v>305</v>
      </c>
      <c r="I710" t="s">
        <v>306</v>
      </c>
      <c r="L710" t="s">
        <v>8</v>
      </c>
      <c r="N710" t="s">
        <v>9</v>
      </c>
    </row>
    <row r="711" spans="2:14" x14ac:dyDescent="0.25">
      <c r="B711" t="s">
        <v>0</v>
      </c>
      <c r="C711" t="s">
        <v>756</v>
      </c>
      <c r="D711" t="s">
        <v>738</v>
      </c>
      <c r="E711" t="s">
        <v>3</v>
      </c>
      <c r="F711" t="s">
        <v>4</v>
      </c>
      <c r="G711" s="2" t="str">
        <f t="shared" si="11"/>
        <v>TW_08N_PR1/TAILWATER</v>
      </c>
      <c r="H711" t="s">
        <v>305</v>
      </c>
      <c r="I711" t="s">
        <v>306</v>
      </c>
      <c r="L711" t="s">
        <v>8</v>
      </c>
      <c r="N711" t="s">
        <v>9</v>
      </c>
    </row>
    <row r="712" spans="2:14" x14ac:dyDescent="0.25">
      <c r="B712" t="s">
        <v>0</v>
      </c>
      <c r="C712" t="s">
        <v>757</v>
      </c>
      <c r="D712" t="s">
        <v>738</v>
      </c>
      <c r="E712" t="s">
        <v>3</v>
      </c>
      <c r="F712" t="s">
        <v>4</v>
      </c>
      <c r="G712" s="2" t="str">
        <f t="shared" si="11"/>
        <v>TW_08N_PR2/TAILWATER</v>
      </c>
      <c r="H712" t="s">
        <v>305</v>
      </c>
      <c r="I712" t="s">
        <v>306</v>
      </c>
      <c r="L712" t="s">
        <v>8</v>
      </c>
      <c r="N712" t="s">
        <v>9</v>
      </c>
    </row>
    <row r="713" spans="2:14" x14ac:dyDescent="0.25">
      <c r="B713" t="s">
        <v>0</v>
      </c>
      <c r="C713" t="s">
        <v>758</v>
      </c>
      <c r="D713" t="s">
        <v>738</v>
      </c>
      <c r="E713" t="s">
        <v>3</v>
      </c>
      <c r="F713" t="s">
        <v>4</v>
      </c>
      <c r="G713" s="2" t="str">
        <f t="shared" si="11"/>
        <v>TW_08N_SA1/TAILWATER</v>
      </c>
      <c r="H713" t="s">
        <v>305</v>
      </c>
      <c r="I713" t="s">
        <v>306</v>
      </c>
      <c r="L713" t="s">
        <v>8</v>
      </c>
      <c r="N713" t="s">
        <v>9</v>
      </c>
    </row>
    <row r="714" spans="2:14" x14ac:dyDescent="0.25">
      <c r="B714" t="s">
        <v>0</v>
      </c>
      <c r="C714" t="s">
        <v>759</v>
      </c>
      <c r="D714" t="s">
        <v>738</v>
      </c>
      <c r="E714" t="s">
        <v>3</v>
      </c>
      <c r="F714" t="s">
        <v>4</v>
      </c>
      <c r="G714" s="2" t="str">
        <f t="shared" si="11"/>
        <v>TW_08N_SA2/TAILWATER</v>
      </c>
      <c r="H714" t="s">
        <v>305</v>
      </c>
      <c r="I714" t="s">
        <v>306</v>
      </c>
      <c r="L714" t="s">
        <v>8</v>
      </c>
      <c r="N714" t="s">
        <v>9</v>
      </c>
    </row>
    <row r="715" spans="2:14" x14ac:dyDescent="0.25">
      <c r="B715" t="s">
        <v>0</v>
      </c>
      <c r="C715" t="s">
        <v>760</v>
      </c>
      <c r="D715" t="s">
        <v>738</v>
      </c>
      <c r="E715" t="s">
        <v>3</v>
      </c>
      <c r="F715" t="s">
        <v>4</v>
      </c>
      <c r="G715" s="2" t="str">
        <f t="shared" si="11"/>
        <v>TW_08S_NA1/TAILWATER</v>
      </c>
      <c r="H715" t="s">
        <v>305</v>
      </c>
      <c r="I715" t="s">
        <v>306</v>
      </c>
      <c r="L715" t="s">
        <v>8</v>
      </c>
      <c r="N715" t="s">
        <v>9</v>
      </c>
    </row>
    <row r="716" spans="2:14" x14ac:dyDescent="0.25">
      <c r="B716" t="s">
        <v>0</v>
      </c>
      <c r="C716" t="s">
        <v>761</v>
      </c>
      <c r="D716" t="s">
        <v>738</v>
      </c>
      <c r="E716" t="s">
        <v>3</v>
      </c>
      <c r="F716" t="s">
        <v>4</v>
      </c>
      <c r="G716" s="2" t="str">
        <f t="shared" si="11"/>
        <v>TW_08S_NA2/TAILWATER</v>
      </c>
      <c r="H716" t="s">
        <v>305</v>
      </c>
      <c r="I716" t="s">
        <v>306</v>
      </c>
      <c r="L716" t="s">
        <v>8</v>
      </c>
      <c r="N716" t="s">
        <v>9</v>
      </c>
    </row>
    <row r="717" spans="2:14" x14ac:dyDescent="0.25">
      <c r="B717" t="s">
        <v>0</v>
      </c>
      <c r="C717" t="s">
        <v>762</v>
      </c>
      <c r="D717" t="s">
        <v>738</v>
      </c>
      <c r="E717" t="s">
        <v>3</v>
      </c>
      <c r="F717" t="s">
        <v>4</v>
      </c>
      <c r="G717" s="2" t="str">
        <f t="shared" si="11"/>
        <v>TW_08S_PA/TAILWATER</v>
      </c>
      <c r="H717" t="s">
        <v>305</v>
      </c>
      <c r="I717" t="s">
        <v>306</v>
      </c>
      <c r="L717" t="s">
        <v>8</v>
      </c>
      <c r="N717" t="s">
        <v>9</v>
      </c>
    </row>
    <row r="718" spans="2:14" x14ac:dyDescent="0.25">
      <c r="B718" t="s">
        <v>0</v>
      </c>
      <c r="C718" t="s">
        <v>763</v>
      </c>
      <c r="D718" t="s">
        <v>738</v>
      </c>
      <c r="E718" t="s">
        <v>3</v>
      </c>
      <c r="F718" t="s">
        <v>4</v>
      </c>
      <c r="G718" s="2" t="str">
        <f t="shared" si="11"/>
        <v>TW_08S_PR/TAILWATER</v>
      </c>
      <c r="H718" t="s">
        <v>305</v>
      </c>
      <c r="I718" t="s">
        <v>306</v>
      </c>
      <c r="L718" t="s">
        <v>8</v>
      </c>
      <c r="N718" t="s">
        <v>9</v>
      </c>
    </row>
    <row r="719" spans="2:14" x14ac:dyDescent="0.25">
      <c r="B719" t="s">
        <v>0</v>
      </c>
      <c r="C719" t="s">
        <v>764</v>
      </c>
      <c r="D719" t="s">
        <v>738</v>
      </c>
      <c r="E719" t="s">
        <v>3</v>
      </c>
      <c r="F719" t="s">
        <v>4</v>
      </c>
      <c r="G719" s="2" t="str">
        <f t="shared" si="11"/>
        <v>TW_08S_SA1/TAILWATER</v>
      </c>
      <c r="H719" t="s">
        <v>305</v>
      </c>
      <c r="I719" t="s">
        <v>306</v>
      </c>
      <c r="L719" t="s">
        <v>8</v>
      </c>
      <c r="N719" t="s">
        <v>9</v>
      </c>
    </row>
    <row r="720" spans="2:14" x14ac:dyDescent="0.25">
      <c r="B720" t="s">
        <v>0</v>
      </c>
      <c r="C720" t="s">
        <v>765</v>
      </c>
      <c r="D720" t="s">
        <v>738</v>
      </c>
      <c r="E720" t="s">
        <v>3</v>
      </c>
      <c r="F720" t="s">
        <v>4</v>
      </c>
      <c r="G720" s="2" t="str">
        <f t="shared" si="11"/>
        <v>TW_08S_SA2/TAILWATER</v>
      </c>
      <c r="H720" t="s">
        <v>305</v>
      </c>
      <c r="I720" t="s">
        <v>306</v>
      </c>
      <c r="L720" t="s">
        <v>8</v>
      </c>
      <c r="N720" t="s">
        <v>9</v>
      </c>
    </row>
    <row r="721" spans="2:14" x14ac:dyDescent="0.25">
      <c r="B721" t="s">
        <v>0</v>
      </c>
      <c r="C721" t="s">
        <v>766</v>
      </c>
      <c r="D721" t="s">
        <v>738</v>
      </c>
      <c r="E721" t="s">
        <v>3</v>
      </c>
      <c r="F721" t="s">
        <v>4</v>
      </c>
      <c r="G721" s="2" t="str">
        <f t="shared" si="11"/>
        <v>TW_08S_SA3/TAILWATER</v>
      </c>
      <c r="H721" t="s">
        <v>305</v>
      </c>
      <c r="I721" t="s">
        <v>306</v>
      </c>
      <c r="L721" t="s">
        <v>8</v>
      </c>
      <c r="N721" t="s">
        <v>9</v>
      </c>
    </row>
    <row r="722" spans="2:14" x14ac:dyDescent="0.25">
      <c r="B722" t="s">
        <v>0</v>
      </c>
      <c r="C722" t="s">
        <v>767</v>
      </c>
      <c r="D722" t="s">
        <v>738</v>
      </c>
      <c r="E722" t="s">
        <v>3</v>
      </c>
      <c r="F722" t="s">
        <v>4</v>
      </c>
      <c r="G722" s="2" t="str">
        <f t="shared" si="11"/>
        <v>TW_09_NA/TAILWATER</v>
      </c>
      <c r="H722" t="s">
        <v>305</v>
      </c>
      <c r="I722" t="s">
        <v>306</v>
      </c>
      <c r="L722" t="s">
        <v>8</v>
      </c>
      <c r="N722" t="s">
        <v>9</v>
      </c>
    </row>
    <row r="723" spans="2:14" x14ac:dyDescent="0.25">
      <c r="B723" t="s">
        <v>0</v>
      </c>
      <c r="C723" t="s">
        <v>768</v>
      </c>
      <c r="D723" t="s">
        <v>738</v>
      </c>
      <c r="E723" t="s">
        <v>3</v>
      </c>
      <c r="F723" t="s">
        <v>4</v>
      </c>
      <c r="G723" s="2" t="str">
        <f t="shared" si="11"/>
        <v>TW_09_PR/TAILWATER</v>
      </c>
      <c r="H723" t="s">
        <v>305</v>
      </c>
      <c r="I723" t="s">
        <v>306</v>
      </c>
      <c r="L723" t="s">
        <v>8</v>
      </c>
      <c r="N723" t="s">
        <v>9</v>
      </c>
    </row>
    <row r="724" spans="2:14" x14ac:dyDescent="0.25">
      <c r="B724" t="s">
        <v>0</v>
      </c>
      <c r="C724" t="s">
        <v>769</v>
      </c>
      <c r="D724" t="s">
        <v>738</v>
      </c>
      <c r="E724" t="s">
        <v>3</v>
      </c>
      <c r="F724" t="s">
        <v>4</v>
      </c>
      <c r="G724" s="2" t="str">
        <f t="shared" si="11"/>
        <v>TW_09_SA1/TAILWATER</v>
      </c>
      <c r="H724" t="s">
        <v>305</v>
      </c>
      <c r="I724" t="s">
        <v>306</v>
      </c>
      <c r="L724" t="s">
        <v>8</v>
      </c>
      <c r="N724" t="s">
        <v>9</v>
      </c>
    </row>
    <row r="725" spans="2:14" x14ac:dyDescent="0.25">
      <c r="B725" t="s">
        <v>0</v>
      </c>
      <c r="C725" t="s">
        <v>770</v>
      </c>
      <c r="D725" t="s">
        <v>738</v>
      </c>
      <c r="E725" t="s">
        <v>3</v>
      </c>
      <c r="F725" t="s">
        <v>4</v>
      </c>
      <c r="G725" s="2" t="str">
        <f t="shared" si="11"/>
        <v>TW_09_SA2/TAILWATER</v>
      </c>
      <c r="H725" t="s">
        <v>305</v>
      </c>
      <c r="I725" t="s">
        <v>306</v>
      </c>
      <c r="L725" t="s">
        <v>8</v>
      </c>
      <c r="N725" t="s">
        <v>9</v>
      </c>
    </row>
    <row r="726" spans="2:14" x14ac:dyDescent="0.25">
      <c r="B726" t="s">
        <v>0</v>
      </c>
      <c r="C726" t="s">
        <v>771</v>
      </c>
      <c r="D726" t="s">
        <v>738</v>
      </c>
      <c r="E726" t="s">
        <v>3</v>
      </c>
      <c r="F726" t="s">
        <v>4</v>
      </c>
      <c r="G726" s="2" t="str">
        <f t="shared" si="11"/>
        <v>TW_10_NA/TAILWATER</v>
      </c>
      <c r="H726" t="s">
        <v>305</v>
      </c>
      <c r="I726" t="s">
        <v>306</v>
      </c>
      <c r="L726" t="s">
        <v>8</v>
      </c>
      <c r="N726" t="s">
        <v>9</v>
      </c>
    </row>
    <row r="727" spans="2:14" x14ac:dyDescent="0.25">
      <c r="B727" t="s">
        <v>0</v>
      </c>
      <c r="C727" t="s">
        <v>772</v>
      </c>
      <c r="D727" t="s">
        <v>738</v>
      </c>
      <c r="E727" t="s">
        <v>3</v>
      </c>
      <c r="F727" t="s">
        <v>4</v>
      </c>
      <c r="G727" s="2" t="str">
        <f t="shared" si="11"/>
        <v>TW_11_NA/TAILWATER</v>
      </c>
      <c r="H727" t="s">
        <v>305</v>
      </c>
      <c r="I727" t="s">
        <v>306</v>
      </c>
      <c r="L727" t="s">
        <v>8</v>
      </c>
      <c r="N727" t="s">
        <v>9</v>
      </c>
    </row>
    <row r="728" spans="2:14" x14ac:dyDescent="0.25">
      <c r="B728" t="s">
        <v>0</v>
      </c>
      <c r="C728" t="s">
        <v>773</v>
      </c>
      <c r="D728" t="s">
        <v>738</v>
      </c>
      <c r="E728" t="s">
        <v>3</v>
      </c>
      <c r="F728" t="s">
        <v>4</v>
      </c>
      <c r="G728" s="2" t="str">
        <f t="shared" si="11"/>
        <v>TW_11_PR/TAILWATER</v>
      </c>
      <c r="H728" t="s">
        <v>305</v>
      </c>
      <c r="I728" t="s">
        <v>306</v>
      </c>
      <c r="L728" t="s">
        <v>8</v>
      </c>
      <c r="N728" t="s">
        <v>9</v>
      </c>
    </row>
    <row r="729" spans="2:14" x14ac:dyDescent="0.25">
      <c r="B729" t="s">
        <v>0</v>
      </c>
      <c r="C729" t="s">
        <v>774</v>
      </c>
      <c r="D729" t="s">
        <v>738</v>
      </c>
      <c r="E729" t="s">
        <v>3</v>
      </c>
      <c r="F729" t="s">
        <v>4</v>
      </c>
      <c r="G729" s="2" t="str">
        <f t="shared" si="11"/>
        <v>TW_11_SA1/TAILWATER</v>
      </c>
      <c r="H729" t="s">
        <v>305</v>
      </c>
      <c r="I729" t="s">
        <v>306</v>
      </c>
      <c r="L729" t="s">
        <v>8</v>
      </c>
      <c r="N729" t="s">
        <v>9</v>
      </c>
    </row>
    <row r="730" spans="2:14" x14ac:dyDescent="0.25">
      <c r="B730" t="s">
        <v>0</v>
      </c>
      <c r="C730" t="s">
        <v>775</v>
      </c>
      <c r="D730" t="s">
        <v>738</v>
      </c>
      <c r="E730" t="s">
        <v>3</v>
      </c>
      <c r="F730" t="s">
        <v>4</v>
      </c>
      <c r="G730" s="2" t="str">
        <f t="shared" si="11"/>
        <v>TW_11_SA2/TAILWATER</v>
      </c>
      <c r="H730" t="s">
        <v>305</v>
      </c>
      <c r="I730" t="s">
        <v>306</v>
      </c>
      <c r="L730" t="s">
        <v>8</v>
      </c>
      <c r="N730" t="s">
        <v>9</v>
      </c>
    </row>
    <row r="731" spans="2:14" x14ac:dyDescent="0.25">
      <c r="B731" t="s">
        <v>0</v>
      </c>
      <c r="C731" t="s">
        <v>776</v>
      </c>
      <c r="D731" t="s">
        <v>738</v>
      </c>
      <c r="E731" t="s">
        <v>3</v>
      </c>
      <c r="F731" t="s">
        <v>4</v>
      </c>
      <c r="G731" s="2" t="str">
        <f t="shared" si="11"/>
        <v>TW_11_SA3/TAILWATER</v>
      </c>
      <c r="H731" t="s">
        <v>305</v>
      </c>
      <c r="I731" t="s">
        <v>306</v>
      </c>
      <c r="L731" t="s">
        <v>8</v>
      </c>
      <c r="N731" t="s">
        <v>9</v>
      </c>
    </row>
    <row r="732" spans="2:14" x14ac:dyDescent="0.25">
      <c r="B732" t="s">
        <v>0</v>
      </c>
      <c r="C732" t="s">
        <v>777</v>
      </c>
      <c r="D732" t="s">
        <v>738</v>
      </c>
      <c r="E732" t="s">
        <v>3</v>
      </c>
      <c r="F732" t="s">
        <v>4</v>
      </c>
      <c r="G732" s="2" t="str">
        <f t="shared" si="11"/>
        <v>TW_11_SA4/TAILWATER</v>
      </c>
      <c r="H732" t="s">
        <v>305</v>
      </c>
      <c r="I732" t="s">
        <v>306</v>
      </c>
      <c r="L732" t="s">
        <v>8</v>
      </c>
      <c r="N732" t="s">
        <v>9</v>
      </c>
    </row>
    <row r="733" spans="2:14" x14ac:dyDescent="0.25">
      <c r="B733" t="s">
        <v>0</v>
      </c>
      <c r="C733" t="s">
        <v>778</v>
      </c>
      <c r="D733" t="s">
        <v>738</v>
      </c>
      <c r="E733" t="s">
        <v>3</v>
      </c>
      <c r="F733" t="s">
        <v>4</v>
      </c>
      <c r="G733" s="2" t="str">
        <f t="shared" si="11"/>
        <v>TW_12_NA/TAILWATER</v>
      </c>
      <c r="H733" t="s">
        <v>305</v>
      </c>
      <c r="I733" t="s">
        <v>306</v>
      </c>
      <c r="L733" t="s">
        <v>8</v>
      </c>
      <c r="N733" t="s">
        <v>9</v>
      </c>
    </row>
    <row r="734" spans="2:14" x14ac:dyDescent="0.25">
      <c r="B734" t="s">
        <v>0</v>
      </c>
      <c r="C734" t="s">
        <v>779</v>
      </c>
      <c r="D734" t="s">
        <v>738</v>
      </c>
      <c r="E734" t="s">
        <v>3</v>
      </c>
      <c r="F734" t="s">
        <v>4</v>
      </c>
      <c r="G734" s="2" t="str">
        <f t="shared" si="11"/>
        <v>TW_12_SA/TAILWATER</v>
      </c>
      <c r="H734" t="s">
        <v>305</v>
      </c>
      <c r="I734" t="s">
        <v>306</v>
      </c>
      <c r="L734" t="s">
        <v>8</v>
      </c>
      <c r="N734" t="s">
        <v>9</v>
      </c>
    </row>
    <row r="735" spans="2:14" x14ac:dyDescent="0.25">
      <c r="B735" t="s">
        <v>0</v>
      </c>
      <c r="C735" t="s">
        <v>780</v>
      </c>
      <c r="D735" t="s">
        <v>738</v>
      </c>
      <c r="E735" t="s">
        <v>3</v>
      </c>
      <c r="F735" t="s">
        <v>4</v>
      </c>
      <c r="G735" s="2" t="str">
        <f t="shared" si="11"/>
        <v>TW_13_NA/TAILWATER</v>
      </c>
      <c r="H735" t="s">
        <v>305</v>
      </c>
      <c r="I735" t="s">
        <v>306</v>
      </c>
      <c r="L735" t="s">
        <v>8</v>
      </c>
      <c r="N735" t="s">
        <v>9</v>
      </c>
    </row>
    <row r="736" spans="2:14" x14ac:dyDescent="0.25">
      <c r="B736" t="s">
        <v>0</v>
      </c>
      <c r="C736" t="s">
        <v>781</v>
      </c>
      <c r="D736" t="s">
        <v>738</v>
      </c>
      <c r="E736" t="s">
        <v>3</v>
      </c>
      <c r="F736" t="s">
        <v>4</v>
      </c>
      <c r="G736" s="2" t="str">
        <f t="shared" si="11"/>
        <v>TW_14_NA/TAILWATER</v>
      </c>
      <c r="H736" t="s">
        <v>305</v>
      </c>
      <c r="I736" t="s">
        <v>306</v>
      </c>
      <c r="L736" t="s">
        <v>8</v>
      </c>
      <c r="N736" t="s">
        <v>9</v>
      </c>
    </row>
    <row r="737" spans="2:14" x14ac:dyDescent="0.25">
      <c r="B737" t="s">
        <v>0</v>
      </c>
      <c r="C737" t="s">
        <v>782</v>
      </c>
      <c r="D737" t="s">
        <v>738</v>
      </c>
      <c r="E737" t="s">
        <v>3</v>
      </c>
      <c r="F737" t="s">
        <v>4</v>
      </c>
      <c r="G737" s="2" t="str">
        <f t="shared" si="11"/>
        <v>TW_15N_NA1/TAILWATER</v>
      </c>
      <c r="H737" t="s">
        <v>305</v>
      </c>
      <c r="I737" t="s">
        <v>306</v>
      </c>
      <c r="L737" t="s">
        <v>8</v>
      </c>
      <c r="N737" t="s">
        <v>9</v>
      </c>
    </row>
    <row r="738" spans="2:14" x14ac:dyDescent="0.25">
      <c r="B738" t="s">
        <v>0</v>
      </c>
      <c r="C738" t="s">
        <v>783</v>
      </c>
      <c r="D738" t="s">
        <v>738</v>
      </c>
      <c r="E738" t="s">
        <v>3</v>
      </c>
      <c r="F738" t="s">
        <v>4</v>
      </c>
      <c r="G738" s="2" t="str">
        <f t="shared" si="11"/>
        <v>TW_15N_NA2/TAILWATER</v>
      </c>
      <c r="H738" t="s">
        <v>305</v>
      </c>
      <c r="I738" t="s">
        <v>306</v>
      </c>
      <c r="L738" t="s">
        <v>8</v>
      </c>
      <c r="N738" t="s">
        <v>9</v>
      </c>
    </row>
    <row r="739" spans="2:14" x14ac:dyDescent="0.25">
      <c r="B739" t="s">
        <v>0</v>
      </c>
      <c r="C739" t="s">
        <v>784</v>
      </c>
      <c r="D739" t="s">
        <v>738</v>
      </c>
      <c r="E739" t="s">
        <v>3</v>
      </c>
      <c r="F739" t="s">
        <v>4</v>
      </c>
      <c r="G739" s="2" t="str">
        <f t="shared" si="11"/>
        <v>TW_15N_SA/TAILWATER</v>
      </c>
      <c r="H739" t="s">
        <v>305</v>
      </c>
      <c r="I739" t="s">
        <v>306</v>
      </c>
      <c r="L739" t="s">
        <v>8</v>
      </c>
      <c r="N739" t="s">
        <v>9</v>
      </c>
    </row>
    <row r="740" spans="2:14" x14ac:dyDescent="0.25">
      <c r="B740" t="s">
        <v>0</v>
      </c>
      <c r="C740" t="s">
        <v>785</v>
      </c>
      <c r="D740" t="s">
        <v>738</v>
      </c>
      <c r="E740" t="s">
        <v>3</v>
      </c>
      <c r="F740" t="s">
        <v>4</v>
      </c>
      <c r="G740" s="2" t="str">
        <f t="shared" si="11"/>
        <v>TW_15S_NA1/TAILWATER</v>
      </c>
      <c r="H740" t="s">
        <v>305</v>
      </c>
      <c r="I740" t="s">
        <v>306</v>
      </c>
      <c r="L740" t="s">
        <v>8</v>
      </c>
      <c r="N740" t="s">
        <v>9</v>
      </c>
    </row>
    <row r="741" spans="2:14" x14ac:dyDescent="0.25">
      <c r="B741" t="s">
        <v>0</v>
      </c>
      <c r="C741" t="s">
        <v>786</v>
      </c>
      <c r="D741" t="s">
        <v>738</v>
      </c>
      <c r="E741" t="s">
        <v>3</v>
      </c>
      <c r="F741" t="s">
        <v>4</v>
      </c>
      <c r="G741" s="2" t="str">
        <f t="shared" si="11"/>
        <v>TW_15S_NA2/TAILWATER</v>
      </c>
      <c r="H741" t="s">
        <v>305</v>
      </c>
      <c r="I741" t="s">
        <v>306</v>
      </c>
      <c r="L741" t="s">
        <v>8</v>
      </c>
      <c r="N741" t="s">
        <v>9</v>
      </c>
    </row>
    <row r="742" spans="2:14" x14ac:dyDescent="0.25">
      <c r="B742" t="s">
        <v>0</v>
      </c>
      <c r="C742" t="s">
        <v>787</v>
      </c>
      <c r="D742" t="s">
        <v>738</v>
      </c>
      <c r="E742" t="s">
        <v>3</v>
      </c>
      <c r="F742" t="s">
        <v>4</v>
      </c>
      <c r="G742" s="2" t="str">
        <f t="shared" si="11"/>
        <v>TW_15S_SA/TAILWATER</v>
      </c>
      <c r="H742" t="s">
        <v>305</v>
      </c>
      <c r="I742" t="s">
        <v>306</v>
      </c>
      <c r="L742" t="s">
        <v>8</v>
      </c>
      <c r="N742" t="s">
        <v>9</v>
      </c>
    </row>
    <row r="743" spans="2:14" x14ac:dyDescent="0.25">
      <c r="B743" t="s">
        <v>0</v>
      </c>
      <c r="C743" t="s">
        <v>788</v>
      </c>
      <c r="D743" t="s">
        <v>738</v>
      </c>
      <c r="E743" t="s">
        <v>3</v>
      </c>
      <c r="F743" t="s">
        <v>4</v>
      </c>
      <c r="G743" s="2" t="str">
        <f t="shared" si="11"/>
        <v>TW_16_NA1/TAILWATER</v>
      </c>
      <c r="H743" t="s">
        <v>305</v>
      </c>
      <c r="I743" t="s">
        <v>306</v>
      </c>
      <c r="L743" t="s">
        <v>8</v>
      </c>
      <c r="N743" t="s">
        <v>9</v>
      </c>
    </row>
    <row r="744" spans="2:14" x14ac:dyDescent="0.25">
      <c r="B744" t="s">
        <v>0</v>
      </c>
      <c r="C744" t="s">
        <v>789</v>
      </c>
      <c r="D744" t="s">
        <v>738</v>
      </c>
      <c r="E744" t="s">
        <v>3</v>
      </c>
      <c r="F744" t="s">
        <v>4</v>
      </c>
      <c r="G744" s="2" t="str">
        <f t="shared" si="11"/>
        <v>TW_16_NA2/TAILWATER</v>
      </c>
      <c r="H744" t="s">
        <v>305</v>
      </c>
      <c r="I744" t="s">
        <v>306</v>
      </c>
      <c r="L744" t="s">
        <v>8</v>
      </c>
      <c r="N744" t="s">
        <v>9</v>
      </c>
    </row>
    <row r="745" spans="2:14" x14ac:dyDescent="0.25">
      <c r="B745" t="s">
        <v>0</v>
      </c>
      <c r="C745" t="s">
        <v>790</v>
      </c>
      <c r="D745" t="s">
        <v>738</v>
      </c>
      <c r="E745" t="s">
        <v>3</v>
      </c>
      <c r="F745" t="s">
        <v>4</v>
      </c>
      <c r="G745" s="2" t="str">
        <f t="shared" si="11"/>
        <v>TW_16_PA/TAILWATER</v>
      </c>
      <c r="H745" t="s">
        <v>305</v>
      </c>
      <c r="I745" t="s">
        <v>306</v>
      </c>
      <c r="L745" t="s">
        <v>8</v>
      </c>
      <c r="N745" t="s">
        <v>9</v>
      </c>
    </row>
    <row r="746" spans="2:14" x14ac:dyDescent="0.25">
      <c r="B746" t="s">
        <v>0</v>
      </c>
      <c r="C746" t="s">
        <v>791</v>
      </c>
      <c r="D746" t="s">
        <v>738</v>
      </c>
      <c r="E746" t="s">
        <v>3</v>
      </c>
      <c r="F746" t="s">
        <v>4</v>
      </c>
      <c r="G746" s="2" t="str">
        <f t="shared" si="11"/>
        <v>TW_16_SA/TAILWATER</v>
      </c>
      <c r="H746" t="s">
        <v>305</v>
      </c>
      <c r="I746" t="s">
        <v>306</v>
      </c>
      <c r="L746" t="s">
        <v>8</v>
      </c>
      <c r="N746" t="s">
        <v>9</v>
      </c>
    </row>
    <row r="747" spans="2:14" x14ac:dyDescent="0.25">
      <c r="B747" t="s">
        <v>0</v>
      </c>
      <c r="C747" t="s">
        <v>792</v>
      </c>
      <c r="D747" t="s">
        <v>738</v>
      </c>
      <c r="E747" t="s">
        <v>3</v>
      </c>
      <c r="F747" t="s">
        <v>4</v>
      </c>
      <c r="G747" s="2" t="str">
        <f t="shared" si="11"/>
        <v>TW_17N_NA/TAILWATER</v>
      </c>
      <c r="H747" t="s">
        <v>305</v>
      </c>
      <c r="I747" t="s">
        <v>306</v>
      </c>
      <c r="L747" t="s">
        <v>8</v>
      </c>
      <c r="N747" t="s">
        <v>9</v>
      </c>
    </row>
    <row r="748" spans="2:14" x14ac:dyDescent="0.25">
      <c r="B748" t="s">
        <v>0</v>
      </c>
      <c r="C748" t="s">
        <v>793</v>
      </c>
      <c r="D748" t="s">
        <v>738</v>
      </c>
      <c r="E748" t="s">
        <v>3</v>
      </c>
      <c r="F748" t="s">
        <v>4</v>
      </c>
      <c r="G748" s="2" t="str">
        <f t="shared" si="11"/>
        <v>TW_17N_NR/TAILWATER</v>
      </c>
      <c r="H748" t="s">
        <v>305</v>
      </c>
      <c r="I748" t="s">
        <v>306</v>
      </c>
      <c r="L748" t="s">
        <v>8</v>
      </c>
      <c r="N748" t="s">
        <v>9</v>
      </c>
    </row>
    <row r="749" spans="2:14" x14ac:dyDescent="0.25">
      <c r="B749" t="s">
        <v>0</v>
      </c>
      <c r="C749" t="s">
        <v>794</v>
      </c>
      <c r="D749" t="s">
        <v>738</v>
      </c>
      <c r="E749" t="s">
        <v>3</v>
      </c>
      <c r="F749" t="s">
        <v>4</v>
      </c>
      <c r="G749" s="2" t="str">
        <f t="shared" si="11"/>
        <v>TW_17N_PR/TAILWATER</v>
      </c>
      <c r="H749" t="s">
        <v>305</v>
      </c>
      <c r="I749" t="s">
        <v>306</v>
      </c>
      <c r="L749" t="s">
        <v>8</v>
      </c>
      <c r="N749" t="s">
        <v>9</v>
      </c>
    </row>
    <row r="750" spans="2:14" x14ac:dyDescent="0.25">
      <c r="B750" t="s">
        <v>0</v>
      </c>
      <c r="C750" t="s">
        <v>795</v>
      </c>
      <c r="D750" t="s">
        <v>738</v>
      </c>
      <c r="E750" t="s">
        <v>3</v>
      </c>
      <c r="F750" t="s">
        <v>4</v>
      </c>
      <c r="G750" s="2" t="str">
        <f t="shared" si="11"/>
        <v>TW_17S_NA/TAILWATER</v>
      </c>
      <c r="H750" t="s">
        <v>305</v>
      </c>
      <c r="I750" t="s">
        <v>306</v>
      </c>
      <c r="L750" t="s">
        <v>8</v>
      </c>
      <c r="N750" t="s">
        <v>9</v>
      </c>
    </row>
    <row r="751" spans="2:14" x14ac:dyDescent="0.25">
      <c r="B751" t="s">
        <v>0</v>
      </c>
      <c r="C751" t="s">
        <v>796</v>
      </c>
      <c r="D751" t="s">
        <v>738</v>
      </c>
      <c r="E751" t="s">
        <v>3</v>
      </c>
      <c r="F751" t="s">
        <v>4</v>
      </c>
      <c r="G751" s="2" t="str">
        <f t="shared" si="11"/>
        <v>TW_17S_PR/TAILWATER</v>
      </c>
      <c r="H751" t="s">
        <v>305</v>
      </c>
      <c r="I751" t="s">
        <v>306</v>
      </c>
      <c r="L751" t="s">
        <v>8</v>
      </c>
      <c r="N751" t="s">
        <v>9</v>
      </c>
    </row>
    <row r="752" spans="2:14" x14ac:dyDescent="0.25">
      <c r="B752" t="s">
        <v>0</v>
      </c>
      <c r="C752" t="s">
        <v>797</v>
      </c>
      <c r="D752" t="s">
        <v>738</v>
      </c>
      <c r="E752" t="s">
        <v>3</v>
      </c>
      <c r="F752" t="s">
        <v>4</v>
      </c>
      <c r="G752" s="2" t="str">
        <f t="shared" si="11"/>
        <v>TW_17S_SA/TAILWATER</v>
      </c>
      <c r="H752" t="s">
        <v>305</v>
      </c>
      <c r="I752" t="s">
        <v>306</v>
      </c>
      <c r="L752" t="s">
        <v>8</v>
      </c>
      <c r="N752" t="s">
        <v>9</v>
      </c>
    </row>
    <row r="753" spans="2:14" x14ac:dyDescent="0.25">
      <c r="B753" t="s">
        <v>0</v>
      </c>
      <c r="C753" t="s">
        <v>798</v>
      </c>
      <c r="D753" t="s">
        <v>738</v>
      </c>
      <c r="E753" t="s">
        <v>3</v>
      </c>
      <c r="F753" t="s">
        <v>4</v>
      </c>
      <c r="G753" s="2" t="str">
        <f t="shared" si="11"/>
        <v>TW_18_NA/TAILWATER</v>
      </c>
      <c r="H753" t="s">
        <v>305</v>
      </c>
      <c r="I753" t="s">
        <v>306</v>
      </c>
      <c r="L753" t="s">
        <v>8</v>
      </c>
      <c r="N753" t="s">
        <v>9</v>
      </c>
    </row>
    <row r="754" spans="2:14" x14ac:dyDescent="0.25">
      <c r="B754" t="s">
        <v>0</v>
      </c>
      <c r="C754" t="s">
        <v>799</v>
      </c>
      <c r="D754" t="s">
        <v>738</v>
      </c>
      <c r="E754" t="s">
        <v>3</v>
      </c>
      <c r="F754" t="s">
        <v>4</v>
      </c>
      <c r="G754" s="2" t="str">
        <f t="shared" si="11"/>
        <v>TW_18_SA/TAILWATER</v>
      </c>
      <c r="H754" t="s">
        <v>305</v>
      </c>
      <c r="I754" t="s">
        <v>306</v>
      </c>
      <c r="L754" t="s">
        <v>8</v>
      </c>
      <c r="N754" t="s">
        <v>9</v>
      </c>
    </row>
    <row r="755" spans="2:14" x14ac:dyDescent="0.25">
      <c r="B755" t="s">
        <v>0</v>
      </c>
      <c r="C755" t="s">
        <v>800</v>
      </c>
      <c r="D755" t="s">
        <v>738</v>
      </c>
      <c r="E755" t="s">
        <v>3</v>
      </c>
      <c r="F755" t="s">
        <v>4</v>
      </c>
      <c r="G755" s="2" t="str">
        <f t="shared" si="11"/>
        <v>TW_19_SA/TAILWATER</v>
      </c>
      <c r="H755" t="s">
        <v>305</v>
      </c>
      <c r="I755" t="s">
        <v>306</v>
      </c>
      <c r="L755" t="s">
        <v>8</v>
      </c>
      <c r="N755" t="s">
        <v>9</v>
      </c>
    </row>
    <row r="756" spans="2:14" x14ac:dyDescent="0.25">
      <c r="B756" t="s">
        <v>0</v>
      </c>
      <c r="C756" t="s">
        <v>801</v>
      </c>
      <c r="D756" t="s">
        <v>738</v>
      </c>
      <c r="E756" t="s">
        <v>3</v>
      </c>
      <c r="F756" t="s">
        <v>4</v>
      </c>
      <c r="G756" s="2" t="str">
        <f t="shared" si="11"/>
        <v>TW_20_NA1/TAILWATER</v>
      </c>
      <c r="H756" t="s">
        <v>305</v>
      </c>
      <c r="I756" t="s">
        <v>306</v>
      </c>
      <c r="L756" t="s">
        <v>8</v>
      </c>
      <c r="N756" t="s">
        <v>9</v>
      </c>
    </row>
    <row r="757" spans="2:14" x14ac:dyDescent="0.25">
      <c r="B757" t="s">
        <v>0</v>
      </c>
      <c r="C757" t="s">
        <v>802</v>
      </c>
      <c r="D757" t="s">
        <v>738</v>
      </c>
      <c r="E757" t="s">
        <v>3</v>
      </c>
      <c r="F757" t="s">
        <v>4</v>
      </c>
      <c r="G757" s="2" t="str">
        <f t="shared" si="11"/>
        <v>TW_20_NA2/TAILWATER</v>
      </c>
      <c r="H757" t="s">
        <v>305</v>
      </c>
      <c r="I757" t="s">
        <v>306</v>
      </c>
      <c r="L757" t="s">
        <v>8</v>
      </c>
      <c r="N757" t="s">
        <v>9</v>
      </c>
    </row>
    <row r="758" spans="2:14" x14ac:dyDescent="0.25">
      <c r="B758" t="s">
        <v>0</v>
      </c>
      <c r="C758" t="s">
        <v>803</v>
      </c>
      <c r="D758" t="s">
        <v>738</v>
      </c>
      <c r="E758" t="s">
        <v>3</v>
      </c>
      <c r="F758" t="s">
        <v>4</v>
      </c>
      <c r="G758" s="2" t="str">
        <f t="shared" si="11"/>
        <v>TW_20_PA/TAILWATER</v>
      </c>
      <c r="H758" t="s">
        <v>305</v>
      </c>
      <c r="I758" t="s">
        <v>306</v>
      </c>
      <c r="L758" t="s">
        <v>8</v>
      </c>
      <c r="N758" t="s">
        <v>9</v>
      </c>
    </row>
    <row r="759" spans="2:14" x14ac:dyDescent="0.25">
      <c r="B759" t="s">
        <v>0</v>
      </c>
      <c r="C759" t="s">
        <v>804</v>
      </c>
      <c r="D759" t="s">
        <v>738</v>
      </c>
      <c r="E759" t="s">
        <v>3</v>
      </c>
      <c r="F759" t="s">
        <v>4</v>
      </c>
      <c r="G759" s="2" t="str">
        <f t="shared" si="11"/>
        <v>TW_21_NA/TAILWATER</v>
      </c>
      <c r="H759" t="s">
        <v>305</v>
      </c>
      <c r="I759" t="s">
        <v>306</v>
      </c>
      <c r="L759" t="s">
        <v>8</v>
      </c>
      <c r="N759" t="s">
        <v>9</v>
      </c>
    </row>
    <row r="760" spans="2:14" x14ac:dyDescent="0.25">
      <c r="B760" t="s">
        <v>0</v>
      </c>
      <c r="C760" t="s">
        <v>805</v>
      </c>
      <c r="D760" t="s">
        <v>738</v>
      </c>
      <c r="E760" t="s">
        <v>3</v>
      </c>
      <c r="F760" t="s">
        <v>4</v>
      </c>
      <c r="G760" s="2" t="str">
        <f t="shared" si="11"/>
        <v>TW_21_PA/TAILWATER</v>
      </c>
      <c r="H760" t="s">
        <v>305</v>
      </c>
      <c r="I760" t="s">
        <v>306</v>
      </c>
      <c r="L760" t="s">
        <v>8</v>
      </c>
      <c r="N760" t="s">
        <v>9</v>
      </c>
    </row>
    <row r="761" spans="2:14" x14ac:dyDescent="0.25">
      <c r="B761" t="s">
        <v>0</v>
      </c>
      <c r="C761" t="s">
        <v>806</v>
      </c>
      <c r="D761" t="s">
        <v>738</v>
      </c>
      <c r="E761" t="s">
        <v>3</v>
      </c>
      <c r="F761" t="s">
        <v>4</v>
      </c>
      <c r="G761" s="2" t="str">
        <f t="shared" si="11"/>
        <v>TW_21_SA/TAILWATER</v>
      </c>
      <c r="H761" t="s">
        <v>305</v>
      </c>
      <c r="I761" t="s">
        <v>306</v>
      </c>
      <c r="L761" t="s">
        <v>8</v>
      </c>
      <c r="N761" t="s">
        <v>9</v>
      </c>
    </row>
    <row r="762" spans="2:14" x14ac:dyDescent="0.25">
      <c r="B762" t="s">
        <v>0</v>
      </c>
      <c r="C762" t="s">
        <v>807</v>
      </c>
      <c r="D762" t="s">
        <v>738</v>
      </c>
      <c r="E762" t="s">
        <v>3</v>
      </c>
      <c r="F762" t="s">
        <v>4</v>
      </c>
      <c r="G762" s="2" t="str">
        <f t="shared" si="11"/>
        <v>TW_22_NA/TAILWATER</v>
      </c>
      <c r="H762" t="s">
        <v>305</v>
      </c>
      <c r="I762" t="s">
        <v>306</v>
      </c>
      <c r="L762" t="s">
        <v>8</v>
      </c>
      <c r="N762" t="s">
        <v>9</v>
      </c>
    </row>
    <row r="763" spans="2:14" x14ac:dyDescent="0.25">
      <c r="B763" t="s">
        <v>0</v>
      </c>
      <c r="C763" t="s">
        <v>808</v>
      </c>
      <c r="D763" t="s">
        <v>738</v>
      </c>
      <c r="E763" t="s">
        <v>3</v>
      </c>
      <c r="F763" t="s">
        <v>4</v>
      </c>
      <c r="G763" s="2" t="str">
        <f t="shared" si="11"/>
        <v>TW_22_SA1/TAILWATER</v>
      </c>
      <c r="H763" t="s">
        <v>305</v>
      </c>
      <c r="I763" t="s">
        <v>306</v>
      </c>
      <c r="L763" t="s">
        <v>8</v>
      </c>
      <c r="N763" t="s">
        <v>9</v>
      </c>
    </row>
    <row r="764" spans="2:14" x14ac:dyDescent="0.25">
      <c r="B764" t="s">
        <v>0</v>
      </c>
      <c r="C764" t="s">
        <v>809</v>
      </c>
      <c r="D764" t="s">
        <v>738</v>
      </c>
      <c r="E764" t="s">
        <v>3</v>
      </c>
      <c r="F764" t="s">
        <v>4</v>
      </c>
      <c r="G764" s="2" t="str">
        <f t="shared" si="11"/>
        <v>TW_22_SA2/TAILWATER</v>
      </c>
      <c r="H764" t="s">
        <v>305</v>
      </c>
      <c r="I764" t="s">
        <v>306</v>
      </c>
      <c r="L764" t="s">
        <v>8</v>
      </c>
      <c r="N764" t="s">
        <v>9</v>
      </c>
    </row>
    <row r="765" spans="2:14" x14ac:dyDescent="0.25">
      <c r="B765" t="s">
        <v>0</v>
      </c>
      <c r="C765" t="s">
        <v>810</v>
      </c>
      <c r="D765" t="s">
        <v>738</v>
      </c>
      <c r="E765" t="s">
        <v>3</v>
      </c>
      <c r="F765" t="s">
        <v>4</v>
      </c>
      <c r="G765" s="2" t="str">
        <f t="shared" si="11"/>
        <v>TW_23_NA/TAILWATER</v>
      </c>
      <c r="H765" t="s">
        <v>305</v>
      </c>
      <c r="I765" t="s">
        <v>306</v>
      </c>
      <c r="L765" t="s">
        <v>8</v>
      </c>
      <c r="N765" t="s">
        <v>9</v>
      </c>
    </row>
    <row r="766" spans="2:14" x14ac:dyDescent="0.25">
      <c r="B766" t="s">
        <v>0</v>
      </c>
      <c r="C766" t="s">
        <v>811</v>
      </c>
      <c r="D766" t="s">
        <v>738</v>
      </c>
      <c r="E766" t="s">
        <v>3</v>
      </c>
      <c r="F766" t="s">
        <v>4</v>
      </c>
      <c r="G766" s="2" t="str">
        <f t="shared" si="11"/>
        <v>TW_24_NA1/TAILWATER</v>
      </c>
      <c r="H766" t="s">
        <v>305</v>
      </c>
      <c r="I766" t="s">
        <v>306</v>
      </c>
      <c r="L766" t="s">
        <v>8</v>
      </c>
      <c r="N766" t="s">
        <v>9</v>
      </c>
    </row>
    <row r="767" spans="2:14" x14ac:dyDescent="0.25">
      <c r="B767" t="s">
        <v>0</v>
      </c>
      <c r="C767" t="s">
        <v>812</v>
      </c>
      <c r="D767" t="s">
        <v>738</v>
      </c>
      <c r="E767" t="s">
        <v>3</v>
      </c>
      <c r="F767" t="s">
        <v>4</v>
      </c>
      <c r="G767" s="2" t="str">
        <f t="shared" si="11"/>
        <v>TW_24_NA2/TAILWATER</v>
      </c>
      <c r="H767" t="s">
        <v>305</v>
      </c>
      <c r="I767" t="s">
        <v>306</v>
      </c>
      <c r="L767" t="s">
        <v>8</v>
      </c>
      <c r="N767" t="s">
        <v>9</v>
      </c>
    </row>
    <row r="768" spans="2:14" x14ac:dyDescent="0.25">
      <c r="B768" t="s">
        <v>0</v>
      </c>
      <c r="C768" t="s">
        <v>813</v>
      </c>
      <c r="D768" t="s">
        <v>738</v>
      </c>
      <c r="E768" t="s">
        <v>3</v>
      </c>
      <c r="F768" t="s">
        <v>4</v>
      </c>
      <c r="G768" s="2" t="str">
        <f t="shared" si="11"/>
        <v>TW_24_NA3/TAILWATER</v>
      </c>
      <c r="H768" t="s">
        <v>305</v>
      </c>
      <c r="I768" t="s">
        <v>306</v>
      </c>
      <c r="L768" t="s">
        <v>8</v>
      </c>
      <c r="N768" t="s">
        <v>9</v>
      </c>
    </row>
    <row r="769" spans="2:14" x14ac:dyDescent="0.25">
      <c r="B769" t="s">
        <v>0</v>
      </c>
      <c r="C769" t="s">
        <v>814</v>
      </c>
      <c r="D769" t="s">
        <v>738</v>
      </c>
      <c r="E769" t="s">
        <v>3</v>
      </c>
      <c r="F769" t="s">
        <v>4</v>
      </c>
      <c r="G769" s="2" t="str">
        <f t="shared" si="11"/>
        <v>TW_25_NA/TAILWATER</v>
      </c>
      <c r="H769" t="s">
        <v>305</v>
      </c>
      <c r="I769" t="s">
        <v>306</v>
      </c>
      <c r="L769" t="s">
        <v>8</v>
      </c>
      <c r="N769" t="s">
        <v>9</v>
      </c>
    </row>
    <row r="770" spans="2:14" x14ac:dyDescent="0.25">
      <c r="B770" t="s">
        <v>0</v>
      </c>
      <c r="C770" t="s">
        <v>815</v>
      </c>
      <c r="D770" t="s">
        <v>738</v>
      </c>
      <c r="E770" t="s">
        <v>3</v>
      </c>
      <c r="F770" t="s">
        <v>4</v>
      </c>
      <c r="G770" s="2" t="str">
        <f t="shared" si="11"/>
        <v>TW_25_PA1/TAILWATER</v>
      </c>
      <c r="H770" t="s">
        <v>305</v>
      </c>
      <c r="I770" t="s">
        <v>306</v>
      </c>
      <c r="L770" t="s">
        <v>8</v>
      </c>
      <c r="N770" t="s">
        <v>9</v>
      </c>
    </row>
    <row r="771" spans="2:14" x14ac:dyDescent="0.25">
      <c r="B771" t="s">
        <v>0</v>
      </c>
      <c r="C771" t="s">
        <v>816</v>
      </c>
      <c r="D771" t="s">
        <v>738</v>
      </c>
      <c r="E771" t="s">
        <v>3</v>
      </c>
      <c r="F771" t="s">
        <v>4</v>
      </c>
      <c r="G771" s="2" t="str">
        <f t="shared" ref="G771:G834" si="12">_xlfn.CONCAT(C771,"/",D771)</f>
        <v>TW_25_PA2/TAILWATER</v>
      </c>
      <c r="H771" t="s">
        <v>305</v>
      </c>
      <c r="I771" t="s">
        <v>306</v>
      </c>
      <c r="L771" t="s">
        <v>8</v>
      </c>
      <c r="N771" t="s">
        <v>9</v>
      </c>
    </row>
    <row r="772" spans="2:14" x14ac:dyDescent="0.25">
      <c r="B772" t="s">
        <v>0</v>
      </c>
      <c r="C772" t="s">
        <v>817</v>
      </c>
      <c r="D772" t="s">
        <v>738</v>
      </c>
      <c r="E772" t="s">
        <v>3</v>
      </c>
      <c r="F772" t="s">
        <v>4</v>
      </c>
      <c r="G772" s="2" t="str">
        <f t="shared" si="12"/>
        <v>TW_26N_NA/TAILWATER</v>
      </c>
      <c r="H772" t="s">
        <v>305</v>
      </c>
      <c r="I772" t="s">
        <v>306</v>
      </c>
      <c r="L772" t="s">
        <v>8</v>
      </c>
      <c r="N772" t="s">
        <v>9</v>
      </c>
    </row>
    <row r="773" spans="2:14" x14ac:dyDescent="0.25">
      <c r="B773" t="s">
        <v>0</v>
      </c>
      <c r="C773" t="s">
        <v>818</v>
      </c>
      <c r="D773" t="s">
        <v>738</v>
      </c>
      <c r="E773" t="s">
        <v>3</v>
      </c>
      <c r="F773" t="s">
        <v>4</v>
      </c>
      <c r="G773" s="2" t="str">
        <f t="shared" si="12"/>
        <v>TW_26S_NA/TAILWATER</v>
      </c>
      <c r="H773" t="s">
        <v>305</v>
      </c>
      <c r="I773" t="s">
        <v>306</v>
      </c>
      <c r="L773" t="s">
        <v>8</v>
      </c>
      <c r="N773" t="s">
        <v>9</v>
      </c>
    </row>
    <row r="774" spans="2:14" x14ac:dyDescent="0.25">
      <c r="B774" t="s">
        <v>0</v>
      </c>
      <c r="C774" t="s">
        <v>819</v>
      </c>
      <c r="D774" t="s">
        <v>738</v>
      </c>
      <c r="E774" t="s">
        <v>3</v>
      </c>
      <c r="F774" t="s">
        <v>4</v>
      </c>
      <c r="G774" s="2" t="str">
        <f t="shared" si="12"/>
        <v>TW_50_PA1/TAILWATER</v>
      </c>
      <c r="H774" t="s">
        <v>305</v>
      </c>
      <c r="I774" t="s">
        <v>306</v>
      </c>
      <c r="L774" t="s">
        <v>8</v>
      </c>
      <c r="N774" t="s">
        <v>9</v>
      </c>
    </row>
    <row r="775" spans="2:14" x14ac:dyDescent="0.25">
      <c r="B775" t="s">
        <v>0</v>
      </c>
      <c r="C775" t="s">
        <v>820</v>
      </c>
      <c r="D775" t="s">
        <v>738</v>
      </c>
      <c r="E775" t="s">
        <v>3</v>
      </c>
      <c r="F775" t="s">
        <v>4</v>
      </c>
      <c r="G775" s="2" t="str">
        <f t="shared" si="12"/>
        <v>TW_60N_NA1/TAILWATER</v>
      </c>
      <c r="H775" t="s">
        <v>305</v>
      </c>
      <c r="I775" t="s">
        <v>306</v>
      </c>
      <c r="L775" t="s">
        <v>8</v>
      </c>
      <c r="N775" t="s">
        <v>9</v>
      </c>
    </row>
    <row r="776" spans="2:14" x14ac:dyDescent="0.25">
      <c r="B776" t="s">
        <v>0</v>
      </c>
      <c r="C776" t="s">
        <v>821</v>
      </c>
      <c r="D776" t="s">
        <v>738</v>
      </c>
      <c r="E776" t="s">
        <v>3</v>
      </c>
      <c r="F776" t="s">
        <v>4</v>
      </c>
      <c r="G776" s="2" t="str">
        <f t="shared" si="12"/>
        <v>TW_60N_NA2/TAILWATER</v>
      </c>
      <c r="H776" t="s">
        <v>305</v>
      </c>
      <c r="I776" t="s">
        <v>306</v>
      </c>
      <c r="L776" t="s">
        <v>8</v>
      </c>
      <c r="N776" t="s">
        <v>9</v>
      </c>
    </row>
    <row r="777" spans="2:14" x14ac:dyDescent="0.25">
      <c r="B777" t="s">
        <v>0</v>
      </c>
      <c r="C777" t="s">
        <v>822</v>
      </c>
      <c r="D777" t="s">
        <v>738</v>
      </c>
      <c r="E777" t="s">
        <v>3</v>
      </c>
      <c r="F777" t="s">
        <v>4</v>
      </c>
      <c r="G777" s="2" t="str">
        <f t="shared" si="12"/>
        <v>TW_60N_NA3/TAILWATER</v>
      </c>
      <c r="H777" t="s">
        <v>305</v>
      </c>
      <c r="I777" t="s">
        <v>306</v>
      </c>
      <c r="L777" t="s">
        <v>8</v>
      </c>
      <c r="N777" t="s">
        <v>9</v>
      </c>
    </row>
    <row r="778" spans="2:14" x14ac:dyDescent="0.25">
      <c r="B778" t="s">
        <v>0</v>
      </c>
      <c r="C778" t="s">
        <v>823</v>
      </c>
      <c r="D778" t="s">
        <v>738</v>
      </c>
      <c r="E778" t="s">
        <v>3</v>
      </c>
      <c r="F778" t="s">
        <v>4</v>
      </c>
      <c r="G778" s="2" t="str">
        <f t="shared" si="12"/>
        <v>TW_60N_NA4/TAILWATER</v>
      </c>
      <c r="H778" t="s">
        <v>305</v>
      </c>
      <c r="I778" t="s">
        <v>306</v>
      </c>
      <c r="L778" t="s">
        <v>8</v>
      </c>
      <c r="N778" t="s">
        <v>9</v>
      </c>
    </row>
    <row r="779" spans="2:14" x14ac:dyDescent="0.25">
      <c r="B779" t="s">
        <v>0</v>
      </c>
      <c r="C779" t="s">
        <v>824</v>
      </c>
      <c r="D779" t="s">
        <v>738</v>
      </c>
      <c r="E779" t="s">
        <v>3</v>
      </c>
      <c r="F779" t="s">
        <v>4</v>
      </c>
      <c r="G779" s="2" t="str">
        <f t="shared" si="12"/>
        <v>TW_60N_NA5/TAILWATER</v>
      </c>
      <c r="H779" t="s">
        <v>305</v>
      </c>
      <c r="I779" t="s">
        <v>306</v>
      </c>
      <c r="L779" t="s">
        <v>8</v>
      </c>
      <c r="N779" t="s">
        <v>9</v>
      </c>
    </row>
    <row r="780" spans="2:14" x14ac:dyDescent="0.25">
      <c r="B780" t="s">
        <v>0</v>
      </c>
      <c r="C780" t="s">
        <v>825</v>
      </c>
      <c r="D780" t="s">
        <v>738</v>
      </c>
      <c r="E780" t="s">
        <v>3</v>
      </c>
      <c r="F780" t="s">
        <v>4</v>
      </c>
      <c r="G780" s="2" t="str">
        <f t="shared" si="12"/>
        <v>TW_60S_NA1/TAILWATER</v>
      </c>
      <c r="H780" t="s">
        <v>305</v>
      </c>
      <c r="I780" t="s">
        <v>306</v>
      </c>
      <c r="L780" t="s">
        <v>8</v>
      </c>
      <c r="N780" t="s">
        <v>9</v>
      </c>
    </row>
    <row r="781" spans="2:14" x14ac:dyDescent="0.25">
      <c r="B781" t="s">
        <v>0</v>
      </c>
      <c r="C781" t="s">
        <v>826</v>
      </c>
      <c r="D781" t="s">
        <v>738</v>
      </c>
      <c r="E781" t="s">
        <v>3</v>
      </c>
      <c r="F781" t="s">
        <v>4</v>
      </c>
      <c r="G781" s="2" t="str">
        <f t="shared" si="12"/>
        <v>TW_60S_NA2/TAILWATER</v>
      </c>
      <c r="H781" t="s">
        <v>305</v>
      </c>
      <c r="I781" t="s">
        <v>306</v>
      </c>
      <c r="L781" t="s">
        <v>8</v>
      </c>
      <c r="N781" t="s">
        <v>9</v>
      </c>
    </row>
    <row r="782" spans="2:14" x14ac:dyDescent="0.25">
      <c r="B782" t="s">
        <v>0</v>
      </c>
      <c r="C782" t="s">
        <v>827</v>
      </c>
      <c r="D782" t="s">
        <v>738</v>
      </c>
      <c r="E782" t="s">
        <v>3</v>
      </c>
      <c r="F782" t="s">
        <v>4</v>
      </c>
      <c r="G782" s="2" t="str">
        <f t="shared" si="12"/>
        <v>TW_60S_PA1/TAILWATER</v>
      </c>
      <c r="H782" t="s">
        <v>305</v>
      </c>
      <c r="I782" t="s">
        <v>306</v>
      </c>
      <c r="L782" t="s">
        <v>8</v>
      </c>
      <c r="N782" t="s">
        <v>9</v>
      </c>
    </row>
    <row r="783" spans="2:14" x14ac:dyDescent="0.25">
      <c r="B783" t="s">
        <v>0</v>
      </c>
      <c r="C783" t="s">
        <v>828</v>
      </c>
      <c r="D783" t="s">
        <v>738</v>
      </c>
      <c r="E783" t="s">
        <v>3</v>
      </c>
      <c r="F783" t="s">
        <v>4</v>
      </c>
      <c r="G783" s="2" t="str">
        <f t="shared" si="12"/>
        <v>TW_60S_PA2/TAILWATER</v>
      </c>
      <c r="H783" t="s">
        <v>305</v>
      </c>
      <c r="I783" t="s">
        <v>306</v>
      </c>
      <c r="L783" t="s">
        <v>8</v>
      </c>
      <c r="N783" t="s">
        <v>9</v>
      </c>
    </row>
    <row r="784" spans="2:14" x14ac:dyDescent="0.25">
      <c r="B784" t="s">
        <v>0</v>
      </c>
      <c r="C784" t="s">
        <v>829</v>
      </c>
      <c r="D784" t="s">
        <v>738</v>
      </c>
      <c r="E784" t="s">
        <v>3</v>
      </c>
      <c r="F784" t="s">
        <v>4</v>
      </c>
      <c r="G784" s="2" t="str">
        <f t="shared" si="12"/>
        <v>TW_61_NA1/TAILWATER</v>
      </c>
      <c r="H784" t="s">
        <v>305</v>
      </c>
      <c r="I784" t="s">
        <v>306</v>
      </c>
      <c r="L784" t="s">
        <v>8</v>
      </c>
      <c r="N784" t="s">
        <v>9</v>
      </c>
    </row>
    <row r="785" spans="2:14" x14ac:dyDescent="0.25">
      <c r="B785" t="s">
        <v>0</v>
      </c>
      <c r="C785" t="s">
        <v>830</v>
      </c>
      <c r="D785" t="s">
        <v>738</v>
      </c>
      <c r="E785" t="s">
        <v>3</v>
      </c>
      <c r="F785" t="s">
        <v>4</v>
      </c>
      <c r="G785" s="2" t="str">
        <f t="shared" si="12"/>
        <v>TW_61_NA2/TAILWATER</v>
      </c>
      <c r="H785" t="s">
        <v>305</v>
      </c>
      <c r="I785" t="s">
        <v>306</v>
      </c>
      <c r="L785" t="s">
        <v>8</v>
      </c>
      <c r="N785" t="s">
        <v>9</v>
      </c>
    </row>
    <row r="786" spans="2:14" x14ac:dyDescent="0.25">
      <c r="B786" t="s">
        <v>0</v>
      </c>
      <c r="C786" t="s">
        <v>831</v>
      </c>
      <c r="D786" t="s">
        <v>738</v>
      </c>
      <c r="E786" t="s">
        <v>3</v>
      </c>
      <c r="F786" t="s">
        <v>4</v>
      </c>
      <c r="G786" s="2" t="str">
        <f t="shared" si="12"/>
        <v>TW_61_NA3/TAILWATER</v>
      </c>
      <c r="H786" t="s">
        <v>305</v>
      </c>
      <c r="I786" t="s">
        <v>306</v>
      </c>
      <c r="L786" t="s">
        <v>8</v>
      </c>
      <c r="N786" t="s">
        <v>9</v>
      </c>
    </row>
    <row r="787" spans="2:14" x14ac:dyDescent="0.25">
      <c r="B787" t="s">
        <v>0</v>
      </c>
      <c r="C787" t="s">
        <v>832</v>
      </c>
      <c r="D787" t="s">
        <v>738</v>
      </c>
      <c r="E787" t="s">
        <v>3</v>
      </c>
      <c r="F787" t="s">
        <v>4</v>
      </c>
      <c r="G787" s="2" t="str">
        <f t="shared" si="12"/>
        <v>TW_61_NA4/TAILWATER</v>
      </c>
      <c r="H787" t="s">
        <v>305</v>
      </c>
      <c r="I787" t="s">
        <v>306</v>
      </c>
      <c r="L787" t="s">
        <v>8</v>
      </c>
      <c r="N787" t="s">
        <v>9</v>
      </c>
    </row>
    <row r="788" spans="2:14" x14ac:dyDescent="0.25">
      <c r="B788" t="s">
        <v>0</v>
      </c>
      <c r="C788" t="s">
        <v>833</v>
      </c>
      <c r="D788" t="s">
        <v>738</v>
      </c>
      <c r="E788" t="s">
        <v>3</v>
      </c>
      <c r="F788" t="s">
        <v>4</v>
      </c>
      <c r="G788" s="2" t="str">
        <f t="shared" si="12"/>
        <v>TW_61_NA5/TAILWATER</v>
      </c>
      <c r="H788" t="s">
        <v>305</v>
      </c>
      <c r="I788" t="s">
        <v>306</v>
      </c>
      <c r="L788" t="s">
        <v>8</v>
      </c>
      <c r="N788" t="s">
        <v>9</v>
      </c>
    </row>
    <row r="789" spans="2:14" x14ac:dyDescent="0.25">
      <c r="B789" t="s">
        <v>0</v>
      </c>
      <c r="C789" t="s">
        <v>834</v>
      </c>
      <c r="D789" t="s">
        <v>738</v>
      </c>
      <c r="E789" t="s">
        <v>3</v>
      </c>
      <c r="F789" t="s">
        <v>4</v>
      </c>
      <c r="G789" s="2" t="str">
        <f t="shared" si="12"/>
        <v>TW_61_NA6/TAILWATER</v>
      </c>
      <c r="H789" t="s">
        <v>305</v>
      </c>
      <c r="I789" t="s">
        <v>306</v>
      </c>
      <c r="L789" t="s">
        <v>8</v>
      </c>
      <c r="N789" t="s">
        <v>9</v>
      </c>
    </row>
    <row r="790" spans="2:14" x14ac:dyDescent="0.25">
      <c r="B790" t="s">
        <v>0</v>
      </c>
      <c r="C790" t="s">
        <v>835</v>
      </c>
      <c r="D790" t="s">
        <v>738</v>
      </c>
      <c r="E790" t="s">
        <v>3</v>
      </c>
      <c r="F790" t="s">
        <v>4</v>
      </c>
      <c r="G790" s="2" t="str">
        <f t="shared" si="12"/>
        <v>TW_61_PA1/TAILWATER</v>
      </c>
      <c r="H790" t="s">
        <v>305</v>
      </c>
      <c r="I790" t="s">
        <v>306</v>
      </c>
      <c r="L790" t="s">
        <v>8</v>
      </c>
      <c r="N790" t="s">
        <v>9</v>
      </c>
    </row>
    <row r="791" spans="2:14" x14ac:dyDescent="0.25">
      <c r="B791" t="s">
        <v>0</v>
      </c>
      <c r="C791" t="s">
        <v>836</v>
      </c>
      <c r="D791" t="s">
        <v>738</v>
      </c>
      <c r="E791" t="s">
        <v>3</v>
      </c>
      <c r="F791" t="s">
        <v>4</v>
      </c>
      <c r="G791" s="2" t="str">
        <f t="shared" si="12"/>
        <v>TW_61_PA2/TAILWATER</v>
      </c>
      <c r="H791" t="s">
        <v>305</v>
      </c>
      <c r="I791" t="s">
        <v>306</v>
      </c>
      <c r="L791" t="s">
        <v>8</v>
      </c>
      <c r="N791" t="s">
        <v>9</v>
      </c>
    </row>
    <row r="792" spans="2:14" x14ac:dyDescent="0.25">
      <c r="B792" t="s">
        <v>0</v>
      </c>
      <c r="C792" t="s">
        <v>837</v>
      </c>
      <c r="D792" t="s">
        <v>738</v>
      </c>
      <c r="E792" t="s">
        <v>3</v>
      </c>
      <c r="F792" t="s">
        <v>4</v>
      </c>
      <c r="G792" s="2" t="str">
        <f t="shared" si="12"/>
        <v>TW_61_PA3/TAILWATER</v>
      </c>
      <c r="H792" t="s">
        <v>305</v>
      </c>
      <c r="I792" t="s">
        <v>306</v>
      </c>
      <c r="L792" t="s">
        <v>8</v>
      </c>
      <c r="N792" t="s">
        <v>9</v>
      </c>
    </row>
    <row r="793" spans="2:14" x14ac:dyDescent="0.25">
      <c r="B793" t="s">
        <v>0</v>
      </c>
      <c r="C793" t="s">
        <v>838</v>
      </c>
      <c r="D793" t="s">
        <v>738</v>
      </c>
      <c r="E793" t="s">
        <v>3</v>
      </c>
      <c r="F793" t="s">
        <v>4</v>
      </c>
      <c r="G793" s="2" t="str">
        <f t="shared" si="12"/>
        <v>TW_62_NA1/TAILWATER</v>
      </c>
      <c r="H793" t="s">
        <v>305</v>
      </c>
      <c r="I793" t="s">
        <v>306</v>
      </c>
      <c r="L793" t="s">
        <v>8</v>
      </c>
      <c r="N793" t="s">
        <v>9</v>
      </c>
    </row>
    <row r="794" spans="2:14" x14ac:dyDescent="0.25">
      <c r="B794" t="s">
        <v>0</v>
      </c>
      <c r="C794" t="s">
        <v>839</v>
      </c>
      <c r="D794" t="s">
        <v>738</v>
      </c>
      <c r="E794" t="s">
        <v>3</v>
      </c>
      <c r="F794" t="s">
        <v>4</v>
      </c>
      <c r="G794" s="2" t="str">
        <f t="shared" si="12"/>
        <v>TW_62_NA2/TAILWATER</v>
      </c>
      <c r="H794" t="s">
        <v>305</v>
      </c>
      <c r="I794" t="s">
        <v>306</v>
      </c>
      <c r="L794" t="s">
        <v>8</v>
      </c>
      <c r="N794" t="s">
        <v>9</v>
      </c>
    </row>
    <row r="795" spans="2:14" x14ac:dyDescent="0.25">
      <c r="B795" t="s">
        <v>0</v>
      </c>
      <c r="C795" t="s">
        <v>840</v>
      </c>
      <c r="D795" t="s">
        <v>738</v>
      </c>
      <c r="E795" t="s">
        <v>3</v>
      </c>
      <c r="F795" t="s">
        <v>4</v>
      </c>
      <c r="G795" s="2" t="str">
        <f t="shared" si="12"/>
        <v>TW_62_NA3/TAILWATER</v>
      </c>
      <c r="H795" t="s">
        <v>305</v>
      </c>
      <c r="I795" t="s">
        <v>306</v>
      </c>
      <c r="L795" t="s">
        <v>8</v>
      </c>
      <c r="N795" t="s">
        <v>9</v>
      </c>
    </row>
    <row r="796" spans="2:14" x14ac:dyDescent="0.25">
      <c r="B796" t="s">
        <v>0</v>
      </c>
      <c r="C796" t="s">
        <v>841</v>
      </c>
      <c r="D796" t="s">
        <v>738</v>
      </c>
      <c r="E796" t="s">
        <v>3</v>
      </c>
      <c r="F796" t="s">
        <v>4</v>
      </c>
      <c r="G796" s="2" t="str">
        <f t="shared" si="12"/>
        <v>TW_62_NA4/TAILWATER</v>
      </c>
      <c r="H796" t="s">
        <v>305</v>
      </c>
      <c r="I796" t="s">
        <v>306</v>
      </c>
      <c r="L796" t="s">
        <v>8</v>
      </c>
      <c r="N796" t="s">
        <v>9</v>
      </c>
    </row>
    <row r="797" spans="2:14" x14ac:dyDescent="0.25">
      <c r="B797" t="s">
        <v>0</v>
      </c>
      <c r="C797" t="s">
        <v>842</v>
      </c>
      <c r="D797" t="s">
        <v>738</v>
      </c>
      <c r="E797" t="s">
        <v>3</v>
      </c>
      <c r="F797" t="s">
        <v>4</v>
      </c>
      <c r="G797" s="2" t="str">
        <f t="shared" si="12"/>
        <v>TW_62_NA5/TAILWATER</v>
      </c>
      <c r="H797" t="s">
        <v>305</v>
      </c>
      <c r="I797" t="s">
        <v>306</v>
      </c>
      <c r="L797" t="s">
        <v>8</v>
      </c>
      <c r="N797" t="s">
        <v>9</v>
      </c>
    </row>
    <row r="798" spans="2:14" x14ac:dyDescent="0.25">
      <c r="B798" t="s">
        <v>0</v>
      </c>
      <c r="C798" t="s">
        <v>843</v>
      </c>
      <c r="D798" t="s">
        <v>738</v>
      </c>
      <c r="E798" t="s">
        <v>3</v>
      </c>
      <c r="F798" t="s">
        <v>4</v>
      </c>
      <c r="G798" s="2" t="str">
        <f t="shared" si="12"/>
        <v>TW_62_NA6/TAILWATER</v>
      </c>
      <c r="H798" t="s">
        <v>305</v>
      </c>
      <c r="I798" t="s">
        <v>306</v>
      </c>
      <c r="L798" t="s">
        <v>8</v>
      </c>
      <c r="N798" t="s">
        <v>9</v>
      </c>
    </row>
    <row r="799" spans="2:14" x14ac:dyDescent="0.25">
      <c r="B799" t="s">
        <v>0</v>
      </c>
      <c r="C799" t="s">
        <v>844</v>
      </c>
      <c r="D799" t="s">
        <v>738</v>
      </c>
      <c r="E799" t="s">
        <v>3</v>
      </c>
      <c r="F799" t="s">
        <v>4</v>
      </c>
      <c r="G799" s="2" t="str">
        <f t="shared" si="12"/>
        <v>TW_63_NA1/TAILWATER</v>
      </c>
      <c r="H799" t="s">
        <v>305</v>
      </c>
      <c r="I799" t="s">
        <v>306</v>
      </c>
      <c r="L799" t="s">
        <v>8</v>
      </c>
      <c r="N799" t="s">
        <v>9</v>
      </c>
    </row>
    <row r="800" spans="2:14" x14ac:dyDescent="0.25">
      <c r="B800" t="s">
        <v>0</v>
      </c>
      <c r="C800" t="s">
        <v>845</v>
      </c>
      <c r="D800" t="s">
        <v>738</v>
      </c>
      <c r="E800" t="s">
        <v>3</v>
      </c>
      <c r="F800" t="s">
        <v>4</v>
      </c>
      <c r="G800" s="2" t="str">
        <f t="shared" si="12"/>
        <v>TW_63_NA2/TAILWATER</v>
      </c>
      <c r="H800" t="s">
        <v>305</v>
      </c>
      <c r="I800" t="s">
        <v>306</v>
      </c>
      <c r="L800" t="s">
        <v>8</v>
      </c>
      <c r="N800" t="s">
        <v>9</v>
      </c>
    </row>
    <row r="801" spans="2:14" x14ac:dyDescent="0.25">
      <c r="B801" t="s">
        <v>0</v>
      </c>
      <c r="C801" t="s">
        <v>846</v>
      </c>
      <c r="D801" t="s">
        <v>738</v>
      </c>
      <c r="E801" t="s">
        <v>3</v>
      </c>
      <c r="F801" t="s">
        <v>4</v>
      </c>
      <c r="G801" s="2" t="str">
        <f t="shared" si="12"/>
        <v>TW_63_NA3/TAILWATER</v>
      </c>
      <c r="H801" t="s">
        <v>305</v>
      </c>
      <c r="I801" t="s">
        <v>306</v>
      </c>
      <c r="L801" t="s">
        <v>8</v>
      </c>
      <c r="N801" t="s">
        <v>9</v>
      </c>
    </row>
    <row r="802" spans="2:14" x14ac:dyDescent="0.25">
      <c r="B802" t="s">
        <v>0</v>
      </c>
      <c r="C802" t="s">
        <v>847</v>
      </c>
      <c r="D802" t="s">
        <v>738</v>
      </c>
      <c r="E802" t="s">
        <v>3</v>
      </c>
      <c r="F802" t="s">
        <v>4</v>
      </c>
      <c r="G802" s="2" t="str">
        <f t="shared" si="12"/>
        <v>TW_63_NA4/TAILWATER</v>
      </c>
      <c r="H802" t="s">
        <v>305</v>
      </c>
      <c r="I802" t="s">
        <v>306</v>
      </c>
      <c r="L802" t="s">
        <v>8</v>
      </c>
      <c r="N802" t="s">
        <v>9</v>
      </c>
    </row>
    <row r="803" spans="2:14" x14ac:dyDescent="0.25">
      <c r="B803" t="s">
        <v>0</v>
      </c>
      <c r="C803" t="s">
        <v>848</v>
      </c>
      <c r="D803" t="s">
        <v>738</v>
      </c>
      <c r="E803" t="s">
        <v>3</v>
      </c>
      <c r="F803" t="s">
        <v>4</v>
      </c>
      <c r="G803" s="2" t="str">
        <f t="shared" si="12"/>
        <v>TW_63_NA5/TAILWATER</v>
      </c>
      <c r="H803" t="s">
        <v>305</v>
      </c>
      <c r="I803" t="s">
        <v>306</v>
      </c>
      <c r="L803" t="s">
        <v>8</v>
      </c>
      <c r="N803" t="s">
        <v>9</v>
      </c>
    </row>
    <row r="804" spans="2:14" x14ac:dyDescent="0.25">
      <c r="B804" t="s">
        <v>0</v>
      </c>
      <c r="C804" t="s">
        <v>849</v>
      </c>
      <c r="D804" t="s">
        <v>738</v>
      </c>
      <c r="E804" t="s">
        <v>3</v>
      </c>
      <c r="F804" t="s">
        <v>4</v>
      </c>
      <c r="G804" s="2" t="str">
        <f t="shared" si="12"/>
        <v>TW_63_PR1/TAILWATER</v>
      </c>
      <c r="H804" t="s">
        <v>305</v>
      </c>
      <c r="I804" t="s">
        <v>306</v>
      </c>
      <c r="L804" t="s">
        <v>8</v>
      </c>
      <c r="N804" t="s">
        <v>9</v>
      </c>
    </row>
    <row r="805" spans="2:14" x14ac:dyDescent="0.25">
      <c r="B805" t="s">
        <v>0</v>
      </c>
      <c r="C805" t="s">
        <v>850</v>
      </c>
      <c r="D805" t="s">
        <v>738</v>
      </c>
      <c r="E805" t="s">
        <v>3</v>
      </c>
      <c r="F805" t="s">
        <v>4</v>
      </c>
      <c r="G805" s="2" t="str">
        <f t="shared" si="12"/>
        <v>TW_63_PR2/TAILWATER</v>
      </c>
      <c r="H805" t="s">
        <v>305</v>
      </c>
      <c r="I805" t="s">
        <v>306</v>
      </c>
      <c r="L805" t="s">
        <v>8</v>
      </c>
      <c r="N805" t="s">
        <v>9</v>
      </c>
    </row>
    <row r="806" spans="2:14" x14ac:dyDescent="0.25">
      <c r="B806" t="s">
        <v>0</v>
      </c>
      <c r="C806" t="s">
        <v>851</v>
      </c>
      <c r="D806" t="s">
        <v>738</v>
      </c>
      <c r="E806" t="s">
        <v>3</v>
      </c>
      <c r="F806" t="s">
        <v>4</v>
      </c>
      <c r="G806" s="2" t="str">
        <f t="shared" si="12"/>
        <v>TW_63_PR3/TAILWATER</v>
      </c>
      <c r="H806" t="s">
        <v>305</v>
      </c>
      <c r="I806" t="s">
        <v>306</v>
      </c>
      <c r="L806" t="s">
        <v>8</v>
      </c>
      <c r="N806" t="s">
        <v>9</v>
      </c>
    </row>
    <row r="807" spans="2:14" x14ac:dyDescent="0.25">
      <c r="B807" t="s">
        <v>0</v>
      </c>
      <c r="C807" t="s">
        <v>852</v>
      </c>
      <c r="D807" t="s">
        <v>738</v>
      </c>
      <c r="E807" t="s">
        <v>3</v>
      </c>
      <c r="F807" t="s">
        <v>4</v>
      </c>
      <c r="G807" s="2" t="str">
        <f t="shared" si="12"/>
        <v>TW_64_NA1/TAILWATER</v>
      </c>
      <c r="H807" t="s">
        <v>305</v>
      </c>
      <c r="I807" t="s">
        <v>306</v>
      </c>
      <c r="L807" t="s">
        <v>8</v>
      </c>
      <c r="N807" t="s">
        <v>9</v>
      </c>
    </row>
    <row r="808" spans="2:14" x14ac:dyDescent="0.25">
      <c r="B808" t="s">
        <v>0</v>
      </c>
      <c r="C808" t="s">
        <v>853</v>
      </c>
      <c r="D808" t="s">
        <v>738</v>
      </c>
      <c r="E808" t="s">
        <v>3</v>
      </c>
      <c r="F808" t="s">
        <v>4</v>
      </c>
      <c r="G808" s="2" t="str">
        <f t="shared" si="12"/>
        <v>TW_64_NA2/TAILWATER</v>
      </c>
      <c r="H808" t="s">
        <v>305</v>
      </c>
      <c r="I808" t="s">
        <v>306</v>
      </c>
      <c r="L808" t="s">
        <v>8</v>
      </c>
      <c r="N808" t="s">
        <v>9</v>
      </c>
    </row>
    <row r="809" spans="2:14" x14ac:dyDescent="0.25">
      <c r="B809" t="s">
        <v>0</v>
      </c>
      <c r="C809" t="s">
        <v>854</v>
      </c>
      <c r="D809" t="s">
        <v>738</v>
      </c>
      <c r="E809" t="s">
        <v>3</v>
      </c>
      <c r="F809" t="s">
        <v>4</v>
      </c>
      <c r="G809" s="2" t="str">
        <f t="shared" si="12"/>
        <v>TW_64_PA1/TAILWATER</v>
      </c>
      <c r="H809" t="s">
        <v>305</v>
      </c>
      <c r="I809" t="s">
        <v>306</v>
      </c>
      <c r="L809" t="s">
        <v>8</v>
      </c>
      <c r="N809" t="s">
        <v>9</v>
      </c>
    </row>
    <row r="810" spans="2:14" x14ac:dyDescent="0.25">
      <c r="B810" t="s">
        <v>0</v>
      </c>
      <c r="C810" t="s">
        <v>855</v>
      </c>
      <c r="D810" t="s">
        <v>738</v>
      </c>
      <c r="E810" t="s">
        <v>3</v>
      </c>
      <c r="F810" t="s">
        <v>4</v>
      </c>
      <c r="G810" s="2" t="str">
        <f t="shared" si="12"/>
        <v>TW_64_PA2/TAILWATER</v>
      </c>
      <c r="H810" t="s">
        <v>305</v>
      </c>
      <c r="I810" t="s">
        <v>306</v>
      </c>
      <c r="L810" t="s">
        <v>8</v>
      </c>
      <c r="N810" t="s">
        <v>9</v>
      </c>
    </row>
    <row r="811" spans="2:14" x14ac:dyDescent="0.25">
      <c r="B811" t="s">
        <v>0</v>
      </c>
      <c r="C811" t="s">
        <v>856</v>
      </c>
      <c r="D811" t="s">
        <v>738</v>
      </c>
      <c r="E811" t="s">
        <v>3</v>
      </c>
      <c r="F811" t="s">
        <v>4</v>
      </c>
      <c r="G811" s="2" t="str">
        <f t="shared" si="12"/>
        <v>TW_64_PA3/TAILWATER</v>
      </c>
      <c r="H811" t="s">
        <v>305</v>
      </c>
      <c r="I811" t="s">
        <v>306</v>
      </c>
      <c r="L811" t="s">
        <v>8</v>
      </c>
      <c r="N811" t="s">
        <v>9</v>
      </c>
    </row>
    <row r="812" spans="2:14" x14ac:dyDescent="0.25">
      <c r="B812" t="s">
        <v>0</v>
      </c>
      <c r="C812" t="s">
        <v>857</v>
      </c>
      <c r="D812" t="s">
        <v>738</v>
      </c>
      <c r="E812" t="s">
        <v>3</v>
      </c>
      <c r="F812" t="s">
        <v>4</v>
      </c>
      <c r="G812" s="2" t="str">
        <f t="shared" si="12"/>
        <v>TW_64_XA/TAILWATER</v>
      </c>
      <c r="H812" t="s">
        <v>305</v>
      </c>
      <c r="I812" t="s">
        <v>306</v>
      </c>
      <c r="L812" t="s">
        <v>8</v>
      </c>
      <c r="N812" t="s">
        <v>9</v>
      </c>
    </row>
    <row r="813" spans="2:14" x14ac:dyDescent="0.25">
      <c r="B813" t="s">
        <v>0</v>
      </c>
      <c r="C813" t="s">
        <v>858</v>
      </c>
      <c r="D813" t="s">
        <v>738</v>
      </c>
      <c r="E813" t="s">
        <v>3</v>
      </c>
      <c r="F813" t="s">
        <v>4</v>
      </c>
      <c r="G813" s="2" t="str">
        <f t="shared" si="12"/>
        <v>TW_71_NA1/TAILWATER</v>
      </c>
      <c r="H813" t="s">
        <v>305</v>
      </c>
      <c r="I813" t="s">
        <v>306</v>
      </c>
      <c r="L813" t="s">
        <v>8</v>
      </c>
      <c r="N813" t="s">
        <v>9</v>
      </c>
    </row>
    <row r="814" spans="2:14" x14ac:dyDescent="0.25">
      <c r="B814" t="s">
        <v>0</v>
      </c>
      <c r="C814" t="s">
        <v>859</v>
      </c>
      <c r="D814" t="s">
        <v>738</v>
      </c>
      <c r="E814" t="s">
        <v>3</v>
      </c>
      <c r="F814" t="s">
        <v>4</v>
      </c>
      <c r="G814" s="2" t="str">
        <f t="shared" si="12"/>
        <v>TW_71_NA2/TAILWATER</v>
      </c>
      <c r="H814" t="s">
        <v>305</v>
      </c>
      <c r="I814" t="s">
        <v>306</v>
      </c>
      <c r="L814" t="s">
        <v>8</v>
      </c>
      <c r="N814" t="s">
        <v>9</v>
      </c>
    </row>
    <row r="815" spans="2:14" x14ac:dyDescent="0.25">
      <c r="B815" t="s">
        <v>0</v>
      </c>
      <c r="C815" t="s">
        <v>860</v>
      </c>
      <c r="D815" t="s">
        <v>738</v>
      </c>
      <c r="E815" t="s">
        <v>3</v>
      </c>
      <c r="F815" t="s">
        <v>4</v>
      </c>
      <c r="G815" s="2" t="str">
        <f t="shared" si="12"/>
        <v>TW_71_NA3/TAILWATER</v>
      </c>
      <c r="H815" t="s">
        <v>305</v>
      </c>
      <c r="I815" t="s">
        <v>306</v>
      </c>
      <c r="L815" t="s">
        <v>8</v>
      </c>
      <c r="N815" t="s">
        <v>9</v>
      </c>
    </row>
    <row r="816" spans="2:14" x14ac:dyDescent="0.25">
      <c r="B816" t="s">
        <v>0</v>
      </c>
      <c r="C816" t="s">
        <v>861</v>
      </c>
      <c r="D816" t="s">
        <v>738</v>
      </c>
      <c r="E816" t="s">
        <v>3</v>
      </c>
      <c r="F816" t="s">
        <v>4</v>
      </c>
      <c r="G816" s="2" t="str">
        <f t="shared" si="12"/>
        <v>TW_71_PA1/TAILWATER</v>
      </c>
      <c r="H816" t="s">
        <v>305</v>
      </c>
      <c r="I816" t="s">
        <v>306</v>
      </c>
      <c r="L816" t="s">
        <v>8</v>
      </c>
      <c r="N816" t="s">
        <v>9</v>
      </c>
    </row>
    <row r="817" spans="2:14" x14ac:dyDescent="0.25">
      <c r="B817" t="s">
        <v>0</v>
      </c>
      <c r="C817" t="s">
        <v>862</v>
      </c>
      <c r="D817" t="s">
        <v>738</v>
      </c>
      <c r="E817" t="s">
        <v>3</v>
      </c>
      <c r="F817" t="s">
        <v>4</v>
      </c>
      <c r="G817" s="2" t="str">
        <f t="shared" si="12"/>
        <v>TW_71_PA2/TAILWATER</v>
      </c>
      <c r="H817" t="s">
        <v>305</v>
      </c>
      <c r="I817" t="s">
        <v>306</v>
      </c>
      <c r="L817" t="s">
        <v>8</v>
      </c>
      <c r="N817" t="s">
        <v>9</v>
      </c>
    </row>
    <row r="818" spans="2:14" x14ac:dyDescent="0.25">
      <c r="B818" t="s">
        <v>0</v>
      </c>
      <c r="C818" t="s">
        <v>863</v>
      </c>
      <c r="D818" t="s">
        <v>738</v>
      </c>
      <c r="E818" t="s">
        <v>3</v>
      </c>
      <c r="F818" t="s">
        <v>4</v>
      </c>
      <c r="G818" s="2" t="str">
        <f t="shared" si="12"/>
        <v>TW_71_PA3/TAILWATER</v>
      </c>
      <c r="H818" t="s">
        <v>305</v>
      </c>
      <c r="I818" t="s">
        <v>306</v>
      </c>
      <c r="L818" t="s">
        <v>8</v>
      </c>
      <c r="N818" t="s">
        <v>9</v>
      </c>
    </row>
    <row r="819" spans="2:14" x14ac:dyDescent="0.25">
      <c r="B819" t="s">
        <v>0</v>
      </c>
      <c r="C819" t="s">
        <v>864</v>
      </c>
      <c r="D819" t="s">
        <v>738</v>
      </c>
      <c r="E819" t="s">
        <v>3</v>
      </c>
      <c r="F819" t="s">
        <v>4</v>
      </c>
      <c r="G819" s="2" t="str">
        <f t="shared" si="12"/>
        <v>TW_71_PA4/TAILWATER</v>
      </c>
      <c r="H819" t="s">
        <v>305</v>
      </c>
      <c r="I819" t="s">
        <v>306</v>
      </c>
      <c r="L819" t="s">
        <v>8</v>
      </c>
      <c r="N819" t="s">
        <v>9</v>
      </c>
    </row>
    <row r="820" spans="2:14" x14ac:dyDescent="0.25">
      <c r="B820" t="s">
        <v>0</v>
      </c>
      <c r="C820" t="s">
        <v>865</v>
      </c>
      <c r="D820" t="s">
        <v>738</v>
      </c>
      <c r="E820" t="s">
        <v>3</v>
      </c>
      <c r="F820" t="s">
        <v>4</v>
      </c>
      <c r="G820" s="2" t="str">
        <f t="shared" si="12"/>
        <v>TW_71_PA5/TAILWATER</v>
      </c>
      <c r="H820" t="s">
        <v>305</v>
      </c>
      <c r="I820" t="s">
        <v>306</v>
      </c>
      <c r="L820" t="s">
        <v>8</v>
      </c>
      <c r="N820" t="s">
        <v>9</v>
      </c>
    </row>
    <row r="821" spans="2:14" x14ac:dyDescent="0.25">
      <c r="B821" t="s">
        <v>0</v>
      </c>
      <c r="C821" t="s">
        <v>866</v>
      </c>
      <c r="D821" t="s">
        <v>738</v>
      </c>
      <c r="E821" t="s">
        <v>3</v>
      </c>
      <c r="F821" t="s">
        <v>4</v>
      </c>
      <c r="G821" s="2" t="str">
        <f t="shared" si="12"/>
        <v>TW_71_PA6/TAILWATER</v>
      </c>
      <c r="H821" t="s">
        <v>305</v>
      </c>
      <c r="I821" t="s">
        <v>306</v>
      </c>
      <c r="L821" t="s">
        <v>8</v>
      </c>
      <c r="N821" t="s">
        <v>9</v>
      </c>
    </row>
    <row r="822" spans="2:14" x14ac:dyDescent="0.25">
      <c r="B822" t="s">
        <v>0</v>
      </c>
      <c r="C822" t="s">
        <v>867</v>
      </c>
      <c r="D822" t="s">
        <v>738</v>
      </c>
      <c r="E822" t="s">
        <v>3</v>
      </c>
      <c r="F822" t="s">
        <v>4</v>
      </c>
      <c r="G822" s="2" t="str">
        <f t="shared" si="12"/>
        <v>TW_71_PA7/TAILWATER</v>
      </c>
      <c r="H822" t="s">
        <v>305</v>
      </c>
      <c r="I822" t="s">
        <v>306</v>
      </c>
      <c r="L822" t="s">
        <v>8</v>
      </c>
      <c r="N822" t="s">
        <v>9</v>
      </c>
    </row>
    <row r="823" spans="2:14" x14ac:dyDescent="0.25">
      <c r="B823" t="s">
        <v>0</v>
      </c>
      <c r="C823" t="s">
        <v>868</v>
      </c>
      <c r="D823" t="s">
        <v>738</v>
      </c>
      <c r="E823" t="s">
        <v>3</v>
      </c>
      <c r="F823" t="s">
        <v>4</v>
      </c>
      <c r="G823" s="2" t="str">
        <f t="shared" si="12"/>
        <v>TW_71_PA8/TAILWATER</v>
      </c>
      <c r="H823" t="s">
        <v>305</v>
      </c>
      <c r="I823" t="s">
        <v>306</v>
      </c>
      <c r="L823" t="s">
        <v>8</v>
      </c>
      <c r="N823" t="s">
        <v>9</v>
      </c>
    </row>
    <row r="824" spans="2:14" x14ac:dyDescent="0.25">
      <c r="B824" t="s">
        <v>0</v>
      </c>
      <c r="C824" t="s">
        <v>869</v>
      </c>
      <c r="D824" t="s">
        <v>738</v>
      </c>
      <c r="E824" t="s">
        <v>3</v>
      </c>
      <c r="F824" t="s">
        <v>4</v>
      </c>
      <c r="G824" s="2" t="str">
        <f t="shared" si="12"/>
        <v>TW_72_NA1/TAILWATER</v>
      </c>
      <c r="H824" t="s">
        <v>305</v>
      </c>
      <c r="I824" t="s">
        <v>306</v>
      </c>
      <c r="L824" t="s">
        <v>8</v>
      </c>
      <c r="N824" t="s">
        <v>9</v>
      </c>
    </row>
    <row r="825" spans="2:14" x14ac:dyDescent="0.25">
      <c r="B825" t="s">
        <v>0</v>
      </c>
      <c r="C825" t="s">
        <v>870</v>
      </c>
      <c r="D825" t="s">
        <v>738</v>
      </c>
      <c r="E825" t="s">
        <v>3</v>
      </c>
      <c r="F825" t="s">
        <v>4</v>
      </c>
      <c r="G825" s="2" t="str">
        <f t="shared" si="12"/>
        <v>TW_72_NA2/TAILWATER</v>
      </c>
      <c r="H825" t="s">
        <v>305</v>
      </c>
      <c r="I825" t="s">
        <v>306</v>
      </c>
      <c r="L825" t="s">
        <v>8</v>
      </c>
      <c r="N825" t="s">
        <v>9</v>
      </c>
    </row>
    <row r="826" spans="2:14" x14ac:dyDescent="0.25">
      <c r="B826" t="s">
        <v>0</v>
      </c>
      <c r="C826" t="s">
        <v>871</v>
      </c>
      <c r="D826" t="s">
        <v>738</v>
      </c>
      <c r="E826" t="s">
        <v>3</v>
      </c>
      <c r="F826" t="s">
        <v>4</v>
      </c>
      <c r="G826" s="2" t="str">
        <f t="shared" si="12"/>
        <v>TW_72_PA/TAILWATER</v>
      </c>
      <c r="H826" t="s">
        <v>305</v>
      </c>
      <c r="I826" t="s">
        <v>306</v>
      </c>
      <c r="L826" t="s">
        <v>8</v>
      </c>
      <c r="N826" t="s">
        <v>9</v>
      </c>
    </row>
    <row r="827" spans="2:14" x14ac:dyDescent="0.25">
      <c r="B827" t="s">
        <v>0</v>
      </c>
      <c r="C827" t="s">
        <v>872</v>
      </c>
      <c r="D827" t="s">
        <v>738</v>
      </c>
      <c r="E827" t="s">
        <v>3</v>
      </c>
      <c r="F827" t="s">
        <v>4</v>
      </c>
      <c r="G827" s="2" t="str">
        <f t="shared" si="12"/>
        <v>TW_72_PR1/TAILWATER</v>
      </c>
      <c r="H827" t="s">
        <v>305</v>
      </c>
      <c r="I827" t="s">
        <v>306</v>
      </c>
      <c r="L827" t="s">
        <v>8</v>
      </c>
      <c r="N827" t="s">
        <v>9</v>
      </c>
    </row>
    <row r="828" spans="2:14" x14ac:dyDescent="0.25">
      <c r="B828" t="s">
        <v>0</v>
      </c>
      <c r="C828" t="s">
        <v>873</v>
      </c>
      <c r="D828" t="s">
        <v>738</v>
      </c>
      <c r="E828" t="s">
        <v>3</v>
      </c>
      <c r="F828" t="s">
        <v>4</v>
      </c>
      <c r="G828" s="2" t="str">
        <f t="shared" si="12"/>
        <v>TW_72_PR2/TAILWATER</v>
      </c>
      <c r="H828" t="s">
        <v>305</v>
      </c>
      <c r="I828" t="s">
        <v>306</v>
      </c>
      <c r="L828" t="s">
        <v>8</v>
      </c>
      <c r="N828" t="s">
        <v>9</v>
      </c>
    </row>
    <row r="829" spans="2:14" x14ac:dyDescent="0.25">
      <c r="B829" t="s">
        <v>0</v>
      </c>
      <c r="C829" t="s">
        <v>874</v>
      </c>
      <c r="D829" t="s">
        <v>738</v>
      </c>
      <c r="E829" t="s">
        <v>3</v>
      </c>
      <c r="F829" t="s">
        <v>4</v>
      </c>
      <c r="G829" s="2" t="str">
        <f t="shared" si="12"/>
        <v>TW_72_PR3/TAILWATER</v>
      </c>
      <c r="H829" t="s">
        <v>305</v>
      </c>
      <c r="I829" t="s">
        <v>306</v>
      </c>
      <c r="L829" t="s">
        <v>8</v>
      </c>
      <c r="N829" t="s">
        <v>9</v>
      </c>
    </row>
    <row r="830" spans="2:14" x14ac:dyDescent="0.25">
      <c r="B830" t="s">
        <v>0</v>
      </c>
      <c r="C830" t="s">
        <v>875</v>
      </c>
      <c r="D830" t="s">
        <v>738</v>
      </c>
      <c r="E830" t="s">
        <v>3</v>
      </c>
      <c r="F830" t="s">
        <v>4</v>
      </c>
      <c r="G830" s="2" t="str">
        <f t="shared" si="12"/>
        <v>TW_72_PR4/TAILWATER</v>
      </c>
      <c r="H830" t="s">
        <v>305</v>
      </c>
      <c r="I830" t="s">
        <v>306</v>
      </c>
      <c r="L830" t="s">
        <v>8</v>
      </c>
      <c r="N830" t="s">
        <v>9</v>
      </c>
    </row>
    <row r="831" spans="2:14" x14ac:dyDescent="0.25">
      <c r="B831" t="s">
        <v>0</v>
      </c>
      <c r="C831" t="s">
        <v>876</v>
      </c>
      <c r="D831" t="s">
        <v>738</v>
      </c>
      <c r="E831" t="s">
        <v>3</v>
      </c>
      <c r="F831" t="s">
        <v>4</v>
      </c>
      <c r="G831" s="2" t="str">
        <f t="shared" si="12"/>
        <v>TW_72_PR5/TAILWATER</v>
      </c>
      <c r="H831" t="s">
        <v>305</v>
      </c>
      <c r="I831" t="s">
        <v>306</v>
      </c>
      <c r="L831" t="s">
        <v>8</v>
      </c>
      <c r="N831" t="s">
        <v>9</v>
      </c>
    </row>
    <row r="832" spans="2:14" x14ac:dyDescent="0.25">
      <c r="B832" t="s">
        <v>0</v>
      </c>
      <c r="C832" t="s">
        <v>877</v>
      </c>
      <c r="D832" t="s">
        <v>738</v>
      </c>
      <c r="E832" t="s">
        <v>3</v>
      </c>
      <c r="F832" t="s">
        <v>4</v>
      </c>
      <c r="G832" s="2" t="str">
        <f t="shared" si="12"/>
        <v>TW_72_PR6/TAILWATER</v>
      </c>
      <c r="H832" t="s">
        <v>305</v>
      </c>
      <c r="I832" t="s">
        <v>306</v>
      </c>
      <c r="L832" t="s">
        <v>8</v>
      </c>
      <c r="N832" t="s">
        <v>9</v>
      </c>
    </row>
    <row r="833" spans="2:14" x14ac:dyDescent="0.25">
      <c r="B833" t="s">
        <v>0</v>
      </c>
      <c r="C833" t="s">
        <v>878</v>
      </c>
      <c r="D833" t="s">
        <v>738</v>
      </c>
      <c r="E833" t="s">
        <v>3</v>
      </c>
      <c r="F833" t="s">
        <v>4</v>
      </c>
      <c r="G833" s="2" t="str">
        <f t="shared" si="12"/>
        <v>TW_72_XA1/TAILWATER</v>
      </c>
      <c r="H833" t="s">
        <v>305</v>
      </c>
      <c r="I833" t="s">
        <v>306</v>
      </c>
      <c r="L833" t="s">
        <v>8</v>
      </c>
      <c r="N833" t="s">
        <v>9</v>
      </c>
    </row>
    <row r="834" spans="2:14" x14ac:dyDescent="0.25">
      <c r="B834" t="s">
        <v>0</v>
      </c>
      <c r="C834" t="s">
        <v>879</v>
      </c>
      <c r="D834" t="s">
        <v>738</v>
      </c>
      <c r="E834" t="s">
        <v>3</v>
      </c>
      <c r="F834" t="s">
        <v>4</v>
      </c>
      <c r="G834" s="2" t="str">
        <f t="shared" si="12"/>
        <v>TW_72_XA2/TAILWATER</v>
      </c>
      <c r="H834" t="s">
        <v>305</v>
      </c>
      <c r="I834" t="s">
        <v>306</v>
      </c>
      <c r="L834" t="s">
        <v>8</v>
      </c>
      <c r="N834" t="s">
        <v>9</v>
      </c>
    </row>
    <row r="835" spans="2:14" x14ac:dyDescent="0.25">
      <c r="B835" t="s">
        <v>0</v>
      </c>
      <c r="C835" t="s">
        <v>880</v>
      </c>
      <c r="D835" t="s">
        <v>738</v>
      </c>
      <c r="E835" t="s">
        <v>3</v>
      </c>
      <c r="F835" t="s">
        <v>4</v>
      </c>
      <c r="G835" s="2" t="str">
        <f t="shared" ref="G835:G898" si="13">_xlfn.CONCAT(C835,"/",D835)</f>
        <v>TW_72_XA3/TAILWATER</v>
      </c>
      <c r="H835" t="s">
        <v>305</v>
      </c>
      <c r="I835" t="s">
        <v>306</v>
      </c>
      <c r="L835" t="s">
        <v>8</v>
      </c>
      <c r="N835" t="s">
        <v>9</v>
      </c>
    </row>
    <row r="836" spans="2:14" x14ac:dyDescent="0.25">
      <c r="B836" t="s">
        <v>0</v>
      </c>
      <c r="C836" t="s">
        <v>881</v>
      </c>
      <c r="D836" t="s">
        <v>738</v>
      </c>
      <c r="E836" t="s">
        <v>3</v>
      </c>
      <c r="F836" t="s">
        <v>4</v>
      </c>
      <c r="G836" s="2" t="str">
        <f t="shared" si="13"/>
        <v>TW_73_NA/TAILWATER</v>
      </c>
      <c r="H836" t="s">
        <v>305</v>
      </c>
      <c r="I836" t="s">
        <v>306</v>
      </c>
      <c r="L836" t="s">
        <v>8</v>
      </c>
      <c r="N836" t="s">
        <v>9</v>
      </c>
    </row>
    <row r="837" spans="2:14" x14ac:dyDescent="0.25">
      <c r="B837" t="s">
        <v>0</v>
      </c>
      <c r="C837" t="s">
        <v>882</v>
      </c>
      <c r="D837" t="s">
        <v>738</v>
      </c>
      <c r="E837" t="s">
        <v>3</v>
      </c>
      <c r="F837" t="s">
        <v>4</v>
      </c>
      <c r="G837" s="2" t="str">
        <f t="shared" si="13"/>
        <v>TW_73_PA1/TAILWATER</v>
      </c>
      <c r="H837" t="s">
        <v>305</v>
      </c>
      <c r="I837" t="s">
        <v>306</v>
      </c>
      <c r="L837" t="s">
        <v>8</v>
      </c>
      <c r="N837" t="s">
        <v>9</v>
      </c>
    </row>
    <row r="838" spans="2:14" x14ac:dyDescent="0.25">
      <c r="B838" t="s">
        <v>0</v>
      </c>
      <c r="C838" t="s">
        <v>883</v>
      </c>
      <c r="D838" t="s">
        <v>738</v>
      </c>
      <c r="E838" t="s">
        <v>3</v>
      </c>
      <c r="F838" t="s">
        <v>4</v>
      </c>
      <c r="G838" s="2" t="str">
        <f t="shared" si="13"/>
        <v>TW_73_PA2/TAILWATER</v>
      </c>
      <c r="H838" t="s">
        <v>305</v>
      </c>
      <c r="I838" t="s">
        <v>306</v>
      </c>
      <c r="L838" t="s">
        <v>8</v>
      </c>
      <c r="N838" t="s">
        <v>9</v>
      </c>
    </row>
    <row r="839" spans="2:14" x14ac:dyDescent="0.25">
      <c r="B839" t="s">
        <v>0</v>
      </c>
      <c r="C839" t="s">
        <v>884</v>
      </c>
      <c r="D839" t="s">
        <v>738</v>
      </c>
      <c r="E839" t="s">
        <v>3</v>
      </c>
      <c r="F839" t="s">
        <v>4</v>
      </c>
      <c r="G839" s="2" t="str">
        <f t="shared" si="13"/>
        <v>TW_73_PA3/TAILWATER</v>
      </c>
      <c r="H839" t="s">
        <v>305</v>
      </c>
      <c r="I839" t="s">
        <v>306</v>
      </c>
      <c r="L839" t="s">
        <v>8</v>
      </c>
      <c r="N839" t="s">
        <v>9</v>
      </c>
    </row>
    <row r="840" spans="2:14" x14ac:dyDescent="0.25">
      <c r="B840" t="s">
        <v>0</v>
      </c>
      <c r="C840" t="s">
        <v>885</v>
      </c>
      <c r="D840" t="s">
        <v>738</v>
      </c>
      <c r="E840" t="s">
        <v>3</v>
      </c>
      <c r="F840" t="s">
        <v>4</v>
      </c>
      <c r="G840" s="2" t="str">
        <f t="shared" si="13"/>
        <v>TW_73_XA/TAILWATER</v>
      </c>
      <c r="H840" t="s">
        <v>305</v>
      </c>
      <c r="I840" t="s">
        <v>306</v>
      </c>
      <c r="L840" t="s">
        <v>8</v>
      </c>
      <c r="N840" t="s">
        <v>9</v>
      </c>
    </row>
    <row r="841" spans="2:14" x14ac:dyDescent="0.25">
      <c r="B841" t="s">
        <v>0</v>
      </c>
      <c r="C841" t="s">
        <v>886</v>
      </c>
      <c r="D841" t="s">
        <v>738</v>
      </c>
      <c r="E841" t="s">
        <v>3</v>
      </c>
      <c r="F841" t="s">
        <v>4</v>
      </c>
      <c r="G841" s="2" t="str">
        <f t="shared" si="13"/>
        <v>TW_90_NA/TAILWATER</v>
      </c>
      <c r="H841" t="s">
        <v>305</v>
      </c>
      <c r="I841" t="s">
        <v>306</v>
      </c>
      <c r="L841" t="s">
        <v>8</v>
      </c>
      <c r="N841" t="s">
        <v>9</v>
      </c>
    </row>
    <row r="842" spans="2:14" x14ac:dyDescent="0.25">
      <c r="B842" t="s">
        <v>0</v>
      </c>
      <c r="C842" t="s">
        <v>887</v>
      </c>
      <c r="D842" t="s">
        <v>738</v>
      </c>
      <c r="E842" t="s">
        <v>3</v>
      </c>
      <c r="F842" t="s">
        <v>4</v>
      </c>
      <c r="G842" s="2" t="str">
        <f t="shared" si="13"/>
        <v>TW_90_PA1/TAILWATER</v>
      </c>
      <c r="H842" t="s">
        <v>305</v>
      </c>
      <c r="I842" t="s">
        <v>306</v>
      </c>
      <c r="L842" t="s">
        <v>8</v>
      </c>
      <c r="N842" t="s">
        <v>9</v>
      </c>
    </row>
    <row r="843" spans="2:14" x14ac:dyDescent="0.25">
      <c r="B843" t="s">
        <v>0</v>
      </c>
      <c r="C843" t="s">
        <v>888</v>
      </c>
      <c r="D843" t="s">
        <v>738</v>
      </c>
      <c r="E843" t="s">
        <v>3</v>
      </c>
      <c r="F843" t="s">
        <v>4</v>
      </c>
      <c r="G843" s="2" t="str">
        <f t="shared" si="13"/>
        <v>TW_90_PA2/TAILWATER</v>
      </c>
      <c r="H843" t="s">
        <v>305</v>
      </c>
      <c r="I843" t="s">
        <v>306</v>
      </c>
      <c r="L843" t="s">
        <v>8</v>
      </c>
      <c r="N843" t="s">
        <v>9</v>
      </c>
    </row>
    <row r="844" spans="2:14" x14ac:dyDescent="0.25">
      <c r="B844" t="s">
        <v>0</v>
      </c>
      <c r="C844" t="s">
        <v>889</v>
      </c>
      <c r="D844" t="s">
        <v>738</v>
      </c>
      <c r="E844" t="s">
        <v>3</v>
      </c>
      <c r="F844" t="s">
        <v>4</v>
      </c>
      <c r="G844" s="2" t="str">
        <f t="shared" si="13"/>
        <v>TW_91_PA/TAILWATER</v>
      </c>
      <c r="H844" t="s">
        <v>305</v>
      </c>
      <c r="I844" t="s">
        <v>306</v>
      </c>
      <c r="L844" t="s">
        <v>8</v>
      </c>
      <c r="N844" t="s">
        <v>9</v>
      </c>
    </row>
    <row r="845" spans="2:14" x14ac:dyDescent="0.25">
      <c r="B845" t="s">
        <v>0</v>
      </c>
      <c r="C845" t="s">
        <v>890</v>
      </c>
      <c r="D845" t="s">
        <v>738</v>
      </c>
      <c r="E845" t="s">
        <v>3</v>
      </c>
      <c r="F845" t="s">
        <v>4</v>
      </c>
      <c r="G845" s="2" t="str">
        <f t="shared" si="13"/>
        <v>TW_91_PR/TAILWATER</v>
      </c>
      <c r="H845" t="s">
        <v>305</v>
      </c>
      <c r="I845" t="s">
        <v>306</v>
      </c>
      <c r="L845" t="s">
        <v>8</v>
      </c>
      <c r="N845" t="s">
        <v>9</v>
      </c>
    </row>
    <row r="846" spans="2:14" x14ac:dyDescent="0.25">
      <c r="B846" t="s">
        <v>0</v>
      </c>
      <c r="C846" t="s">
        <v>891</v>
      </c>
      <c r="D846" t="s">
        <v>892</v>
      </c>
      <c r="E846" t="s">
        <v>3</v>
      </c>
      <c r="F846" t="s">
        <v>4</v>
      </c>
      <c r="G846" s="2" t="str">
        <f t="shared" si="13"/>
        <v>UD_02_NU/URBAN-DEMAND</v>
      </c>
      <c r="H846" t="s">
        <v>305</v>
      </c>
      <c r="I846" t="s">
        <v>306</v>
      </c>
      <c r="L846" t="s">
        <v>8</v>
      </c>
      <c r="N846" t="s">
        <v>9</v>
      </c>
    </row>
    <row r="847" spans="2:14" x14ac:dyDescent="0.25">
      <c r="B847" t="s">
        <v>0</v>
      </c>
      <c r="C847" t="s">
        <v>893</v>
      </c>
      <c r="D847" t="s">
        <v>892</v>
      </c>
      <c r="E847" t="s">
        <v>3</v>
      </c>
      <c r="F847" t="s">
        <v>4</v>
      </c>
      <c r="G847" s="2" t="str">
        <f t="shared" si="13"/>
        <v>UD_02_PU/URBAN-DEMAND</v>
      </c>
      <c r="H847" t="s">
        <v>305</v>
      </c>
      <c r="I847" t="s">
        <v>306</v>
      </c>
      <c r="L847" t="s">
        <v>8</v>
      </c>
      <c r="N847" t="s">
        <v>9</v>
      </c>
    </row>
    <row r="848" spans="2:14" x14ac:dyDescent="0.25">
      <c r="B848" t="s">
        <v>0</v>
      </c>
      <c r="C848" t="s">
        <v>894</v>
      </c>
      <c r="D848" t="s">
        <v>892</v>
      </c>
      <c r="E848" t="s">
        <v>3</v>
      </c>
      <c r="F848" t="s">
        <v>4</v>
      </c>
      <c r="G848" s="2" t="str">
        <f t="shared" si="13"/>
        <v>UD_02_SU/URBAN-DEMAND</v>
      </c>
      <c r="H848" t="s">
        <v>305</v>
      </c>
      <c r="I848" t="s">
        <v>306</v>
      </c>
      <c r="L848" t="s">
        <v>8</v>
      </c>
      <c r="N848" t="s">
        <v>9</v>
      </c>
    </row>
    <row r="849" spans="2:14" x14ac:dyDescent="0.25">
      <c r="B849" t="s">
        <v>0</v>
      </c>
      <c r="C849" t="s">
        <v>895</v>
      </c>
      <c r="D849" t="s">
        <v>892</v>
      </c>
      <c r="E849" t="s">
        <v>3</v>
      </c>
      <c r="F849" t="s">
        <v>4</v>
      </c>
      <c r="G849" s="2" t="str">
        <f t="shared" si="13"/>
        <v>UD_03_NU/URBAN-DEMAND</v>
      </c>
      <c r="H849" t="s">
        <v>305</v>
      </c>
      <c r="I849" t="s">
        <v>306</v>
      </c>
      <c r="L849" t="s">
        <v>8</v>
      </c>
      <c r="N849" t="s">
        <v>9</v>
      </c>
    </row>
    <row r="850" spans="2:14" x14ac:dyDescent="0.25">
      <c r="B850" t="s">
        <v>0</v>
      </c>
      <c r="C850" t="s">
        <v>896</v>
      </c>
      <c r="D850" t="s">
        <v>892</v>
      </c>
      <c r="E850" t="s">
        <v>3</v>
      </c>
      <c r="F850" t="s">
        <v>4</v>
      </c>
      <c r="G850" s="2" t="str">
        <f t="shared" si="13"/>
        <v>UD_03_PU1/URBAN-DEMAND</v>
      </c>
      <c r="H850" t="s">
        <v>305</v>
      </c>
      <c r="I850" t="s">
        <v>306</v>
      </c>
      <c r="L850" t="s">
        <v>8</v>
      </c>
      <c r="N850" t="s">
        <v>9</v>
      </c>
    </row>
    <row r="851" spans="2:14" x14ac:dyDescent="0.25">
      <c r="B851" t="s">
        <v>0</v>
      </c>
      <c r="C851" t="s">
        <v>897</v>
      </c>
      <c r="D851" t="s">
        <v>892</v>
      </c>
      <c r="E851" t="s">
        <v>3</v>
      </c>
      <c r="F851" t="s">
        <v>4</v>
      </c>
      <c r="G851" s="2" t="str">
        <f t="shared" si="13"/>
        <v>UD_03_PU2/URBAN-DEMAND</v>
      </c>
      <c r="H851" t="s">
        <v>305</v>
      </c>
      <c r="I851" t="s">
        <v>306</v>
      </c>
      <c r="L851" t="s">
        <v>8</v>
      </c>
      <c r="N851" t="s">
        <v>9</v>
      </c>
    </row>
    <row r="852" spans="2:14" x14ac:dyDescent="0.25">
      <c r="B852" t="s">
        <v>0</v>
      </c>
      <c r="C852" t="s">
        <v>898</v>
      </c>
      <c r="D852" t="s">
        <v>892</v>
      </c>
      <c r="E852" t="s">
        <v>3</v>
      </c>
      <c r="F852" t="s">
        <v>4</v>
      </c>
      <c r="G852" s="2" t="str">
        <f t="shared" si="13"/>
        <v>UD_03_SU/URBAN-DEMAND</v>
      </c>
      <c r="H852" t="s">
        <v>305</v>
      </c>
      <c r="I852" t="s">
        <v>306</v>
      </c>
      <c r="L852" t="s">
        <v>8</v>
      </c>
      <c r="N852" t="s">
        <v>9</v>
      </c>
    </row>
    <row r="853" spans="2:14" x14ac:dyDescent="0.25">
      <c r="B853" t="s">
        <v>0</v>
      </c>
      <c r="C853" t="s">
        <v>899</v>
      </c>
      <c r="D853" t="s">
        <v>892</v>
      </c>
      <c r="E853" t="s">
        <v>3</v>
      </c>
      <c r="F853" t="s">
        <v>4</v>
      </c>
      <c r="G853" s="2" t="str">
        <f t="shared" si="13"/>
        <v>UD_04_NU1/URBAN-DEMAND</v>
      </c>
      <c r="H853" t="s">
        <v>305</v>
      </c>
      <c r="I853" t="s">
        <v>306</v>
      </c>
      <c r="L853" t="s">
        <v>8</v>
      </c>
      <c r="N853" t="s">
        <v>9</v>
      </c>
    </row>
    <row r="854" spans="2:14" x14ac:dyDescent="0.25">
      <c r="B854" t="s">
        <v>0</v>
      </c>
      <c r="C854" t="s">
        <v>900</v>
      </c>
      <c r="D854" t="s">
        <v>892</v>
      </c>
      <c r="E854" t="s">
        <v>3</v>
      </c>
      <c r="F854" t="s">
        <v>4</v>
      </c>
      <c r="G854" s="2" t="str">
        <f t="shared" si="13"/>
        <v>UD_04_NU2/URBAN-DEMAND</v>
      </c>
      <c r="H854" t="s">
        <v>305</v>
      </c>
      <c r="I854" t="s">
        <v>306</v>
      </c>
      <c r="L854" t="s">
        <v>8</v>
      </c>
      <c r="N854" t="s">
        <v>9</v>
      </c>
    </row>
    <row r="855" spans="2:14" x14ac:dyDescent="0.25">
      <c r="B855" t="s">
        <v>0</v>
      </c>
      <c r="C855" t="s">
        <v>901</v>
      </c>
      <c r="D855" t="s">
        <v>892</v>
      </c>
      <c r="E855" t="s">
        <v>3</v>
      </c>
      <c r="F855" t="s">
        <v>4</v>
      </c>
      <c r="G855" s="2" t="str">
        <f t="shared" si="13"/>
        <v>UD_05_NU/URBAN-DEMAND</v>
      </c>
      <c r="H855" t="s">
        <v>305</v>
      </c>
      <c r="I855" t="s">
        <v>306</v>
      </c>
      <c r="L855" t="s">
        <v>8</v>
      </c>
      <c r="N855" t="s">
        <v>9</v>
      </c>
    </row>
    <row r="856" spans="2:14" x14ac:dyDescent="0.25">
      <c r="B856" t="s">
        <v>0</v>
      </c>
      <c r="C856" t="s">
        <v>902</v>
      </c>
      <c r="D856" t="s">
        <v>892</v>
      </c>
      <c r="E856" t="s">
        <v>3</v>
      </c>
      <c r="F856" t="s">
        <v>4</v>
      </c>
      <c r="G856" s="2" t="str">
        <f t="shared" si="13"/>
        <v>UD_06_NU/URBAN-DEMAND</v>
      </c>
      <c r="H856" t="s">
        <v>305</v>
      </c>
      <c r="I856" t="s">
        <v>306</v>
      </c>
      <c r="L856" t="s">
        <v>8</v>
      </c>
      <c r="N856" t="s">
        <v>9</v>
      </c>
    </row>
    <row r="857" spans="2:14" x14ac:dyDescent="0.25">
      <c r="B857" t="s">
        <v>0</v>
      </c>
      <c r="C857" t="s">
        <v>903</v>
      </c>
      <c r="D857" t="s">
        <v>892</v>
      </c>
      <c r="E857" t="s">
        <v>3</v>
      </c>
      <c r="F857" t="s">
        <v>4</v>
      </c>
      <c r="G857" s="2" t="str">
        <f t="shared" si="13"/>
        <v>UD_07N_NU/URBAN-DEMAND</v>
      </c>
      <c r="H857" t="s">
        <v>305</v>
      </c>
      <c r="I857" t="s">
        <v>306</v>
      </c>
      <c r="L857" t="s">
        <v>8</v>
      </c>
      <c r="N857" t="s">
        <v>9</v>
      </c>
    </row>
    <row r="858" spans="2:14" x14ac:dyDescent="0.25">
      <c r="B858" t="s">
        <v>0</v>
      </c>
      <c r="C858" t="s">
        <v>904</v>
      </c>
      <c r="D858" t="s">
        <v>892</v>
      </c>
      <c r="E858" t="s">
        <v>3</v>
      </c>
      <c r="F858" t="s">
        <v>4</v>
      </c>
      <c r="G858" s="2" t="str">
        <f t="shared" si="13"/>
        <v>UD_07S_NU/URBAN-DEMAND</v>
      </c>
      <c r="H858" t="s">
        <v>305</v>
      </c>
      <c r="I858" t="s">
        <v>306</v>
      </c>
      <c r="L858" t="s">
        <v>8</v>
      </c>
      <c r="N858" t="s">
        <v>9</v>
      </c>
    </row>
    <row r="859" spans="2:14" x14ac:dyDescent="0.25">
      <c r="B859" t="s">
        <v>0</v>
      </c>
      <c r="C859" t="s">
        <v>905</v>
      </c>
      <c r="D859" t="s">
        <v>892</v>
      </c>
      <c r="E859" t="s">
        <v>3</v>
      </c>
      <c r="F859" t="s">
        <v>4</v>
      </c>
      <c r="G859" s="2" t="str">
        <f t="shared" si="13"/>
        <v>UD_08N_NU/URBAN-DEMAND</v>
      </c>
      <c r="H859" t="s">
        <v>305</v>
      </c>
      <c r="I859" t="s">
        <v>306</v>
      </c>
      <c r="L859" t="s">
        <v>8</v>
      </c>
      <c r="N859" t="s">
        <v>9</v>
      </c>
    </row>
    <row r="860" spans="2:14" x14ac:dyDescent="0.25">
      <c r="B860" t="s">
        <v>0</v>
      </c>
      <c r="C860" t="s">
        <v>906</v>
      </c>
      <c r="D860" t="s">
        <v>892</v>
      </c>
      <c r="E860" t="s">
        <v>3</v>
      </c>
      <c r="F860" t="s">
        <v>4</v>
      </c>
      <c r="G860" s="2" t="str">
        <f t="shared" si="13"/>
        <v>UD_08S_NU/URBAN-DEMAND</v>
      </c>
      <c r="H860" t="s">
        <v>305</v>
      </c>
      <c r="I860" t="s">
        <v>306</v>
      </c>
      <c r="L860" t="s">
        <v>8</v>
      </c>
      <c r="N860" t="s">
        <v>9</v>
      </c>
    </row>
    <row r="861" spans="2:14" x14ac:dyDescent="0.25">
      <c r="B861" t="s">
        <v>0</v>
      </c>
      <c r="C861" t="s">
        <v>907</v>
      </c>
      <c r="D861" t="s">
        <v>892</v>
      </c>
      <c r="E861" t="s">
        <v>3</v>
      </c>
      <c r="F861" t="s">
        <v>4</v>
      </c>
      <c r="G861" s="2" t="str">
        <f t="shared" si="13"/>
        <v>UD_09_NU/URBAN-DEMAND</v>
      </c>
      <c r="H861" t="s">
        <v>305</v>
      </c>
      <c r="I861" t="s">
        <v>306</v>
      </c>
      <c r="L861" t="s">
        <v>8</v>
      </c>
      <c r="N861" t="s">
        <v>9</v>
      </c>
    </row>
    <row r="862" spans="2:14" x14ac:dyDescent="0.25">
      <c r="B862" t="s">
        <v>0</v>
      </c>
      <c r="C862" t="s">
        <v>908</v>
      </c>
      <c r="D862" t="s">
        <v>892</v>
      </c>
      <c r="E862" t="s">
        <v>3</v>
      </c>
      <c r="F862" t="s">
        <v>4</v>
      </c>
      <c r="G862" s="2" t="str">
        <f t="shared" si="13"/>
        <v>UD_10_NU1/URBAN-DEMAND</v>
      </c>
      <c r="H862" t="s">
        <v>305</v>
      </c>
      <c r="I862" t="s">
        <v>306</v>
      </c>
      <c r="L862" t="s">
        <v>8</v>
      </c>
      <c r="N862" t="s">
        <v>9</v>
      </c>
    </row>
    <row r="863" spans="2:14" x14ac:dyDescent="0.25">
      <c r="B863" t="s">
        <v>0</v>
      </c>
      <c r="C863" t="s">
        <v>909</v>
      </c>
      <c r="D863" t="s">
        <v>892</v>
      </c>
      <c r="E863" t="s">
        <v>3</v>
      </c>
      <c r="F863" t="s">
        <v>4</v>
      </c>
      <c r="G863" s="2" t="str">
        <f t="shared" si="13"/>
        <v>UD_10_NU2/URBAN-DEMAND</v>
      </c>
      <c r="H863" t="s">
        <v>305</v>
      </c>
      <c r="I863" t="s">
        <v>306</v>
      </c>
      <c r="L863" t="s">
        <v>8</v>
      </c>
      <c r="N863" t="s">
        <v>9</v>
      </c>
    </row>
    <row r="864" spans="2:14" x14ac:dyDescent="0.25">
      <c r="B864" t="s">
        <v>0</v>
      </c>
      <c r="C864" t="s">
        <v>910</v>
      </c>
      <c r="D864" t="s">
        <v>892</v>
      </c>
      <c r="E864" t="s">
        <v>3</v>
      </c>
      <c r="F864" t="s">
        <v>4</v>
      </c>
      <c r="G864" s="2" t="str">
        <f t="shared" si="13"/>
        <v>UD_11_NU1/URBAN-DEMAND</v>
      </c>
      <c r="H864" t="s">
        <v>305</v>
      </c>
      <c r="I864" t="s">
        <v>306</v>
      </c>
      <c r="L864" t="s">
        <v>8</v>
      </c>
      <c r="N864" t="s">
        <v>9</v>
      </c>
    </row>
    <row r="865" spans="2:14" x14ac:dyDescent="0.25">
      <c r="B865" t="s">
        <v>0</v>
      </c>
      <c r="C865" t="s">
        <v>911</v>
      </c>
      <c r="D865" t="s">
        <v>892</v>
      </c>
      <c r="E865" t="s">
        <v>3</v>
      </c>
      <c r="F865" t="s">
        <v>4</v>
      </c>
      <c r="G865" s="2" t="str">
        <f t="shared" si="13"/>
        <v>UD_11_NU2/URBAN-DEMAND</v>
      </c>
      <c r="H865" t="s">
        <v>305</v>
      </c>
      <c r="I865" t="s">
        <v>306</v>
      </c>
      <c r="L865" t="s">
        <v>8</v>
      </c>
      <c r="N865" t="s">
        <v>9</v>
      </c>
    </row>
    <row r="866" spans="2:14" x14ac:dyDescent="0.25">
      <c r="B866" t="s">
        <v>0</v>
      </c>
      <c r="C866" t="s">
        <v>912</v>
      </c>
      <c r="D866" t="s">
        <v>892</v>
      </c>
      <c r="E866" t="s">
        <v>3</v>
      </c>
      <c r="F866" t="s">
        <v>4</v>
      </c>
      <c r="G866" s="2" t="str">
        <f t="shared" si="13"/>
        <v>UD_12_NU1/URBAN-DEMAND</v>
      </c>
      <c r="H866" t="s">
        <v>305</v>
      </c>
      <c r="I866" t="s">
        <v>306</v>
      </c>
      <c r="L866" t="s">
        <v>8</v>
      </c>
      <c r="N866" t="s">
        <v>9</v>
      </c>
    </row>
    <row r="867" spans="2:14" x14ac:dyDescent="0.25">
      <c r="B867" t="s">
        <v>0</v>
      </c>
      <c r="C867" t="s">
        <v>913</v>
      </c>
      <c r="D867" t="s">
        <v>892</v>
      </c>
      <c r="E867" t="s">
        <v>3</v>
      </c>
      <c r="F867" t="s">
        <v>4</v>
      </c>
      <c r="G867" s="2" t="str">
        <f t="shared" si="13"/>
        <v>UD_12_NU2/URBAN-DEMAND</v>
      </c>
      <c r="H867" t="s">
        <v>305</v>
      </c>
      <c r="I867" t="s">
        <v>306</v>
      </c>
      <c r="L867" t="s">
        <v>8</v>
      </c>
      <c r="N867" t="s">
        <v>9</v>
      </c>
    </row>
    <row r="868" spans="2:14" x14ac:dyDescent="0.25">
      <c r="B868" t="s">
        <v>0</v>
      </c>
      <c r="C868" t="s">
        <v>914</v>
      </c>
      <c r="D868" t="s">
        <v>892</v>
      </c>
      <c r="E868" t="s">
        <v>3</v>
      </c>
      <c r="F868" t="s">
        <v>4</v>
      </c>
      <c r="G868" s="2" t="str">
        <f t="shared" si="13"/>
        <v>UD_13_NU1/URBAN-DEMAND</v>
      </c>
      <c r="H868" t="s">
        <v>305</v>
      </c>
      <c r="I868" t="s">
        <v>306</v>
      </c>
      <c r="L868" t="s">
        <v>8</v>
      </c>
      <c r="N868" t="s">
        <v>9</v>
      </c>
    </row>
    <row r="869" spans="2:14" x14ac:dyDescent="0.25">
      <c r="B869" t="s">
        <v>0</v>
      </c>
      <c r="C869" t="s">
        <v>915</v>
      </c>
      <c r="D869" t="s">
        <v>892</v>
      </c>
      <c r="E869" t="s">
        <v>3</v>
      </c>
      <c r="F869" t="s">
        <v>4</v>
      </c>
      <c r="G869" s="2" t="str">
        <f t="shared" si="13"/>
        <v>UD_13_NU2/URBAN-DEMAND</v>
      </c>
      <c r="H869" t="s">
        <v>305</v>
      </c>
      <c r="I869" t="s">
        <v>306</v>
      </c>
      <c r="L869" t="s">
        <v>8</v>
      </c>
      <c r="N869" t="s">
        <v>9</v>
      </c>
    </row>
    <row r="870" spans="2:14" x14ac:dyDescent="0.25">
      <c r="B870" t="s">
        <v>0</v>
      </c>
      <c r="C870" t="s">
        <v>916</v>
      </c>
      <c r="D870" t="s">
        <v>892</v>
      </c>
      <c r="E870" t="s">
        <v>3</v>
      </c>
      <c r="F870" t="s">
        <v>4</v>
      </c>
      <c r="G870" s="2" t="str">
        <f t="shared" si="13"/>
        <v>UD_14_NU/URBAN-DEMAND</v>
      </c>
      <c r="H870" t="s">
        <v>305</v>
      </c>
      <c r="I870" t="s">
        <v>306</v>
      </c>
      <c r="L870" t="s">
        <v>8</v>
      </c>
      <c r="N870" t="s">
        <v>9</v>
      </c>
    </row>
    <row r="871" spans="2:14" x14ac:dyDescent="0.25">
      <c r="B871" t="s">
        <v>0</v>
      </c>
      <c r="C871" t="s">
        <v>917</v>
      </c>
      <c r="D871" t="s">
        <v>892</v>
      </c>
      <c r="E871" t="s">
        <v>3</v>
      </c>
      <c r="F871" t="s">
        <v>4</v>
      </c>
      <c r="G871" s="2" t="str">
        <f t="shared" si="13"/>
        <v>UD_15N_NU/URBAN-DEMAND</v>
      </c>
      <c r="H871" t="s">
        <v>305</v>
      </c>
      <c r="I871" t="s">
        <v>306</v>
      </c>
      <c r="L871" t="s">
        <v>8</v>
      </c>
      <c r="N871" t="s">
        <v>9</v>
      </c>
    </row>
    <row r="872" spans="2:14" x14ac:dyDescent="0.25">
      <c r="B872" t="s">
        <v>0</v>
      </c>
      <c r="C872" t="s">
        <v>918</v>
      </c>
      <c r="D872" t="s">
        <v>892</v>
      </c>
      <c r="E872" t="s">
        <v>3</v>
      </c>
      <c r="F872" t="s">
        <v>4</v>
      </c>
      <c r="G872" s="2" t="str">
        <f t="shared" si="13"/>
        <v>UD_15S_NU/URBAN-DEMAND</v>
      </c>
      <c r="H872" t="s">
        <v>305</v>
      </c>
      <c r="I872" t="s">
        <v>306</v>
      </c>
      <c r="L872" t="s">
        <v>8</v>
      </c>
      <c r="N872" t="s">
        <v>9</v>
      </c>
    </row>
    <row r="873" spans="2:14" x14ac:dyDescent="0.25">
      <c r="B873" t="s">
        <v>0</v>
      </c>
      <c r="C873" t="s">
        <v>919</v>
      </c>
      <c r="D873" t="s">
        <v>892</v>
      </c>
      <c r="E873" t="s">
        <v>3</v>
      </c>
      <c r="F873" t="s">
        <v>4</v>
      </c>
      <c r="G873" s="2" t="str">
        <f t="shared" si="13"/>
        <v>UD_16_NU/URBAN-DEMAND</v>
      </c>
      <c r="H873" t="s">
        <v>305</v>
      </c>
      <c r="I873" t="s">
        <v>306</v>
      </c>
      <c r="L873" t="s">
        <v>8</v>
      </c>
      <c r="N873" t="s">
        <v>9</v>
      </c>
    </row>
    <row r="874" spans="2:14" x14ac:dyDescent="0.25">
      <c r="B874" t="s">
        <v>0</v>
      </c>
      <c r="C874" t="s">
        <v>920</v>
      </c>
      <c r="D874" t="s">
        <v>892</v>
      </c>
      <c r="E874" t="s">
        <v>3</v>
      </c>
      <c r="F874" t="s">
        <v>4</v>
      </c>
      <c r="G874" s="2" t="str">
        <f t="shared" si="13"/>
        <v>UD_16_PU/URBAN-DEMAND</v>
      </c>
      <c r="H874" t="s">
        <v>305</v>
      </c>
      <c r="I874" t="s">
        <v>306</v>
      </c>
      <c r="L874" t="s">
        <v>8</v>
      </c>
      <c r="N874" t="s">
        <v>9</v>
      </c>
    </row>
    <row r="875" spans="2:14" x14ac:dyDescent="0.25">
      <c r="B875" t="s">
        <v>0</v>
      </c>
      <c r="C875" t="s">
        <v>921</v>
      </c>
      <c r="D875" t="s">
        <v>892</v>
      </c>
      <c r="E875" t="s">
        <v>3</v>
      </c>
      <c r="F875" t="s">
        <v>4</v>
      </c>
      <c r="G875" s="2" t="str">
        <f t="shared" si="13"/>
        <v>UD_17N_NU/URBAN-DEMAND</v>
      </c>
      <c r="H875" t="s">
        <v>305</v>
      </c>
      <c r="I875" t="s">
        <v>306</v>
      </c>
      <c r="L875" t="s">
        <v>8</v>
      </c>
      <c r="N875" t="s">
        <v>9</v>
      </c>
    </row>
    <row r="876" spans="2:14" x14ac:dyDescent="0.25">
      <c r="B876" t="s">
        <v>0</v>
      </c>
      <c r="C876" t="s">
        <v>922</v>
      </c>
      <c r="D876" t="s">
        <v>892</v>
      </c>
      <c r="E876" t="s">
        <v>3</v>
      </c>
      <c r="F876" t="s">
        <v>4</v>
      </c>
      <c r="G876" s="2" t="str">
        <f t="shared" si="13"/>
        <v>UD_17S_NU/URBAN-DEMAND</v>
      </c>
      <c r="H876" t="s">
        <v>305</v>
      </c>
      <c r="I876" t="s">
        <v>306</v>
      </c>
      <c r="L876" t="s">
        <v>8</v>
      </c>
      <c r="N876" t="s">
        <v>9</v>
      </c>
    </row>
    <row r="877" spans="2:14" x14ac:dyDescent="0.25">
      <c r="B877" t="s">
        <v>0</v>
      </c>
      <c r="C877" t="s">
        <v>923</v>
      </c>
      <c r="D877" t="s">
        <v>892</v>
      </c>
      <c r="E877" t="s">
        <v>3</v>
      </c>
      <c r="F877" t="s">
        <v>4</v>
      </c>
      <c r="G877" s="2" t="str">
        <f t="shared" si="13"/>
        <v>UD_18_NU/URBAN-DEMAND</v>
      </c>
      <c r="H877" t="s">
        <v>305</v>
      </c>
      <c r="I877" t="s">
        <v>306</v>
      </c>
      <c r="L877" t="s">
        <v>8</v>
      </c>
      <c r="N877" t="s">
        <v>9</v>
      </c>
    </row>
    <row r="878" spans="2:14" x14ac:dyDescent="0.25">
      <c r="B878" t="s">
        <v>0</v>
      </c>
      <c r="C878" t="s">
        <v>924</v>
      </c>
      <c r="D878" t="s">
        <v>892</v>
      </c>
      <c r="E878" t="s">
        <v>3</v>
      </c>
      <c r="F878" t="s">
        <v>4</v>
      </c>
      <c r="G878" s="2" t="str">
        <f t="shared" si="13"/>
        <v>UD_19_NU/URBAN-DEMAND</v>
      </c>
      <c r="H878" t="s">
        <v>305</v>
      </c>
      <c r="I878" t="s">
        <v>306</v>
      </c>
      <c r="L878" t="s">
        <v>8</v>
      </c>
      <c r="N878" t="s">
        <v>9</v>
      </c>
    </row>
    <row r="879" spans="2:14" x14ac:dyDescent="0.25">
      <c r="B879" t="s">
        <v>0</v>
      </c>
      <c r="C879" t="s">
        <v>925</v>
      </c>
      <c r="D879" t="s">
        <v>892</v>
      </c>
      <c r="E879" t="s">
        <v>3</v>
      </c>
      <c r="F879" t="s">
        <v>4</v>
      </c>
      <c r="G879" s="2" t="str">
        <f t="shared" si="13"/>
        <v>UD_20_NU1/URBAN-DEMAND</v>
      </c>
      <c r="H879" t="s">
        <v>305</v>
      </c>
      <c r="I879" t="s">
        <v>306</v>
      </c>
      <c r="L879" t="s">
        <v>8</v>
      </c>
      <c r="N879" t="s">
        <v>9</v>
      </c>
    </row>
    <row r="880" spans="2:14" x14ac:dyDescent="0.25">
      <c r="B880" t="s">
        <v>0</v>
      </c>
      <c r="C880" t="s">
        <v>926</v>
      </c>
      <c r="D880" t="s">
        <v>892</v>
      </c>
      <c r="E880" t="s">
        <v>3</v>
      </c>
      <c r="F880" t="s">
        <v>4</v>
      </c>
      <c r="G880" s="2" t="str">
        <f t="shared" si="13"/>
        <v>UD_20_NU2/URBAN-DEMAND</v>
      </c>
      <c r="H880" t="s">
        <v>305</v>
      </c>
      <c r="I880" t="s">
        <v>306</v>
      </c>
      <c r="L880" t="s">
        <v>8</v>
      </c>
      <c r="N880" t="s">
        <v>9</v>
      </c>
    </row>
    <row r="881" spans="2:14" x14ac:dyDescent="0.25">
      <c r="B881" t="s">
        <v>0</v>
      </c>
      <c r="C881" t="s">
        <v>927</v>
      </c>
      <c r="D881" t="s">
        <v>892</v>
      </c>
      <c r="E881" t="s">
        <v>3</v>
      </c>
      <c r="F881" t="s">
        <v>4</v>
      </c>
      <c r="G881" s="2" t="str">
        <f t="shared" si="13"/>
        <v>UD_21_NU/URBAN-DEMAND</v>
      </c>
      <c r="H881" t="s">
        <v>305</v>
      </c>
      <c r="I881" t="s">
        <v>306</v>
      </c>
      <c r="L881" t="s">
        <v>8</v>
      </c>
      <c r="N881" t="s">
        <v>9</v>
      </c>
    </row>
    <row r="882" spans="2:14" x14ac:dyDescent="0.25">
      <c r="B882" t="s">
        <v>0</v>
      </c>
      <c r="C882" t="s">
        <v>928</v>
      </c>
      <c r="D882" t="s">
        <v>892</v>
      </c>
      <c r="E882" t="s">
        <v>3</v>
      </c>
      <c r="F882" t="s">
        <v>4</v>
      </c>
      <c r="G882" s="2" t="str">
        <f t="shared" si="13"/>
        <v>UD_21_PU/URBAN-DEMAND</v>
      </c>
      <c r="H882" t="s">
        <v>305</v>
      </c>
      <c r="I882" t="s">
        <v>306</v>
      </c>
      <c r="L882" t="s">
        <v>8</v>
      </c>
      <c r="N882" t="s">
        <v>9</v>
      </c>
    </row>
    <row r="883" spans="2:14" x14ac:dyDescent="0.25">
      <c r="B883" t="s">
        <v>0</v>
      </c>
      <c r="C883" t="s">
        <v>929</v>
      </c>
      <c r="D883" t="s">
        <v>892</v>
      </c>
      <c r="E883" t="s">
        <v>3</v>
      </c>
      <c r="F883" t="s">
        <v>4</v>
      </c>
      <c r="G883" s="2" t="str">
        <f t="shared" si="13"/>
        <v>UD_22_NU/URBAN-DEMAND</v>
      </c>
      <c r="H883" t="s">
        <v>305</v>
      </c>
      <c r="I883" t="s">
        <v>306</v>
      </c>
      <c r="L883" t="s">
        <v>8</v>
      </c>
      <c r="N883" t="s">
        <v>9</v>
      </c>
    </row>
    <row r="884" spans="2:14" x14ac:dyDescent="0.25">
      <c r="B884" t="s">
        <v>0</v>
      </c>
      <c r="C884" t="s">
        <v>930</v>
      </c>
      <c r="D884" t="s">
        <v>892</v>
      </c>
      <c r="E884" t="s">
        <v>3</v>
      </c>
      <c r="F884" t="s">
        <v>4</v>
      </c>
      <c r="G884" s="2" t="str">
        <f t="shared" si="13"/>
        <v>UD_23_NU/URBAN-DEMAND</v>
      </c>
      <c r="H884" t="s">
        <v>305</v>
      </c>
      <c r="I884" t="s">
        <v>306</v>
      </c>
      <c r="L884" t="s">
        <v>8</v>
      </c>
      <c r="N884" t="s">
        <v>9</v>
      </c>
    </row>
    <row r="885" spans="2:14" x14ac:dyDescent="0.25">
      <c r="B885" t="s">
        <v>0</v>
      </c>
      <c r="C885" t="s">
        <v>931</v>
      </c>
      <c r="D885" t="s">
        <v>892</v>
      </c>
      <c r="E885" t="s">
        <v>3</v>
      </c>
      <c r="F885" t="s">
        <v>4</v>
      </c>
      <c r="G885" s="2" t="str">
        <f t="shared" si="13"/>
        <v>UD_24_NU1/URBAN-DEMAND</v>
      </c>
      <c r="H885" t="s">
        <v>305</v>
      </c>
      <c r="I885" t="s">
        <v>306</v>
      </c>
      <c r="L885" t="s">
        <v>8</v>
      </c>
      <c r="N885" t="s">
        <v>9</v>
      </c>
    </row>
    <row r="886" spans="2:14" x14ac:dyDescent="0.25">
      <c r="B886" t="s">
        <v>0</v>
      </c>
      <c r="C886" t="s">
        <v>932</v>
      </c>
      <c r="D886" t="s">
        <v>892</v>
      </c>
      <c r="E886" t="s">
        <v>3</v>
      </c>
      <c r="F886" t="s">
        <v>4</v>
      </c>
      <c r="G886" s="2" t="str">
        <f t="shared" si="13"/>
        <v>UD_24_NU2/URBAN-DEMAND</v>
      </c>
      <c r="H886" t="s">
        <v>305</v>
      </c>
      <c r="I886" t="s">
        <v>306</v>
      </c>
      <c r="L886" t="s">
        <v>8</v>
      </c>
      <c r="N886" t="s">
        <v>9</v>
      </c>
    </row>
    <row r="887" spans="2:14" x14ac:dyDescent="0.25">
      <c r="B887" t="s">
        <v>0</v>
      </c>
      <c r="C887" t="s">
        <v>933</v>
      </c>
      <c r="D887" t="s">
        <v>892</v>
      </c>
      <c r="E887" t="s">
        <v>3</v>
      </c>
      <c r="F887" t="s">
        <v>4</v>
      </c>
      <c r="G887" s="2" t="str">
        <f t="shared" si="13"/>
        <v>UD_24_NU3/URBAN-DEMAND</v>
      </c>
      <c r="H887" t="s">
        <v>305</v>
      </c>
      <c r="I887" t="s">
        <v>306</v>
      </c>
      <c r="L887" t="s">
        <v>8</v>
      </c>
      <c r="N887" t="s">
        <v>9</v>
      </c>
    </row>
    <row r="888" spans="2:14" x14ac:dyDescent="0.25">
      <c r="B888" t="s">
        <v>0</v>
      </c>
      <c r="C888" t="s">
        <v>934</v>
      </c>
      <c r="D888" t="s">
        <v>892</v>
      </c>
      <c r="E888" t="s">
        <v>3</v>
      </c>
      <c r="F888" t="s">
        <v>4</v>
      </c>
      <c r="G888" s="2" t="str">
        <f t="shared" si="13"/>
        <v>UD_24_NU4/URBAN-DEMAND</v>
      </c>
      <c r="H888" t="s">
        <v>305</v>
      </c>
      <c r="I888" t="s">
        <v>306</v>
      </c>
      <c r="L888" t="s">
        <v>8</v>
      </c>
      <c r="N888" t="s">
        <v>9</v>
      </c>
    </row>
    <row r="889" spans="2:14" x14ac:dyDescent="0.25">
      <c r="B889" t="s">
        <v>0</v>
      </c>
      <c r="C889" t="s">
        <v>935</v>
      </c>
      <c r="D889" t="s">
        <v>892</v>
      </c>
      <c r="E889" t="s">
        <v>3</v>
      </c>
      <c r="F889" t="s">
        <v>4</v>
      </c>
      <c r="G889" s="2" t="str">
        <f t="shared" si="13"/>
        <v>UD_25_NU/URBAN-DEMAND</v>
      </c>
      <c r="H889" t="s">
        <v>305</v>
      </c>
      <c r="I889" t="s">
        <v>306</v>
      </c>
      <c r="L889" t="s">
        <v>8</v>
      </c>
      <c r="N889" t="s">
        <v>9</v>
      </c>
    </row>
    <row r="890" spans="2:14" x14ac:dyDescent="0.25">
      <c r="B890" t="s">
        <v>0</v>
      </c>
      <c r="C890" t="s">
        <v>936</v>
      </c>
      <c r="D890" t="s">
        <v>892</v>
      </c>
      <c r="E890" t="s">
        <v>3</v>
      </c>
      <c r="F890" t="s">
        <v>4</v>
      </c>
      <c r="G890" s="2" t="str">
        <f t="shared" si="13"/>
        <v>UD_25_PU/URBAN-DEMAND</v>
      </c>
      <c r="H890" t="s">
        <v>305</v>
      </c>
      <c r="I890" t="s">
        <v>306</v>
      </c>
      <c r="L890" t="s">
        <v>8</v>
      </c>
      <c r="N890" t="s">
        <v>9</v>
      </c>
    </row>
    <row r="891" spans="2:14" x14ac:dyDescent="0.25">
      <c r="B891" t="s">
        <v>0</v>
      </c>
      <c r="C891" t="s">
        <v>937</v>
      </c>
      <c r="D891" t="s">
        <v>892</v>
      </c>
      <c r="E891" t="s">
        <v>3</v>
      </c>
      <c r="F891" t="s">
        <v>4</v>
      </c>
      <c r="G891" s="2" t="str">
        <f t="shared" si="13"/>
        <v>UD_26N_NU1/URBAN-DEMAND</v>
      </c>
      <c r="H891" t="s">
        <v>305</v>
      </c>
      <c r="I891" t="s">
        <v>306</v>
      </c>
      <c r="L891" t="s">
        <v>8</v>
      </c>
      <c r="N891" t="s">
        <v>9</v>
      </c>
    </row>
    <row r="892" spans="2:14" x14ac:dyDescent="0.25">
      <c r="B892" t="s">
        <v>0</v>
      </c>
      <c r="C892" t="s">
        <v>938</v>
      </c>
      <c r="D892" t="s">
        <v>892</v>
      </c>
      <c r="E892" t="s">
        <v>3</v>
      </c>
      <c r="F892" t="s">
        <v>4</v>
      </c>
      <c r="G892" s="2" t="str">
        <f t="shared" si="13"/>
        <v>UD_26N_NU2/URBAN-DEMAND</v>
      </c>
      <c r="H892" t="s">
        <v>305</v>
      </c>
      <c r="I892" t="s">
        <v>306</v>
      </c>
      <c r="L892" t="s">
        <v>8</v>
      </c>
      <c r="N892" t="s">
        <v>9</v>
      </c>
    </row>
    <row r="893" spans="2:14" x14ac:dyDescent="0.25">
      <c r="B893" t="s">
        <v>0</v>
      </c>
      <c r="C893" t="s">
        <v>939</v>
      </c>
      <c r="D893" t="s">
        <v>892</v>
      </c>
      <c r="E893" t="s">
        <v>3</v>
      </c>
      <c r="F893" t="s">
        <v>4</v>
      </c>
      <c r="G893" s="2" t="str">
        <f t="shared" si="13"/>
        <v>UD_26N_NU3/URBAN-DEMAND</v>
      </c>
      <c r="H893" t="s">
        <v>305</v>
      </c>
      <c r="I893" t="s">
        <v>306</v>
      </c>
      <c r="L893" t="s">
        <v>8</v>
      </c>
      <c r="N893" t="s">
        <v>9</v>
      </c>
    </row>
    <row r="894" spans="2:14" x14ac:dyDescent="0.25">
      <c r="B894" t="s">
        <v>0</v>
      </c>
      <c r="C894" t="s">
        <v>940</v>
      </c>
      <c r="D894" t="s">
        <v>892</v>
      </c>
      <c r="E894" t="s">
        <v>3</v>
      </c>
      <c r="F894" t="s">
        <v>4</v>
      </c>
      <c r="G894" s="2" t="str">
        <f t="shared" si="13"/>
        <v>UD_26N_NU4/URBAN-DEMAND</v>
      </c>
      <c r="H894" t="s">
        <v>305</v>
      </c>
      <c r="I894" t="s">
        <v>306</v>
      </c>
      <c r="L894" t="s">
        <v>8</v>
      </c>
      <c r="N894" t="s">
        <v>9</v>
      </c>
    </row>
    <row r="895" spans="2:14" x14ac:dyDescent="0.25">
      <c r="B895" t="s">
        <v>0</v>
      </c>
      <c r="C895" t="s">
        <v>941</v>
      </c>
      <c r="D895" t="s">
        <v>892</v>
      </c>
      <c r="E895" t="s">
        <v>3</v>
      </c>
      <c r="F895" t="s">
        <v>4</v>
      </c>
      <c r="G895" s="2" t="str">
        <f t="shared" si="13"/>
        <v>UD_26N_NU5/URBAN-DEMAND</v>
      </c>
      <c r="H895" t="s">
        <v>305</v>
      </c>
      <c r="I895" t="s">
        <v>306</v>
      </c>
      <c r="L895" t="s">
        <v>8</v>
      </c>
      <c r="N895" t="s">
        <v>9</v>
      </c>
    </row>
    <row r="896" spans="2:14" x14ac:dyDescent="0.25">
      <c r="B896" t="s">
        <v>0</v>
      </c>
      <c r="C896" t="s">
        <v>942</v>
      </c>
      <c r="D896" t="s">
        <v>892</v>
      </c>
      <c r="E896" t="s">
        <v>3</v>
      </c>
      <c r="F896" t="s">
        <v>4</v>
      </c>
      <c r="G896" s="2" t="str">
        <f t="shared" si="13"/>
        <v>UD_26N_PU1/URBAN-DEMAND</v>
      </c>
      <c r="H896" t="s">
        <v>305</v>
      </c>
      <c r="I896" t="s">
        <v>306</v>
      </c>
      <c r="L896" t="s">
        <v>8</v>
      </c>
      <c r="N896" t="s">
        <v>9</v>
      </c>
    </row>
    <row r="897" spans="2:14" x14ac:dyDescent="0.25">
      <c r="B897" t="s">
        <v>0</v>
      </c>
      <c r="C897" t="s">
        <v>943</v>
      </c>
      <c r="D897" t="s">
        <v>892</v>
      </c>
      <c r="E897" t="s">
        <v>3</v>
      </c>
      <c r="F897" t="s">
        <v>4</v>
      </c>
      <c r="G897" s="2" t="str">
        <f t="shared" si="13"/>
        <v>UD_26N_PU2/URBAN-DEMAND</v>
      </c>
      <c r="H897" t="s">
        <v>305</v>
      </c>
      <c r="I897" t="s">
        <v>306</v>
      </c>
      <c r="L897" t="s">
        <v>8</v>
      </c>
      <c r="N897" t="s">
        <v>9</v>
      </c>
    </row>
    <row r="898" spans="2:14" x14ac:dyDescent="0.25">
      <c r="B898" t="s">
        <v>0</v>
      </c>
      <c r="C898" t="s">
        <v>944</v>
      </c>
      <c r="D898" t="s">
        <v>892</v>
      </c>
      <c r="E898" t="s">
        <v>3</v>
      </c>
      <c r="F898" t="s">
        <v>4</v>
      </c>
      <c r="G898" s="2" t="str">
        <f t="shared" si="13"/>
        <v>UD_26N_PU3/URBAN-DEMAND</v>
      </c>
      <c r="H898" t="s">
        <v>305</v>
      </c>
      <c r="I898" t="s">
        <v>306</v>
      </c>
      <c r="L898" t="s">
        <v>8</v>
      </c>
      <c r="N898" t="s">
        <v>9</v>
      </c>
    </row>
    <row r="899" spans="2:14" x14ac:dyDescent="0.25">
      <c r="B899" t="s">
        <v>0</v>
      </c>
      <c r="C899" t="s">
        <v>945</v>
      </c>
      <c r="D899" t="s">
        <v>892</v>
      </c>
      <c r="E899" t="s">
        <v>3</v>
      </c>
      <c r="F899" t="s">
        <v>4</v>
      </c>
      <c r="G899" s="2" t="str">
        <f t="shared" ref="G899:G962" si="14">_xlfn.CONCAT(C899,"/",D899)</f>
        <v>UD_26S_NU1/URBAN-DEMAND</v>
      </c>
      <c r="H899" t="s">
        <v>305</v>
      </c>
      <c r="I899" t="s">
        <v>306</v>
      </c>
      <c r="L899" t="s">
        <v>8</v>
      </c>
      <c r="N899" t="s">
        <v>9</v>
      </c>
    </row>
    <row r="900" spans="2:14" x14ac:dyDescent="0.25">
      <c r="B900" t="s">
        <v>0</v>
      </c>
      <c r="C900" t="s">
        <v>946</v>
      </c>
      <c r="D900" t="s">
        <v>892</v>
      </c>
      <c r="E900" t="s">
        <v>3</v>
      </c>
      <c r="F900" t="s">
        <v>4</v>
      </c>
      <c r="G900" s="2" t="str">
        <f t="shared" si="14"/>
        <v>UD_26S_NU2/URBAN-DEMAND</v>
      </c>
      <c r="H900" t="s">
        <v>305</v>
      </c>
      <c r="I900" t="s">
        <v>306</v>
      </c>
      <c r="L900" t="s">
        <v>8</v>
      </c>
      <c r="N900" t="s">
        <v>9</v>
      </c>
    </row>
    <row r="901" spans="2:14" x14ac:dyDescent="0.25">
      <c r="B901" t="s">
        <v>0</v>
      </c>
      <c r="C901" t="s">
        <v>947</v>
      </c>
      <c r="D901" t="s">
        <v>892</v>
      </c>
      <c r="E901" t="s">
        <v>3</v>
      </c>
      <c r="F901" t="s">
        <v>4</v>
      </c>
      <c r="G901" s="2" t="str">
        <f t="shared" si="14"/>
        <v>UD_26S_NU3/URBAN-DEMAND</v>
      </c>
      <c r="H901" t="s">
        <v>305</v>
      </c>
      <c r="I901" t="s">
        <v>306</v>
      </c>
      <c r="L901" t="s">
        <v>8</v>
      </c>
      <c r="N901" t="s">
        <v>9</v>
      </c>
    </row>
    <row r="902" spans="2:14" x14ac:dyDescent="0.25">
      <c r="B902" t="s">
        <v>0</v>
      </c>
      <c r="C902" t="s">
        <v>948</v>
      </c>
      <c r="D902" t="s">
        <v>892</v>
      </c>
      <c r="E902" t="s">
        <v>3</v>
      </c>
      <c r="F902" t="s">
        <v>4</v>
      </c>
      <c r="G902" s="2" t="str">
        <f t="shared" si="14"/>
        <v>UD_26S_NU4/URBAN-DEMAND</v>
      </c>
      <c r="H902" t="s">
        <v>305</v>
      </c>
      <c r="I902" t="s">
        <v>306</v>
      </c>
      <c r="L902" t="s">
        <v>8</v>
      </c>
      <c r="N902" t="s">
        <v>9</v>
      </c>
    </row>
    <row r="903" spans="2:14" x14ac:dyDescent="0.25">
      <c r="B903" t="s">
        <v>0</v>
      </c>
      <c r="C903" t="s">
        <v>949</v>
      </c>
      <c r="D903" t="s">
        <v>892</v>
      </c>
      <c r="E903" t="s">
        <v>3</v>
      </c>
      <c r="F903" t="s">
        <v>4</v>
      </c>
      <c r="G903" s="2" t="str">
        <f t="shared" si="14"/>
        <v>UD_26S_PU1/URBAN-DEMAND</v>
      </c>
      <c r="H903" t="s">
        <v>305</v>
      </c>
      <c r="I903" t="s">
        <v>306</v>
      </c>
      <c r="L903" t="s">
        <v>8</v>
      </c>
      <c r="N903" t="s">
        <v>9</v>
      </c>
    </row>
    <row r="904" spans="2:14" x14ac:dyDescent="0.25">
      <c r="B904" t="s">
        <v>0</v>
      </c>
      <c r="C904" t="s">
        <v>950</v>
      </c>
      <c r="D904" t="s">
        <v>892</v>
      </c>
      <c r="E904" t="s">
        <v>3</v>
      </c>
      <c r="F904" t="s">
        <v>4</v>
      </c>
      <c r="G904" s="2" t="str">
        <f t="shared" si="14"/>
        <v>UD_26S_PU2/URBAN-DEMAND</v>
      </c>
      <c r="H904" t="s">
        <v>305</v>
      </c>
      <c r="I904" t="s">
        <v>306</v>
      </c>
      <c r="L904" t="s">
        <v>8</v>
      </c>
      <c r="N904" t="s">
        <v>9</v>
      </c>
    </row>
    <row r="905" spans="2:14" x14ac:dyDescent="0.25">
      <c r="B905" t="s">
        <v>0</v>
      </c>
      <c r="C905" t="s">
        <v>951</v>
      </c>
      <c r="D905" t="s">
        <v>892</v>
      </c>
      <c r="E905" t="s">
        <v>3</v>
      </c>
      <c r="F905" t="s">
        <v>4</v>
      </c>
      <c r="G905" s="2" t="str">
        <f t="shared" si="14"/>
        <v>UD_26S_PU3/URBAN-DEMAND</v>
      </c>
      <c r="H905" t="s">
        <v>305</v>
      </c>
      <c r="I905" t="s">
        <v>306</v>
      </c>
      <c r="L905" t="s">
        <v>8</v>
      </c>
      <c r="N905" t="s">
        <v>9</v>
      </c>
    </row>
    <row r="906" spans="2:14" x14ac:dyDescent="0.25">
      <c r="B906" t="s">
        <v>0</v>
      </c>
      <c r="C906" t="s">
        <v>952</v>
      </c>
      <c r="D906" t="s">
        <v>892</v>
      </c>
      <c r="E906" t="s">
        <v>3</v>
      </c>
      <c r="F906" t="s">
        <v>4</v>
      </c>
      <c r="G906" s="2" t="str">
        <f t="shared" si="14"/>
        <v>UD_26S_PU4/URBAN-DEMAND</v>
      </c>
      <c r="H906" t="s">
        <v>305</v>
      </c>
      <c r="I906" t="s">
        <v>306</v>
      </c>
      <c r="L906" t="s">
        <v>8</v>
      </c>
      <c r="N906" t="s">
        <v>9</v>
      </c>
    </row>
    <row r="907" spans="2:14" x14ac:dyDescent="0.25">
      <c r="B907" t="s">
        <v>0</v>
      </c>
      <c r="C907" t="s">
        <v>953</v>
      </c>
      <c r="D907" t="s">
        <v>892</v>
      </c>
      <c r="E907" t="s">
        <v>3</v>
      </c>
      <c r="F907" t="s">
        <v>4</v>
      </c>
      <c r="G907" s="2" t="str">
        <f t="shared" si="14"/>
        <v>UD_26S_PU5/URBAN-DEMAND</v>
      </c>
      <c r="H907" t="s">
        <v>305</v>
      </c>
      <c r="I907" t="s">
        <v>306</v>
      </c>
      <c r="L907" t="s">
        <v>8</v>
      </c>
      <c r="N907" t="s">
        <v>9</v>
      </c>
    </row>
    <row r="908" spans="2:14" x14ac:dyDescent="0.25">
      <c r="B908" t="s">
        <v>0</v>
      </c>
      <c r="C908" t="s">
        <v>954</v>
      </c>
      <c r="D908" t="s">
        <v>892</v>
      </c>
      <c r="E908" t="s">
        <v>3</v>
      </c>
      <c r="F908" t="s">
        <v>4</v>
      </c>
      <c r="G908" s="2" t="str">
        <f t="shared" si="14"/>
        <v>UD_26S_PU6/URBAN-DEMAND</v>
      </c>
      <c r="H908" t="s">
        <v>305</v>
      </c>
      <c r="I908" t="s">
        <v>306</v>
      </c>
      <c r="L908" t="s">
        <v>8</v>
      </c>
      <c r="N908" t="s">
        <v>9</v>
      </c>
    </row>
    <row r="909" spans="2:14" x14ac:dyDescent="0.25">
      <c r="B909" t="s">
        <v>0</v>
      </c>
      <c r="C909" t="s">
        <v>955</v>
      </c>
      <c r="D909" t="s">
        <v>892</v>
      </c>
      <c r="E909" t="s">
        <v>3</v>
      </c>
      <c r="F909" t="s">
        <v>4</v>
      </c>
      <c r="G909" s="2" t="str">
        <f t="shared" si="14"/>
        <v>UD_50_PU/URBAN-DEMAND</v>
      </c>
      <c r="H909" t="s">
        <v>305</v>
      </c>
      <c r="I909" t="s">
        <v>306</v>
      </c>
      <c r="L909" t="s">
        <v>8</v>
      </c>
      <c r="N909" t="s">
        <v>9</v>
      </c>
    </row>
    <row r="910" spans="2:14" x14ac:dyDescent="0.25">
      <c r="B910" t="s">
        <v>0</v>
      </c>
      <c r="C910" t="s">
        <v>956</v>
      </c>
      <c r="D910" t="s">
        <v>892</v>
      </c>
      <c r="E910" t="s">
        <v>3</v>
      </c>
      <c r="F910" t="s">
        <v>4</v>
      </c>
      <c r="G910" s="2" t="str">
        <f t="shared" si="14"/>
        <v>UD_60N_NU1/URBAN-DEMAND</v>
      </c>
      <c r="H910" t="s">
        <v>305</v>
      </c>
      <c r="I910" t="s">
        <v>306</v>
      </c>
      <c r="L910" t="s">
        <v>8</v>
      </c>
      <c r="N910" t="s">
        <v>9</v>
      </c>
    </row>
    <row r="911" spans="2:14" x14ac:dyDescent="0.25">
      <c r="B911" t="s">
        <v>0</v>
      </c>
      <c r="C911" t="s">
        <v>957</v>
      </c>
      <c r="D911" t="s">
        <v>892</v>
      </c>
      <c r="E911" t="s">
        <v>3</v>
      </c>
      <c r="F911" t="s">
        <v>4</v>
      </c>
      <c r="G911" s="2" t="str">
        <f t="shared" si="14"/>
        <v>UD_60N_NU2/URBAN-DEMAND</v>
      </c>
      <c r="H911" t="s">
        <v>305</v>
      </c>
      <c r="I911" t="s">
        <v>306</v>
      </c>
      <c r="L911" t="s">
        <v>8</v>
      </c>
      <c r="N911" t="s">
        <v>9</v>
      </c>
    </row>
    <row r="912" spans="2:14" x14ac:dyDescent="0.25">
      <c r="B912" t="s">
        <v>0</v>
      </c>
      <c r="C912" t="s">
        <v>958</v>
      </c>
      <c r="D912" t="s">
        <v>892</v>
      </c>
      <c r="E912" t="s">
        <v>3</v>
      </c>
      <c r="F912" t="s">
        <v>4</v>
      </c>
      <c r="G912" s="2" t="str">
        <f t="shared" si="14"/>
        <v>UD_60N_PU/URBAN-DEMAND</v>
      </c>
      <c r="H912" t="s">
        <v>305</v>
      </c>
      <c r="I912" t="s">
        <v>306</v>
      </c>
      <c r="L912" t="s">
        <v>8</v>
      </c>
      <c r="N912" t="s">
        <v>9</v>
      </c>
    </row>
    <row r="913" spans="2:14" x14ac:dyDescent="0.25">
      <c r="B913" t="s">
        <v>0</v>
      </c>
      <c r="C913" t="s">
        <v>959</v>
      </c>
      <c r="D913" t="s">
        <v>892</v>
      </c>
      <c r="E913" t="s">
        <v>3</v>
      </c>
      <c r="F913" t="s">
        <v>4</v>
      </c>
      <c r="G913" s="2" t="str">
        <f t="shared" si="14"/>
        <v>UD_60S_NU1/URBAN-DEMAND</v>
      </c>
      <c r="H913" t="s">
        <v>305</v>
      </c>
      <c r="I913" t="s">
        <v>306</v>
      </c>
      <c r="L913" t="s">
        <v>8</v>
      </c>
      <c r="N913" t="s">
        <v>9</v>
      </c>
    </row>
    <row r="914" spans="2:14" x14ac:dyDescent="0.25">
      <c r="B914" t="s">
        <v>0</v>
      </c>
      <c r="C914" t="s">
        <v>960</v>
      </c>
      <c r="D914" t="s">
        <v>892</v>
      </c>
      <c r="E914" t="s">
        <v>3</v>
      </c>
      <c r="F914" t="s">
        <v>4</v>
      </c>
      <c r="G914" s="2" t="str">
        <f t="shared" si="14"/>
        <v>UD_61_NU1/URBAN-DEMAND</v>
      </c>
      <c r="H914" t="s">
        <v>305</v>
      </c>
      <c r="I914" t="s">
        <v>306</v>
      </c>
      <c r="L914" t="s">
        <v>8</v>
      </c>
      <c r="N914" t="s">
        <v>9</v>
      </c>
    </row>
    <row r="915" spans="2:14" x14ac:dyDescent="0.25">
      <c r="B915" t="s">
        <v>0</v>
      </c>
      <c r="C915" t="s">
        <v>961</v>
      </c>
      <c r="D915" t="s">
        <v>892</v>
      </c>
      <c r="E915" t="s">
        <v>3</v>
      </c>
      <c r="F915" t="s">
        <v>4</v>
      </c>
      <c r="G915" s="2" t="str">
        <f t="shared" si="14"/>
        <v>UD_61_NU2/URBAN-DEMAND</v>
      </c>
      <c r="H915" t="s">
        <v>305</v>
      </c>
      <c r="I915" t="s">
        <v>306</v>
      </c>
      <c r="L915" t="s">
        <v>8</v>
      </c>
      <c r="N915" t="s">
        <v>9</v>
      </c>
    </row>
    <row r="916" spans="2:14" x14ac:dyDescent="0.25">
      <c r="B916" t="s">
        <v>0</v>
      </c>
      <c r="C916" t="s">
        <v>962</v>
      </c>
      <c r="D916" t="s">
        <v>892</v>
      </c>
      <c r="E916" t="s">
        <v>3</v>
      </c>
      <c r="F916" t="s">
        <v>4</v>
      </c>
      <c r="G916" s="2" t="str">
        <f t="shared" si="14"/>
        <v>UD_61_NU3/URBAN-DEMAND</v>
      </c>
      <c r="H916" t="s">
        <v>305</v>
      </c>
      <c r="I916" t="s">
        <v>306</v>
      </c>
      <c r="L916" t="s">
        <v>8</v>
      </c>
      <c r="N916" t="s">
        <v>9</v>
      </c>
    </row>
    <row r="917" spans="2:14" x14ac:dyDescent="0.25">
      <c r="B917" t="s">
        <v>0</v>
      </c>
      <c r="C917" t="s">
        <v>963</v>
      </c>
      <c r="D917" t="s">
        <v>892</v>
      </c>
      <c r="E917" t="s">
        <v>3</v>
      </c>
      <c r="F917" t="s">
        <v>4</v>
      </c>
      <c r="G917" s="2" t="str">
        <f t="shared" si="14"/>
        <v>UD_62_NU/URBAN-DEMAND</v>
      </c>
      <c r="H917" t="s">
        <v>305</v>
      </c>
      <c r="I917" t="s">
        <v>306</v>
      </c>
      <c r="L917" t="s">
        <v>8</v>
      </c>
      <c r="N917" t="s">
        <v>9</v>
      </c>
    </row>
    <row r="918" spans="2:14" x14ac:dyDescent="0.25">
      <c r="B918" t="s">
        <v>0</v>
      </c>
      <c r="C918" t="s">
        <v>964</v>
      </c>
      <c r="D918" t="s">
        <v>892</v>
      </c>
      <c r="E918" t="s">
        <v>3</v>
      </c>
      <c r="F918" t="s">
        <v>4</v>
      </c>
      <c r="G918" s="2" t="str">
        <f t="shared" si="14"/>
        <v>UD_63_NU/URBAN-DEMAND</v>
      </c>
      <c r="H918" t="s">
        <v>305</v>
      </c>
      <c r="I918" t="s">
        <v>306</v>
      </c>
      <c r="L918" t="s">
        <v>8</v>
      </c>
      <c r="N918" t="s">
        <v>9</v>
      </c>
    </row>
    <row r="919" spans="2:14" x14ac:dyDescent="0.25">
      <c r="B919" t="s">
        <v>0</v>
      </c>
      <c r="C919" t="s">
        <v>965</v>
      </c>
      <c r="D919" t="s">
        <v>892</v>
      </c>
      <c r="E919" t="s">
        <v>3</v>
      </c>
      <c r="F919" t="s">
        <v>4</v>
      </c>
      <c r="G919" s="2" t="str">
        <f t="shared" si="14"/>
        <v>UD_64_NU/URBAN-DEMAND</v>
      </c>
      <c r="H919" t="s">
        <v>305</v>
      </c>
      <c r="I919" t="s">
        <v>306</v>
      </c>
      <c r="L919" t="s">
        <v>8</v>
      </c>
      <c r="N919" t="s">
        <v>9</v>
      </c>
    </row>
    <row r="920" spans="2:14" x14ac:dyDescent="0.25">
      <c r="B920" t="s">
        <v>0</v>
      </c>
      <c r="C920" t="s">
        <v>966</v>
      </c>
      <c r="D920" t="s">
        <v>892</v>
      </c>
      <c r="E920" t="s">
        <v>3</v>
      </c>
      <c r="F920" t="s">
        <v>4</v>
      </c>
      <c r="G920" s="2" t="str">
        <f t="shared" si="14"/>
        <v>UD_71_NU/URBAN-DEMAND</v>
      </c>
      <c r="H920" t="s">
        <v>305</v>
      </c>
      <c r="I920" t="s">
        <v>306</v>
      </c>
      <c r="L920" t="s">
        <v>8</v>
      </c>
      <c r="N920" t="s">
        <v>9</v>
      </c>
    </row>
    <row r="921" spans="2:14" x14ac:dyDescent="0.25">
      <c r="B921" t="s">
        <v>0</v>
      </c>
      <c r="C921" t="s">
        <v>967</v>
      </c>
      <c r="D921" t="s">
        <v>892</v>
      </c>
      <c r="E921" t="s">
        <v>3</v>
      </c>
      <c r="F921" t="s">
        <v>4</v>
      </c>
      <c r="G921" s="2" t="str">
        <f t="shared" si="14"/>
        <v>UD_71_PU1/URBAN-DEMAND</v>
      </c>
      <c r="H921" t="s">
        <v>305</v>
      </c>
      <c r="I921" t="s">
        <v>306</v>
      </c>
      <c r="L921" t="s">
        <v>8</v>
      </c>
      <c r="N921" t="s">
        <v>9</v>
      </c>
    </row>
    <row r="922" spans="2:14" x14ac:dyDescent="0.25">
      <c r="B922" t="s">
        <v>0</v>
      </c>
      <c r="C922" t="s">
        <v>968</v>
      </c>
      <c r="D922" t="s">
        <v>892</v>
      </c>
      <c r="E922" t="s">
        <v>3</v>
      </c>
      <c r="F922" t="s">
        <v>4</v>
      </c>
      <c r="G922" s="2" t="str">
        <f t="shared" si="14"/>
        <v>UD_71_PU2/URBAN-DEMAND</v>
      </c>
      <c r="H922" t="s">
        <v>305</v>
      </c>
      <c r="I922" t="s">
        <v>306</v>
      </c>
      <c r="L922" t="s">
        <v>8</v>
      </c>
      <c r="N922" t="s">
        <v>9</v>
      </c>
    </row>
    <row r="923" spans="2:14" x14ac:dyDescent="0.25">
      <c r="B923" t="s">
        <v>0</v>
      </c>
      <c r="C923" t="s">
        <v>969</v>
      </c>
      <c r="D923" t="s">
        <v>892</v>
      </c>
      <c r="E923" t="s">
        <v>3</v>
      </c>
      <c r="F923" t="s">
        <v>4</v>
      </c>
      <c r="G923" s="2" t="str">
        <f t="shared" si="14"/>
        <v>UD_72_NU/URBAN-DEMAND</v>
      </c>
      <c r="H923" t="s">
        <v>305</v>
      </c>
      <c r="I923" t="s">
        <v>306</v>
      </c>
      <c r="L923" t="s">
        <v>8</v>
      </c>
      <c r="N923" t="s">
        <v>9</v>
      </c>
    </row>
    <row r="924" spans="2:14" x14ac:dyDescent="0.25">
      <c r="B924" t="s">
        <v>0</v>
      </c>
      <c r="C924" t="s">
        <v>970</v>
      </c>
      <c r="D924" t="s">
        <v>892</v>
      </c>
      <c r="E924" t="s">
        <v>3</v>
      </c>
      <c r="F924" t="s">
        <v>4</v>
      </c>
      <c r="G924" s="2" t="str">
        <f t="shared" si="14"/>
        <v>UD_72_PU/URBAN-DEMAND</v>
      </c>
      <c r="H924" t="s">
        <v>305</v>
      </c>
      <c r="I924" t="s">
        <v>306</v>
      </c>
      <c r="L924" t="s">
        <v>8</v>
      </c>
      <c r="N924" t="s">
        <v>9</v>
      </c>
    </row>
    <row r="925" spans="2:14" x14ac:dyDescent="0.25">
      <c r="B925" t="s">
        <v>0</v>
      </c>
      <c r="C925" t="s">
        <v>971</v>
      </c>
      <c r="D925" t="s">
        <v>892</v>
      </c>
      <c r="E925" t="s">
        <v>3</v>
      </c>
      <c r="F925" t="s">
        <v>4</v>
      </c>
      <c r="G925" s="2" t="str">
        <f t="shared" si="14"/>
        <v>UD_73_NU/URBAN-DEMAND</v>
      </c>
      <c r="H925" t="s">
        <v>305</v>
      </c>
      <c r="I925" t="s">
        <v>306</v>
      </c>
      <c r="L925" t="s">
        <v>8</v>
      </c>
      <c r="N925" t="s">
        <v>9</v>
      </c>
    </row>
    <row r="926" spans="2:14" x14ac:dyDescent="0.25">
      <c r="B926" t="s">
        <v>0</v>
      </c>
      <c r="C926" t="s">
        <v>972</v>
      </c>
      <c r="D926" t="s">
        <v>892</v>
      </c>
      <c r="E926" t="s">
        <v>3</v>
      </c>
      <c r="F926" t="s">
        <v>4</v>
      </c>
      <c r="G926" s="2" t="str">
        <f t="shared" si="14"/>
        <v>UD_90_PU/URBAN-DEMAND</v>
      </c>
      <c r="H926" t="s">
        <v>305</v>
      </c>
      <c r="I926" t="s">
        <v>306</v>
      </c>
      <c r="L926" t="s">
        <v>8</v>
      </c>
      <c r="N926" t="s">
        <v>9</v>
      </c>
    </row>
    <row r="927" spans="2:14" x14ac:dyDescent="0.25">
      <c r="B927" t="s">
        <v>0</v>
      </c>
      <c r="C927" t="s">
        <v>973</v>
      </c>
      <c r="D927" t="s">
        <v>892</v>
      </c>
      <c r="E927" t="s">
        <v>3</v>
      </c>
      <c r="F927" t="s">
        <v>4</v>
      </c>
      <c r="G927" s="2" t="str">
        <f t="shared" si="14"/>
        <v>UD_BNCIA/URBAN-DEMAND</v>
      </c>
      <c r="H927" t="s">
        <v>305</v>
      </c>
      <c r="I927" t="s">
        <v>306</v>
      </c>
      <c r="L927" t="s">
        <v>8</v>
      </c>
      <c r="N927" t="s">
        <v>9</v>
      </c>
    </row>
    <row r="928" spans="2:14" x14ac:dyDescent="0.25">
      <c r="B928" t="s">
        <v>0</v>
      </c>
      <c r="C928" t="s">
        <v>974</v>
      </c>
      <c r="D928" t="s">
        <v>892</v>
      </c>
      <c r="E928" t="s">
        <v>3</v>
      </c>
      <c r="F928" t="s">
        <v>4</v>
      </c>
      <c r="G928" s="2" t="str">
        <f t="shared" si="14"/>
        <v>UD_CSPSO/URBAN-DEMAND</v>
      </c>
      <c r="H928" t="s">
        <v>305</v>
      </c>
      <c r="I928" t="s">
        <v>306</v>
      </c>
      <c r="L928" t="s">
        <v>8</v>
      </c>
      <c r="N928" t="s">
        <v>9</v>
      </c>
    </row>
    <row r="929" spans="2:14" x14ac:dyDescent="0.25">
      <c r="B929" t="s">
        <v>0</v>
      </c>
      <c r="C929" t="s">
        <v>975</v>
      </c>
      <c r="D929" t="s">
        <v>892</v>
      </c>
      <c r="E929" t="s">
        <v>3</v>
      </c>
      <c r="F929" t="s">
        <v>4</v>
      </c>
      <c r="G929" s="2" t="str">
        <f t="shared" si="14"/>
        <v>UD_EDCOCA_NU1/URBAN-DEMAND</v>
      </c>
      <c r="H929" t="s">
        <v>305</v>
      </c>
      <c r="I929" t="s">
        <v>306</v>
      </c>
      <c r="L929" t="s">
        <v>8</v>
      </c>
      <c r="N929" t="s">
        <v>9</v>
      </c>
    </row>
    <row r="930" spans="2:14" x14ac:dyDescent="0.25">
      <c r="B930" t="s">
        <v>0</v>
      </c>
      <c r="C930" t="s">
        <v>976</v>
      </c>
      <c r="D930" t="s">
        <v>892</v>
      </c>
      <c r="E930" t="s">
        <v>3</v>
      </c>
      <c r="F930" t="s">
        <v>4</v>
      </c>
      <c r="G930" s="2" t="str">
        <f t="shared" si="14"/>
        <v>UD_EDCOCA_NU2/URBAN-DEMAND</v>
      </c>
      <c r="H930" t="s">
        <v>305</v>
      </c>
      <c r="I930" t="s">
        <v>306</v>
      </c>
      <c r="L930" t="s">
        <v>8</v>
      </c>
      <c r="N930" t="s">
        <v>9</v>
      </c>
    </row>
    <row r="931" spans="2:14" x14ac:dyDescent="0.25">
      <c r="B931" t="s">
        <v>0</v>
      </c>
      <c r="C931" t="s">
        <v>977</v>
      </c>
      <c r="D931" t="s">
        <v>892</v>
      </c>
      <c r="E931" t="s">
        <v>3</v>
      </c>
      <c r="F931" t="s">
        <v>4</v>
      </c>
      <c r="G931" s="2" t="str">
        <f t="shared" si="14"/>
        <v>UD_EDCOCA_NU3/URBAN-DEMAND</v>
      </c>
      <c r="H931" t="s">
        <v>305</v>
      </c>
      <c r="I931" t="s">
        <v>306</v>
      </c>
      <c r="L931" t="s">
        <v>8</v>
      </c>
      <c r="N931" t="s">
        <v>9</v>
      </c>
    </row>
    <row r="932" spans="2:14" x14ac:dyDescent="0.25">
      <c r="B932" t="s">
        <v>0</v>
      </c>
      <c r="C932" t="s">
        <v>978</v>
      </c>
      <c r="D932" t="s">
        <v>892</v>
      </c>
      <c r="E932" t="s">
        <v>3</v>
      </c>
      <c r="F932" t="s">
        <v>4</v>
      </c>
      <c r="G932" s="2" t="str">
        <f t="shared" si="14"/>
        <v>UD_ELDID_NU1/URBAN-DEMAND</v>
      </c>
      <c r="H932" t="s">
        <v>305</v>
      </c>
      <c r="I932" t="s">
        <v>306</v>
      </c>
      <c r="L932" t="s">
        <v>8</v>
      </c>
      <c r="N932" t="s">
        <v>9</v>
      </c>
    </row>
    <row r="933" spans="2:14" x14ac:dyDescent="0.25">
      <c r="B933" t="s">
        <v>0</v>
      </c>
      <c r="C933" t="s">
        <v>979</v>
      </c>
      <c r="D933" t="s">
        <v>892</v>
      </c>
      <c r="E933" t="s">
        <v>3</v>
      </c>
      <c r="F933" t="s">
        <v>4</v>
      </c>
      <c r="G933" s="2" t="str">
        <f t="shared" si="14"/>
        <v>UD_ELDID_NU2/URBAN-DEMAND</v>
      </c>
      <c r="H933" t="s">
        <v>305</v>
      </c>
      <c r="I933" t="s">
        <v>306</v>
      </c>
      <c r="L933" t="s">
        <v>8</v>
      </c>
      <c r="N933" t="s">
        <v>9</v>
      </c>
    </row>
    <row r="934" spans="2:14" x14ac:dyDescent="0.25">
      <c r="B934" t="s">
        <v>0</v>
      </c>
      <c r="C934" t="s">
        <v>980</v>
      </c>
      <c r="D934" t="s">
        <v>892</v>
      </c>
      <c r="E934" t="s">
        <v>3</v>
      </c>
      <c r="F934" t="s">
        <v>4</v>
      </c>
      <c r="G934" s="2" t="str">
        <f t="shared" si="14"/>
        <v>UD_ELDID_NU3/URBAN-DEMAND</v>
      </c>
      <c r="H934" t="s">
        <v>305</v>
      </c>
      <c r="I934" t="s">
        <v>306</v>
      </c>
      <c r="L934" t="s">
        <v>8</v>
      </c>
      <c r="N934" t="s">
        <v>9</v>
      </c>
    </row>
    <row r="935" spans="2:14" x14ac:dyDescent="0.25">
      <c r="B935" t="s">
        <v>0</v>
      </c>
      <c r="C935" t="s">
        <v>981</v>
      </c>
      <c r="D935" t="s">
        <v>892</v>
      </c>
      <c r="E935" t="s">
        <v>3</v>
      </c>
      <c r="F935" t="s">
        <v>4</v>
      </c>
      <c r="G935" s="2" t="str">
        <f t="shared" si="14"/>
        <v>UD_FRFLD/URBAN-DEMAND</v>
      </c>
      <c r="H935" t="s">
        <v>305</v>
      </c>
      <c r="I935" t="s">
        <v>306</v>
      </c>
      <c r="L935" t="s">
        <v>8</v>
      </c>
      <c r="N935" t="s">
        <v>9</v>
      </c>
    </row>
    <row r="936" spans="2:14" x14ac:dyDescent="0.25">
      <c r="B936" t="s">
        <v>0</v>
      </c>
      <c r="C936" t="s">
        <v>982</v>
      </c>
      <c r="D936" t="s">
        <v>892</v>
      </c>
      <c r="E936" t="s">
        <v>3</v>
      </c>
      <c r="F936" t="s">
        <v>4</v>
      </c>
      <c r="G936" s="2" t="str">
        <f t="shared" si="14"/>
        <v>UD_GDPUD_NU/URBAN-DEMAND</v>
      </c>
      <c r="H936" t="s">
        <v>305</v>
      </c>
      <c r="I936" t="s">
        <v>306</v>
      </c>
      <c r="L936" t="s">
        <v>8</v>
      </c>
      <c r="N936" t="s">
        <v>9</v>
      </c>
    </row>
    <row r="937" spans="2:14" x14ac:dyDescent="0.25">
      <c r="B937" t="s">
        <v>0</v>
      </c>
      <c r="C937" t="s">
        <v>983</v>
      </c>
      <c r="D937" t="s">
        <v>892</v>
      </c>
      <c r="E937" t="s">
        <v>3</v>
      </c>
      <c r="F937" t="s">
        <v>4</v>
      </c>
      <c r="G937" s="2" t="str">
        <f t="shared" si="14"/>
        <v>UD_GRSVL/URBAN-DEMAND</v>
      </c>
      <c r="H937" t="s">
        <v>305</v>
      </c>
      <c r="I937" t="s">
        <v>306</v>
      </c>
      <c r="L937" t="s">
        <v>8</v>
      </c>
      <c r="N937" t="s">
        <v>9</v>
      </c>
    </row>
    <row r="938" spans="2:14" x14ac:dyDescent="0.25">
      <c r="B938" t="s">
        <v>0</v>
      </c>
      <c r="C938" t="s">
        <v>984</v>
      </c>
      <c r="D938" t="s">
        <v>892</v>
      </c>
      <c r="E938" t="s">
        <v>3</v>
      </c>
      <c r="F938" t="s">
        <v>4</v>
      </c>
      <c r="G938" s="2" t="str">
        <f t="shared" si="14"/>
        <v>UD_NAPA2/URBAN-DEMAND</v>
      </c>
      <c r="H938" t="s">
        <v>305</v>
      </c>
      <c r="I938" t="s">
        <v>306</v>
      </c>
      <c r="L938" t="s">
        <v>8</v>
      </c>
      <c r="N938" t="s">
        <v>9</v>
      </c>
    </row>
    <row r="939" spans="2:14" x14ac:dyDescent="0.25">
      <c r="B939" t="s">
        <v>0</v>
      </c>
      <c r="C939" t="s">
        <v>985</v>
      </c>
      <c r="D939" t="s">
        <v>892</v>
      </c>
      <c r="E939" t="s">
        <v>3</v>
      </c>
      <c r="F939" t="s">
        <v>4</v>
      </c>
      <c r="G939" s="2" t="str">
        <f t="shared" si="14"/>
        <v>UD_PCWA3/URBAN-DEMAND</v>
      </c>
      <c r="H939" t="s">
        <v>305</v>
      </c>
      <c r="I939" t="s">
        <v>306</v>
      </c>
      <c r="L939" t="s">
        <v>8</v>
      </c>
      <c r="N939" t="s">
        <v>9</v>
      </c>
    </row>
    <row r="940" spans="2:14" x14ac:dyDescent="0.25">
      <c r="B940" t="s">
        <v>0</v>
      </c>
      <c r="C940" t="s">
        <v>986</v>
      </c>
      <c r="D940" t="s">
        <v>892</v>
      </c>
      <c r="E940" t="s">
        <v>3</v>
      </c>
      <c r="F940" t="s">
        <v>4</v>
      </c>
      <c r="G940" s="2" t="str">
        <f t="shared" si="14"/>
        <v>UD_PINES/URBAN-DEMAND</v>
      </c>
      <c r="H940" t="s">
        <v>305</v>
      </c>
      <c r="I940" t="s">
        <v>306</v>
      </c>
      <c r="L940" t="s">
        <v>8</v>
      </c>
      <c r="N940" t="s">
        <v>9</v>
      </c>
    </row>
    <row r="941" spans="2:14" x14ac:dyDescent="0.25">
      <c r="B941" t="s">
        <v>0</v>
      </c>
      <c r="C941" t="s">
        <v>987</v>
      </c>
      <c r="D941" t="s">
        <v>892</v>
      </c>
      <c r="E941" t="s">
        <v>3</v>
      </c>
      <c r="F941" t="s">
        <v>4</v>
      </c>
      <c r="G941" s="2" t="str">
        <f t="shared" si="14"/>
        <v>UD_PUTAH/URBAN-DEMAND</v>
      </c>
      <c r="H941" t="s">
        <v>305</v>
      </c>
      <c r="I941" t="s">
        <v>306</v>
      </c>
      <c r="L941" t="s">
        <v>8</v>
      </c>
      <c r="N941" t="s">
        <v>9</v>
      </c>
    </row>
    <row r="942" spans="2:14" x14ac:dyDescent="0.25">
      <c r="B942" t="s">
        <v>0</v>
      </c>
      <c r="C942" t="s">
        <v>988</v>
      </c>
      <c r="D942" t="s">
        <v>892</v>
      </c>
      <c r="E942" t="s">
        <v>3</v>
      </c>
      <c r="F942" t="s">
        <v>4</v>
      </c>
      <c r="G942" s="2" t="str">
        <f t="shared" si="14"/>
        <v>UD_SUISN/URBAN-DEMAND</v>
      </c>
      <c r="H942" t="s">
        <v>305</v>
      </c>
      <c r="I942" t="s">
        <v>306</v>
      </c>
      <c r="L942" t="s">
        <v>8</v>
      </c>
      <c r="N942" t="s">
        <v>9</v>
      </c>
    </row>
    <row r="943" spans="2:14" x14ac:dyDescent="0.25">
      <c r="B943" t="s">
        <v>0</v>
      </c>
      <c r="C943" t="s">
        <v>989</v>
      </c>
      <c r="D943" t="s">
        <v>892</v>
      </c>
      <c r="E943" t="s">
        <v>3</v>
      </c>
      <c r="F943" t="s">
        <v>4</v>
      </c>
      <c r="G943" s="2" t="str">
        <f t="shared" si="14"/>
        <v>UD_TVAFB/URBAN-DEMAND</v>
      </c>
      <c r="H943" t="s">
        <v>305</v>
      </c>
      <c r="I943" t="s">
        <v>306</v>
      </c>
      <c r="L943" t="s">
        <v>8</v>
      </c>
      <c r="N943" t="s">
        <v>9</v>
      </c>
    </row>
    <row r="944" spans="2:14" x14ac:dyDescent="0.25">
      <c r="B944" t="s">
        <v>0</v>
      </c>
      <c r="C944" t="s">
        <v>990</v>
      </c>
      <c r="D944" t="s">
        <v>892</v>
      </c>
      <c r="E944" t="s">
        <v>3</v>
      </c>
      <c r="F944" t="s">
        <v>4</v>
      </c>
      <c r="G944" s="2" t="str">
        <f t="shared" si="14"/>
        <v>UD_VLLJO/URBAN-DEMAND</v>
      </c>
      <c r="H944" t="s">
        <v>305</v>
      </c>
      <c r="I944" t="s">
        <v>306</v>
      </c>
      <c r="L944" t="s">
        <v>8</v>
      </c>
      <c r="N944" t="s">
        <v>9</v>
      </c>
    </row>
    <row r="945" spans="2:14" x14ac:dyDescent="0.25">
      <c r="B945" t="s">
        <v>0</v>
      </c>
      <c r="C945" t="s">
        <v>991</v>
      </c>
      <c r="D945" t="s">
        <v>892</v>
      </c>
      <c r="E945" t="s">
        <v>3</v>
      </c>
      <c r="F945" t="s">
        <v>4</v>
      </c>
      <c r="G945" s="2" t="str">
        <f t="shared" si="14"/>
        <v>UD_WLDWD/URBAN-DEMAND</v>
      </c>
      <c r="H945" t="s">
        <v>305</v>
      </c>
      <c r="I945" t="s">
        <v>306</v>
      </c>
      <c r="L945" t="s">
        <v>8</v>
      </c>
      <c r="N945" t="s">
        <v>9</v>
      </c>
    </row>
    <row r="946" spans="2:14" x14ac:dyDescent="0.25">
      <c r="B946" t="s">
        <v>0</v>
      </c>
      <c r="C946" t="s">
        <v>992</v>
      </c>
      <c r="D946" t="s">
        <v>993</v>
      </c>
      <c r="E946" t="s">
        <v>3</v>
      </c>
      <c r="F946" t="s">
        <v>4</v>
      </c>
      <c r="G946" s="2" t="str">
        <f t="shared" si="14"/>
        <v>WW_02_NU/WASTEWATER</v>
      </c>
      <c r="H946" t="s">
        <v>305</v>
      </c>
      <c r="I946" t="s">
        <v>306</v>
      </c>
      <c r="L946" t="s">
        <v>8</v>
      </c>
      <c r="N946" t="s">
        <v>9</v>
      </c>
    </row>
    <row r="947" spans="2:14" x14ac:dyDescent="0.25">
      <c r="B947" t="s">
        <v>0</v>
      </c>
      <c r="C947" t="s">
        <v>994</v>
      </c>
      <c r="D947" t="s">
        <v>993</v>
      </c>
      <c r="E947" t="s">
        <v>3</v>
      </c>
      <c r="F947" t="s">
        <v>4</v>
      </c>
      <c r="G947" s="2" t="str">
        <f t="shared" si="14"/>
        <v>WW_02_PU/WASTEWATER</v>
      </c>
      <c r="H947" t="s">
        <v>305</v>
      </c>
      <c r="I947" t="s">
        <v>306</v>
      </c>
      <c r="L947" t="s">
        <v>8</v>
      </c>
      <c r="N947" t="s">
        <v>9</v>
      </c>
    </row>
    <row r="948" spans="2:14" x14ac:dyDescent="0.25">
      <c r="B948" t="s">
        <v>0</v>
      </c>
      <c r="C948" t="s">
        <v>995</v>
      </c>
      <c r="D948" t="s">
        <v>993</v>
      </c>
      <c r="E948" t="s">
        <v>3</v>
      </c>
      <c r="F948" t="s">
        <v>4</v>
      </c>
      <c r="G948" s="2" t="str">
        <f t="shared" si="14"/>
        <v>WW_02_SU/WASTEWATER</v>
      </c>
      <c r="H948" t="s">
        <v>305</v>
      </c>
      <c r="I948" t="s">
        <v>306</v>
      </c>
      <c r="L948" t="s">
        <v>8</v>
      </c>
      <c r="N948" t="s">
        <v>9</v>
      </c>
    </row>
    <row r="949" spans="2:14" x14ac:dyDescent="0.25">
      <c r="B949" t="s">
        <v>0</v>
      </c>
      <c r="C949" t="s">
        <v>996</v>
      </c>
      <c r="D949" t="s">
        <v>993</v>
      </c>
      <c r="E949" t="s">
        <v>3</v>
      </c>
      <c r="F949" t="s">
        <v>4</v>
      </c>
      <c r="G949" s="2" t="str">
        <f t="shared" si="14"/>
        <v>WW_03_NU/WASTEWATER</v>
      </c>
      <c r="H949" t="s">
        <v>305</v>
      </c>
      <c r="I949" t="s">
        <v>306</v>
      </c>
      <c r="L949" t="s">
        <v>8</v>
      </c>
      <c r="N949" t="s">
        <v>9</v>
      </c>
    </row>
    <row r="950" spans="2:14" x14ac:dyDescent="0.25">
      <c r="B950" t="s">
        <v>0</v>
      </c>
      <c r="C950" t="s">
        <v>997</v>
      </c>
      <c r="D950" t="s">
        <v>993</v>
      </c>
      <c r="E950" t="s">
        <v>3</v>
      </c>
      <c r="F950" t="s">
        <v>4</v>
      </c>
      <c r="G950" s="2" t="str">
        <f t="shared" si="14"/>
        <v>WW_03_PU1/WASTEWATER</v>
      </c>
      <c r="H950" t="s">
        <v>305</v>
      </c>
      <c r="I950" t="s">
        <v>306</v>
      </c>
      <c r="L950" t="s">
        <v>8</v>
      </c>
      <c r="N950" t="s">
        <v>9</v>
      </c>
    </row>
    <row r="951" spans="2:14" x14ac:dyDescent="0.25">
      <c r="B951" t="s">
        <v>0</v>
      </c>
      <c r="C951" t="s">
        <v>998</v>
      </c>
      <c r="D951" t="s">
        <v>993</v>
      </c>
      <c r="E951" t="s">
        <v>3</v>
      </c>
      <c r="F951" t="s">
        <v>4</v>
      </c>
      <c r="G951" s="2" t="str">
        <f t="shared" si="14"/>
        <v>WW_03_PU2/WASTEWATER</v>
      </c>
      <c r="H951" t="s">
        <v>305</v>
      </c>
      <c r="I951" t="s">
        <v>306</v>
      </c>
      <c r="L951" t="s">
        <v>8</v>
      </c>
      <c r="N951" t="s">
        <v>9</v>
      </c>
    </row>
    <row r="952" spans="2:14" x14ac:dyDescent="0.25">
      <c r="B952" t="s">
        <v>0</v>
      </c>
      <c r="C952" t="s">
        <v>999</v>
      </c>
      <c r="D952" t="s">
        <v>993</v>
      </c>
      <c r="E952" t="s">
        <v>3</v>
      </c>
      <c r="F952" t="s">
        <v>4</v>
      </c>
      <c r="G952" s="2" t="str">
        <f t="shared" si="14"/>
        <v>WW_03_PU3/WASTEWATER</v>
      </c>
      <c r="H952" t="s">
        <v>305</v>
      </c>
      <c r="I952" t="s">
        <v>306</v>
      </c>
      <c r="L952" t="s">
        <v>8</v>
      </c>
      <c r="M952" t="s">
        <v>54</v>
      </c>
      <c r="N952" t="s">
        <v>9</v>
      </c>
    </row>
    <row r="953" spans="2:14" x14ac:dyDescent="0.25">
      <c r="B953" t="s">
        <v>0</v>
      </c>
      <c r="C953" t="s">
        <v>1000</v>
      </c>
      <c r="D953" t="s">
        <v>993</v>
      </c>
      <c r="E953" t="s">
        <v>3</v>
      </c>
      <c r="F953" t="s">
        <v>4</v>
      </c>
      <c r="G953" s="2" t="str">
        <f t="shared" si="14"/>
        <v>WW_03_SU/WASTEWATER</v>
      </c>
      <c r="H953" t="s">
        <v>305</v>
      </c>
      <c r="I953" t="s">
        <v>306</v>
      </c>
      <c r="L953" t="s">
        <v>8</v>
      </c>
      <c r="N953" t="s">
        <v>9</v>
      </c>
    </row>
    <row r="954" spans="2:14" x14ac:dyDescent="0.25">
      <c r="B954" t="s">
        <v>0</v>
      </c>
      <c r="C954" t="s">
        <v>1001</v>
      </c>
      <c r="D954" t="s">
        <v>993</v>
      </c>
      <c r="E954" t="s">
        <v>3</v>
      </c>
      <c r="F954" t="s">
        <v>4</v>
      </c>
      <c r="G954" s="2" t="str">
        <f t="shared" si="14"/>
        <v>WW_04_NU1/WASTEWATER</v>
      </c>
      <c r="H954" t="s">
        <v>305</v>
      </c>
      <c r="I954" t="s">
        <v>306</v>
      </c>
      <c r="L954" t="s">
        <v>8</v>
      </c>
      <c r="N954" t="s">
        <v>9</v>
      </c>
    </row>
    <row r="955" spans="2:14" x14ac:dyDescent="0.25">
      <c r="B955" t="s">
        <v>0</v>
      </c>
      <c r="C955" t="s">
        <v>1002</v>
      </c>
      <c r="D955" t="s">
        <v>993</v>
      </c>
      <c r="E955" t="s">
        <v>3</v>
      </c>
      <c r="F955" t="s">
        <v>4</v>
      </c>
      <c r="G955" s="2" t="str">
        <f t="shared" si="14"/>
        <v>WW_04_NU2/WASTEWATER</v>
      </c>
      <c r="H955" t="s">
        <v>305</v>
      </c>
      <c r="I955" t="s">
        <v>306</v>
      </c>
      <c r="L955" t="s">
        <v>8</v>
      </c>
      <c r="N955" t="s">
        <v>9</v>
      </c>
    </row>
    <row r="956" spans="2:14" x14ac:dyDescent="0.25">
      <c r="B956" t="s">
        <v>0</v>
      </c>
      <c r="C956" t="s">
        <v>1003</v>
      </c>
      <c r="D956" t="s">
        <v>993</v>
      </c>
      <c r="E956" t="s">
        <v>3</v>
      </c>
      <c r="F956" t="s">
        <v>4</v>
      </c>
      <c r="G956" s="2" t="str">
        <f t="shared" si="14"/>
        <v>WW_05_NU/WASTEWATER</v>
      </c>
      <c r="H956" t="s">
        <v>305</v>
      </c>
      <c r="I956" t="s">
        <v>306</v>
      </c>
      <c r="L956" t="s">
        <v>8</v>
      </c>
      <c r="N956" t="s">
        <v>9</v>
      </c>
    </row>
    <row r="957" spans="2:14" x14ac:dyDescent="0.25">
      <c r="B957" t="s">
        <v>0</v>
      </c>
      <c r="C957" t="s">
        <v>1004</v>
      </c>
      <c r="D957" t="s">
        <v>993</v>
      </c>
      <c r="E957" t="s">
        <v>3</v>
      </c>
      <c r="F957" t="s">
        <v>4</v>
      </c>
      <c r="G957" s="2" t="str">
        <f t="shared" si="14"/>
        <v>WW_06_NU/WASTEWATER</v>
      </c>
      <c r="H957" t="s">
        <v>305</v>
      </c>
      <c r="I957" t="s">
        <v>306</v>
      </c>
      <c r="L957" t="s">
        <v>8</v>
      </c>
      <c r="N957" t="s">
        <v>9</v>
      </c>
    </row>
    <row r="958" spans="2:14" x14ac:dyDescent="0.25">
      <c r="B958" t="s">
        <v>0</v>
      </c>
      <c r="C958" t="s">
        <v>1005</v>
      </c>
      <c r="D958" t="s">
        <v>993</v>
      </c>
      <c r="E958" t="s">
        <v>3</v>
      </c>
      <c r="F958" t="s">
        <v>4</v>
      </c>
      <c r="G958" s="2" t="str">
        <f t="shared" si="14"/>
        <v>WW_07N_NU/WASTEWATER</v>
      </c>
      <c r="H958" t="s">
        <v>305</v>
      </c>
      <c r="I958" t="s">
        <v>306</v>
      </c>
      <c r="L958" t="s">
        <v>8</v>
      </c>
      <c r="N958" t="s">
        <v>9</v>
      </c>
    </row>
    <row r="959" spans="2:14" x14ac:dyDescent="0.25">
      <c r="B959" t="s">
        <v>0</v>
      </c>
      <c r="C959" t="s">
        <v>1006</v>
      </c>
      <c r="D959" t="s">
        <v>993</v>
      </c>
      <c r="E959" t="s">
        <v>3</v>
      </c>
      <c r="F959" t="s">
        <v>4</v>
      </c>
      <c r="G959" s="2" t="str">
        <f t="shared" si="14"/>
        <v>WW_07S_NU/WASTEWATER</v>
      </c>
      <c r="H959" t="s">
        <v>305</v>
      </c>
      <c r="I959" t="s">
        <v>306</v>
      </c>
      <c r="L959" t="s">
        <v>8</v>
      </c>
      <c r="N959" t="s">
        <v>9</v>
      </c>
    </row>
    <row r="960" spans="2:14" x14ac:dyDescent="0.25">
      <c r="B960" t="s">
        <v>0</v>
      </c>
      <c r="C960" t="s">
        <v>1007</v>
      </c>
      <c r="D960" t="s">
        <v>993</v>
      </c>
      <c r="E960" t="s">
        <v>3</v>
      </c>
      <c r="F960" t="s">
        <v>4</v>
      </c>
      <c r="G960" s="2" t="str">
        <f t="shared" si="14"/>
        <v>WW_08N_NU/WASTEWATER</v>
      </c>
      <c r="H960" t="s">
        <v>305</v>
      </c>
      <c r="I960" t="s">
        <v>306</v>
      </c>
      <c r="L960" t="s">
        <v>8</v>
      </c>
      <c r="N960" t="s">
        <v>9</v>
      </c>
    </row>
    <row r="961" spans="2:14" x14ac:dyDescent="0.25">
      <c r="B961" t="s">
        <v>0</v>
      </c>
      <c r="C961" t="s">
        <v>1008</v>
      </c>
      <c r="D961" t="s">
        <v>993</v>
      </c>
      <c r="E961" t="s">
        <v>3</v>
      </c>
      <c r="F961" t="s">
        <v>4</v>
      </c>
      <c r="G961" s="2" t="str">
        <f t="shared" si="14"/>
        <v>WW_08S_NU/WASTEWATER</v>
      </c>
      <c r="H961" t="s">
        <v>305</v>
      </c>
      <c r="I961" t="s">
        <v>306</v>
      </c>
      <c r="L961" t="s">
        <v>8</v>
      </c>
      <c r="N961" t="s">
        <v>9</v>
      </c>
    </row>
    <row r="962" spans="2:14" x14ac:dyDescent="0.25">
      <c r="B962" t="s">
        <v>0</v>
      </c>
      <c r="C962" t="s">
        <v>1009</v>
      </c>
      <c r="D962" t="s">
        <v>993</v>
      </c>
      <c r="E962" t="s">
        <v>3</v>
      </c>
      <c r="F962" t="s">
        <v>4</v>
      </c>
      <c r="G962" s="2" t="str">
        <f t="shared" si="14"/>
        <v>WW_09_NU/WASTEWATER</v>
      </c>
      <c r="H962" t="s">
        <v>305</v>
      </c>
      <c r="I962" t="s">
        <v>306</v>
      </c>
      <c r="L962" t="s">
        <v>8</v>
      </c>
      <c r="N962" t="s">
        <v>9</v>
      </c>
    </row>
    <row r="963" spans="2:14" x14ac:dyDescent="0.25">
      <c r="B963" t="s">
        <v>0</v>
      </c>
      <c r="C963" t="s">
        <v>1010</v>
      </c>
      <c r="D963" t="s">
        <v>993</v>
      </c>
      <c r="E963" t="s">
        <v>3</v>
      </c>
      <c r="F963" t="s">
        <v>4</v>
      </c>
      <c r="G963" s="2" t="str">
        <f t="shared" ref="G963:G1026" si="15">_xlfn.CONCAT(C963,"/",D963)</f>
        <v>WW_10_NU1/WASTEWATER</v>
      </c>
      <c r="H963" t="s">
        <v>305</v>
      </c>
      <c r="I963" t="s">
        <v>306</v>
      </c>
      <c r="L963" t="s">
        <v>8</v>
      </c>
      <c r="N963" t="s">
        <v>9</v>
      </c>
    </row>
    <row r="964" spans="2:14" x14ac:dyDescent="0.25">
      <c r="B964" t="s">
        <v>0</v>
      </c>
      <c r="C964" t="s">
        <v>1011</v>
      </c>
      <c r="D964" t="s">
        <v>993</v>
      </c>
      <c r="E964" t="s">
        <v>3</v>
      </c>
      <c r="F964" t="s">
        <v>4</v>
      </c>
      <c r="G964" s="2" t="str">
        <f t="shared" si="15"/>
        <v>WW_10_NU2/WASTEWATER</v>
      </c>
      <c r="H964" t="s">
        <v>305</v>
      </c>
      <c r="I964" t="s">
        <v>306</v>
      </c>
      <c r="L964" t="s">
        <v>8</v>
      </c>
      <c r="N964" t="s">
        <v>9</v>
      </c>
    </row>
    <row r="965" spans="2:14" x14ac:dyDescent="0.25">
      <c r="B965" t="s">
        <v>0</v>
      </c>
      <c r="C965" t="s">
        <v>1012</v>
      </c>
      <c r="D965" t="s">
        <v>993</v>
      </c>
      <c r="E965" t="s">
        <v>3</v>
      </c>
      <c r="F965" t="s">
        <v>4</v>
      </c>
      <c r="G965" s="2" t="str">
        <f t="shared" si="15"/>
        <v>WW_11_NU1/WASTEWATER</v>
      </c>
      <c r="H965" t="s">
        <v>305</v>
      </c>
      <c r="I965" t="s">
        <v>306</v>
      </c>
      <c r="L965" t="s">
        <v>8</v>
      </c>
      <c r="N965" t="s">
        <v>9</v>
      </c>
    </row>
    <row r="966" spans="2:14" x14ac:dyDescent="0.25">
      <c r="B966" t="s">
        <v>0</v>
      </c>
      <c r="C966" t="s">
        <v>1013</v>
      </c>
      <c r="D966" t="s">
        <v>993</v>
      </c>
      <c r="E966" t="s">
        <v>3</v>
      </c>
      <c r="F966" t="s">
        <v>4</v>
      </c>
      <c r="G966" s="2" t="str">
        <f t="shared" si="15"/>
        <v>WW_11_NU2/WASTEWATER</v>
      </c>
      <c r="H966" t="s">
        <v>305</v>
      </c>
      <c r="I966" t="s">
        <v>306</v>
      </c>
      <c r="L966" t="s">
        <v>8</v>
      </c>
      <c r="N966" t="s">
        <v>9</v>
      </c>
    </row>
    <row r="967" spans="2:14" x14ac:dyDescent="0.25">
      <c r="B967" t="s">
        <v>0</v>
      </c>
      <c r="C967" t="s">
        <v>1014</v>
      </c>
      <c r="D967" t="s">
        <v>993</v>
      </c>
      <c r="E967" t="s">
        <v>3</v>
      </c>
      <c r="F967" t="s">
        <v>4</v>
      </c>
      <c r="G967" s="2" t="str">
        <f t="shared" si="15"/>
        <v>WW_12_NU1/WASTEWATER</v>
      </c>
      <c r="H967" t="s">
        <v>305</v>
      </c>
      <c r="I967" t="s">
        <v>306</v>
      </c>
      <c r="L967" t="s">
        <v>8</v>
      </c>
      <c r="N967" t="s">
        <v>9</v>
      </c>
    </row>
    <row r="968" spans="2:14" x14ac:dyDescent="0.25">
      <c r="B968" t="s">
        <v>0</v>
      </c>
      <c r="C968" t="s">
        <v>1015</v>
      </c>
      <c r="D968" t="s">
        <v>993</v>
      </c>
      <c r="E968" t="s">
        <v>3</v>
      </c>
      <c r="F968" t="s">
        <v>4</v>
      </c>
      <c r="G968" s="2" t="str">
        <f t="shared" si="15"/>
        <v>WW_12_NU2/WASTEWATER</v>
      </c>
      <c r="H968" t="s">
        <v>305</v>
      </c>
      <c r="I968" t="s">
        <v>306</v>
      </c>
      <c r="L968" t="s">
        <v>8</v>
      </c>
      <c r="N968" t="s">
        <v>9</v>
      </c>
    </row>
    <row r="969" spans="2:14" x14ac:dyDescent="0.25">
      <c r="B969" t="s">
        <v>0</v>
      </c>
      <c r="C969" t="s">
        <v>1016</v>
      </c>
      <c r="D969" t="s">
        <v>993</v>
      </c>
      <c r="E969" t="s">
        <v>3</v>
      </c>
      <c r="F969" t="s">
        <v>4</v>
      </c>
      <c r="G969" s="2" t="str">
        <f t="shared" si="15"/>
        <v>WW_13_NU1/WASTEWATER</v>
      </c>
      <c r="H969" t="s">
        <v>305</v>
      </c>
      <c r="I969" t="s">
        <v>306</v>
      </c>
      <c r="L969" t="s">
        <v>8</v>
      </c>
      <c r="N969" t="s">
        <v>9</v>
      </c>
    </row>
    <row r="970" spans="2:14" x14ac:dyDescent="0.25">
      <c r="B970" t="s">
        <v>0</v>
      </c>
      <c r="C970" t="s">
        <v>1017</v>
      </c>
      <c r="D970" t="s">
        <v>993</v>
      </c>
      <c r="E970" t="s">
        <v>3</v>
      </c>
      <c r="F970" t="s">
        <v>4</v>
      </c>
      <c r="G970" s="2" t="str">
        <f t="shared" si="15"/>
        <v>WW_13_NU2/WASTEWATER</v>
      </c>
      <c r="H970" t="s">
        <v>305</v>
      </c>
      <c r="I970" t="s">
        <v>306</v>
      </c>
      <c r="L970" t="s">
        <v>8</v>
      </c>
      <c r="N970" t="s">
        <v>9</v>
      </c>
    </row>
    <row r="971" spans="2:14" x14ac:dyDescent="0.25">
      <c r="B971" t="s">
        <v>0</v>
      </c>
      <c r="C971" t="s">
        <v>1018</v>
      </c>
      <c r="D971" t="s">
        <v>993</v>
      </c>
      <c r="E971" t="s">
        <v>3</v>
      </c>
      <c r="F971" t="s">
        <v>4</v>
      </c>
      <c r="G971" s="2" t="str">
        <f t="shared" si="15"/>
        <v>WW_14_NU/WASTEWATER</v>
      </c>
      <c r="H971" t="s">
        <v>305</v>
      </c>
      <c r="I971" t="s">
        <v>306</v>
      </c>
      <c r="L971" t="s">
        <v>8</v>
      </c>
      <c r="N971" t="s">
        <v>9</v>
      </c>
    </row>
    <row r="972" spans="2:14" x14ac:dyDescent="0.25">
      <c r="B972" t="s">
        <v>0</v>
      </c>
      <c r="C972" t="s">
        <v>1019</v>
      </c>
      <c r="D972" t="s">
        <v>993</v>
      </c>
      <c r="E972" t="s">
        <v>3</v>
      </c>
      <c r="F972" t="s">
        <v>4</v>
      </c>
      <c r="G972" s="2" t="str">
        <f t="shared" si="15"/>
        <v>WW_15N_NU/WASTEWATER</v>
      </c>
      <c r="H972" t="s">
        <v>305</v>
      </c>
      <c r="I972" t="s">
        <v>306</v>
      </c>
      <c r="L972" t="s">
        <v>8</v>
      </c>
      <c r="N972" t="s">
        <v>9</v>
      </c>
    </row>
    <row r="973" spans="2:14" x14ac:dyDescent="0.25">
      <c r="B973" t="s">
        <v>0</v>
      </c>
      <c r="C973" t="s">
        <v>1020</v>
      </c>
      <c r="D973" t="s">
        <v>993</v>
      </c>
      <c r="E973" t="s">
        <v>3</v>
      </c>
      <c r="F973" t="s">
        <v>4</v>
      </c>
      <c r="G973" s="2" t="str">
        <f t="shared" si="15"/>
        <v>WW_15S_NU/WASTEWATER</v>
      </c>
      <c r="H973" t="s">
        <v>305</v>
      </c>
      <c r="I973" t="s">
        <v>306</v>
      </c>
      <c r="L973" t="s">
        <v>8</v>
      </c>
      <c r="N973" t="s">
        <v>9</v>
      </c>
    </row>
    <row r="974" spans="2:14" x14ac:dyDescent="0.25">
      <c r="B974" t="s">
        <v>0</v>
      </c>
      <c r="C974" t="s">
        <v>1021</v>
      </c>
      <c r="D974" t="s">
        <v>993</v>
      </c>
      <c r="E974" t="s">
        <v>3</v>
      </c>
      <c r="F974" t="s">
        <v>4</v>
      </c>
      <c r="G974" s="2" t="str">
        <f t="shared" si="15"/>
        <v>WW_16_NU/WASTEWATER</v>
      </c>
      <c r="H974" t="s">
        <v>305</v>
      </c>
      <c r="I974" t="s">
        <v>306</v>
      </c>
      <c r="L974" t="s">
        <v>8</v>
      </c>
      <c r="N974" t="s">
        <v>9</v>
      </c>
    </row>
    <row r="975" spans="2:14" x14ac:dyDescent="0.25">
      <c r="B975" t="s">
        <v>0</v>
      </c>
      <c r="C975" t="s">
        <v>1022</v>
      </c>
      <c r="D975" t="s">
        <v>993</v>
      </c>
      <c r="E975" t="s">
        <v>3</v>
      </c>
      <c r="F975" t="s">
        <v>4</v>
      </c>
      <c r="G975" s="2" t="str">
        <f t="shared" si="15"/>
        <v>WW_16_PU/WASTEWATER</v>
      </c>
      <c r="H975" t="s">
        <v>305</v>
      </c>
      <c r="I975" t="s">
        <v>306</v>
      </c>
      <c r="L975" t="s">
        <v>8</v>
      </c>
      <c r="N975" t="s">
        <v>9</v>
      </c>
    </row>
    <row r="976" spans="2:14" x14ac:dyDescent="0.25">
      <c r="B976" t="s">
        <v>0</v>
      </c>
      <c r="C976" t="s">
        <v>1023</v>
      </c>
      <c r="D976" t="s">
        <v>993</v>
      </c>
      <c r="E976" t="s">
        <v>3</v>
      </c>
      <c r="F976" t="s">
        <v>4</v>
      </c>
      <c r="G976" s="2" t="str">
        <f t="shared" si="15"/>
        <v>WW_17N_NU/WASTEWATER</v>
      </c>
      <c r="H976" t="s">
        <v>305</v>
      </c>
      <c r="I976" t="s">
        <v>306</v>
      </c>
      <c r="L976" t="s">
        <v>8</v>
      </c>
      <c r="N976" t="s">
        <v>9</v>
      </c>
    </row>
    <row r="977" spans="2:14" x14ac:dyDescent="0.25">
      <c r="B977" t="s">
        <v>0</v>
      </c>
      <c r="C977" t="s">
        <v>1024</v>
      </c>
      <c r="D977" t="s">
        <v>993</v>
      </c>
      <c r="E977" t="s">
        <v>3</v>
      </c>
      <c r="F977" t="s">
        <v>4</v>
      </c>
      <c r="G977" s="2" t="str">
        <f t="shared" si="15"/>
        <v>WW_17S_NU/WASTEWATER</v>
      </c>
      <c r="H977" t="s">
        <v>305</v>
      </c>
      <c r="I977" t="s">
        <v>306</v>
      </c>
      <c r="L977" t="s">
        <v>8</v>
      </c>
      <c r="N977" t="s">
        <v>9</v>
      </c>
    </row>
    <row r="978" spans="2:14" x14ac:dyDescent="0.25">
      <c r="B978" t="s">
        <v>0</v>
      </c>
      <c r="C978" t="s">
        <v>1025</v>
      </c>
      <c r="D978" t="s">
        <v>993</v>
      </c>
      <c r="E978" t="s">
        <v>3</v>
      </c>
      <c r="F978" t="s">
        <v>4</v>
      </c>
      <c r="G978" s="2" t="str">
        <f t="shared" si="15"/>
        <v>WW_18_NU/WASTEWATER</v>
      </c>
      <c r="H978" t="s">
        <v>305</v>
      </c>
      <c r="I978" t="s">
        <v>306</v>
      </c>
      <c r="L978" t="s">
        <v>8</v>
      </c>
      <c r="N978" t="s">
        <v>9</v>
      </c>
    </row>
    <row r="979" spans="2:14" x14ac:dyDescent="0.25">
      <c r="B979" t="s">
        <v>0</v>
      </c>
      <c r="C979" t="s">
        <v>1026</v>
      </c>
      <c r="D979" t="s">
        <v>993</v>
      </c>
      <c r="E979" t="s">
        <v>3</v>
      </c>
      <c r="F979" t="s">
        <v>4</v>
      </c>
      <c r="G979" s="2" t="str">
        <f t="shared" si="15"/>
        <v>WW_19_NU/WASTEWATER</v>
      </c>
      <c r="H979" t="s">
        <v>305</v>
      </c>
      <c r="I979" t="s">
        <v>306</v>
      </c>
      <c r="L979" t="s">
        <v>8</v>
      </c>
      <c r="N979" t="s">
        <v>9</v>
      </c>
    </row>
    <row r="980" spans="2:14" x14ac:dyDescent="0.25">
      <c r="B980" t="s">
        <v>0</v>
      </c>
      <c r="C980" t="s">
        <v>1027</v>
      </c>
      <c r="D980" t="s">
        <v>993</v>
      </c>
      <c r="E980" t="s">
        <v>3</v>
      </c>
      <c r="F980" t="s">
        <v>4</v>
      </c>
      <c r="G980" s="2" t="str">
        <f t="shared" si="15"/>
        <v>WW_20_NU1/WASTEWATER</v>
      </c>
      <c r="H980" t="s">
        <v>305</v>
      </c>
      <c r="I980" t="s">
        <v>306</v>
      </c>
      <c r="L980" t="s">
        <v>8</v>
      </c>
      <c r="N980" t="s">
        <v>9</v>
      </c>
    </row>
    <row r="981" spans="2:14" x14ac:dyDescent="0.25">
      <c r="B981" t="s">
        <v>0</v>
      </c>
      <c r="C981" t="s">
        <v>1028</v>
      </c>
      <c r="D981" t="s">
        <v>993</v>
      </c>
      <c r="E981" t="s">
        <v>3</v>
      </c>
      <c r="F981" t="s">
        <v>4</v>
      </c>
      <c r="G981" s="2" t="str">
        <f t="shared" si="15"/>
        <v>WW_20_NU2/WASTEWATER</v>
      </c>
      <c r="H981" t="s">
        <v>305</v>
      </c>
      <c r="I981" t="s">
        <v>306</v>
      </c>
      <c r="L981" t="s">
        <v>8</v>
      </c>
      <c r="N981" t="s">
        <v>9</v>
      </c>
    </row>
    <row r="982" spans="2:14" x14ac:dyDescent="0.25">
      <c r="B982" t="s">
        <v>0</v>
      </c>
      <c r="C982" t="s">
        <v>1029</v>
      </c>
      <c r="D982" t="s">
        <v>993</v>
      </c>
      <c r="E982" t="s">
        <v>3</v>
      </c>
      <c r="F982" t="s">
        <v>4</v>
      </c>
      <c r="G982" s="2" t="str">
        <f t="shared" si="15"/>
        <v>WW_21_NU/WASTEWATER</v>
      </c>
      <c r="H982" t="s">
        <v>305</v>
      </c>
      <c r="I982" t="s">
        <v>306</v>
      </c>
      <c r="L982" t="s">
        <v>8</v>
      </c>
      <c r="N982" t="s">
        <v>9</v>
      </c>
    </row>
    <row r="983" spans="2:14" x14ac:dyDescent="0.25">
      <c r="B983" t="s">
        <v>0</v>
      </c>
      <c r="C983" t="s">
        <v>1030</v>
      </c>
      <c r="D983" t="s">
        <v>993</v>
      </c>
      <c r="E983" t="s">
        <v>3</v>
      </c>
      <c r="F983" t="s">
        <v>4</v>
      </c>
      <c r="G983" s="2" t="str">
        <f t="shared" si="15"/>
        <v>WW_21_PU/WASTEWATER</v>
      </c>
      <c r="H983" t="s">
        <v>305</v>
      </c>
      <c r="I983" t="s">
        <v>306</v>
      </c>
      <c r="L983" t="s">
        <v>8</v>
      </c>
      <c r="N983" t="s">
        <v>9</v>
      </c>
    </row>
    <row r="984" spans="2:14" x14ac:dyDescent="0.25">
      <c r="B984" t="s">
        <v>0</v>
      </c>
      <c r="C984" t="s">
        <v>1031</v>
      </c>
      <c r="D984" t="s">
        <v>993</v>
      </c>
      <c r="E984" t="s">
        <v>3</v>
      </c>
      <c r="F984" t="s">
        <v>4</v>
      </c>
      <c r="G984" s="2" t="str">
        <f t="shared" si="15"/>
        <v>WW_22_NU/WASTEWATER</v>
      </c>
      <c r="H984" t="s">
        <v>305</v>
      </c>
      <c r="I984" t="s">
        <v>306</v>
      </c>
      <c r="L984" t="s">
        <v>8</v>
      </c>
      <c r="N984" t="s">
        <v>9</v>
      </c>
    </row>
    <row r="985" spans="2:14" x14ac:dyDescent="0.25">
      <c r="B985" t="s">
        <v>0</v>
      </c>
      <c r="C985" t="s">
        <v>1032</v>
      </c>
      <c r="D985" t="s">
        <v>993</v>
      </c>
      <c r="E985" t="s">
        <v>3</v>
      </c>
      <c r="F985" t="s">
        <v>4</v>
      </c>
      <c r="G985" s="2" t="str">
        <f t="shared" si="15"/>
        <v>WW_23_NU/WASTEWATER</v>
      </c>
      <c r="H985" t="s">
        <v>305</v>
      </c>
      <c r="I985" t="s">
        <v>306</v>
      </c>
      <c r="L985" t="s">
        <v>8</v>
      </c>
      <c r="N985" t="s">
        <v>9</v>
      </c>
    </row>
    <row r="986" spans="2:14" x14ac:dyDescent="0.25">
      <c r="B986" t="s">
        <v>0</v>
      </c>
      <c r="C986" t="s">
        <v>1033</v>
      </c>
      <c r="D986" t="s">
        <v>993</v>
      </c>
      <c r="E986" t="s">
        <v>3</v>
      </c>
      <c r="F986" t="s">
        <v>4</v>
      </c>
      <c r="G986" s="2" t="str">
        <f t="shared" si="15"/>
        <v>WW_24_NU1/WASTEWATER</v>
      </c>
      <c r="H986" t="s">
        <v>305</v>
      </c>
      <c r="I986" t="s">
        <v>306</v>
      </c>
      <c r="L986" t="s">
        <v>8</v>
      </c>
      <c r="N986" t="s">
        <v>9</v>
      </c>
    </row>
    <row r="987" spans="2:14" x14ac:dyDescent="0.25">
      <c r="B987" t="s">
        <v>0</v>
      </c>
      <c r="C987" t="s">
        <v>1034</v>
      </c>
      <c r="D987" t="s">
        <v>993</v>
      </c>
      <c r="E987" t="s">
        <v>3</v>
      </c>
      <c r="F987" t="s">
        <v>4</v>
      </c>
      <c r="G987" s="2" t="str">
        <f t="shared" si="15"/>
        <v>WW_24_NU2/WASTEWATER</v>
      </c>
      <c r="H987" t="s">
        <v>305</v>
      </c>
      <c r="I987" t="s">
        <v>306</v>
      </c>
      <c r="L987" t="s">
        <v>8</v>
      </c>
      <c r="N987" t="s">
        <v>9</v>
      </c>
    </row>
    <row r="988" spans="2:14" x14ac:dyDescent="0.25">
      <c r="B988" t="s">
        <v>0</v>
      </c>
      <c r="C988" t="s">
        <v>1035</v>
      </c>
      <c r="D988" t="s">
        <v>993</v>
      </c>
      <c r="E988" t="s">
        <v>3</v>
      </c>
      <c r="F988" t="s">
        <v>4</v>
      </c>
      <c r="G988" s="2" t="str">
        <f t="shared" si="15"/>
        <v>WW_24_NU3/WASTEWATER</v>
      </c>
      <c r="H988" t="s">
        <v>305</v>
      </c>
      <c r="I988" t="s">
        <v>306</v>
      </c>
      <c r="L988" t="s">
        <v>8</v>
      </c>
      <c r="N988" t="s">
        <v>9</v>
      </c>
    </row>
    <row r="989" spans="2:14" x14ac:dyDescent="0.25">
      <c r="B989" t="s">
        <v>0</v>
      </c>
      <c r="C989" t="s">
        <v>1036</v>
      </c>
      <c r="D989" t="s">
        <v>993</v>
      </c>
      <c r="E989" t="s">
        <v>3</v>
      </c>
      <c r="F989" t="s">
        <v>4</v>
      </c>
      <c r="G989" s="2" t="str">
        <f t="shared" si="15"/>
        <v>WW_24_NU4/WASTEWATER</v>
      </c>
      <c r="H989" t="s">
        <v>305</v>
      </c>
      <c r="I989" t="s">
        <v>306</v>
      </c>
      <c r="L989" t="s">
        <v>8</v>
      </c>
      <c r="N989" t="s">
        <v>9</v>
      </c>
    </row>
    <row r="990" spans="2:14" x14ac:dyDescent="0.25">
      <c r="B990" t="s">
        <v>0</v>
      </c>
      <c r="C990" t="s">
        <v>1037</v>
      </c>
      <c r="D990" t="s">
        <v>993</v>
      </c>
      <c r="E990" t="s">
        <v>3</v>
      </c>
      <c r="F990" t="s">
        <v>4</v>
      </c>
      <c r="G990" s="2" t="str">
        <f t="shared" si="15"/>
        <v>WW_25_NU/WASTEWATER</v>
      </c>
      <c r="H990" t="s">
        <v>305</v>
      </c>
      <c r="I990" t="s">
        <v>306</v>
      </c>
      <c r="L990" t="s">
        <v>8</v>
      </c>
      <c r="N990" t="s">
        <v>9</v>
      </c>
    </row>
    <row r="991" spans="2:14" x14ac:dyDescent="0.25">
      <c r="B991" t="s">
        <v>0</v>
      </c>
      <c r="C991" t="s">
        <v>1038</v>
      </c>
      <c r="D991" t="s">
        <v>993</v>
      </c>
      <c r="E991" t="s">
        <v>3</v>
      </c>
      <c r="F991" t="s">
        <v>4</v>
      </c>
      <c r="G991" s="2" t="str">
        <f t="shared" si="15"/>
        <v>WW_25_PU/WASTEWATER</v>
      </c>
      <c r="H991" t="s">
        <v>305</v>
      </c>
      <c r="I991" t="s">
        <v>306</v>
      </c>
      <c r="L991" t="s">
        <v>8</v>
      </c>
      <c r="N991" t="s">
        <v>9</v>
      </c>
    </row>
    <row r="992" spans="2:14" x14ac:dyDescent="0.25">
      <c r="B992" t="s">
        <v>0</v>
      </c>
      <c r="C992" t="s">
        <v>1039</v>
      </c>
      <c r="D992" t="s">
        <v>993</v>
      </c>
      <c r="E992" t="s">
        <v>3</v>
      </c>
      <c r="F992" t="s">
        <v>4</v>
      </c>
      <c r="G992" s="2" t="str">
        <f t="shared" si="15"/>
        <v>WW_26N_NU1/WASTEWATER</v>
      </c>
      <c r="H992" t="s">
        <v>305</v>
      </c>
      <c r="I992" t="s">
        <v>306</v>
      </c>
      <c r="L992" t="s">
        <v>8</v>
      </c>
      <c r="N992" t="s">
        <v>9</v>
      </c>
    </row>
    <row r="993" spans="2:14" x14ac:dyDescent="0.25">
      <c r="B993" t="s">
        <v>0</v>
      </c>
      <c r="C993" t="s">
        <v>1040</v>
      </c>
      <c r="D993" t="s">
        <v>993</v>
      </c>
      <c r="E993" t="s">
        <v>3</v>
      </c>
      <c r="F993" t="s">
        <v>4</v>
      </c>
      <c r="G993" s="2" t="str">
        <f t="shared" si="15"/>
        <v>WW_26N_NU2/WASTEWATER</v>
      </c>
      <c r="H993" t="s">
        <v>305</v>
      </c>
      <c r="I993" t="s">
        <v>306</v>
      </c>
      <c r="L993" t="s">
        <v>8</v>
      </c>
      <c r="N993" t="s">
        <v>9</v>
      </c>
    </row>
    <row r="994" spans="2:14" x14ac:dyDescent="0.25">
      <c r="B994" t="s">
        <v>0</v>
      </c>
      <c r="C994" t="s">
        <v>1041</v>
      </c>
      <c r="D994" t="s">
        <v>993</v>
      </c>
      <c r="E994" t="s">
        <v>3</v>
      </c>
      <c r="F994" t="s">
        <v>4</v>
      </c>
      <c r="G994" s="2" t="str">
        <f t="shared" si="15"/>
        <v>WW_26N_NU3/WASTEWATER</v>
      </c>
      <c r="H994" t="s">
        <v>305</v>
      </c>
      <c r="I994" t="s">
        <v>306</v>
      </c>
      <c r="L994" t="s">
        <v>8</v>
      </c>
      <c r="N994" t="s">
        <v>9</v>
      </c>
    </row>
    <row r="995" spans="2:14" x14ac:dyDescent="0.25">
      <c r="B995" t="s">
        <v>0</v>
      </c>
      <c r="C995" t="s">
        <v>1042</v>
      </c>
      <c r="D995" t="s">
        <v>993</v>
      </c>
      <c r="E995" t="s">
        <v>3</v>
      </c>
      <c r="F995" t="s">
        <v>4</v>
      </c>
      <c r="G995" s="2" t="str">
        <f t="shared" si="15"/>
        <v>WW_26N_NU4/WASTEWATER</v>
      </c>
      <c r="H995" t="s">
        <v>305</v>
      </c>
      <c r="I995" t="s">
        <v>306</v>
      </c>
      <c r="L995" t="s">
        <v>8</v>
      </c>
      <c r="N995" t="s">
        <v>9</v>
      </c>
    </row>
    <row r="996" spans="2:14" x14ac:dyDescent="0.25">
      <c r="B996" t="s">
        <v>0</v>
      </c>
      <c r="C996" t="s">
        <v>1043</v>
      </c>
      <c r="D996" t="s">
        <v>993</v>
      </c>
      <c r="E996" t="s">
        <v>3</v>
      </c>
      <c r="F996" t="s">
        <v>4</v>
      </c>
      <c r="G996" s="2" t="str">
        <f t="shared" si="15"/>
        <v>WW_26N_NU5/WASTEWATER</v>
      </c>
      <c r="H996" t="s">
        <v>305</v>
      </c>
      <c r="I996" t="s">
        <v>306</v>
      </c>
      <c r="L996" t="s">
        <v>8</v>
      </c>
      <c r="N996" t="s">
        <v>9</v>
      </c>
    </row>
    <row r="997" spans="2:14" x14ac:dyDescent="0.25">
      <c r="B997" t="s">
        <v>0</v>
      </c>
      <c r="C997" t="s">
        <v>1044</v>
      </c>
      <c r="D997" t="s">
        <v>993</v>
      </c>
      <c r="E997" t="s">
        <v>3</v>
      </c>
      <c r="F997" t="s">
        <v>4</v>
      </c>
      <c r="G997" s="2" t="str">
        <f t="shared" si="15"/>
        <v>WW_26N_PU1/WASTEWATER</v>
      </c>
      <c r="H997" t="s">
        <v>305</v>
      </c>
      <c r="I997" t="s">
        <v>306</v>
      </c>
      <c r="L997" t="s">
        <v>8</v>
      </c>
      <c r="N997" t="s">
        <v>9</v>
      </c>
    </row>
    <row r="998" spans="2:14" x14ac:dyDescent="0.25">
      <c r="B998" t="s">
        <v>0</v>
      </c>
      <c r="C998" t="s">
        <v>1045</v>
      </c>
      <c r="D998" t="s">
        <v>993</v>
      </c>
      <c r="E998" t="s">
        <v>3</v>
      </c>
      <c r="F998" t="s">
        <v>4</v>
      </c>
      <c r="G998" s="2" t="str">
        <f t="shared" si="15"/>
        <v>WW_26N_PU2/WASTEWATER</v>
      </c>
      <c r="H998" t="s">
        <v>305</v>
      </c>
      <c r="I998" t="s">
        <v>306</v>
      </c>
      <c r="L998" t="s">
        <v>8</v>
      </c>
      <c r="N998" t="s">
        <v>9</v>
      </c>
    </row>
    <row r="999" spans="2:14" x14ac:dyDescent="0.25">
      <c r="B999" t="s">
        <v>0</v>
      </c>
      <c r="C999" t="s">
        <v>1046</v>
      </c>
      <c r="D999" t="s">
        <v>993</v>
      </c>
      <c r="E999" t="s">
        <v>3</v>
      </c>
      <c r="F999" t="s">
        <v>4</v>
      </c>
      <c r="G999" s="2" t="str">
        <f t="shared" si="15"/>
        <v>WW_26N_PU3/WASTEWATER</v>
      </c>
      <c r="H999" t="s">
        <v>305</v>
      </c>
      <c r="I999" t="s">
        <v>306</v>
      </c>
      <c r="L999" t="s">
        <v>8</v>
      </c>
      <c r="N999" t="s">
        <v>9</v>
      </c>
    </row>
    <row r="1000" spans="2:14" x14ac:dyDescent="0.25">
      <c r="B1000" t="s">
        <v>0</v>
      </c>
      <c r="C1000" t="s">
        <v>1047</v>
      </c>
      <c r="D1000" t="s">
        <v>993</v>
      </c>
      <c r="E1000" t="s">
        <v>3</v>
      </c>
      <c r="F1000" t="s">
        <v>4</v>
      </c>
      <c r="G1000" s="2" t="str">
        <f t="shared" si="15"/>
        <v>WW_26S_NU1/WASTEWATER</v>
      </c>
      <c r="H1000" t="s">
        <v>305</v>
      </c>
      <c r="I1000" t="s">
        <v>306</v>
      </c>
      <c r="L1000" t="s">
        <v>8</v>
      </c>
      <c r="N1000" t="s">
        <v>9</v>
      </c>
    </row>
    <row r="1001" spans="2:14" x14ac:dyDescent="0.25">
      <c r="B1001" t="s">
        <v>0</v>
      </c>
      <c r="C1001" t="s">
        <v>1048</v>
      </c>
      <c r="D1001" t="s">
        <v>993</v>
      </c>
      <c r="E1001" t="s">
        <v>3</v>
      </c>
      <c r="F1001" t="s">
        <v>4</v>
      </c>
      <c r="G1001" s="2" t="str">
        <f t="shared" si="15"/>
        <v>WW_26S_NU2/WASTEWATER</v>
      </c>
      <c r="H1001" t="s">
        <v>305</v>
      </c>
      <c r="I1001" t="s">
        <v>306</v>
      </c>
      <c r="L1001" t="s">
        <v>8</v>
      </c>
      <c r="N1001" t="s">
        <v>9</v>
      </c>
    </row>
    <row r="1002" spans="2:14" x14ac:dyDescent="0.25">
      <c r="B1002" t="s">
        <v>0</v>
      </c>
      <c r="C1002" t="s">
        <v>1049</v>
      </c>
      <c r="D1002" t="s">
        <v>993</v>
      </c>
      <c r="E1002" t="s">
        <v>3</v>
      </c>
      <c r="F1002" t="s">
        <v>4</v>
      </c>
      <c r="G1002" s="2" t="str">
        <f t="shared" si="15"/>
        <v>WW_26S_NU3/WASTEWATER</v>
      </c>
      <c r="H1002" t="s">
        <v>305</v>
      </c>
      <c r="I1002" t="s">
        <v>306</v>
      </c>
      <c r="L1002" t="s">
        <v>8</v>
      </c>
      <c r="N1002" t="s">
        <v>9</v>
      </c>
    </row>
    <row r="1003" spans="2:14" x14ac:dyDescent="0.25">
      <c r="B1003" t="s">
        <v>0</v>
      </c>
      <c r="C1003" t="s">
        <v>1050</v>
      </c>
      <c r="D1003" t="s">
        <v>993</v>
      </c>
      <c r="E1003" t="s">
        <v>3</v>
      </c>
      <c r="F1003" t="s">
        <v>4</v>
      </c>
      <c r="G1003" s="2" t="str">
        <f t="shared" si="15"/>
        <v>WW_26S_NU4/WASTEWATER</v>
      </c>
      <c r="H1003" t="s">
        <v>305</v>
      </c>
      <c r="I1003" t="s">
        <v>306</v>
      </c>
      <c r="L1003" t="s">
        <v>8</v>
      </c>
      <c r="N1003" t="s">
        <v>9</v>
      </c>
    </row>
    <row r="1004" spans="2:14" x14ac:dyDescent="0.25">
      <c r="B1004" t="s">
        <v>0</v>
      </c>
      <c r="C1004" t="s">
        <v>1051</v>
      </c>
      <c r="D1004" t="s">
        <v>993</v>
      </c>
      <c r="E1004" t="s">
        <v>3</v>
      </c>
      <c r="F1004" t="s">
        <v>4</v>
      </c>
      <c r="G1004" s="2" t="str">
        <f t="shared" si="15"/>
        <v>WW_26S_PU1/WASTEWATER</v>
      </c>
      <c r="H1004" t="s">
        <v>305</v>
      </c>
      <c r="I1004" t="s">
        <v>306</v>
      </c>
      <c r="L1004" t="s">
        <v>8</v>
      </c>
      <c r="N1004" t="s">
        <v>9</v>
      </c>
    </row>
    <row r="1005" spans="2:14" x14ac:dyDescent="0.25">
      <c r="B1005" t="s">
        <v>0</v>
      </c>
      <c r="C1005" t="s">
        <v>1052</v>
      </c>
      <c r="D1005" t="s">
        <v>993</v>
      </c>
      <c r="E1005" t="s">
        <v>3</v>
      </c>
      <c r="F1005" t="s">
        <v>4</v>
      </c>
      <c r="G1005" s="2" t="str">
        <f t="shared" si="15"/>
        <v>WW_26S_PU2/WASTEWATER</v>
      </c>
      <c r="H1005" t="s">
        <v>305</v>
      </c>
      <c r="I1005" t="s">
        <v>306</v>
      </c>
      <c r="L1005" t="s">
        <v>8</v>
      </c>
      <c r="N1005" t="s">
        <v>9</v>
      </c>
    </row>
    <row r="1006" spans="2:14" x14ac:dyDescent="0.25">
      <c r="B1006" t="s">
        <v>0</v>
      </c>
      <c r="C1006" t="s">
        <v>1053</v>
      </c>
      <c r="D1006" t="s">
        <v>993</v>
      </c>
      <c r="E1006" t="s">
        <v>3</v>
      </c>
      <c r="F1006" t="s">
        <v>4</v>
      </c>
      <c r="G1006" s="2" t="str">
        <f t="shared" si="15"/>
        <v>WW_26S_PU3/WASTEWATER</v>
      </c>
      <c r="H1006" t="s">
        <v>305</v>
      </c>
      <c r="I1006" t="s">
        <v>306</v>
      </c>
      <c r="L1006" t="s">
        <v>8</v>
      </c>
      <c r="N1006" t="s">
        <v>9</v>
      </c>
    </row>
    <row r="1007" spans="2:14" x14ac:dyDescent="0.25">
      <c r="B1007" t="s">
        <v>0</v>
      </c>
      <c r="C1007" t="s">
        <v>1054</v>
      </c>
      <c r="D1007" t="s">
        <v>993</v>
      </c>
      <c r="E1007" t="s">
        <v>3</v>
      </c>
      <c r="F1007" t="s">
        <v>4</v>
      </c>
      <c r="G1007" s="2" t="str">
        <f t="shared" si="15"/>
        <v>WW_26S_PU4/WASTEWATER</v>
      </c>
      <c r="H1007" t="s">
        <v>305</v>
      </c>
      <c r="I1007" t="s">
        <v>306</v>
      </c>
      <c r="L1007" t="s">
        <v>8</v>
      </c>
      <c r="N1007" t="s">
        <v>9</v>
      </c>
    </row>
    <row r="1008" spans="2:14" x14ac:dyDescent="0.25">
      <c r="B1008" t="s">
        <v>0</v>
      </c>
      <c r="C1008" t="s">
        <v>1055</v>
      </c>
      <c r="D1008" t="s">
        <v>993</v>
      </c>
      <c r="E1008" t="s">
        <v>3</v>
      </c>
      <c r="F1008" t="s">
        <v>4</v>
      </c>
      <c r="G1008" s="2" t="str">
        <f t="shared" si="15"/>
        <v>WW_26S_PU5/WASTEWATER</v>
      </c>
      <c r="H1008" t="s">
        <v>305</v>
      </c>
      <c r="I1008" t="s">
        <v>306</v>
      </c>
      <c r="L1008" t="s">
        <v>8</v>
      </c>
      <c r="N1008" t="s">
        <v>9</v>
      </c>
    </row>
    <row r="1009" spans="2:14" x14ac:dyDescent="0.25">
      <c r="B1009" t="s">
        <v>0</v>
      </c>
      <c r="C1009" t="s">
        <v>1056</v>
      </c>
      <c r="D1009" t="s">
        <v>993</v>
      </c>
      <c r="E1009" t="s">
        <v>3</v>
      </c>
      <c r="F1009" t="s">
        <v>4</v>
      </c>
      <c r="G1009" s="2" t="str">
        <f t="shared" si="15"/>
        <v>WW_26S_PU6/WASTEWATER</v>
      </c>
      <c r="H1009" t="s">
        <v>305</v>
      </c>
      <c r="I1009" t="s">
        <v>306</v>
      </c>
      <c r="L1009" t="s">
        <v>8</v>
      </c>
      <c r="N1009" t="s">
        <v>9</v>
      </c>
    </row>
    <row r="1010" spans="2:14" x14ac:dyDescent="0.25">
      <c r="B1010" t="s">
        <v>0</v>
      </c>
      <c r="C1010" t="s">
        <v>1057</v>
      </c>
      <c r="D1010" t="s">
        <v>993</v>
      </c>
      <c r="E1010" t="s">
        <v>3</v>
      </c>
      <c r="F1010" t="s">
        <v>4</v>
      </c>
      <c r="G1010" s="2" t="str">
        <f t="shared" si="15"/>
        <v>WW_60N_NU1/WASTEWATER</v>
      </c>
      <c r="H1010" t="s">
        <v>305</v>
      </c>
      <c r="I1010" t="s">
        <v>306</v>
      </c>
      <c r="L1010" t="s">
        <v>8</v>
      </c>
      <c r="N1010" t="s">
        <v>9</v>
      </c>
    </row>
    <row r="1011" spans="2:14" x14ac:dyDescent="0.25">
      <c r="B1011" t="s">
        <v>0</v>
      </c>
      <c r="C1011" t="s">
        <v>1058</v>
      </c>
      <c r="D1011" t="s">
        <v>993</v>
      </c>
      <c r="E1011" t="s">
        <v>3</v>
      </c>
      <c r="F1011" t="s">
        <v>4</v>
      </c>
      <c r="G1011" s="2" t="str">
        <f t="shared" si="15"/>
        <v>WW_60N_NU2/WASTEWATER</v>
      </c>
      <c r="H1011" t="s">
        <v>305</v>
      </c>
      <c r="I1011" t="s">
        <v>306</v>
      </c>
      <c r="L1011" t="s">
        <v>8</v>
      </c>
      <c r="N1011" t="s">
        <v>9</v>
      </c>
    </row>
    <row r="1012" spans="2:14" x14ac:dyDescent="0.25">
      <c r="B1012" t="s">
        <v>0</v>
      </c>
      <c r="C1012" t="s">
        <v>1059</v>
      </c>
      <c r="D1012" t="s">
        <v>993</v>
      </c>
      <c r="E1012" t="s">
        <v>3</v>
      </c>
      <c r="F1012" t="s">
        <v>4</v>
      </c>
      <c r="G1012" s="2" t="str">
        <f t="shared" si="15"/>
        <v>WW_60N_PU/WASTEWATER</v>
      </c>
      <c r="H1012" t="s">
        <v>305</v>
      </c>
      <c r="I1012" t="s">
        <v>306</v>
      </c>
      <c r="L1012" t="s">
        <v>8</v>
      </c>
      <c r="N1012" t="s">
        <v>9</v>
      </c>
    </row>
    <row r="1013" spans="2:14" x14ac:dyDescent="0.25">
      <c r="B1013" t="s">
        <v>0</v>
      </c>
      <c r="C1013" t="s">
        <v>1060</v>
      </c>
      <c r="D1013" t="s">
        <v>993</v>
      </c>
      <c r="E1013" t="s">
        <v>3</v>
      </c>
      <c r="F1013" t="s">
        <v>4</v>
      </c>
      <c r="G1013" s="2" t="str">
        <f t="shared" si="15"/>
        <v>WW_60S_NU1/WASTEWATER</v>
      </c>
      <c r="H1013" t="s">
        <v>305</v>
      </c>
      <c r="I1013" t="s">
        <v>306</v>
      </c>
      <c r="L1013" t="s">
        <v>8</v>
      </c>
      <c r="N1013" t="s">
        <v>9</v>
      </c>
    </row>
    <row r="1014" spans="2:14" x14ac:dyDescent="0.25">
      <c r="B1014" t="s">
        <v>0</v>
      </c>
      <c r="C1014" t="s">
        <v>1061</v>
      </c>
      <c r="D1014" t="s">
        <v>993</v>
      </c>
      <c r="E1014" t="s">
        <v>3</v>
      </c>
      <c r="F1014" t="s">
        <v>4</v>
      </c>
      <c r="G1014" s="2" t="str">
        <f t="shared" si="15"/>
        <v>WW_60S_NU2/WASTEWATER</v>
      </c>
      <c r="H1014" t="s">
        <v>305</v>
      </c>
      <c r="I1014" t="s">
        <v>306</v>
      </c>
      <c r="L1014" t="s">
        <v>8</v>
      </c>
      <c r="N1014" t="s">
        <v>9</v>
      </c>
    </row>
    <row r="1015" spans="2:14" x14ac:dyDescent="0.25">
      <c r="B1015" t="s">
        <v>0</v>
      </c>
      <c r="C1015" t="s">
        <v>1062</v>
      </c>
      <c r="D1015" t="s">
        <v>993</v>
      </c>
      <c r="E1015" t="s">
        <v>3</v>
      </c>
      <c r="F1015" t="s">
        <v>4</v>
      </c>
      <c r="G1015" s="2" t="str">
        <f t="shared" si="15"/>
        <v>WW_61_NU1/WASTEWATER</v>
      </c>
      <c r="H1015" t="s">
        <v>305</v>
      </c>
      <c r="I1015" t="s">
        <v>306</v>
      </c>
      <c r="L1015" t="s">
        <v>8</v>
      </c>
      <c r="N1015" t="s">
        <v>9</v>
      </c>
    </row>
    <row r="1016" spans="2:14" x14ac:dyDescent="0.25">
      <c r="B1016" t="s">
        <v>0</v>
      </c>
      <c r="C1016" t="s">
        <v>1063</v>
      </c>
      <c r="D1016" t="s">
        <v>993</v>
      </c>
      <c r="E1016" t="s">
        <v>3</v>
      </c>
      <c r="F1016" t="s">
        <v>4</v>
      </c>
      <c r="G1016" s="2" t="str">
        <f t="shared" si="15"/>
        <v>WW_61_NU2/WASTEWATER</v>
      </c>
      <c r="H1016" t="s">
        <v>305</v>
      </c>
      <c r="I1016" t="s">
        <v>306</v>
      </c>
      <c r="L1016" t="s">
        <v>8</v>
      </c>
      <c r="N1016" t="s">
        <v>9</v>
      </c>
    </row>
    <row r="1017" spans="2:14" x14ac:dyDescent="0.25">
      <c r="B1017" t="s">
        <v>0</v>
      </c>
      <c r="C1017" t="s">
        <v>1064</v>
      </c>
      <c r="D1017" t="s">
        <v>993</v>
      </c>
      <c r="E1017" t="s">
        <v>3</v>
      </c>
      <c r="F1017" t="s">
        <v>4</v>
      </c>
      <c r="G1017" s="2" t="str">
        <f t="shared" si="15"/>
        <v>WW_61_NU3/WASTEWATER</v>
      </c>
      <c r="H1017" t="s">
        <v>305</v>
      </c>
      <c r="I1017" t="s">
        <v>306</v>
      </c>
      <c r="L1017" t="s">
        <v>8</v>
      </c>
      <c r="N1017" t="s">
        <v>9</v>
      </c>
    </row>
    <row r="1018" spans="2:14" x14ac:dyDescent="0.25">
      <c r="B1018" t="s">
        <v>0</v>
      </c>
      <c r="C1018" t="s">
        <v>1065</v>
      </c>
      <c r="D1018" t="s">
        <v>993</v>
      </c>
      <c r="E1018" t="s">
        <v>3</v>
      </c>
      <c r="F1018" t="s">
        <v>4</v>
      </c>
      <c r="G1018" s="2" t="str">
        <f t="shared" si="15"/>
        <v>WW_62_NU/WASTEWATER</v>
      </c>
      <c r="H1018" t="s">
        <v>305</v>
      </c>
      <c r="I1018" t="s">
        <v>306</v>
      </c>
      <c r="L1018" t="s">
        <v>8</v>
      </c>
      <c r="N1018" t="s">
        <v>9</v>
      </c>
    </row>
    <row r="1019" spans="2:14" x14ac:dyDescent="0.25">
      <c r="B1019" t="s">
        <v>0</v>
      </c>
      <c r="C1019" t="s">
        <v>1066</v>
      </c>
      <c r="D1019" t="s">
        <v>993</v>
      </c>
      <c r="E1019" t="s">
        <v>3</v>
      </c>
      <c r="F1019" t="s">
        <v>4</v>
      </c>
      <c r="G1019" s="2" t="str">
        <f t="shared" si="15"/>
        <v>WW_63_NU/WASTEWATER</v>
      </c>
      <c r="H1019" t="s">
        <v>305</v>
      </c>
      <c r="I1019" t="s">
        <v>306</v>
      </c>
      <c r="L1019" t="s">
        <v>8</v>
      </c>
      <c r="N1019" t="s">
        <v>9</v>
      </c>
    </row>
    <row r="1020" spans="2:14" x14ac:dyDescent="0.25">
      <c r="B1020" t="s">
        <v>0</v>
      </c>
      <c r="C1020" t="s">
        <v>1067</v>
      </c>
      <c r="D1020" t="s">
        <v>993</v>
      </c>
      <c r="E1020" t="s">
        <v>3</v>
      </c>
      <c r="F1020" t="s">
        <v>4</v>
      </c>
      <c r="G1020" s="2" t="str">
        <f t="shared" si="15"/>
        <v>WW_64_NU/WASTEWATER</v>
      </c>
      <c r="H1020" t="s">
        <v>305</v>
      </c>
      <c r="I1020" t="s">
        <v>306</v>
      </c>
      <c r="L1020" t="s">
        <v>8</v>
      </c>
      <c r="N1020" t="s">
        <v>9</v>
      </c>
    </row>
    <row r="1021" spans="2:14" x14ac:dyDescent="0.25">
      <c r="B1021" t="s">
        <v>0</v>
      </c>
      <c r="C1021" t="s">
        <v>1068</v>
      </c>
      <c r="D1021" t="s">
        <v>993</v>
      </c>
      <c r="E1021" t="s">
        <v>3</v>
      </c>
      <c r="F1021" t="s">
        <v>4</v>
      </c>
      <c r="G1021" s="2" t="str">
        <f t="shared" si="15"/>
        <v>WW_71_NU/WASTEWATER</v>
      </c>
      <c r="H1021" t="s">
        <v>305</v>
      </c>
      <c r="I1021" t="s">
        <v>306</v>
      </c>
      <c r="L1021" t="s">
        <v>8</v>
      </c>
      <c r="N1021" t="s">
        <v>9</v>
      </c>
    </row>
    <row r="1022" spans="2:14" x14ac:dyDescent="0.25">
      <c r="B1022" t="s">
        <v>0</v>
      </c>
      <c r="C1022" t="s">
        <v>1069</v>
      </c>
      <c r="D1022" t="s">
        <v>993</v>
      </c>
      <c r="E1022" t="s">
        <v>3</v>
      </c>
      <c r="F1022" t="s">
        <v>4</v>
      </c>
      <c r="G1022" s="2" t="str">
        <f t="shared" si="15"/>
        <v>WW_71_PU1/WASTEWATER</v>
      </c>
      <c r="H1022" t="s">
        <v>305</v>
      </c>
      <c r="I1022" t="s">
        <v>306</v>
      </c>
      <c r="L1022" t="s">
        <v>8</v>
      </c>
      <c r="N1022" t="s">
        <v>9</v>
      </c>
    </row>
    <row r="1023" spans="2:14" x14ac:dyDescent="0.25">
      <c r="B1023" t="s">
        <v>0</v>
      </c>
      <c r="C1023" t="s">
        <v>1070</v>
      </c>
      <c r="D1023" t="s">
        <v>993</v>
      </c>
      <c r="E1023" t="s">
        <v>3</v>
      </c>
      <c r="F1023" t="s">
        <v>4</v>
      </c>
      <c r="G1023" s="2" t="str">
        <f t="shared" si="15"/>
        <v>WW_71_PU2/WASTEWATER</v>
      </c>
      <c r="H1023" t="s">
        <v>305</v>
      </c>
      <c r="I1023" t="s">
        <v>306</v>
      </c>
      <c r="L1023" t="s">
        <v>8</v>
      </c>
      <c r="N1023" t="s">
        <v>9</v>
      </c>
    </row>
    <row r="1024" spans="2:14" x14ac:dyDescent="0.25">
      <c r="B1024" t="s">
        <v>0</v>
      </c>
      <c r="C1024" t="s">
        <v>1071</v>
      </c>
      <c r="D1024" t="s">
        <v>993</v>
      </c>
      <c r="E1024" t="s">
        <v>3</v>
      </c>
      <c r="F1024" t="s">
        <v>4</v>
      </c>
      <c r="G1024" s="2" t="str">
        <f t="shared" si="15"/>
        <v>WW_72_NU/WASTEWATER</v>
      </c>
      <c r="H1024" t="s">
        <v>305</v>
      </c>
      <c r="I1024" t="s">
        <v>306</v>
      </c>
      <c r="L1024" t="s">
        <v>8</v>
      </c>
      <c r="N1024" t="s">
        <v>9</v>
      </c>
    </row>
    <row r="1025" spans="2:14" x14ac:dyDescent="0.25">
      <c r="B1025" t="s">
        <v>0</v>
      </c>
      <c r="C1025" t="s">
        <v>1072</v>
      </c>
      <c r="D1025" t="s">
        <v>993</v>
      </c>
      <c r="E1025" t="s">
        <v>3</v>
      </c>
      <c r="F1025" t="s">
        <v>4</v>
      </c>
      <c r="G1025" s="2" t="str">
        <f t="shared" si="15"/>
        <v>WW_72_PU/WASTEWATER</v>
      </c>
      <c r="H1025" t="s">
        <v>305</v>
      </c>
      <c r="I1025" t="s">
        <v>306</v>
      </c>
      <c r="L1025" t="s">
        <v>8</v>
      </c>
      <c r="N1025" t="s">
        <v>9</v>
      </c>
    </row>
    <row r="1026" spans="2:14" x14ac:dyDescent="0.25">
      <c r="B1026" t="s">
        <v>0</v>
      </c>
      <c r="C1026" t="s">
        <v>1073</v>
      </c>
      <c r="D1026" t="s">
        <v>993</v>
      </c>
      <c r="E1026" t="s">
        <v>3</v>
      </c>
      <c r="F1026" t="s">
        <v>4</v>
      </c>
      <c r="G1026" s="2" t="str">
        <f t="shared" si="15"/>
        <v>WW_73_NU/WASTEWATER</v>
      </c>
      <c r="H1026" t="s">
        <v>305</v>
      </c>
      <c r="I1026" t="s">
        <v>306</v>
      </c>
      <c r="L1026" t="s">
        <v>8</v>
      </c>
      <c r="N1026" t="s">
        <v>9</v>
      </c>
    </row>
    <row r="1027" spans="2:14" x14ac:dyDescent="0.25">
      <c r="B1027" t="s">
        <v>0</v>
      </c>
      <c r="C1027" t="s">
        <v>1074</v>
      </c>
      <c r="D1027" t="s">
        <v>993</v>
      </c>
      <c r="E1027" t="s">
        <v>3</v>
      </c>
      <c r="F1027" t="s">
        <v>4</v>
      </c>
      <c r="G1027" s="2" t="str">
        <f t="shared" ref="G1027:G1090" si="16">_xlfn.CONCAT(C1027,"/",D1027)</f>
        <v>WW_90_PU/WASTEWATER</v>
      </c>
      <c r="H1027" t="s">
        <v>305</v>
      </c>
      <c r="I1027" t="s">
        <v>306</v>
      </c>
      <c r="L1027" t="s">
        <v>8</v>
      </c>
      <c r="N1027" t="s">
        <v>9</v>
      </c>
    </row>
    <row r="1028" spans="2:14" x14ac:dyDescent="0.25">
      <c r="B1028" t="s">
        <v>0</v>
      </c>
      <c r="C1028" t="s">
        <v>1075</v>
      </c>
      <c r="D1028" t="s">
        <v>993</v>
      </c>
      <c r="E1028" t="s">
        <v>3</v>
      </c>
      <c r="F1028" t="s">
        <v>4</v>
      </c>
      <c r="G1028" s="2" t="str">
        <f t="shared" si="16"/>
        <v>WW_GDPUD_NU/WASTEWATER</v>
      </c>
      <c r="H1028" t="s">
        <v>305</v>
      </c>
      <c r="I1028" t="s">
        <v>306</v>
      </c>
      <c r="L1028" t="s">
        <v>8</v>
      </c>
      <c r="N1028" t="s">
        <v>9</v>
      </c>
    </row>
    <row r="1029" spans="2:14" x14ac:dyDescent="0.25">
      <c r="B1029" t="s">
        <v>0</v>
      </c>
      <c r="C1029" t="s">
        <v>1076</v>
      </c>
      <c r="D1029" t="s">
        <v>993</v>
      </c>
      <c r="E1029" t="s">
        <v>3</v>
      </c>
      <c r="F1029" t="s">
        <v>4</v>
      </c>
      <c r="G1029" s="2" t="str">
        <f t="shared" si="16"/>
        <v>WW_GDPUD_PU/WASTEWATER</v>
      </c>
      <c r="H1029" t="s">
        <v>305</v>
      </c>
      <c r="I1029" t="s">
        <v>306</v>
      </c>
      <c r="L1029" t="s">
        <v>8</v>
      </c>
      <c r="M1029" t="s">
        <v>54</v>
      </c>
      <c r="N1029" t="s">
        <v>9</v>
      </c>
    </row>
    <row r="1030" spans="2:14" x14ac:dyDescent="0.25">
      <c r="B1030" t="s">
        <v>0</v>
      </c>
      <c r="C1030" t="s">
        <v>1077</v>
      </c>
      <c r="D1030" t="s">
        <v>993</v>
      </c>
      <c r="E1030" t="s">
        <v>3</v>
      </c>
      <c r="F1030" t="s">
        <v>4</v>
      </c>
      <c r="G1030" s="2" t="str">
        <f t="shared" si="16"/>
        <v>WW_GRSVL/WASTEWATER</v>
      </c>
      <c r="H1030" t="s">
        <v>305</v>
      </c>
      <c r="I1030" t="s">
        <v>306</v>
      </c>
      <c r="L1030" t="s">
        <v>8</v>
      </c>
      <c r="N1030" t="s">
        <v>9</v>
      </c>
    </row>
    <row r="1031" spans="2:14" x14ac:dyDescent="0.25">
      <c r="B1031" t="s">
        <v>0</v>
      </c>
      <c r="C1031" t="s">
        <v>1078</v>
      </c>
      <c r="D1031" t="s">
        <v>993</v>
      </c>
      <c r="E1031" t="s">
        <v>3</v>
      </c>
      <c r="F1031" t="s">
        <v>4</v>
      </c>
      <c r="G1031" s="2" t="str">
        <f t="shared" si="16"/>
        <v>WW_WLDWD/WASTEWATER</v>
      </c>
      <c r="H1031" t="s">
        <v>305</v>
      </c>
      <c r="I1031" t="s">
        <v>306</v>
      </c>
      <c r="L1031" t="s">
        <v>8</v>
      </c>
      <c r="N1031" t="s">
        <v>9</v>
      </c>
    </row>
    <row r="1032" spans="2:14" x14ac:dyDescent="0.25">
      <c r="B1032" t="s">
        <v>0</v>
      </c>
      <c r="C1032" t="s">
        <v>1079</v>
      </c>
      <c r="D1032" t="s">
        <v>51</v>
      </c>
      <c r="E1032" t="s">
        <v>3</v>
      </c>
      <c r="F1032" t="s">
        <v>4</v>
      </c>
      <c r="G1032" s="2" t="str">
        <f t="shared" si="16"/>
        <v>DP_EA_02/DEEP-PERCOLATION</v>
      </c>
      <c r="H1032" t="s">
        <v>52</v>
      </c>
      <c r="I1032" t="s">
        <v>53</v>
      </c>
      <c r="L1032" t="s">
        <v>8</v>
      </c>
      <c r="M1032" t="s">
        <v>54</v>
      </c>
      <c r="N1032" t="s">
        <v>9</v>
      </c>
    </row>
    <row r="1033" spans="2:14" x14ac:dyDescent="0.25">
      <c r="B1033" t="s">
        <v>0</v>
      </c>
      <c r="C1033" t="s">
        <v>1080</v>
      </c>
      <c r="D1033" t="s">
        <v>51</v>
      </c>
      <c r="E1033" t="s">
        <v>3</v>
      </c>
      <c r="F1033" t="s">
        <v>4</v>
      </c>
      <c r="G1033" s="2" t="str">
        <f t="shared" si="16"/>
        <v>DP_EA_03/DEEP-PERCOLATION</v>
      </c>
      <c r="H1033" t="s">
        <v>52</v>
      </c>
      <c r="I1033" t="s">
        <v>53</v>
      </c>
      <c r="L1033" t="s">
        <v>8</v>
      </c>
      <c r="M1033" t="s">
        <v>54</v>
      </c>
      <c r="N1033" t="s">
        <v>9</v>
      </c>
    </row>
    <row r="1034" spans="2:14" x14ac:dyDescent="0.25">
      <c r="B1034" t="s">
        <v>0</v>
      </c>
      <c r="C1034" t="s">
        <v>1081</v>
      </c>
      <c r="D1034" t="s">
        <v>51</v>
      </c>
      <c r="E1034" t="s">
        <v>3</v>
      </c>
      <c r="F1034" t="s">
        <v>4</v>
      </c>
      <c r="G1034" s="2" t="str">
        <f t="shared" si="16"/>
        <v>DP_EA_05/DEEP-PERCOLATION</v>
      </c>
      <c r="H1034" t="s">
        <v>52</v>
      </c>
      <c r="I1034" t="s">
        <v>53</v>
      </c>
      <c r="L1034" t="s">
        <v>8</v>
      </c>
      <c r="M1034" t="s">
        <v>54</v>
      </c>
      <c r="N1034" t="s">
        <v>9</v>
      </c>
    </row>
    <row r="1035" spans="2:14" x14ac:dyDescent="0.25">
      <c r="B1035" t="s">
        <v>0</v>
      </c>
      <c r="C1035" t="s">
        <v>1082</v>
      </c>
      <c r="D1035" t="s">
        <v>51</v>
      </c>
      <c r="E1035" t="s">
        <v>3</v>
      </c>
      <c r="F1035" t="s">
        <v>4</v>
      </c>
      <c r="G1035" s="2" t="str">
        <f t="shared" si="16"/>
        <v>DP_EA_06/DEEP-PERCOLATION</v>
      </c>
      <c r="H1035" t="s">
        <v>52</v>
      </c>
      <c r="I1035" t="s">
        <v>53</v>
      </c>
      <c r="L1035" t="s">
        <v>8</v>
      </c>
      <c r="M1035" t="s">
        <v>54</v>
      </c>
      <c r="N1035" t="s">
        <v>9</v>
      </c>
    </row>
    <row r="1036" spans="2:14" x14ac:dyDescent="0.25">
      <c r="B1036" t="s">
        <v>0</v>
      </c>
      <c r="C1036" t="s">
        <v>1083</v>
      </c>
      <c r="D1036" t="s">
        <v>51</v>
      </c>
      <c r="E1036" t="s">
        <v>3</v>
      </c>
      <c r="F1036" t="s">
        <v>4</v>
      </c>
      <c r="G1036" s="2" t="str">
        <f t="shared" si="16"/>
        <v>DP_EA_15S/DEEP-PERCOLATION</v>
      </c>
      <c r="H1036" t="s">
        <v>52</v>
      </c>
      <c r="I1036" t="s">
        <v>53</v>
      </c>
      <c r="L1036" t="s">
        <v>8</v>
      </c>
      <c r="M1036" t="s">
        <v>54</v>
      </c>
      <c r="N1036" t="s">
        <v>9</v>
      </c>
    </row>
    <row r="1037" spans="2:14" x14ac:dyDescent="0.25">
      <c r="B1037" t="s">
        <v>0</v>
      </c>
      <c r="C1037" t="s">
        <v>1084</v>
      </c>
      <c r="D1037" t="s">
        <v>51</v>
      </c>
      <c r="E1037" t="s">
        <v>3</v>
      </c>
      <c r="F1037" t="s">
        <v>4</v>
      </c>
      <c r="G1037" s="2" t="str">
        <f t="shared" si="16"/>
        <v>DP_EA_50/DEEP-PERCOLATION</v>
      </c>
      <c r="H1037" t="s">
        <v>52</v>
      </c>
      <c r="I1037" t="s">
        <v>53</v>
      </c>
      <c r="L1037" t="s">
        <v>8</v>
      </c>
      <c r="M1037" t="s">
        <v>54</v>
      </c>
      <c r="N1037" t="s">
        <v>9</v>
      </c>
    </row>
    <row r="1038" spans="2:14" x14ac:dyDescent="0.25">
      <c r="B1038" t="s">
        <v>0</v>
      </c>
      <c r="C1038" t="s">
        <v>1085</v>
      </c>
      <c r="D1038" t="s">
        <v>51</v>
      </c>
      <c r="E1038" t="s">
        <v>3</v>
      </c>
      <c r="F1038" t="s">
        <v>4</v>
      </c>
      <c r="G1038" s="2" t="str">
        <f t="shared" si="16"/>
        <v>DP_EA_60N/DEEP-PERCOLATION</v>
      </c>
      <c r="H1038" t="s">
        <v>52</v>
      </c>
      <c r="I1038" t="s">
        <v>53</v>
      </c>
      <c r="L1038" t="s">
        <v>8</v>
      </c>
      <c r="M1038" t="s">
        <v>54</v>
      </c>
      <c r="N1038" t="s">
        <v>9</v>
      </c>
    </row>
    <row r="1039" spans="2:14" x14ac:dyDescent="0.25">
      <c r="B1039" t="s">
        <v>0</v>
      </c>
      <c r="C1039" t="s">
        <v>1086</v>
      </c>
      <c r="D1039" t="s">
        <v>51</v>
      </c>
      <c r="E1039" t="s">
        <v>3</v>
      </c>
      <c r="F1039" t="s">
        <v>4</v>
      </c>
      <c r="G1039" s="2" t="str">
        <f t="shared" si="16"/>
        <v>DP_EA_60S/DEEP-PERCOLATION</v>
      </c>
      <c r="H1039" t="s">
        <v>52</v>
      </c>
      <c r="I1039" t="s">
        <v>53</v>
      </c>
      <c r="L1039" t="s">
        <v>8</v>
      </c>
      <c r="M1039" t="s">
        <v>54</v>
      </c>
      <c r="N1039" t="s">
        <v>9</v>
      </c>
    </row>
    <row r="1040" spans="2:14" x14ac:dyDescent="0.25">
      <c r="B1040" t="s">
        <v>0</v>
      </c>
      <c r="C1040" t="s">
        <v>1087</v>
      </c>
      <c r="D1040" t="s">
        <v>51</v>
      </c>
      <c r="E1040" t="s">
        <v>3</v>
      </c>
      <c r="F1040" t="s">
        <v>4</v>
      </c>
      <c r="G1040" s="2" t="str">
        <f t="shared" si="16"/>
        <v>DP_EA_61/DEEP-PERCOLATION</v>
      </c>
      <c r="H1040" t="s">
        <v>52</v>
      </c>
      <c r="I1040" t="s">
        <v>53</v>
      </c>
      <c r="L1040" t="s">
        <v>8</v>
      </c>
      <c r="M1040" t="s">
        <v>54</v>
      </c>
      <c r="N1040" t="s">
        <v>9</v>
      </c>
    </row>
    <row r="1041" spans="2:14" x14ac:dyDescent="0.25">
      <c r="B1041" t="s">
        <v>0</v>
      </c>
      <c r="C1041" t="s">
        <v>1088</v>
      </c>
      <c r="D1041" t="s">
        <v>51</v>
      </c>
      <c r="E1041" t="s">
        <v>3</v>
      </c>
      <c r="F1041" t="s">
        <v>4</v>
      </c>
      <c r="G1041" s="2" t="str">
        <f t="shared" si="16"/>
        <v>DP_EA_62/DEEP-PERCOLATION</v>
      </c>
      <c r="H1041" t="s">
        <v>52</v>
      </c>
      <c r="I1041" t="s">
        <v>53</v>
      </c>
      <c r="L1041" t="s">
        <v>8</v>
      </c>
      <c r="M1041" t="s">
        <v>54</v>
      </c>
      <c r="N1041" t="s">
        <v>9</v>
      </c>
    </row>
    <row r="1042" spans="2:14" x14ac:dyDescent="0.25">
      <c r="B1042" t="s">
        <v>0</v>
      </c>
      <c r="C1042" t="s">
        <v>1089</v>
      </c>
      <c r="D1042" t="s">
        <v>51</v>
      </c>
      <c r="E1042" t="s">
        <v>3</v>
      </c>
      <c r="F1042" t="s">
        <v>4</v>
      </c>
      <c r="G1042" s="2" t="str">
        <f t="shared" si="16"/>
        <v>DP_EA_63/DEEP-PERCOLATION</v>
      </c>
      <c r="H1042" t="s">
        <v>52</v>
      </c>
      <c r="I1042" t="s">
        <v>53</v>
      </c>
      <c r="L1042" t="s">
        <v>8</v>
      </c>
      <c r="M1042" t="s">
        <v>54</v>
      </c>
      <c r="N1042" t="s">
        <v>9</v>
      </c>
    </row>
    <row r="1043" spans="2:14" x14ac:dyDescent="0.25">
      <c r="B1043" t="s">
        <v>0</v>
      </c>
      <c r="C1043" t="s">
        <v>1090</v>
      </c>
      <c r="D1043" t="s">
        <v>51</v>
      </c>
      <c r="E1043" t="s">
        <v>3</v>
      </c>
      <c r="F1043" t="s">
        <v>4</v>
      </c>
      <c r="G1043" s="2" t="str">
        <f t="shared" si="16"/>
        <v>DP_EA_64/DEEP-PERCOLATION</v>
      </c>
      <c r="H1043" t="s">
        <v>52</v>
      </c>
      <c r="I1043" t="s">
        <v>53</v>
      </c>
      <c r="L1043" t="s">
        <v>8</v>
      </c>
      <c r="M1043" t="s">
        <v>54</v>
      </c>
      <c r="N1043" t="s">
        <v>9</v>
      </c>
    </row>
    <row r="1044" spans="2:14" x14ac:dyDescent="0.25">
      <c r="B1044" t="s">
        <v>0</v>
      </c>
      <c r="C1044" t="s">
        <v>1091</v>
      </c>
      <c r="D1044" t="s">
        <v>51</v>
      </c>
      <c r="E1044" t="s">
        <v>3</v>
      </c>
      <c r="F1044" t="s">
        <v>4</v>
      </c>
      <c r="G1044" s="2" t="str">
        <f t="shared" si="16"/>
        <v>DP_EA_71/DEEP-PERCOLATION</v>
      </c>
      <c r="H1044" t="s">
        <v>52</v>
      </c>
      <c r="I1044" t="s">
        <v>53</v>
      </c>
      <c r="L1044" t="s">
        <v>8</v>
      </c>
      <c r="M1044" t="s">
        <v>54</v>
      </c>
      <c r="N1044" t="s">
        <v>9</v>
      </c>
    </row>
    <row r="1045" spans="2:14" x14ac:dyDescent="0.25">
      <c r="B1045" t="s">
        <v>0</v>
      </c>
      <c r="C1045" t="s">
        <v>1092</v>
      </c>
      <c r="D1045" t="s">
        <v>51</v>
      </c>
      <c r="E1045" t="s">
        <v>3</v>
      </c>
      <c r="F1045" t="s">
        <v>4</v>
      </c>
      <c r="G1045" s="2" t="str">
        <f t="shared" si="16"/>
        <v>DP_EA_73/DEEP-PERCOLATION</v>
      </c>
      <c r="H1045" t="s">
        <v>52</v>
      </c>
      <c r="I1045" t="s">
        <v>53</v>
      </c>
      <c r="L1045" t="s">
        <v>8</v>
      </c>
      <c r="M1045" t="s">
        <v>54</v>
      </c>
      <c r="N1045" t="s">
        <v>9</v>
      </c>
    </row>
    <row r="1046" spans="2:14" x14ac:dyDescent="0.25">
      <c r="B1046" t="s">
        <v>0</v>
      </c>
      <c r="C1046" t="s">
        <v>1093</v>
      </c>
      <c r="D1046" t="s">
        <v>51</v>
      </c>
      <c r="E1046" t="s">
        <v>3</v>
      </c>
      <c r="F1046" t="s">
        <v>4</v>
      </c>
      <c r="G1046" s="2" t="str">
        <f t="shared" si="16"/>
        <v>DP_EA_90/DEEP-PERCOLATION</v>
      </c>
      <c r="H1046" t="s">
        <v>52</v>
      </c>
      <c r="I1046" t="s">
        <v>53</v>
      </c>
      <c r="L1046" t="s">
        <v>8</v>
      </c>
      <c r="M1046" t="s">
        <v>54</v>
      </c>
      <c r="N1046" t="s">
        <v>9</v>
      </c>
    </row>
    <row r="1047" spans="2:14" x14ac:dyDescent="0.25">
      <c r="B1047" t="s">
        <v>0</v>
      </c>
      <c r="C1047" t="s">
        <v>1094</v>
      </c>
      <c r="D1047" t="s">
        <v>51</v>
      </c>
      <c r="E1047" t="s">
        <v>3</v>
      </c>
      <c r="F1047" t="s">
        <v>4</v>
      </c>
      <c r="G1047" s="2" t="str">
        <f t="shared" si="16"/>
        <v>DP_EA_DETAW/DEEP-PERCOLATION</v>
      </c>
      <c r="H1047" t="s">
        <v>52</v>
      </c>
      <c r="I1047" t="s">
        <v>53</v>
      </c>
      <c r="L1047" t="s">
        <v>8</v>
      </c>
      <c r="M1047" t="s">
        <v>54</v>
      </c>
      <c r="N1047" t="s">
        <v>9</v>
      </c>
    </row>
    <row r="1048" spans="2:14" x14ac:dyDescent="0.25">
      <c r="B1048" t="s">
        <v>0</v>
      </c>
      <c r="C1048" t="s">
        <v>1095</v>
      </c>
      <c r="D1048" t="s">
        <v>51</v>
      </c>
      <c r="E1048" t="s">
        <v>3</v>
      </c>
      <c r="F1048" t="s">
        <v>4</v>
      </c>
      <c r="G1048" s="2" t="str">
        <f t="shared" si="16"/>
        <v>DP_EA_NBAY/DEEP-PERCOLATION</v>
      </c>
      <c r="H1048" t="s">
        <v>52</v>
      </c>
      <c r="I1048" t="s">
        <v>53</v>
      </c>
      <c r="L1048" t="s">
        <v>8</v>
      </c>
      <c r="M1048" t="s">
        <v>54</v>
      </c>
      <c r="N1048" t="s">
        <v>9</v>
      </c>
    </row>
    <row r="1049" spans="2:14" x14ac:dyDescent="0.25">
      <c r="B1049" t="s">
        <v>0</v>
      </c>
      <c r="C1049" t="s">
        <v>1096</v>
      </c>
      <c r="D1049" t="s">
        <v>43</v>
      </c>
      <c r="E1049" t="s">
        <v>3</v>
      </c>
      <c r="F1049" t="s">
        <v>4</v>
      </c>
      <c r="G1049" s="2" t="str">
        <f t="shared" si="16"/>
        <v>DEM_D_ESB415_GABRL_PIN/DEMAND-SWP-IN</v>
      </c>
      <c r="H1049" t="s">
        <v>5</v>
      </c>
      <c r="I1049" t="s">
        <v>44</v>
      </c>
      <c r="K1049" t="s">
        <v>1097</v>
      </c>
      <c r="L1049" t="s">
        <v>8</v>
      </c>
      <c r="N1049" t="s">
        <v>9</v>
      </c>
    </row>
    <row r="1050" spans="2:14" x14ac:dyDescent="0.25">
      <c r="B1050" t="s">
        <v>0</v>
      </c>
      <c r="C1050" t="s">
        <v>1098</v>
      </c>
      <c r="D1050" t="s">
        <v>43</v>
      </c>
      <c r="E1050" t="s">
        <v>3</v>
      </c>
      <c r="F1050" t="s">
        <v>4</v>
      </c>
      <c r="G1050" s="2" t="str">
        <f t="shared" si="16"/>
        <v>DEM_D_ESB420_GRGNO_PIN/DEMAND-SWP-IN</v>
      </c>
      <c r="H1050" t="s">
        <v>5</v>
      </c>
      <c r="I1050" t="s">
        <v>44</v>
      </c>
      <c r="K1050" t="s">
        <v>1099</v>
      </c>
      <c r="L1050" t="s">
        <v>8</v>
      </c>
      <c r="N1050" t="s">
        <v>9</v>
      </c>
    </row>
    <row r="1051" spans="2:14" x14ac:dyDescent="0.25">
      <c r="B1051" t="s">
        <v>0</v>
      </c>
      <c r="C1051" t="s">
        <v>1100</v>
      </c>
      <c r="D1051" t="s">
        <v>43</v>
      </c>
      <c r="E1051" t="s">
        <v>3</v>
      </c>
      <c r="F1051" t="s">
        <v>4</v>
      </c>
      <c r="G1051" s="2" t="str">
        <f t="shared" si="16"/>
        <v>DEM_D_ESB433_MWDSC_PIN/DEMAND-SWP-IN</v>
      </c>
      <c r="H1051" t="s">
        <v>5</v>
      </c>
      <c r="I1051" t="s">
        <v>44</v>
      </c>
      <c r="K1051" t="s">
        <v>1101</v>
      </c>
      <c r="L1051" t="s">
        <v>8</v>
      </c>
      <c r="N1051" t="s">
        <v>9</v>
      </c>
    </row>
    <row r="1052" spans="2:14" x14ac:dyDescent="0.25">
      <c r="B1052" t="s">
        <v>0</v>
      </c>
      <c r="C1052" t="s">
        <v>1102</v>
      </c>
      <c r="D1052" t="s">
        <v>43</v>
      </c>
      <c r="E1052" t="s">
        <v>3</v>
      </c>
      <c r="F1052" t="s">
        <v>4</v>
      </c>
      <c r="G1052" s="2" t="str">
        <f t="shared" si="16"/>
        <v>DEM_D_PRRIS_MWDSC_PIN/DEMAND-SWP-IN</v>
      </c>
      <c r="H1052" t="s">
        <v>5</v>
      </c>
      <c r="I1052" t="s">
        <v>44</v>
      </c>
      <c r="K1052" t="s">
        <v>1103</v>
      </c>
      <c r="L1052" t="s">
        <v>8</v>
      </c>
      <c r="N1052" t="s">
        <v>9</v>
      </c>
    </row>
    <row r="1053" spans="2:14" x14ac:dyDescent="0.25">
      <c r="B1053" t="s">
        <v>0</v>
      </c>
      <c r="C1053" t="s">
        <v>1104</v>
      </c>
      <c r="D1053" t="s">
        <v>43</v>
      </c>
      <c r="E1053" t="s">
        <v>3</v>
      </c>
      <c r="F1053" t="s">
        <v>4</v>
      </c>
      <c r="G1053" s="2" t="str">
        <f t="shared" si="16"/>
        <v>DEM_D_SBA009_ACFC_PIN/DEMAND-SWP-IN</v>
      </c>
      <c r="H1053" t="s">
        <v>5</v>
      </c>
      <c r="I1053" t="s">
        <v>44</v>
      </c>
      <c r="K1053" t="s">
        <v>1105</v>
      </c>
      <c r="L1053" t="s">
        <v>8</v>
      </c>
      <c r="N1053" t="s">
        <v>9</v>
      </c>
    </row>
    <row r="1054" spans="2:14" x14ac:dyDescent="0.25">
      <c r="B1054" t="s">
        <v>0</v>
      </c>
      <c r="C1054" t="s">
        <v>1106</v>
      </c>
      <c r="D1054" t="s">
        <v>43</v>
      </c>
      <c r="E1054" t="s">
        <v>3</v>
      </c>
      <c r="F1054" t="s">
        <v>4</v>
      </c>
      <c r="G1054" s="2" t="str">
        <f t="shared" si="16"/>
        <v>DEM_D_SBA029_ACWD_PIN/DEMAND-SWP-IN</v>
      </c>
      <c r="H1054" t="s">
        <v>5</v>
      </c>
      <c r="I1054" t="s">
        <v>44</v>
      </c>
      <c r="K1054" t="s">
        <v>1107</v>
      </c>
      <c r="L1054" t="s">
        <v>8</v>
      </c>
      <c r="N1054" t="s">
        <v>9</v>
      </c>
    </row>
    <row r="1055" spans="2:14" x14ac:dyDescent="0.25">
      <c r="B1055" t="s">
        <v>0</v>
      </c>
      <c r="C1055" t="s">
        <v>1108</v>
      </c>
      <c r="D1055" t="s">
        <v>43</v>
      </c>
      <c r="E1055" t="s">
        <v>3</v>
      </c>
      <c r="F1055" t="s">
        <v>4</v>
      </c>
      <c r="G1055" s="2" t="str">
        <f t="shared" si="16"/>
        <v>DEM_D_SBA036_SCVWD_PIN/DEMAND-SWP-IN</v>
      </c>
      <c r="H1055" t="s">
        <v>5</v>
      </c>
      <c r="I1055" t="s">
        <v>44</v>
      </c>
      <c r="K1055" t="s">
        <v>1109</v>
      </c>
      <c r="L1055" t="s">
        <v>8</v>
      </c>
      <c r="N1055" t="s">
        <v>9</v>
      </c>
    </row>
    <row r="1056" spans="2:14" x14ac:dyDescent="0.25">
      <c r="B1056" t="s">
        <v>0</v>
      </c>
      <c r="C1056" t="s">
        <v>1110</v>
      </c>
      <c r="D1056" t="s">
        <v>43</v>
      </c>
      <c r="E1056" t="s">
        <v>3</v>
      </c>
      <c r="F1056" t="s">
        <v>4</v>
      </c>
      <c r="G1056" s="2" t="str">
        <f t="shared" si="16"/>
        <v>DEM_D_WSB031_MWDSC_PIN/DEMAND-SWP-IN</v>
      </c>
      <c r="H1056" t="s">
        <v>5</v>
      </c>
      <c r="I1056" t="s">
        <v>44</v>
      </c>
      <c r="K1056" t="s">
        <v>1111</v>
      </c>
      <c r="L1056" t="s">
        <v>8</v>
      </c>
      <c r="N1056" t="s">
        <v>9</v>
      </c>
    </row>
    <row r="1057" spans="2:14" x14ac:dyDescent="0.25">
      <c r="B1057" t="s">
        <v>0</v>
      </c>
      <c r="C1057" t="s">
        <v>1112</v>
      </c>
      <c r="D1057" t="s">
        <v>43</v>
      </c>
      <c r="E1057" t="s">
        <v>3</v>
      </c>
      <c r="F1057" t="s">
        <v>4</v>
      </c>
      <c r="G1057" s="2" t="str">
        <f t="shared" si="16"/>
        <v>DEM_D_WTPCYC_16_PU_SWP_PIN/DEMAND-SWP-IN</v>
      </c>
      <c r="H1057" t="s">
        <v>5</v>
      </c>
      <c r="I1057" t="s">
        <v>44</v>
      </c>
      <c r="K1057" t="s">
        <v>283</v>
      </c>
      <c r="L1057" t="s">
        <v>8</v>
      </c>
      <c r="M1057" t="s">
        <v>40</v>
      </c>
      <c r="N1057" t="s">
        <v>9</v>
      </c>
    </row>
    <row r="1058" spans="2:14" x14ac:dyDescent="0.25">
      <c r="B1058" t="s">
        <v>0</v>
      </c>
      <c r="C1058" t="s">
        <v>1113</v>
      </c>
      <c r="D1058" t="s">
        <v>1114</v>
      </c>
      <c r="E1058" t="s">
        <v>3</v>
      </c>
      <c r="F1058" t="s">
        <v>4</v>
      </c>
      <c r="G1058" s="2" t="str">
        <f t="shared" si="16"/>
        <v>NBA_LOSSES/SEEPAGE</v>
      </c>
      <c r="H1058" t="s">
        <v>1115</v>
      </c>
      <c r="I1058" t="s">
        <v>25</v>
      </c>
      <c r="K1058" t="s">
        <v>1116</v>
      </c>
      <c r="L1058" t="s">
        <v>8</v>
      </c>
      <c r="N1058" t="s">
        <v>9</v>
      </c>
    </row>
    <row r="1059" spans="2:14" x14ac:dyDescent="0.25">
      <c r="B1059" t="s">
        <v>0</v>
      </c>
      <c r="C1059" t="s">
        <v>1117</v>
      </c>
      <c r="D1059" t="s">
        <v>1118</v>
      </c>
      <c r="E1059" t="s">
        <v>3</v>
      </c>
      <c r="F1059" t="s">
        <v>4</v>
      </c>
      <c r="G1059" s="2" t="str">
        <f t="shared" si="16"/>
        <v>MAMMOTH_STORAGE/STORAGE</v>
      </c>
      <c r="H1059" t="s">
        <v>1119</v>
      </c>
      <c r="I1059" t="s">
        <v>1120</v>
      </c>
      <c r="K1059" t="s">
        <v>1121</v>
      </c>
      <c r="L1059" t="s">
        <v>8</v>
      </c>
      <c r="M1059" t="s">
        <v>40</v>
      </c>
      <c r="N1059" t="s">
        <v>9</v>
      </c>
    </row>
    <row r="1060" spans="2:14" x14ac:dyDescent="0.25">
      <c r="B1060" t="s">
        <v>0</v>
      </c>
      <c r="C1060" t="s">
        <v>1122</v>
      </c>
      <c r="D1060" t="s">
        <v>1123</v>
      </c>
      <c r="E1060" t="s">
        <v>3</v>
      </c>
      <c r="F1060" t="s">
        <v>4</v>
      </c>
      <c r="G1060" s="2" t="str">
        <f t="shared" si="16"/>
        <v>PPT_FOLS/PRECIP</v>
      </c>
      <c r="H1060" t="s">
        <v>1119</v>
      </c>
      <c r="I1060" t="s">
        <v>1120</v>
      </c>
      <c r="K1060" t="s">
        <v>1124</v>
      </c>
      <c r="L1060" t="s">
        <v>54</v>
      </c>
      <c r="M1060" t="s">
        <v>54</v>
      </c>
      <c r="N1060" t="s">
        <v>1125</v>
      </c>
    </row>
    <row r="1061" spans="2:14" x14ac:dyDescent="0.25">
      <c r="B1061" t="s">
        <v>0</v>
      </c>
      <c r="C1061" t="s">
        <v>1126</v>
      </c>
      <c r="D1061" t="s">
        <v>1123</v>
      </c>
      <c r="E1061" t="s">
        <v>3</v>
      </c>
      <c r="F1061" t="s">
        <v>4</v>
      </c>
      <c r="G1061" s="2" t="str">
        <f t="shared" si="16"/>
        <v>PPT_ME/PRECIP</v>
      </c>
      <c r="H1061" t="s">
        <v>1119</v>
      </c>
      <c r="I1061" t="s">
        <v>1120</v>
      </c>
      <c r="K1061" t="s">
        <v>1124</v>
      </c>
      <c r="L1061" t="s">
        <v>54</v>
      </c>
      <c r="M1061" t="s">
        <v>54</v>
      </c>
      <c r="N1061" t="s">
        <v>1125</v>
      </c>
    </row>
    <row r="1062" spans="2:14" x14ac:dyDescent="0.25">
      <c r="B1062" t="s">
        <v>0</v>
      </c>
      <c r="C1062" t="s">
        <v>1127</v>
      </c>
      <c r="D1062" t="s">
        <v>1123</v>
      </c>
      <c r="E1062" t="s">
        <v>3</v>
      </c>
      <c r="F1062" t="s">
        <v>4</v>
      </c>
      <c r="G1062" s="2" t="str">
        <f t="shared" si="16"/>
        <v>PPT_OROV/PRECIP</v>
      </c>
      <c r="H1062" t="s">
        <v>1119</v>
      </c>
      <c r="I1062" t="s">
        <v>1120</v>
      </c>
      <c r="K1062" t="s">
        <v>1124</v>
      </c>
      <c r="L1062" t="s">
        <v>54</v>
      </c>
      <c r="M1062" t="s">
        <v>54</v>
      </c>
      <c r="N1062" t="s">
        <v>1125</v>
      </c>
    </row>
    <row r="1063" spans="2:14" x14ac:dyDescent="0.25">
      <c r="B1063" t="s">
        <v>0</v>
      </c>
      <c r="C1063" t="s">
        <v>1128</v>
      </c>
      <c r="D1063" t="s">
        <v>1123</v>
      </c>
      <c r="E1063" t="s">
        <v>3</v>
      </c>
      <c r="F1063" t="s">
        <v>4</v>
      </c>
      <c r="G1063" s="2" t="str">
        <f t="shared" si="16"/>
        <v>PPT_SHAS/PRECIP</v>
      </c>
      <c r="H1063" t="s">
        <v>1119</v>
      </c>
      <c r="I1063" t="s">
        <v>1120</v>
      </c>
      <c r="K1063" t="s">
        <v>1124</v>
      </c>
      <c r="L1063" t="s">
        <v>54</v>
      </c>
      <c r="M1063" t="s">
        <v>54</v>
      </c>
      <c r="N1063" t="s">
        <v>1125</v>
      </c>
    </row>
    <row r="1064" spans="2:14" x14ac:dyDescent="0.25">
      <c r="B1064" t="s">
        <v>0</v>
      </c>
      <c r="C1064" t="s">
        <v>1129</v>
      </c>
      <c r="D1064" t="s">
        <v>1123</v>
      </c>
      <c r="E1064" t="s">
        <v>3</v>
      </c>
      <c r="F1064" t="s">
        <v>4</v>
      </c>
      <c r="G1064" s="2" t="str">
        <f t="shared" si="16"/>
        <v>PPT_SJ/PRECIP</v>
      </c>
      <c r="H1064" t="s">
        <v>1119</v>
      </c>
      <c r="I1064" t="s">
        <v>1120</v>
      </c>
      <c r="K1064" t="s">
        <v>1124</v>
      </c>
      <c r="L1064" t="s">
        <v>54</v>
      </c>
      <c r="M1064" t="s">
        <v>54</v>
      </c>
      <c r="N1064" t="s">
        <v>1125</v>
      </c>
    </row>
    <row r="1065" spans="2:14" x14ac:dyDescent="0.25">
      <c r="B1065" t="s">
        <v>0</v>
      </c>
      <c r="C1065" t="s">
        <v>1130</v>
      </c>
      <c r="D1065" t="s">
        <v>1123</v>
      </c>
      <c r="E1065" t="s">
        <v>3</v>
      </c>
      <c r="F1065" t="s">
        <v>4</v>
      </c>
      <c r="G1065" s="2" t="str">
        <f t="shared" si="16"/>
        <v>PPT_ST/PRECIP</v>
      </c>
      <c r="H1065" t="s">
        <v>1119</v>
      </c>
      <c r="I1065" t="s">
        <v>1120</v>
      </c>
      <c r="K1065" t="s">
        <v>1124</v>
      </c>
      <c r="L1065" t="s">
        <v>54</v>
      </c>
      <c r="M1065" t="s">
        <v>54</v>
      </c>
      <c r="N1065" t="s">
        <v>1125</v>
      </c>
    </row>
    <row r="1066" spans="2:14" x14ac:dyDescent="0.25">
      <c r="B1066" t="s">
        <v>0</v>
      </c>
      <c r="C1066" t="s">
        <v>1131</v>
      </c>
      <c r="D1066" t="s">
        <v>1123</v>
      </c>
      <c r="E1066" t="s">
        <v>3</v>
      </c>
      <c r="F1066" t="s">
        <v>4</v>
      </c>
      <c r="G1066" s="2" t="str">
        <f t="shared" si="16"/>
        <v>PPT_TU/PRECIP</v>
      </c>
      <c r="H1066" t="s">
        <v>1119</v>
      </c>
      <c r="I1066" t="s">
        <v>1120</v>
      </c>
      <c r="K1066" t="s">
        <v>1124</v>
      </c>
      <c r="L1066" t="s">
        <v>54</v>
      </c>
      <c r="M1066" t="s">
        <v>54</v>
      </c>
      <c r="N1066" t="s">
        <v>1125</v>
      </c>
    </row>
    <row r="1067" spans="2:14" x14ac:dyDescent="0.25">
      <c r="B1067" t="s">
        <v>0</v>
      </c>
      <c r="C1067" t="s">
        <v>1132</v>
      </c>
      <c r="D1067" t="s">
        <v>1123</v>
      </c>
      <c r="E1067" t="s">
        <v>3</v>
      </c>
      <c r="F1067" t="s">
        <v>4</v>
      </c>
      <c r="G1067" s="2" t="str">
        <f t="shared" si="16"/>
        <v>PPT_YUBA/PRECIP</v>
      </c>
      <c r="H1067" t="s">
        <v>1119</v>
      </c>
      <c r="I1067" t="s">
        <v>1120</v>
      </c>
      <c r="K1067" t="s">
        <v>1124</v>
      </c>
      <c r="L1067" t="s">
        <v>54</v>
      </c>
      <c r="M1067" t="s">
        <v>54</v>
      </c>
      <c r="N1067" t="s">
        <v>1125</v>
      </c>
    </row>
    <row r="1068" spans="2:14" x14ac:dyDescent="0.25">
      <c r="B1068" t="s">
        <v>0</v>
      </c>
      <c r="C1068" t="s">
        <v>1133</v>
      </c>
      <c r="D1068" t="s">
        <v>1134</v>
      </c>
      <c r="E1068" t="s">
        <v>3</v>
      </c>
      <c r="F1068" t="s">
        <v>4</v>
      </c>
      <c r="G1068" s="2" t="str">
        <f t="shared" si="16"/>
        <v>UF_CULOS/CONSUMPTIVE-USE</v>
      </c>
      <c r="H1068" t="s">
        <v>1119</v>
      </c>
      <c r="I1068" t="s">
        <v>1120</v>
      </c>
      <c r="K1068" t="s">
        <v>1135</v>
      </c>
      <c r="L1068" t="s">
        <v>8</v>
      </c>
      <c r="N1068" t="s">
        <v>9</v>
      </c>
    </row>
    <row r="1069" spans="2:14" x14ac:dyDescent="0.25">
      <c r="B1069" t="s">
        <v>0</v>
      </c>
      <c r="C1069" t="s">
        <v>1136</v>
      </c>
      <c r="D1069" t="s">
        <v>1137</v>
      </c>
      <c r="E1069" t="s">
        <v>3</v>
      </c>
      <c r="F1069" t="s">
        <v>4</v>
      </c>
      <c r="G1069" s="2" t="str">
        <f t="shared" si="16"/>
        <v>UNIMP_FOLS/FLOW-UNIMPAIRED</v>
      </c>
      <c r="H1069" t="s">
        <v>1119</v>
      </c>
      <c r="I1069" t="s">
        <v>1120</v>
      </c>
      <c r="K1069" t="s">
        <v>1138</v>
      </c>
      <c r="L1069" t="s">
        <v>8</v>
      </c>
      <c r="N1069" t="s">
        <v>9</v>
      </c>
    </row>
    <row r="1070" spans="2:14" x14ac:dyDescent="0.25">
      <c r="B1070" t="s">
        <v>0</v>
      </c>
      <c r="C1070" t="s">
        <v>1139</v>
      </c>
      <c r="D1070" t="s">
        <v>1137</v>
      </c>
      <c r="E1070" t="s">
        <v>3</v>
      </c>
      <c r="F1070" t="s">
        <v>4</v>
      </c>
      <c r="G1070" s="2" t="str">
        <f t="shared" si="16"/>
        <v>UNIMP_ME/FLOW-UNIMPAIRED</v>
      </c>
      <c r="H1070" t="s">
        <v>1119</v>
      </c>
      <c r="I1070" t="s">
        <v>1120</v>
      </c>
      <c r="K1070" t="s">
        <v>1138</v>
      </c>
      <c r="L1070" t="s">
        <v>8</v>
      </c>
      <c r="N1070" t="s">
        <v>9</v>
      </c>
    </row>
    <row r="1071" spans="2:14" x14ac:dyDescent="0.25">
      <c r="B1071" t="s">
        <v>0</v>
      </c>
      <c r="C1071" t="s">
        <v>1140</v>
      </c>
      <c r="D1071" t="s">
        <v>1137</v>
      </c>
      <c r="E1071" t="s">
        <v>3</v>
      </c>
      <c r="F1071" t="s">
        <v>4</v>
      </c>
      <c r="G1071" s="2" t="str">
        <f t="shared" si="16"/>
        <v>UNIMP_OROV/FLOW-UNIMPAIRED</v>
      </c>
      <c r="H1071" t="s">
        <v>1119</v>
      </c>
      <c r="I1071" t="s">
        <v>1120</v>
      </c>
      <c r="K1071" t="s">
        <v>1138</v>
      </c>
      <c r="L1071" t="s">
        <v>8</v>
      </c>
      <c r="N1071" t="s">
        <v>9</v>
      </c>
    </row>
    <row r="1072" spans="2:14" x14ac:dyDescent="0.25">
      <c r="B1072" t="s">
        <v>0</v>
      </c>
      <c r="C1072" t="s">
        <v>1141</v>
      </c>
      <c r="D1072" t="s">
        <v>1137</v>
      </c>
      <c r="E1072" t="s">
        <v>3</v>
      </c>
      <c r="F1072" t="s">
        <v>4</v>
      </c>
      <c r="G1072" s="2" t="str">
        <f t="shared" si="16"/>
        <v>UNIMP_SHAS/FLOW-UNIMPAIRED</v>
      </c>
      <c r="H1072" t="s">
        <v>1119</v>
      </c>
      <c r="I1072" t="s">
        <v>1120</v>
      </c>
      <c r="K1072" t="s">
        <v>1138</v>
      </c>
      <c r="L1072" t="s">
        <v>8</v>
      </c>
      <c r="N1072" t="s">
        <v>9</v>
      </c>
    </row>
    <row r="1073" spans="2:14" x14ac:dyDescent="0.25">
      <c r="B1073" t="s">
        <v>0</v>
      </c>
      <c r="C1073" t="s">
        <v>1142</v>
      </c>
      <c r="D1073" t="s">
        <v>1137</v>
      </c>
      <c r="E1073" t="s">
        <v>3</v>
      </c>
      <c r="F1073" t="s">
        <v>4</v>
      </c>
      <c r="G1073" s="2" t="str">
        <f t="shared" si="16"/>
        <v>UNIMP_SJ/FLOW-UNIMPAIRED</v>
      </c>
      <c r="H1073" t="s">
        <v>1119</v>
      </c>
      <c r="I1073" t="s">
        <v>1120</v>
      </c>
      <c r="K1073" t="s">
        <v>1138</v>
      </c>
      <c r="L1073" t="s">
        <v>8</v>
      </c>
      <c r="N1073" t="s">
        <v>9</v>
      </c>
    </row>
    <row r="1074" spans="2:14" x14ac:dyDescent="0.25">
      <c r="B1074" t="s">
        <v>0</v>
      </c>
      <c r="C1074" t="s">
        <v>1143</v>
      </c>
      <c r="D1074" t="s">
        <v>1137</v>
      </c>
      <c r="E1074" t="s">
        <v>3</v>
      </c>
      <c r="F1074" t="s">
        <v>4</v>
      </c>
      <c r="G1074" s="2" t="str">
        <f t="shared" si="16"/>
        <v>UNIMP_SRBB/FLOW-UNIMPAIRED</v>
      </c>
      <c r="H1074" t="s">
        <v>1119</v>
      </c>
      <c r="I1074" t="s">
        <v>1120</v>
      </c>
      <c r="K1074" t="s">
        <v>1138</v>
      </c>
      <c r="L1074" t="s">
        <v>8</v>
      </c>
      <c r="N1074" t="s">
        <v>9</v>
      </c>
    </row>
    <row r="1075" spans="2:14" x14ac:dyDescent="0.25">
      <c r="B1075" t="s">
        <v>0</v>
      </c>
      <c r="C1075" t="s">
        <v>1144</v>
      </c>
      <c r="D1075" t="s">
        <v>1137</v>
      </c>
      <c r="E1075" t="s">
        <v>3</v>
      </c>
      <c r="F1075" t="s">
        <v>4</v>
      </c>
      <c r="G1075" s="2" t="str">
        <f t="shared" si="16"/>
        <v>UNIMP_ST/FLOW-UNIMPAIRED</v>
      </c>
      <c r="H1075" t="s">
        <v>1119</v>
      </c>
      <c r="I1075" t="s">
        <v>1120</v>
      </c>
      <c r="K1075" t="s">
        <v>1138</v>
      </c>
      <c r="L1075" t="s">
        <v>8</v>
      </c>
      <c r="N1075" t="s">
        <v>9</v>
      </c>
    </row>
    <row r="1076" spans="2:14" x14ac:dyDescent="0.25">
      <c r="B1076" t="s">
        <v>0</v>
      </c>
      <c r="C1076" t="s">
        <v>1145</v>
      </c>
      <c r="D1076" t="s">
        <v>1137</v>
      </c>
      <c r="E1076" t="s">
        <v>3</v>
      </c>
      <c r="F1076" t="s">
        <v>4</v>
      </c>
      <c r="G1076" s="2" t="str">
        <f t="shared" si="16"/>
        <v>UNIMP_TRIN/FLOW-UNIMPAIRED</v>
      </c>
      <c r="H1076" t="s">
        <v>1119</v>
      </c>
      <c r="I1076" t="s">
        <v>1120</v>
      </c>
      <c r="K1076" t="s">
        <v>1138</v>
      </c>
      <c r="L1076" t="s">
        <v>8</v>
      </c>
      <c r="N1076" t="s">
        <v>9</v>
      </c>
    </row>
    <row r="1077" spans="2:14" x14ac:dyDescent="0.25">
      <c r="B1077" t="s">
        <v>0</v>
      </c>
      <c r="C1077" t="s">
        <v>1146</v>
      </c>
      <c r="D1077" t="s">
        <v>1137</v>
      </c>
      <c r="E1077" t="s">
        <v>3</v>
      </c>
      <c r="F1077" t="s">
        <v>4</v>
      </c>
      <c r="G1077" s="2" t="str">
        <f t="shared" si="16"/>
        <v>UNIMP_TU/FLOW-UNIMPAIRED</v>
      </c>
      <c r="H1077" t="s">
        <v>1119</v>
      </c>
      <c r="I1077" t="s">
        <v>1120</v>
      </c>
      <c r="K1077" t="s">
        <v>1138</v>
      </c>
      <c r="L1077" t="s">
        <v>8</v>
      </c>
      <c r="N1077" t="s">
        <v>9</v>
      </c>
    </row>
    <row r="1078" spans="2:14" x14ac:dyDescent="0.25">
      <c r="B1078" t="s">
        <v>0</v>
      </c>
      <c r="C1078" t="s">
        <v>1147</v>
      </c>
      <c r="D1078" t="s">
        <v>1137</v>
      </c>
      <c r="E1078" t="s">
        <v>3</v>
      </c>
      <c r="F1078" t="s">
        <v>4</v>
      </c>
      <c r="G1078" s="2" t="str">
        <f t="shared" si="16"/>
        <v>UNIMP_YUBA/FLOW-UNIMPAIRED</v>
      </c>
      <c r="H1078" t="s">
        <v>1119</v>
      </c>
      <c r="I1078" t="s">
        <v>1120</v>
      </c>
      <c r="K1078" t="s">
        <v>1138</v>
      </c>
      <c r="L1078" t="s">
        <v>8</v>
      </c>
      <c r="N1078" t="s">
        <v>9</v>
      </c>
    </row>
    <row r="1079" spans="2:14" x14ac:dyDescent="0.25">
      <c r="B1079" t="s">
        <v>0</v>
      </c>
      <c r="C1079" t="s">
        <v>1148</v>
      </c>
      <c r="D1079" t="s">
        <v>1149</v>
      </c>
      <c r="E1079" t="s">
        <v>3</v>
      </c>
      <c r="F1079" t="s">
        <v>4</v>
      </c>
      <c r="G1079" s="2" t="str">
        <f t="shared" si="16"/>
        <v>CT_BENDBRIDGE_SV/CLOSURE-TERM</v>
      </c>
      <c r="H1079" t="s">
        <v>1150</v>
      </c>
      <c r="I1079" t="s">
        <v>1151</v>
      </c>
      <c r="L1079" t="s">
        <v>8</v>
      </c>
      <c r="M1079" t="s">
        <v>54</v>
      </c>
      <c r="N1079" t="s">
        <v>9</v>
      </c>
    </row>
    <row r="1080" spans="2:14" x14ac:dyDescent="0.25">
      <c r="B1080" t="s">
        <v>0</v>
      </c>
      <c r="C1080" t="s">
        <v>1152</v>
      </c>
      <c r="D1080" t="s">
        <v>1149</v>
      </c>
      <c r="E1080" t="s">
        <v>3</v>
      </c>
      <c r="F1080" t="s">
        <v>4</v>
      </c>
      <c r="G1080" s="2" t="str">
        <f t="shared" si="16"/>
        <v>CT_BUTTECITY_SV/CLOSURE-TERM</v>
      </c>
      <c r="H1080" t="s">
        <v>1150</v>
      </c>
      <c r="I1080" t="s">
        <v>1151</v>
      </c>
      <c r="L1080" t="s">
        <v>8</v>
      </c>
      <c r="M1080" t="s">
        <v>54</v>
      </c>
      <c r="N1080" t="s">
        <v>9</v>
      </c>
    </row>
    <row r="1081" spans="2:14" x14ac:dyDescent="0.25">
      <c r="B1081" t="s">
        <v>0</v>
      </c>
      <c r="C1081" t="s">
        <v>1153</v>
      </c>
      <c r="D1081" t="s">
        <v>1149</v>
      </c>
      <c r="E1081" t="s">
        <v>3</v>
      </c>
      <c r="F1081" t="s">
        <v>4</v>
      </c>
      <c r="G1081" s="2" t="str">
        <f t="shared" si="16"/>
        <v>CT_COLUSA_SV/CLOSURE-TERM</v>
      </c>
      <c r="H1081" t="s">
        <v>1150</v>
      </c>
      <c r="I1081" t="s">
        <v>1151</v>
      </c>
      <c r="K1081" t="s">
        <v>1154</v>
      </c>
      <c r="L1081" t="s">
        <v>8</v>
      </c>
      <c r="M1081" t="s">
        <v>40</v>
      </c>
      <c r="N1081" t="s">
        <v>9</v>
      </c>
    </row>
    <row r="1082" spans="2:14" x14ac:dyDescent="0.25">
      <c r="B1082" t="s">
        <v>0</v>
      </c>
      <c r="C1082" t="s">
        <v>1155</v>
      </c>
      <c r="D1082" t="s">
        <v>1149</v>
      </c>
      <c r="E1082" t="s">
        <v>3</v>
      </c>
      <c r="F1082" t="s">
        <v>4</v>
      </c>
      <c r="G1082" s="2" t="str">
        <f t="shared" si="16"/>
        <v>CT_DAVIS_SV/CLOSURE-TERM</v>
      </c>
      <c r="H1082" t="s">
        <v>1150</v>
      </c>
      <c r="I1082" t="s">
        <v>1151</v>
      </c>
      <c r="L1082" t="s">
        <v>8</v>
      </c>
      <c r="M1082" t="s">
        <v>40</v>
      </c>
      <c r="N1082" t="s">
        <v>9</v>
      </c>
    </row>
    <row r="1083" spans="2:14" x14ac:dyDescent="0.25">
      <c r="B1083" t="s">
        <v>0</v>
      </c>
      <c r="C1083" t="s">
        <v>1156</v>
      </c>
      <c r="D1083" t="s">
        <v>1149</v>
      </c>
      <c r="E1083" t="s">
        <v>3</v>
      </c>
      <c r="F1083" t="s">
        <v>4</v>
      </c>
      <c r="G1083" s="2" t="str">
        <f t="shared" si="16"/>
        <v>CT_FAIROAKS_SV/CLOSURE-TERM</v>
      </c>
      <c r="H1083" t="s">
        <v>1150</v>
      </c>
      <c r="I1083" t="s">
        <v>1151</v>
      </c>
      <c r="K1083" t="s">
        <v>1157</v>
      </c>
      <c r="L1083" t="s">
        <v>8</v>
      </c>
      <c r="M1083" t="s">
        <v>40</v>
      </c>
      <c r="N1083" t="s">
        <v>9</v>
      </c>
    </row>
    <row r="1084" spans="2:14" x14ac:dyDescent="0.25">
      <c r="B1084" t="s">
        <v>0</v>
      </c>
      <c r="C1084" t="s">
        <v>1158</v>
      </c>
      <c r="D1084" t="s">
        <v>1149</v>
      </c>
      <c r="E1084" t="s">
        <v>3</v>
      </c>
      <c r="F1084" t="s">
        <v>4</v>
      </c>
      <c r="G1084" s="2" t="str">
        <f t="shared" si="16"/>
        <v>CT_FREEPORT_SV/CLOSURE-TERM</v>
      </c>
      <c r="H1084" t="s">
        <v>1150</v>
      </c>
      <c r="I1084" t="s">
        <v>1151</v>
      </c>
      <c r="L1084" t="s">
        <v>8</v>
      </c>
      <c r="M1084" t="s">
        <v>40</v>
      </c>
      <c r="N1084" t="s">
        <v>9</v>
      </c>
    </row>
    <row r="1085" spans="2:14" x14ac:dyDescent="0.25">
      <c r="B1085" t="s">
        <v>0</v>
      </c>
      <c r="C1085" t="s">
        <v>1159</v>
      </c>
      <c r="D1085" t="s">
        <v>1149</v>
      </c>
      <c r="E1085" t="s">
        <v>3</v>
      </c>
      <c r="F1085" t="s">
        <v>4</v>
      </c>
      <c r="G1085" s="2" t="str">
        <f t="shared" si="16"/>
        <v>CT_GRAFORD_SV/CLOSURE-TERM</v>
      </c>
      <c r="H1085" t="s">
        <v>1150</v>
      </c>
      <c r="I1085" t="s">
        <v>1151</v>
      </c>
      <c r="L1085" t="s">
        <v>8</v>
      </c>
      <c r="N1085" t="s">
        <v>9</v>
      </c>
    </row>
    <row r="1086" spans="2:14" x14ac:dyDescent="0.25">
      <c r="B1086" t="s">
        <v>0</v>
      </c>
      <c r="C1086" t="s">
        <v>1160</v>
      </c>
      <c r="D1086" t="s">
        <v>1149</v>
      </c>
      <c r="E1086" t="s">
        <v>3</v>
      </c>
      <c r="F1086" t="s">
        <v>4</v>
      </c>
      <c r="G1086" s="2" t="str">
        <f t="shared" si="16"/>
        <v>CT_GRAVELLYFORD_SV/CLOSURE-TERM</v>
      </c>
      <c r="H1086" t="s">
        <v>1150</v>
      </c>
      <c r="I1086" t="s">
        <v>1151</v>
      </c>
      <c r="L1086" t="s">
        <v>8</v>
      </c>
      <c r="M1086" t="s">
        <v>40</v>
      </c>
      <c r="N1086" t="s">
        <v>9</v>
      </c>
    </row>
    <row r="1087" spans="2:14" x14ac:dyDescent="0.25">
      <c r="B1087" t="s">
        <v>0</v>
      </c>
      <c r="C1087" t="s">
        <v>1161</v>
      </c>
      <c r="D1087" t="s">
        <v>1149</v>
      </c>
      <c r="E1087" t="s">
        <v>3</v>
      </c>
      <c r="F1087" t="s">
        <v>4</v>
      </c>
      <c r="G1087" s="2" t="str">
        <f t="shared" si="16"/>
        <v>CT_MERCED_SV/CLOSURE-TERM</v>
      </c>
      <c r="H1087" t="s">
        <v>1150</v>
      </c>
      <c r="I1087" t="s">
        <v>1151</v>
      </c>
      <c r="J1087">
        <v>0</v>
      </c>
      <c r="L1087" t="s">
        <v>8</v>
      </c>
      <c r="M1087" t="s">
        <v>40</v>
      </c>
      <c r="N1087" t="s">
        <v>9</v>
      </c>
    </row>
    <row r="1088" spans="2:14" x14ac:dyDescent="0.25">
      <c r="B1088" t="s">
        <v>0</v>
      </c>
      <c r="C1088" t="s">
        <v>1162</v>
      </c>
      <c r="D1088" t="s">
        <v>1149</v>
      </c>
      <c r="E1088" t="s">
        <v>3</v>
      </c>
      <c r="F1088" t="s">
        <v>4</v>
      </c>
      <c r="G1088" s="2" t="str">
        <f t="shared" si="16"/>
        <v>CT_MODESTO_SV/CLOSURE-TERM</v>
      </c>
      <c r="H1088" t="s">
        <v>1150</v>
      </c>
      <c r="I1088" t="s">
        <v>1151</v>
      </c>
      <c r="J1088">
        <v>0</v>
      </c>
      <c r="L1088" t="s">
        <v>8</v>
      </c>
      <c r="M1088" t="s">
        <v>40</v>
      </c>
      <c r="N1088" t="s">
        <v>9</v>
      </c>
    </row>
    <row r="1089" spans="2:14" x14ac:dyDescent="0.25">
      <c r="B1089" t="s">
        <v>0</v>
      </c>
      <c r="C1089" t="s">
        <v>1163</v>
      </c>
      <c r="D1089" t="s">
        <v>1149</v>
      </c>
      <c r="E1089" t="s">
        <v>3</v>
      </c>
      <c r="F1089" t="s">
        <v>4</v>
      </c>
      <c r="G1089" s="2" t="str">
        <f t="shared" si="16"/>
        <v>CT_MUDSLOUGH_SV/CLOSURE-TERM</v>
      </c>
      <c r="H1089" t="s">
        <v>1150</v>
      </c>
      <c r="I1089" t="s">
        <v>1151</v>
      </c>
      <c r="J1089">
        <v>0</v>
      </c>
      <c r="L1089" t="s">
        <v>8</v>
      </c>
      <c r="M1089" t="s">
        <v>40</v>
      </c>
      <c r="N1089" t="s">
        <v>9</v>
      </c>
    </row>
    <row r="1090" spans="2:14" x14ac:dyDescent="0.25">
      <c r="B1090" t="s">
        <v>0</v>
      </c>
      <c r="C1090" t="s">
        <v>1164</v>
      </c>
      <c r="D1090" t="s">
        <v>1149</v>
      </c>
      <c r="E1090" t="s">
        <v>3</v>
      </c>
      <c r="F1090" t="s">
        <v>4</v>
      </c>
      <c r="G1090" s="2" t="str">
        <f t="shared" si="16"/>
        <v>CT_NICOLAUS_SV/CLOSURE-TERM</v>
      </c>
      <c r="H1090" t="s">
        <v>1150</v>
      </c>
      <c r="I1090" t="s">
        <v>1151</v>
      </c>
      <c r="J1090">
        <v>0</v>
      </c>
      <c r="L1090" t="s">
        <v>8</v>
      </c>
      <c r="M1090" t="s">
        <v>40</v>
      </c>
      <c r="N1090" t="s">
        <v>9</v>
      </c>
    </row>
    <row r="1091" spans="2:14" x14ac:dyDescent="0.25">
      <c r="B1091" t="s">
        <v>0</v>
      </c>
      <c r="C1091" t="s">
        <v>1165</v>
      </c>
      <c r="D1091" t="s">
        <v>1149</v>
      </c>
      <c r="E1091" t="s">
        <v>3</v>
      </c>
      <c r="F1091" t="s">
        <v>4</v>
      </c>
      <c r="G1091" s="2" t="str">
        <f t="shared" ref="G1091:G1154" si="17">_xlfn.CONCAT(C1091,"/",D1091)</f>
        <v>CT_OROVILLE_SV/CLOSURE-TERM</v>
      </c>
      <c r="H1091" t="s">
        <v>1150</v>
      </c>
      <c r="I1091" t="s">
        <v>1151</v>
      </c>
      <c r="J1091">
        <v>0</v>
      </c>
      <c r="K1091" t="s">
        <v>1166</v>
      </c>
      <c r="L1091" t="s">
        <v>8</v>
      </c>
      <c r="M1091" t="s">
        <v>40</v>
      </c>
      <c r="N1091" t="s">
        <v>9</v>
      </c>
    </row>
    <row r="1092" spans="2:14" x14ac:dyDescent="0.25">
      <c r="B1092" t="s">
        <v>0</v>
      </c>
      <c r="C1092" t="s">
        <v>1167</v>
      </c>
      <c r="D1092" t="s">
        <v>1149</v>
      </c>
      <c r="E1092" t="s">
        <v>3</v>
      </c>
      <c r="F1092" t="s">
        <v>4</v>
      </c>
      <c r="G1092" s="2" t="str">
        <f t="shared" si="17"/>
        <v>CT_PARDE_SV/CLOSURE-TERM</v>
      </c>
      <c r="H1092" t="s">
        <v>1150</v>
      </c>
      <c r="I1092" t="s">
        <v>1151</v>
      </c>
      <c r="L1092" t="s">
        <v>8</v>
      </c>
      <c r="N1092" t="s">
        <v>9</v>
      </c>
    </row>
    <row r="1093" spans="2:14" x14ac:dyDescent="0.25">
      <c r="B1093" t="s">
        <v>0</v>
      </c>
      <c r="C1093" t="s">
        <v>1168</v>
      </c>
      <c r="D1093" t="s">
        <v>1149</v>
      </c>
      <c r="E1093" t="s">
        <v>3</v>
      </c>
      <c r="F1093" t="s">
        <v>4</v>
      </c>
      <c r="G1093" s="2" t="str">
        <f t="shared" si="17"/>
        <v>CT_RIPON_SV/CLOSURE-TERM</v>
      </c>
      <c r="H1093" t="s">
        <v>1150</v>
      </c>
      <c r="I1093" t="s">
        <v>1151</v>
      </c>
      <c r="L1093" t="s">
        <v>8</v>
      </c>
      <c r="M1093" t="s">
        <v>40</v>
      </c>
      <c r="N1093" t="s">
        <v>9</v>
      </c>
    </row>
    <row r="1094" spans="2:14" x14ac:dyDescent="0.25">
      <c r="B1094" t="s">
        <v>0</v>
      </c>
      <c r="C1094" t="s">
        <v>1169</v>
      </c>
      <c r="D1094" t="s">
        <v>1149</v>
      </c>
      <c r="E1094" t="s">
        <v>3</v>
      </c>
      <c r="F1094" t="s">
        <v>4</v>
      </c>
      <c r="G1094" s="2" t="str">
        <f t="shared" si="17"/>
        <v>CT_SACSLOUGH_SV/CLOSURE-TERM</v>
      </c>
      <c r="H1094" t="s">
        <v>1150</v>
      </c>
      <c r="I1094" t="s">
        <v>1151</v>
      </c>
      <c r="K1094" t="s">
        <v>1170</v>
      </c>
      <c r="L1094" t="s">
        <v>8</v>
      </c>
      <c r="M1094" t="s">
        <v>40</v>
      </c>
      <c r="N1094" t="s">
        <v>9</v>
      </c>
    </row>
    <row r="1095" spans="2:14" x14ac:dyDescent="0.25">
      <c r="B1095" t="s">
        <v>0</v>
      </c>
      <c r="C1095" t="s">
        <v>1171</v>
      </c>
      <c r="D1095" t="s">
        <v>1149</v>
      </c>
      <c r="E1095" t="s">
        <v>3</v>
      </c>
      <c r="F1095" t="s">
        <v>4</v>
      </c>
      <c r="G1095" s="2" t="str">
        <f t="shared" si="17"/>
        <v>CT_SALTSLOUGH_SV/CLOSURE-TERM</v>
      </c>
      <c r="H1095" t="s">
        <v>1150</v>
      </c>
      <c r="I1095" t="s">
        <v>1151</v>
      </c>
      <c r="K1095" t="s">
        <v>1172</v>
      </c>
      <c r="L1095" t="s">
        <v>8</v>
      </c>
      <c r="N1095" t="s">
        <v>9</v>
      </c>
    </row>
    <row r="1096" spans="2:14" x14ac:dyDescent="0.25">
      <c r="B1096" t="s">
        <v>0</v>
      </c>
      <c r="C1096" t="s">
        <v>1173</v>
      </c>
      <c r="D1096" t="s">
        <v>1149</v>
      </c>
      <c r="E1096" t="s">
        <v>3</v>
      </c>
      <c r="F1096" t="s">
        <v>4</v>
      </c>
      <c r="G1096" s="2" t="str">
        <f t="shared" si="17"/>
        <v>CT_SMARTVILLE_SV/CLOSURE-TERM</v>
      </c>
      <c r="H1096" t="s">
        <v>1150</v>
      </c>
      <c r="I1096" t="s">
        <v>1151</v>
      </c>
      <c r="L1096" t="s">
        <v>8</v>
      </c>
      <c r="M1096" t="s">
        <v>40</v>
      </c>
      <c r="N1096" t="s">
        <v>9</v>
      </c>
    </row>
    <row r="1097" spans="2:14" x14ac:dyDescent="0.25">
      <c r="B1097" t="s">
        <v>0</v>
      </c>
      <c r="C1097" t="s">
        <v>1174</v>
      </c>
      <c r="D1097" t="s">
        <v>1149</v>
      </c>
      <c r="E1097" t="s">
        <v>3</v>
      </c>
      <c r="F1097" t="s">
        <v>4</v>
      </c>
      <c r="G1097" s="2" t="str">
        <f t="shared" si="17"/>
        <v>CT_STEVINSON_SV/CLOSURE-TERM</v>
      </c>
      <c r="H1097" t="s">
        <v>1150</v>
      </c>
      <c r="I1097" t="s">
        <v>1151</v>
      </c>
      <c r="L1097" t="s">
        <v>8</v>
      </c>
      <c r="M1097" t="s">
        <v>40</v>
      </c>
      <c r="N1097" t="s">
        <v>9</v>
      </c>
    </row>
    <row r="1098" spans="2:14" x14ac:dyDescent="0.25">
      <c r="B1098" t="s">
        <v>0</v>
      </c>
      <c r="C1098" t="s">
        <v>1175</v>
      </c>
      <c r="D1098" t="s">
        <v>1149</v>
      </c>
      <c r="E1098" t="s">
        <v>3</v>
      </c>
      <c r="F1098" t="s">
        <v>4</v>
      </c>
      <c r="G1098" s="2" t="str">
        <f t="shared" si="17"/>
        <v>CT_VERNALIS_SV/CLOSURE-TERM</v>
      </c>
      <c r="H1098" t="s">
        <v>1150</v>
      </c>
      <c r="I1098" t="s">
        <v>1151</v>
      </c>
      <c r="L1098" t="s">
        <v>8</v>
      </c>
      <c r="M1098" t="s">
        <v>40</v>
      </c>
      <c r="N1098" t="s">
        <v>9</v>
      </c>
    </row>
    <row r="1099" spans="2:14" x14ac:dyDescent="0.25">
      <c r="B1099" t="s">
        <v>0</v>
      </c>
      <c r="C1099" t="s">
        <v>1176</v>
      </c>
      <c r="D1099" t="s">
        <v>1149</v>
      </c>
      <c r="E1099" t="s">
        <v>3</v>
      </c>
      <c r="F1099" t="s">
        <v>4</v>
      </c>
      <c r="G1099" s="2" t="str">
        <f t="shared" si="17"/>
        <v>CT_VERONA_SV/CLOSURE-TERM</v>
      </c>
      <c r="H1099" t="s">
        <v>1150</v>
      </c>
      <c r="I1099" t="s">
        <v>1151</v>
      </c>
      <c r="L1099" t="s">
        <v>8</v>
      </c>
      <c r="M1099" t="s">
        <v>40</v>
      </c>
      <c r="N1099" t="s">
        <v>9</v>
      </c>
    </row>
    <row r="1100" spans="2:14" x14ac:dyDescent="0.25">
      <c r="B1100" t="s">
        <v>0</v>
      </c>
      <c r="C1100" t="s">
        <v>1177</v>
      </c>
      <c r="D1100" t="s">
        <v>1149</v>
      </c>
      <c r="E1100" t="s">
        <v>3</v>
      </c>
      <c r="F1100" t="s">
        <v>4</v>
      </c>
      <c r="G1100" s="2" t="str">
        <f t="shared" si="17"/>
        <v>CT_WHEATLAND_SV/CLOSURE-TERM</v>
      </c>
      <c r="H1100" t="s">
        <v>1150</v>
      </c>
      <c r="I1100" t="s">
        <v>1151</v>
      </c>
      <c r="L1100" t="s">
        <v>8</v>
      </c>
      <c r="M1100" t="s">
        <v>54</v>
      </c>
      <c r="N1100" t="s">
        <v>9</v>
      </c>
    </row>
    <row r="1101" spans="2:14" x14ac:dyDescent="0.25">
      <c r="B1101" t="s">
        <v>0</v>
      </c>
      <c r="C1101" t="s">
        <v>1178</v>
      </c>
      <c r="D1101" t="s">
        <v>1149</v>
      </c>
      <c r="E1101" t="s">
        <v>3</v>
      </c>
      <c r="F1101" t="s">
        <v>4</v>
      </c>
      <c r="G1101" s="2" t="str">
        <f t="shared" si="17"/>
        <v>CT_WILKINSSL_SV/CLOSURE-TERM</v>
      </c>
      <c r="H1101" t="s">
        <v>1150</v>
      </c>
      <c r="I1101" t="s">
        <v>1151</v>
      </c>
      <c r="L1101" t="s">
        <v>8</v>
      </c>
      <c r="M1101" t="s">
        <v>40</v>
      </c>
      <c r="N1101" t="s">
        <v>9</v>
      </c>
    </row>
    <row r="1102" spans="2:14" x14ac:dyDescent="0.25">
      <c r="B1102" t="s">
        <v>0</v>
      </c>
      <c r="C1102" t="s">
        <v>1179</v>
      </c>
      <c r="D1102" t="s">
        <v>1149</v>
      </c>
      <c r="E1102" t="s">
        <v>3</v>
      </c>
      <c r="F1102" t="s">
        <v>4</v>
      </c>
      <c r="G1102" s="2" t="str">
        <f t="shared" si="17"/>
        <v>CT_WOODLAND_SV/CLOSURE-TERM</v>
      </c>
      <c r="H1102" t="s">
        <v>1150</v>
      </c>
      <c r="I1102" t="s">
        <v>1151</v>
      </c>
      <c r="K1102" t="s">
        <v>1154</v>
      </c>
      <c r="L1102" t="s">
        <v>8</v>
      </c>
      <c r="M1102" t="s">
        <v>40</v>
      </c>
      <c r="N1102" t="s">
        <v>9</v>
      </c>
    </row>
    <row r="1103" spans="2:14" x14ac:dyDescent="0.25">
      <c r="B1103" t="s">
        <v>0</v>
      </c>
      <c r="C1103" t="s">
        <v>1180</v>
      </c>
      <c r="D1103" t="s">
        <v>1149</v>
      </c>
      <c r="E1103" t="s">
        <v>3</v>
      </c>
      <c r="F1103" t="s">
        <v>4</v>
      </c>
      <c r="G1103" s="2" t="str">
        <f t="shared" si="17"/>
        <v>CT_YOLO_SV/CLOSURE-TERM</v>
      </c>
      <c r="H1103" t="s">
        <v>1150</v>
      </c>
      <c r="I1103" t="s">
        <v>1151</v>
      </c>
      <c r="K1103" t="s">
        <v>1154</v>
      </c>
      <c r="L1103" t="s">
        <v>8</v>
      </c>
      <c r="M1103" t="s">
        <v>40</v>
      </c>
      <c r="N1103" t="s">
        <v>9</v>
      </c>
    </row>
    <row r="1104" spans="2:14" x14ac:dyDescent="0.25">
      <c r="B1104" t="s">
        <v>0</v>
      </c>
      <c r="C1104" t="s">
        <v>1181</v>
      </c>
      <c r="D1104" t="s">
        <v>1182</v>
      </c>
      <c r="E1104" t="s">
        <v>3</v>
      </c>
      <c r="F1104" t="s">
        <v>4</v>
      </c>
      <c r="G1104" s="2" t="str">
        <f t="shared" si="17"/>
        <v>ER_ALDER/EVAPORATION-RATE</v>
      </c>
      <c r="H1104" t="s">
        <v>1183</v>
      </c>
      <c r="I1104" t="s">
        <v>1184</v>
      </c>
      <c r="J1104" t="s">
        <v>1185</v>
      </c>
      <c r="L1104" t="s">
        <v>8</v>
      </c>
      <c r="M1104" t="s">
        <v>8</v>
      </c>
      <c r="N1104" t="s">
        <v>1125</v>
      </c>
    </row>
    <row r="1105" spans="2:14" x14ac:dyDescent="0.25">
      <c r="B1105" t="s">
        <v>0</v>
      </c>
      <c r="C1105" t="s">
        <v>1186</v>
      </c>
      <c r="D1105" t="s">
        <v>1182</v>
      </c>
      <c r="E1105" t="s">
        <v>3</v>
      </c>
      <c r="F1105" t="s">
        <v>4</v>
      </c>
      <c r="G1105" s="2" t="str">
        <f t="shared" si="17"/>
        <v>ER_ALMNR/EVAPORATION-RATE</v>
      </c>
      <c r="H1105" t="s">
        <v>1183</v>
      </c>
      <c r="I1105" t="s">
        <v>1184</v>
      </c>
      <c r="J1105" t="s">
        <v>1187</v>
      </c>
      <c r="L1105" t="s">
        <v>8</v>
      </c>
      <c r="M1105" t="s">
        <v>8</v>
      </c>
      <c r="N1105" t="s">
        <v>1125</v>
      </c>
    </row>
    <row r="1106" spans="2:14" x14ac:dyDescent="0.25">
      <c r="B1106" t="s">
        <v>0</v>
      </c>
      <c r="C1106" t="s">
        <v>1188</v>
      </c>
      <c r="D1106" t="s">
        <v>1182</v>
      </c>
      <c r="E1106" t="s">
        <v>3</v>
      </c>
      <c r="F1106" t="s">
        <v>4</v>
      </c>
      <c r="G1106" s="2" t="str">
        <f t="shared" si="17"/>
        <v>ER_ALOHA/EVAPORATION-RATE</v>
      </c>
      <c r="H1106" t="s">
        <v>1183</v>
      </c>
      <c r="I1106" t="s">
        <v>1184</v>
      </c>
      <c r="J1106" t="s">
        <v>1189</v>
      </c>
      <c r="L1106" t="s">
        <v>8</v>
      </c>
      <c r="M1106" t="s">
        <v>8</v>
      </c>
      <c r="N1106" t="s">
        <v>1125</v>
      </c>
    </row>
    <row r="1107" spans="2:14" x14ac:dyDescent="0.25">
      <c r="B1107" t="s">
        <v>0</v>
      </c>
      <c r="C1107" t="s">
        <v>1190</v>
      </c>
      <c r="D1107" t="s">
        <v>1182</v>
      </c>
      <c r="E1107" t="s">
        <v>3</v>
      </c>
      <c r="F1107" t="s">
        <v>4</v>
      </c>
      <c r="G1107" s="2" t="str">
        <f t="shared" si="17"/>
        <v>ER_AMADR/EVAPORATION-RATE</v>
      </c>
      <c r="H1107" t="s">
        <v>1183</v>
      </c>
      <c r="I1107" t="s">
        <v>1184</v>
      </c>
      <c r="J1107" t="s">
        <v>1191</v>
      </c>
      <c r="L1107" t="s">
        <v>8</v>
      </c>
      <c r="M1107" t="s">
        <v>8</v>
      </c>
      <c r="N1107" t="s">
        <v>1125</v>
      </c>
    </row>
    <row r="1108" spans="2:14" x14ac:dyDescent="0.25">
      <c r="B1108" t="s">
        <v>0</v>
      </c>
      <c r="C1108" t="s">
        <v>1192</v>
      </c>
      <c r="D1108" t="s">
        <v>1182</v>
      </c>
      <c r="E1108" t="s">
        <v>3</v>
      </c>
      <c r="F1108" t="s">
        <v>4</v>
      </c>
      <c r="G1108" s="2" t="str">
        <f t="shared" si="17"/>
        <v>ER_ANTLP/EVAPORATION-RATE</v>
      </c>
      <c r="H1108" t="s">
        <v>1183</v>
      </c>
      <c r="I1108" t="s">
        <v>1184</v>
      </c>
      <c r="J1108" t="s">
        <v>1193</v>
      </c>
      <c r="L1108" t="s">
        <v>8</v>
      </c>
      <c r="M1108" t="s">
        <v>8</v>
      </c>
      <c r="N1108" t="s">
        <v>1125</v>
      </c>
    </row>
    <row r="1109" spans="2:14" x14ac:dyDescent="0.25">
      <c r="B1109" t="s">
        <v>0</v>
      </c>
      <c r="C1109" t="s">
        <v>1194</v>
      </c>
      <c r="D1109" t="s">
        <v>1182</v>
      </c>
      <c r="E1109" t="s">
        <v>3</v>
      </c>
      <c r="F1109" t="s">
        <v>4</v>
      </c>
      <c r="G1109" s="2" t="str">
        <f t="shared" si="17"/>
        <v>ER_BANOS/EVAPORATION-RATE</v>
      </c>
      <c r="H1109" t="s">
        <v>1183</v>
      </c>
      <c r="I1109" t="s">
        <v>1184</v>
      </c>
      <c r="J1109" t="s">
        <v>1195</v>
      </c>
      <c r="L1109" t="s">
        <v>8</v>
      </c>
      <c r="M1109" t="s">
        <v>8</v>
      </c>
      <c r="N1109" t="s">
        <v>1125</v>
      </c>
    </row>
    <row r="1110" spans="2:14" x14ac:dyDescent="0.25">
      <c r="B1110" t="s">
        <v>0</v>
      </c>
      <c r="C1110" t="s">
        <v>1196</v>
      </c>
      <c r="D1110" t="s">
        <v>1182</v>
      </c>
      <c r="E1110" t="s">
        <v>3</v>
      </c>
      <c r="F1110" t="s">
        <v>4</v>
      </c>
      <c r="G1110" s="2" t="str">
        <f t="shared" si="17"/>
        <v>ER_BASSL/EVAPORATION-RATE</v>
      </c>
      <c r="H1110" t="s">
        <v>1183</v>
      </c>
      <c r="I1110" t="s">
        <v>1184</v>
      </c>
      <c r="J1110" t="s">
        <v>1197</v>
      </c>
      <c r="L1110" t="s">
        <v>8</v>
      </c>
      <c r="M1110" t="s">
        <v>8</v>
      </c>
      <c r="N1110" t="s">
        <v>1125</v>
      </c>
    </row>
    <row r="1111" spans="2:14" x14ac:dyDescent="0.25">
      <c r="B1111" t="s">
        <v>0</v>
      </c>
      <c r="C1111" t="s">
        <v>1198</v>
      </c>
      <c r="D1111" t="s">
        <v>1182</v>
      </c>
      <c r="E1111" t="s">
        <v>3</v>
      </c>
      <c r="F1111" t="s">
        <v>4</v>
      </c>
      <c r="G1111" s="2" t="str">
        <f t="shared" si="17"/>
        <v>ER_BEARD/EVAPORATION-RATE</v>
      </c>
      <c r="H1111" t="s">
        <v>1183</v>
      </c>
      <c r="I1111" t="s">
        <v>1184</v>
      </c>
      <c r="J1111" t="s">
        <v>1199</v>
      </c>
      <c r="L1111" t="s">
        <v>8</v>
      </c>
      <c r="M1111" t="s">
        <v>8</v>
      </c>
      <c r="N1111" t="s">
        <v>1125</v>
      </c>
    </row>
    <row r="1112" spans="2:14" x14ac:dyDescent="0.25">
      <c r="B1112" t="s">
        <v>0</v>
      </c>
      <c r="C1112" t="s">
        <v>1200</v>
      </c>
      <c r="D1112" t="s">
        <v>1182</v>
      </c>
      <c r="E1112" t="s">
        <v>3</v>
      </c>
      <c r="F1112" t="s">
        <v>4</v>
      </c>
      <c r="G1112" s="2" t="str">
        <f t="shared" si="17"/>
        <v>ER_BLKBT/EVAPORATION-RATE</v>
      </c>
      <c r="H1112" t="s">
        <v>1183</v>
      </c>
      <c r="I1112" t="s">
        <v>1184</v>
      </c>
      <c r="J1112" t="s">
        <v>1201</v>
      </c>
      <c r="L1112" t="s">
        <v>8</v>
      </c>
      <c r="M1112" t="s">
        <v>8</v>
      </c>
      <c r="N1112" t="s">
        <v>1125</v>
      </c>
    </row>
    <row r="1113" spans="2:14" x14ac:dyDescent="0.25">
      <c r="B1113" t="s">
        <v>0</v>
      </c>
      <c r="C1113" t="s">
        <v>1202</v>
      </c>
      <c r="D1113" t="s">
        <v>1182</v>
      </c>
      <c r="E1113" t="s">
        <v>3</v>
      </c>
      <c r="F1113" t="s">
        <v>4</v>
      </c>
      <c r="G1113" s="2" t="str">
        <f t="shared" si="17"/>
        <v>ER_BOWMN/EVAPORATION-RATE</v>
      </c>
      <c r="H1113" t="s">
        <v>1183</v>
      </c>
      <c r="I1113" t="s">
        <v>1184</v>
      </c>
      <c r="J1113" t="s">
        <v>1203</v>
      </c>
      <c r="L1113" t="s">
        <v>8</v>
      </c>
      <c r="M1113" t="s">
        <v>8</v>
      </c>
      <c r="N1113" t="s">
        <v>1125</v>
      </c>
    </row>
    <row r="1114" spans="2:14" x14ac:dyDescent="0.25">
      <c r="B1114" t="s">
        <v>0</v>
      </c>
      <c r="C1114" t="s">
        <v>1204</v>
      </c>
      <c r="D1114" t="s">
        <v>1182</v>
      </c>
      <c r="E1114" t="s">
        <v>3</v>
      </c>
      <c r="F1114" t="s">
        <v>4</v>
      </c>
      <c r="G1114" s="2" t="str">
        <f t="shared" si="17"/>
        <v>ER_BRYSA/EVAPORATION-RATE</v>
      </c>
      <c r="H1114" t="s">
        <v>1183</v>
      </c>
      <c r="I1114" t="s">
        <v>1184</v>
      </c>
      <c r="J1114" t="s">
        <v>1205</v>
      </c>
      <c r="L1114" t="s">
        <v>8</v>
      </c>
      <c r="M1114" t="s">
        <v>8</v>
      </c>
      <c r="N1114" t="s">
        <v>1125</v>
      </c>
    </row>
    <row r="1115" spans="2:14" x14ac:dyDescent="0.25">
      <c r="B1115" t="s">
        <v>0</v>
      </c>
      <c r="C1115" t="s">
        <v>1206</v>
      </c>
      <c r="D1115" t="s">
        <v>1182</v>
      </c>
      <c r="E1115" t="s">
        <v>3</v>
      </c>
      <c r="F1115" t="s">
        <v>4</v>
      </c>
      <c r="G1115" s="2" t="str">
        <f t="shared" si="17"/>
        <v>ER_BTVLY/EVAPORATION-RATE</v>
      </c>
      <c r="H1115" t="s">
        <v>1183</v>
      </c>
      <c r="I1115" t="s">
        <v>1184</v>
      </c>
      <c r="J1115" t="s">
        <v>1207</v>
      </c>
      <c r="L1115" t="s">
        <v>8</v>
      </c>
      <c r="M1115" t="s">
        <v>8</v>
      </c>
      <c r="N1115" t="s">
        <v>1125</v>
      </c>
    </row>
    <row r="1116" spans="2:14" x14ac:dyDescent="0.25">
      <c r="B1116" t="s">
        <v>0</v>
      </c>
      <c r="C1116" t="s">
        <v>1208</v>
      </c>
      <c r="D1116" t="s">
        <v>1182</v>
      </c>
      <c r="E1116" t="s">
        <v>3</v>
      </c>
      <c r="F1116" t="s">
        <v>4</v>
      </c>
      <c r="G1116" s="2" t="str">
        <f t="shared" si="17"/>
        <v>ER_BUCKS/EVAPORATION-RATE</v>
      </c>
      <c r="H1116" t="s">
        <v>1183</v>
      </c>
      <c r="I1116" t="s">
        <v>1184</v>
      </c>
      <c r="J1116" t="s">
        <v>1209</v>
      </c>
      <c r="L1116" t="s">
        <v>8</v>
      </c>
      <c r="M1116" t="s">
        <v>8</v>
      </c>
      <c r="N1116" t="s">
        <v>1125</v>
      </c>
    </row>
    <row r="1117" spans="2:14" x14ac:dyDescent="0.25">
      <c r="B1117" t="s">
        <v>0</v>
      </c>
      <c r="C1117" t="s">
        <v>1210</v>
      </c>
      <c r="D1117" t="s">
        <v>1182</v>
      </c>
      <c r="E1117" t="s">
        <v>3</v>
      </c>
      <c r="F1117" t="s">
        <v>4</v>
      </c>
      <c r="G1117" s="2" t="str">
        <f t="shared" si="17"/>
        <v>ER_CAPLS/EVAPORATION-RATE</v>
      </c>
      <c r="H1117" t="s">
        <v>1183</v>
      </c>
      <c r="I1117" t="s">
        <v>1184</v>
      </c>
      <c r="J1117" t="s">
        <v>1211</v>
      </c>
      <c r="L1117" t="s">
        <v>8</v>
      </c>
      <c r="M1117" t="s">
        <v>8</v>
      </c>
      <c r="N1117" t="s">
        <v>1125</v>
      </c>
    </row>
    <row r="1118" spans="2:14" x14ac:dyDescent="0.25">
      <c r="B1118" t="s">
        <v>0</v>
      </c>
      <c r="C1118" t="s">
        <v>1212</v>
      </c>
      <c r="D1118" t="s">
        <v>1182</v>
      </c>
      <c r="E1118" t="s">
        <v>3</v>
      </c>
      <c r="F1118" t="s">
        <v>4</v>
      </c>
      <c r="G1118" s="2" t="str">
        <f t="shared" si="17"/>
        <v>ER_CLRLK/EVAPORATION-RATE</v>
      </c>
      <c r="H1118" t="s">
        <v>1183</v>
      </c>
      <c r="I1118" t="s">
        <v>1184</v>
      </c>
      <c r="J1118" t="s">
        <v>1213</v>
      </c>
      <c r="L1118" t="s">
        <v>8</v>
      </c>
      <c r="M1118" t="s">
        <v>8</v>
      </c>
      <c r="N1118" t="s">
        <v>1125</v>
      </c>
    </row>
    <row r="1119" spans="2:14" x14ac:dyDescent="0.25">
      <c r="B1119" t="s">
        <v>0</v>
      </c>
      <c r="C1119" t="s">
        <v>1214</v>
      </c>
      <c r="D1119" t="s">
        <v>1182</v>
      </c>
      <c r="E1119" t="s">
        <v>3</v>
      </c>
      <c r="F1119" t="s">
        <v>4</v>
      </c>
      <c r="G1119" s="2" t="str">
        <f t="shared" si="17"/>
        <v>ER_CMBIE/EVAPORATION-RATE</v>
      </c>
      <c r="H1119" t="s">
        <v>1183</v>
      </c>
      <c r="I1119" t="s">
        <v>1184</v>
      </c>
      <c r="J1119" t="s">
        <v>1215</v>
      </c>
      <c r="L1119" t="s">
        <v>8</v>
      </c>
      <c r="M1119" t="s">
        <v>8</v>
      </c>
      <c r="N1119" t="s">
        <v>1125</v>
      </c>
    </row>
    <row r="1120" spans="2:14" x14ac:dyDescent="0.25">
      <c r="B1120" t="s">
        <v>0</v>
      </c>
      <c r="C1120" t="s">
        <v>1216</v>
      </c>
      <c r="D1120" t="s">
        <v>1182</v>
      </c>
      <c r="E1120" t="s">
        <v>3</v>
      </c>
      <c r="F1120" t="s">
        <v>4</v>
      </c>
      <c r="G1120" s="2" t="str">
        <f t="shared" si="17"/>
        <v>ER_CMCHE/EVAPORATION-RATE</v>
      </c>
      <c r="H1120" t="s">
        <v>1183</v>
      </c>
      <c r="I1120" t="s">
        <v>1184</v>
      </c>
      <c r="J1120" t="s">
        <v>1217</v>
      </c>
      <c r="L1120" t="s">
        <v>8</v>
      </c>
      <c r="M1120" t="s">
        <v>8</v>
      </c>
      <c r="N1120" t="s">
        <v>1125</v>
      </c>
    </row>
    <row r="1121" spans="2:14" x14ac:dyDescent="0.25">
      <c r="B1121" t="s">
        <v>0</v>
      </c>
      <c r="C1121" t="s">
        <v>1218</v>
      </c>
      <c r="D1121" t="s">
        <v>1182</v>
      </c>
      <c r="E1121" t="s">
        <v>3</v>
      </c>
      <c r="F1121" t="s">
        <v>4</v>
      </c>
      <c r="G1121" s="2" t="str">
        <f t="shared" si="17"/>
        <v>ER_CMPFW/EVAPORATION-RATE</v>
      </c>
      <c r="H1121" t="s">
        <v>1183</v>
      </c>
      <c r="I1121" t="s">
        <v>1184</v>
      </c>
      <c r="J1121" t="s">
        <v>1219</v>
      </c>
      <c r="L1121" t="s">
        <v>8</v>
      </c>
      <c r="M1121" t="s">
        <v>8</v>
      </c>
      <c r="N1121" t="s">
        <v>1125</v>
      </c>
    </row>
    <row r="1122" spans="2:14" x14ac:dyDescent="0.25">
      <c r="B1122" t="s">
        <v>0</v>
      </c>
      <c r="C1122" t="s">
        <v>1220</v>
      </c>
      <c r="D1122" t="s">
        <v>1182</v>
      </c>
      <c r="E1122" t="s">
        <v>3</v>
      </c>
      <c r="F1122" t="s">
        <v>4</v>
      </c>
      <c r="G1122" s="2" t="str">
        <f t="shared" si="17"/>
        <v>ER_CSTIC/EVAPORATION-RATE</v>
      </c>
      <c r="H1122" t="s">
        <v>1183</v>
      </c>
      <c r="I1122" t="s">
        <v>1184</v>
      </c>
      <c r="J1122" t="s">
        <v>1221</v>
      </c>
      <c r="K1122" t="s">
        <v>1222</v>
      </c>
      <c r="L1122" t="s">
        <v>8</v>
      </c>
      <c r="M1122" t="s">
        <v>8</v>
      </c>
      <c r="N1122" t="s">
        <v>1125</v>
      </c>
    </row>
    <row r="1123" spans="2:14" x14ac:dyDescent="0.25">
      <c r="B1123" t="s">
        <v>0</v>
      </c>
      <c r="C1123" t="s">
        <v>1223</v>
      </c>
      <c r="D1123" t="s">
        <v>1182</v>
      </c>
      <c r="E1123" t="s">
        <v>3</v>
      </c>
      <c r="F1123" t="s">
        <v>4</v>
      </c>
      <c r="G1123" s="2" t="str">
        <f t="shared" si="17"/>
        <v>ER_DAVIS/EVAPORATION-RATE</v>
      </c>
      <c r="H1123" t="s">
        <v>1183</v>
      </c>
      <c r="I1123" t="s">
        <v>1184</v>
      </c>
      <c r="J1123" t="s">
        <v>1224</v>
      </c>
      <c r="L1123" t="s">
        <v>8</v>
      </c>
      <c r="M1123" t="s">
        <v>8</v>
      </c>
      <c r="N1123" t="s">
        <v>1125</v>
      </c>
    </row>
    <row r="1124" spans="2:14" x14ac:dyDescent="0.25">
      <c r="B1124" t="s">
        <v>0</v>
      </c>
      <c r="C1124" t="s">
        <v>1225</v>
      </c>
      <c r="D1124" t="s">
        <v>1182</v>
      </c>
      <c r="E1124" t="s">
        <v>3</v>
      </c>
      <c r="F1124" t="s">
        <v>4</v>
      </c>
      <c r="G1124" s="2" t="str">
        <f t="shared" si="17"/>
        <v>ER_DELVE/EVAPORATION-RATE</v>
      </c>
      <c r="H1124" t="s">
        <v>1183</v>
      </c>
      <c r="I1124" t="s">
        <v>1184</v>
      </c>
      <c r="J1124" t="s">
        <v>1226</v>
      </c>
      <c r="K1124" t="s">
        <v>1222</v>
      </c>
      <c r="L1124" t="s">
        <v>8</v>
      </c>
      <c r="M1124" t="s">
        <v>8</v>
      </c>
      <c r="N1124" t="s">
        <v>1125</v>
      </c>
    </row>
    <row r="1125" spans="2:14" x14ac:dyDescent="0.25">
      <c r="B1125" t="s">
        <v>0</v>
      </c>
      <c r="C1125" t="s">
        <v>1227</v>
      </c>
      <c r="D1125" t="s">
        <v>1182</v>
      </c>
      <c r="E1125" t="s">
        <v>3</v>
      </c>
      <c r="F1125" t="s">
        <v>4</v>
      </c>
      <c r="G1125" s="2" t="str">
        <f t="shared" si="17"/>
        <v>ER_DONLL/EVAPORATION-RATE</v>
      </c>
      <c r="H1125" t="s">
        <v>1183</v>
      </c>
      <c r="I1125" t="s">
        <v>1184</v>
      </c>
      <c r="J1125" t="s">
        <v>1228</v>
      </c>
      <c r="L1125" t="s">
        <v>8</v>
      </c>
      <c r="M1125" t="s">
        <v>8</v>
      </c>
      <c r="N1125" t="s">
        <v>1125</v>
      </c>
    </row>
    <row r="1126" spans="2:14" x14ac:dyDescent="0.25">
      <c r="B1126" t="s">
        <v>0</v>
      </c>
      <c r="C1126" t="s">
        <v>1229</v>
      </c>
      <c r="D1126" t="s">
        <v>1182</v>
      </c>
      <c r="E1126" t="s">
        <v>3</v>
      </c>
      <c r="F1126" t="s">
        <v>4</v>
      </c>
      <c r="G1126" s="2" t="str">
        <f t="shared" si="17"/>
        <v>ER_ECHOL/EVAPORATION-RATE</v>
      </c>
      <c r="H1126" t="s">
        <v>1183</v>
      </c>
      <c r="I1126" t="s">
        <v>1184</v>
      </c>
      <c r="J1126" t="s">
        <v>1230</v>
      </c>
      <c r="L1126" t="s">
        <v>8</v>
      </c>
      <c r="M1126" t="s">
        <v>8</v>
      </c>
      <c r="N1126" t="s">
        <v>1125</v>
      </c>
    </row>
    <row r="1127" spans="2:14" x14ac:dyDescent="0.25">
      <c r="B1127" t="s">
        <v>0</v>
      </c>
      <c r="C1127" t="s">
        <v>1231</v>
      </c>
      <c r="D1127" t="s">
        <v>1182</v>
      </c>
      <c r="E1127" t="s">
        <v>3</v>
      </c>
      <c r="F1127" t="s">
        <v>4</v>
      </c>
      <c r="G1127" s="2" t="str">
        <f t="shared" si="17"/>
        <v>ER_EDSON/EVAPORATION-RATE</v>
      </c>
      <c r="H1127" t="s">
        <v>1183</v>
      </c>
      <c r="I1127" t="s">
        <v>1184</v>
      </c>
      <c r="J1127" t="s">
        <v>1232</v>
      </c>
      <c r="L1127" t="s">
        <v>8</v>
      </c>
      <c r="M1127" t="s">
        <v>8</v>
      </c>
      <c r="N1127" t="s">
        <v>1125</v>
      </c>
    </row>
    <row r="1128" spans="2:14" x14ac:dyDescent="0.25">
      <c r="B1128" t="s">
        <v>0</v>
      </c>
      <c r="C1128" t="s">
        <v>1233</v>
      </c>
      <c r="D1128" t="s">
        <v>1182</v>
      </c>
      <c r="E1128" t="s">
        <v>3</v>
      </c>
      <c r="F1128" t="s">
        <v>4</v>
      </c>
      <c r="G1128" s="2" t="str">
        <f t="shared" si="17"/>
        <v>ER_ELENR/EVAPORATION-RATE</v>
      </c>
      <c r="H1128" t="s">
        <v>1183</v>
      </c>
      <c r="I1128" t="s">
        <v>1184</v>
      </c>
      <c r="J1128" t="s">
        <v>1234</v>
      </c>
      <c r="L1128" t="s">
        <v>8</v>
      </c>
      <c r="M1128" t="s">
        <v>8</v>
      </c>
      <c r="N1128" t="s">
        <v>1125</v>
      </c>
    </row>
    <row r="1129" spans="2:14" x14ac:dyDescent="0.25">
      <c r="B1129" t="s">
        <v>0</v>
      </c>
      <c r="C1129" t="s">
        <v>1235</v>
      </c>
      <c r="D1129" t="s">
        <v>1182</v>
      </c>
      <c r="E1129" t="s">
        <v>3</v>
      </c>
      <c r="F1129" t="s">
        <v>4</v>
      </c>
      <c r="G1129" s="2" t="str">
        <f t="shared" si="17"/>
        <v>ER_ENGLB/EVAPORATION-RATE</v>
      </c>
      <c r="H1129" t="s">
        <v>1183</v>
      </c>
      <c r="I1129" t="s">
        <v>1184</v>
      </c>
      <c r="J1129" t="s">
        <v>1236</v>
      </c>
      <c r="L1129" t="s">
        <v>8</v>
      </c>
      <c r="M1129" t="s">
        <v>8</v>
      </c>
      <c r="N1129" t="s">
        <v>1125</v>
      </c>
    </row>
    <row r="1130" spans="2:14" x14ac:dyDescent="0.25">
      <c r="B1130" t="s">
        <v>0</v>
      </c>
      <c r="C1130" t="s">
        <v>1237</v>
      </c>
      <c r="D1130" t="s">
        <v>1182</v>
      </c>
      <c r="E1130" t="s">
        <v>3</v>
      </c>
      <c r="F1130" t="s">
        <v>4</v>
      </c>
      <c r="G1130" s="2" t="str">
        <f t="shared" si="17"/>
        <v>ER_EPARK/EVAPORATION-RATE</v>
      </c>
      <c r="H1130" t="s">
        <v>1183</v>
      </c>
      <c r="I1130" t="s">
        <v>1184</v>
      </c>
      <c r="J1130" t="s">
        <v>1238</v>
      </c>
      <c r="L1130" t="s">
        <v>8</v>
      </c>
      <c r="M1130" t="s">
        <v>8</v>
      </c>
      <c r="N1130" t="s">
        <v>1125</v>
      </c>
    </row>
    <row r="1131" spans="2:14" x14ac:dyDescent="0.25">
      <c r="B1131" t="s">
        <v>0</v>
      </c>
      <c r="C1131" t="s">
        <v>1239</v>
      </c>
      <c r="D1131" t="s">
        <v>1182</v>
      </c>
      <c r="E1131" t="s">
        <v>3</v>
      </c>
      <c r="F1131" t="s">
        <v>4</v>
      </c>
      <c r="G1131" s="2" t="str">
        <f t="shared" si="17"/>
        <v>ER_ESTMN/EVAPORATION-RATE</v>
      </c>
      <c r="H1131" t="s">
        <v>1183</v>
      </c>
      <c r="I1131" t="s">
        <v>1184</v>
      </c>
      <c r="J1131" t="s">
        <v>1240</v>
      </c>
      <c r="L1131" t="s">
        <v>8</v>
      </c>
      <c r="M1131" t="s">
        <v>8</v>
      </c>
      <c r="N1131" t="s">
        <v>1125</v>
      </c>
    </row>
    <row r="1132" spans="2:14" x14ac:dyDescent="0.25">
      <c r="B1132" t="s">
        <v>0</v>
      </c>
      <c r="C1132" t="s">
        <v>1241</v>
      </c>
      <c r="D1132" t="s">
        <v>1182</v>
      </c>
      <c r="E1132" t="s">
        <v>3</v>
      </c>
      <c r="F1132" t="s">
        <v>4</v>
      </c>
      <c r="G1132" s="2" t="str">
        <f t="shared" si="17"/>
        <v>ER_FLRNC/EVAPORATION-RATE</v>
      </c>
      <c r="H1132" t="s">
        <v>1183</v>
      </c>
      <c r="I1132" t="s">
        <v>1184</v>
      </c>
      <c r="J1132" t="s">
        <v>1242</v>
      </c>
      <c r="L1132" t="s">
        <v>8</v>
      </c>
      <c r="M1132" t="s">
        <v>8</v>
      </c>
      <c r="N1132" t="s">
        <v>1125</v>
      </c>
    </row>
    <row r="1133" spans="2:14" x14ac:dyDescent="0.25">
      <c r="B1133" t="s">
        <v>0</v>
      </c>
      <c r="C1133" t="s">
        <v>1243</v>
      </c>
      <c r="D1133" t="s">
        <v>1182</v>
      </c>
      <c r="E1133" t="s">
        <v>3</v>
      </c>
      <c r="F1133" t="s">
        <v>4</v>
      </c>
      <c r="G1133" s="2" t="str">
        <f t="shared" si="17"/>
        <v>ER_FOLSM/EVAPORATION-RATE</v>
      </c>
      <c r="H1133" t="s">
        <v>1183</v>
      </c>
      <c r="I1133" t="s">
        <v>1184</v>
      </c>
      <c r="J1133" t="s">
        <v>1244</v>
      </c>
      <c r="L1133" t="s">
        <v>8</v>
      </c>
      <c r="M1133" t="s">
        <v>8</v>
      </c>
      <c r="N1133" t="s">
        <v>1125</v>
      </c>
    </row>
    <row r="1134" spans="2:14" x14ac:dyDescent="0.25">
      <c r="B1134" t="s">
        <v>0</v>
      </c>
      <c r="C1134" t="s">
        <v>1245</v>
      </c>
      <c r="D1134" t="s">
        <v>1182</v>
      </c>
      <c r="E1134" t="s">
        <v>3</v>
      </c>
      <c r="F1134" t="s">
        <v>4</v>
      </c>
      <c r="G1134" s="2" t="str">
        <f t="shared" si="17"/>
        <v>ER_FRDYC/EVAPORATION-RATE</v>
      </c>
      <c r="H1134" t="s">
        <v>1183</v>
      </c>
      <c r="I1134" t="s">
        <v>1184</v>
      </c>
      <c r="J1134" t="s">
        <v>1246</v>
      </c>
      <c r="L1134" t="s">
        <v>8</v>
      </c>
      <c r="M1134" t="s">
        <v>8</v>
      </c>
      <c r="N1134" t="s">
        <v>1125</v>
      </c>
    </row>
    <row r="1135" spans="2:14" x14ac:dyDescent="0.25">
      <c r="B1135" t="s">
        <v>0</v>
      </c>
      <c r="C1135" t="s">
        <v>1247</v>
      </c>
      <c r="D1135" t="s">
        <v>1182</v>
      </c>
      <c r="E1135" t="s">
        <v>3</v>
      </c>
      <c r="F1135" t="s">
        <v>4</v>
      </c>
      <c r="G1135" s="2" t="str">
        <f t="shared" si="17"/>
        <v>ER_FRMAN/EVAPORATION-RATE</v>
      </c>
      <c r="H1135" t="s">
        <v>1183</v>
      </c>
      <c r="I1135" t="s">
        <v>1184</v>
      </c>
      <c r="J1135" t="s">
        <v>1248</v>
      </c>
      <c r="L1135" t="s">
        <v>8</v>
      </c>
      <c r="M1135" t="s">
        <v>8</v>
      </c>
      <c r="N1135" t="s">
        <v>1125</v>
      </c>
    </row>
    <row r="1136" spans="2:14" x14ac:dyDescent="0.25">
      <c r="B1136" t="s">
        <v>0</v>
      </c>
      <c r="C1136" t="s">
        <v>1249</v>
      </c>
      <c r="D1136" t="s">
        <v>1182</v>
      </c>
      <c r="E1136" t="s">
        <v>3</v>
      </c>
      <c r="F1136" t="s">
        <v>4</v>
      </c>
      <c r="G1136" s="2" t="str">
        <f t="shared" si="17"/>
        <v>ER_FRMDW/EVAPORATION-RATE</v>
      </c>
      <c r="H1136" t="s">
        <v>1183</v>
      </c>
      <c r="I1136" t="s">
        <v>1184</v>
      </c>
      <c r="J1136" t="s">
        <v>1250</v>
      </c>
      <c r="L1136" t="s">
        <v>8</v>
      </c>
      <c r="M1136" t="s">
        <v>8</v>
      </c>
      <c r="N1136" t="s">
        <v>1125</v>
      </c>
    </row>
    <row r="1137" spans="2:14" x14ac:dyDescent="0.25">
      <c r="B1137" t="s">
        <v>0</v>
      </c>
      <c r="C1137" t="s">
        <v>1251</v>
      </c>
      <c r="D1137" t="s">
        <v>1182</v>
      </c>
      <c r="E1137" t="s">
        <v>3</v>
      </c>
      <c r="F1137" t="s">
        <v>4</v>
      </c>
      <c r="G1137" s="2" t="str">
        <f t="shared" si="17"/>
        <v>ER_FRNCH/EVAPORATION-RATE</v>
      </c>
      <c r="H1137" t="s">
        <v>1183</v>
      </c>
      <c r="I1137" t="s">
        <v>1184</v>
      </c>
      <c r="J1137" t="s">
        <v>1252</v>
      </c>
      <c r="L1137" t="s">
        <v>8</v>
      </c>
      <c r="M1137" t="s">
        <v>8</v>
      </c>
      <c r="N1137" t="s">
        <v>1125</v>
      </c>
    </row>
    <row r="1138" spans="2:14" x14ac:dyDescent="0.25">
      <c r="B1138" t="s">
        <v>0</v>
      </c>
      <c r="C1138" t="s">
        <v>1253</v>
      </c>
      <c r="D1138" t="s">
        <v>1182</v>
      </c>
      <c r="E1138" t="s">
        <v>3</v>
      </c>
      <c r="F1138" t="s">
        <v>4</v>
      </c>
      <c r="G1138" s="2" t="str">
        <f t="shared" si="17"/>
        <v>ER_GERLE/EVAPORATION-RATE</v>
      </c>
      <c r="H1138" t="s">
        <v>1183</v>
      </c>
      <c r="I1138" t="s">
        <v>1184</v>
      </c>
      <c r="J1138" t="s">
        <v>1254</v>
      </c>
      <c r="L1138" t="s">
        <v>8</v>
      </c>
      <c r="M1138" t="s">
        <v>8</v>
      </c>
      <c r="N1138" t="s">
        <v>1125</v>
      </c>
    </row>
    <row r="1139" spans="2:14" x14ac:dyDescent="0.25">
      <c r="B1139" t="s">
        <v>0</v>
      </c>
      <c r="C1139" t="s">
        <v>1255</v>
      </c>
      <c r="D1139" t="s">
        <v>1182</v>
      </c>
      <c r="E1139" t="s">
        <v>3</v>
      </c>
      <c r="F1139" t="s">
        <v>4</v>
      </c>
      <c r="G1139" s="2" t="str">
        <f t="shared" si="17"/>
        <v>ER_HHOLE/EVAPORATION-RATE</v>
      </c>
      <c r="H1139" t="s">
        <v>1183</v>
      </c>
      <c r="I1139" t="s">
        <v>1184</v>
      </c>
      <c r="J1139" t="s">
        <v>1256</v>
      </c>
      <c r="L1139" t="s">
        <v>8</v>
      </c>
      <c r="M1139" t="s">
        <v>8</v>
      </c>
      <c r="N1139" t="s">
        <v>1125</v>
      </c>
    </row>
    <row r="1140" spans="2:14" x14ac:dyDescent="0.25">
      <c r="B1140" t="s">
        <v>0</v>
      </c>
      <c r="C1140" t="s">
        <v>1257</v>
      </c>
      <c r="D1140" t="s">
        <v>1182</v>
      </c>
      <c r="E1140" t="s">
        <v>3</v>
      </c>
      <c r="F1140" t="s">
        <v>4</v>
      </c>
      <c r="G1140" s="2" t="str">
        <f t="shared" si="17"/>
        <v>ER_HNGTN/EVAPORATION-RATE</v>
      </c>
      <c r="H1140" t="s">
        <v>1183</v>
      </c>
      <c r="I1140" t="s">
        <v>1184</v>
      </c>
      <c r="J1140" t="s">
        <v>1258</v>
      </c>
      <c r="L1140" t="s">
        <v>8</v>
      </c>
      <c r="M1140" t="s">
        <v>8</v>
      </c>
      <c r="N1140" t="s">
        <v>1125</v>
      </c>
    </row>
    <row r="1141" spans="2:14" x14ac:dyDescent="0.25">
      <c r="B1141" t="s">
        <v>0</v>
      </c>
      <c r="C1141" t="s">
        <v>1259</v>
      </c>
      <c r="D1141" t="s">
        <v>1182</v>
      </c>
      <c r="E1141" t="s">
        <v>3</v>
      </c>
      <c r="F1141" t="s">
        <v>4</v>
      </c>
      <c r="G1141" s="2" t="str">
        <f t="shared" si="17"/>
        <v>ER_HNSLY/EVAPORATION-RATE</v>
      </c>
      <c r="H1141" t="s">
        <v>1183</v>
      </c>
      <c r="I1141" t="s">
        <v>1184</v>
      </c>
      <c r="J1141" t="s">
        <v>1260</v>
      </c>
      <c r="L1141" t="s">
        <v>8</v>
      </c>
      <c r="M1141" t="s">
        <v>8</v>
      </c>
      <c r="N1141" t="s">
        <v>1125</v>
      </c>
    </row>
    <row r="1142" spans="2:14" x14ac:dyDescent="0.25">
      <c r="B1142" t="s">
        <v>0</v>
      </c>
      <c r="C1142" t="s">
        <v>1261</v>
      </c>
      <c r="D1142" t="s">
        <v>1182</v>
      </c>
      <c r="E1142" t="s">
        <v>3</v>
      </c>
      <c r="F1142" t="s">
        <v>4</v>
      </c>
      <c r="G1142" s="2" t="str">
        <f t="shared" si="17"/>
        <v>ER_HTCHY/EVAPORATION-RATE</v>
      </c>
      <c r="H1142" t="s">
        <v>1183</v>
      </c>
      <c r="I1142" t="s">
        <v>1184</v>
      </c>
      <c r="J1142" t="s">
        <v>1262</v>
      </c>
      <c r="L1142" t="s">
        <v>8</v>
      </c>
      <c r="M1142" t="s">
        <v>8</v>
      </c>
      <c r="N1142" t="s">
        <v>1125</v>
      </c>
    </row>
    <row r="1143" spans="2:14" x14ac:dyDescent="0.25">
      <c r="B1143" t="s">
        <v>0</v>
      </c>
      <c r="C1143" t="s">
        <v>1263</v>
      </c>
      <c r="D1143" t="s">
        <v>1182</v>
      </c>
      <c r="E1143" t="s">
        <v>3</v>
      </c>
      <c r="F1143" t="s">
        <v>4</v>
      </c>
      <c r="G1143" s="2" t="str">
        <f t="shared" si="17"/>
        <v>ER_ICEHS/EVAPORATION-RATE</v>
      </c>
      <c r="H1143" t="s">
        <v>1183</v>
      </c>
      <c r="I1143" t="s">
        <v>1184</v>
      </c>
      <c r="J1143" t="s">
        <v>1264</v>
      </c>
      <c r="L1143" t="s">
        <v>8</v>
      </c>
      <c r="M1143" t="s">
        <v>8</v>
      </c>
      <c r="N1143" t="s">
        <v>1125</v>
      </c>
    </row>
    <row r="1144" spans="2:14" x14ac:dyDescent="0.25">
      <c r="B1144" t="s">
        <v>0</v>
      </c>
      <c r="C1144" t="s">
        <v>1265</v>
      </c>
      <c r="D1144" t="s">
        <v>1182</v>
      </c>
      <c r="E1144" t="s">
        <v>3</v>
      </c>
      <c r="F1144" t="s">
        <v>4</v>
      </c>
      <c r="G1144" s="2" t="str">
        <f t="shared" si="17"/>
        <v>ER_INDVL/EVAPORATION-RATE</v>
      </c>
      <c r="H1144" t="s">
        <v>1183</v>
      </c>
      <c r="I1144" t="s">
        <v>1184</v>
      </c>
      <c r="J1144" t="s">
        <v>1266</v>
      </c>
      <c r="L1144" t="s">
        <v>8</v>
      </c>
      <c r="M1144" t="s">
        <v>8</v>
      </c>
      <c r="N1144" t="s">
        <v>1125</v>
      </c>
    </row>
    <row r="1145" spans="2:14" x14ac:dyDescent="0.25">
      <c r="B1145" t="s">
        <v>0</v>
      </c>
      <c r="C1145" t="s">
        <v>1267</v>
      </c>
      <c r="D1145" t="s">
        <v>1182</v>
      </c>
      <c r="E1145" t="s">
        <v>3</v>
      </c>
      <c r="F1145" t="s">
        <v>4</v>
      </c>
      <c r="G1145" s="2" t="str">
        <f t="shared" si="17"/>
        <v>ER_JKSMD/EVAPORATION-RATE</v>
      </c>
      <c r="H1145" t="s">
        <v>1183</v>
      </c>
      <c r="I1145" t="s">
        <v>1184</v>
      </c>
      <c r="J1145" t="s">
        <v>1268</v>
      </c>
      <c r="L1145" t="s">
        <v>8</v>
      </c>
      <c r="M1145" t="s">
        <v>8</v>
      </c>
      <c r="N1145" t="s">
        <v>1125</v>
      </c>
    </row>
    <row r="1146" spans="2:14" x14ac:dyDescent="0.25">
      <c r="B1146" t="s">
        <v>0</v>
      </c>
      <c r="C1146" t="s">
        <v>1269</v>
      </c>
      <c r="D1146" t="s">
        <v>1182</v>
      </c>
      <c r="E1146" t="s">
        <v>3</v>
      </c>
      <c r="F1146" t="s">
        <v>4</v>
      </c>
      <c r="G1146" s="2" t="str">
        <f t="shared" si="17"/>
        <v>ER_JNKSN/EVAPORATION-RATE</v>
      </c>
      <c r="H1146" t="s">
        <v>1183</v>
      </c>
      <c r="I1146" t="s">
        <v>1184</v>
      </c>
      <c r="J1146" t="s">
        <v>1270</v>
      </c>
      <c r="L1146" t="s">
        <v>8</v>
      </c>
      <c r="M1146" t="s">
        <v>8</v>
      </c>
      <c r="N1146" t="s">
        <v>1125</v>
      </c>
    </row>
    <row r="1147" spans="2:14" x14ac:dyDescent="0.25">
      <c r="B1147" t="s">
        <v>0</v>
      </c>
      <c r="C1147" t="s">
        <v>1271</v>
      </c>
      <c r="D1147" t="s">
        <v>1182</v>
      </c>
      <c r="E1147" t="s">
        <v>3</v>
      </c>
      <c r="F1147" t="s">
        <v>4</v>
      </c>
      <c r="G1147" s="2" t="str">
        <f t="shared" si="17"/>
        <v>ER_KSWCK/EVAPORATION-RATE</v>
      </c>
      <c r="H1147" t="s">
        <v>1183</v>
      </c>
      <c r="I1147" t="s">
        <v>1184</v>
      </c>
      <c r="J1147" t="s">
        <v>1272</v>
      </c>
      <c r="L1147" t="s">
        <v>8</v>
      </c>
      <c r="M1147" t="s">
        <v>8</v>
      </c>
      <c r="N1147" t="s">
        <v>1125</v>
      </c>
    </row>
    <row r="1148" spans="2:14" x14ac:dyDescent="0.25">
      <c r="B1148" t="s">
        <v>0</v>
      </c>
      <c r="C1148" t="s">
        <v>1273</v>
      </c>
      <c r="D1148" t="s">
        <v>1182</v>
      </c>
      <c r="E1148" t="s">
        <v>3</v>
      </c>
      <c r="F1148" t="s">
        <v>4</v>
      </c>
      <c r="G1148" s="2" t="str">
        <f t="shared" si="17"/>
        <v>ER_LBEAR/EVAPORATION-RATE</v>
      </c>
      <c r="H1148" t="s">
        <v>1183</v>
      </c>
      <c r="I1148" t="s">
        <v>1184</v>
      </c>
      <c r="J1148" t="s">
        <v>1274</v>
      </c>
      <c r="L1148" t="s">
        <v>8</v>
      </c>
      <c r="M1148" t="s">
        <v>8</v>
      </c>
      <c r="N1148" t="s">
        <v>1125</v>
      </c>
    </row>
    <row r="1149" spans="2:14" x14ac:dyDescent="0.25">
      <c r="B1149" t="s">
        <v>0</v>
      </c>
      <c r="C1149" t="s">
        <v>1275</v>
      </c>
      <c r="D1149" t="s">
        <v>1182</v>
      </c>
      <c r="E1149" t="s">
        <v>3</v>
      </c>
      <c r="F1149" t="s">
        <v>4</v>
      </c>
      <c r="G1149" s="2" t="str">
        <f t="shared" si="17"/>
        <v>ER_LCBRF/EVAPORATION-RATE</v>
      </c>
      <c r="H1149" t="s">
        <v>1183</v>
      </c>
      <c r="I1149" t="s">
        <v>1184</v>
      </c>
      <c r="J1149" t="s">
        <v>1276</v>
      </c>
      <c r="L1149" t="s">
        <v>8</v>
      </c>
      <c r="M1149" t="s">
        <v>8</v>
      </c>
      <c r="N1149" t="s">
        <v>1125</v>
      </c>
    </row>
    <row r="1150" spans="2:14" x14ac:dyDescent="0.25">
      <c r="B1150" t="s">
        <v>0</v>
      </c>
      <c r="C1150" t="s">
        <v>1277</v>
      </c>
      <c r="D1150" t="s">
        <v>1182</v>
      </c>
      <c r="E1150" t="s">
        <v>3</v>
      </c>
      <c r="F1150" t="s">
        <v>4</v>
      </c>
      <c r="G1150" s="2" t="str">
        <f t="shared" si="17"/>
        <v>ER_LGRSV/EVAPORATION-RATE</v>
      </c>
      <c r="H1150" t="s">
        <v>1183</v>
      </c>
      <c r="I1150" t="s">
        <v>1184</v>
      </c>
      <c r="J1150" t="s">
        <v>1278</v>
      </c>
      <c r="L1150" t="s">
        <v>8</v>
      </c>
      <c r="M1150" t="s">
        <v>8</v>
      </c>
      <c r="N1150" t="s">
        <v>1125</v>
      </c>
    </row>
    <row r="1151" spans="2:14" x14ac:dyDescent="0.25">
      <c r="B1151" t="s">
        <v>0</v>
      </c>
      <c r="C1151" t="s">
        <v>1279</v>
      </c>
      <c r="D1151" t="s">
        <v>1182</v>
      </c>
      <c r="E1151" t="s">
        <v>3</v>
      </c>
      <c r="F1151" t="s">
        <v>4</v>
      </c>
      <c r="G1151" s="2" t="str">
        <f t="shared" si="17"/>
        <v>ER_LKVLY/EVAPORATION-RATE</v>
      </c>
      <c r="H1151" t="s">
        <v>1183</v>
      </c>
      <c r="I1151" t="s">
        <v>1184</v>
      </c>
      <c r="J1151" t="s">
        <v>1280</v>
      </c>
      <c r="L1151" t="s">
        <v>8</v>
      </c>
      <c r="M1151" t="s">
        <v>8</v>
      </c>
      <c r="N1151" t="s">
        <v>1125</v>
      </c>
    </row>
    <row r="1152" spans="2:14" x14ac:dyDescent="0.25">
      <c r="B1152" t="s">
        <v>0</v>
      </c>
      <c r="C1152" t="s">
        <v>1281</v>
      </c>
      <c r="D1152" t="s">
        <v>1182</v>
      </c>
      <c r="E1152" t="s">
        <v>3</v>
      </c>
      <c r="F1152" t="s">
        <v>4</v>
      </c>
      <c r="G1152" s="2" t="str">
        <f t="shared" si="17"/>
        <v>ER_LOONL/EVAPORATION-RATE</v>
      </c>
      <c r="H1152" t="s">
        <v>1183</v>
      </c>
      <c r="I1152" t="s">
        <v>1184</v>
      </c>
      <c r="J1152" t="s">
        <v>1282</v>
      </c>
      <c r="L1152" t="s">
        <v>8</v>
      </c>
      <c r="M1152" t="s">
        <v>8</v>
      </c>
      <c r="N1152" t="s">
        <v>1125</v>
      </c>
    </row>
    <row r="1153" spans="2:14" x14ac:dyDescent="0.25">
      <c r="B1153" t="s">
        <v>0</v>
      </c>
      <c r="C1153" t="s">
        <v>1283</v>
      </c>
      <c r="D1153" t="s">
        <v>1182</v>
      </c>
      <c r="E1153" t="s">
        <v>3</v>
      </c>
      <c r="F1153" t="s">
        <v>4</v>
      </c>
      <c r="G1153" s="2" t="str">
        <f t="shared" si="17"/>
        <v>ER_LOSVQ/EVAPORATION-RATE</v>
      </c>
      <c r="H1153" t="s">
        <v>1183</v>
      </c>
      <c r="I1153" t="s">
        <v>1184</v>
      </c>
      <c r="J1153" t="s">
        <v>1284</v>
      </c>
      <c r="L1153" t="s">
        <v>8</v>
      </c>
      <c r="M1153" t="s">
        <v>8</v>
      </c>
      <c r="N1153" t="s">
        <v>1125</v>
      </c>
    </row>
    <row r="1154" spans="2:14" x14ac:dyDescent="0.25">
      <c r="B1154" t="s">
        <v>0</v>
      </c>
      <c r="C1154" t="s">
        <v>1285</v>
      </c>
      <c r="D1154" t="s">
        <v>1182</v>
      </c>
      <c r="E1154" t="s">
        <v>3</v>
      </c>
      <c r="F1154" t="s">
        <v>4</v>
      </c>
      <c r="G1154" s="2" t="str">
        <f t="shared" si="17"/>
        <v>ER_LWSTN/EVAPORATION-RATE</v>
      </c>
      <c r="H1154" t="s">
        <v>1183</v>
      </c>
      <c r="I1154" t="s">
        <v>1184</v>
      </c>
      <c r="J1154" t="s">
        <v>1286</v>
      </c>
      <c r="L1154" t="s">
        <v>8</v>
      </c>
      <c r="M1154" t="s">
        <v>8</v>
      </c>
      <c r="N1154" t="s">
        <v>1125</v>
      </c>
    </row>
    <row r="1155" spans="2:14" x14ac:dyDescent="0.25">
      <c r="B1155" t="s">
        <v>0</v>
      </c>
      <c r="C1155" t="s">
        <v>1287</v>
      </c>
      <c r="D1155" t="s">
        <v>1182</v>
      </c>
      <c r="E1155" t="s">
        <v>3</v>
      </c>
      <c r="F1155" t="s">
        <v>4</v>
      </c>
      <c r="G1155" s="2" t="str">
        <f t="shared" ref="G1155:G1218" si="18">_xlfn.CONCAT(C1155,"/",D1155)</f>
        <v>ER_LYONS/EVAPORATION-RATE</v>
      </c>
      <c r="H1155" t="s">
        <v>1183</v>
      </c>
      <c r="I1155" t="s">
        <v>1184</v>
      </c>
      <c r="J1155" t="s">
        <v>1288</v>
      </c>
      <c r="L1155" t="s">
        <v>8</v>
      </c>
      <c r="M1155" t="s">
        <v>8</v>
      </c>
      <c r="N1155" t="s">
        <v>1125</v>
      </c>
    </row>
    <row r="1156" spans="2:14" x14ac:dyDescent="0.25">
      <c r="B1156" t="s">
        <v>0</v>
      </c>
      <c r="C1156" t="s">
        <v>1289</v>
      </c>
      <c r="D1156" t="s">
        <v>1182</v>
      </c>
      <c r="E1156" t="s">
        <v>3</v>
      </c>
      <c r="F1156" t="s">
        <v>4</v>
      </c>
      <c r="G1156" s="2" t="str">
        <f t="shared" si="18"/>
        <v>ER_MAMTH/EVAPORATION-RATE</v>
      </c>
      <c r="H1156" t="s">
        <v>1183</v>
      </c>
      <c r="I1156" t="s">
        <v>1184</v>
      </c>
      <c r="J1156" t="s">
        <v>1290</v>
      </c>
      <c r="L1156" t="s">
        <v>8</v>
      </c>
      <c r="M1156" t="s">
        <v>8</v>
      </c>
      <c r="N1156" t="s">
        <v>1125</v>
      </c>
    </row>
    <row r="1157" spans="2:14" x14ac:dyDescent="0.25">
      <c r="B1157" t="s">
        <v>0</v>
      </c>
      <c r="C1157" t="s">
        <v>1291</v>
      </c>
      <c r="D1157" t="s">
        <v>1182</v>
      </c>
      <c r="E1157" t="s">
        <v>3</v>
      </c>
      <c r="F1157" t="s">
        <v>4</v>
      </c>
      <c r="G1157" s="2" t="str">
        <f t="shared" si="18"/>
        <v>ER_MCLRE/EVAPORATION-RATE</v>
      </c>
      <c r="H1157" t="s">
        <v>1183</v>
      </c>
      <c r="I1157" t="s">
        <v>1184</v>
      </c>
      <c r="J1157" t="s">
        <v>1292</v>
      </c>
      <c r="L1157" t="s">
        <v>8</v>
      </c>
      <c r="M1157" t="s">
        <v>8</v>
      </c>
      <c r="N1157" t="s">
        <v>1125</v>
      </c>
    </row>
    <row r="1158" spans="2:14" x14ac:dyDescent="0.25">
      <c r="B1158" t="s">
        <v>0</v>
      </c>
      <c r="C1158" t="s">
        <v>1293</v>
      </c>
      <c r="D1158" t="s">
        <v>1182</v>
      </c>
      <c r="E1158" t="s">
        <v>3</v>
      </c>
      <c r="F1158" t="s">
        <v>4</v>
      </c>
      <c r="G1158" s="2" t="str">
        <f t="shared" si="18"/>
        <v>ER_MDSTO/EVAPORATION-RATE</v>
      </c>
      <c r="H1158" t="s">
        <v>1183</v>
      </c>
      <c r="I1158" t="s">
        <v>1184</v>
      </c>
      <c r="J1158" t="s">
        <v>1294</v>
      </c>
      <c r="L1158" t="s">
        <v>8</v>
      </c>
      <c r="M1158" t="s">
        <v>8</v>
      </c>
      <c r="N1158" t="s">
        <v>1125</v>
      </c>
    </row>
    <row r="1159" spans="2:14" x14ac:dyDescent="0.25">
      <c r="B1159" t="s">
        <v>0</v>
      </c>
      <c r="C1159" t="s">
        <v>1295</v>
      </c>
      <c r="D1159" t="s">
        <v>1182</v>
      </c>
      <c r="E1159" t="s">
        <v>3</v>
      </c>
      <c r="F1159" t="s">
        <v>4</v>
      </c>
      <c r="G1159" s="2" t="str">
        <f t="shared" si="18"/>
        <v>ER_MELON/EVAPORATION-RATE</v>
      </c>
      <c r="H1159" t="s">
        <v>1183</v>
      </c>
      <c r="I1159" t="s">
        <v>1184</v>
      </c>
      <c r="J1159" t="s">
        <v>1296</v>
      </c>
      <c r="L1159" t="s">
        <v>8</v>
      </c>
      <c r="M1159" t="s">
        <v>8</v>
      </c>
      <c r="N1159" t="s">
        <v>1125</v>
      </c>
    </row>
    <row r="1160" spans="2:14" x14ac:dyDescent="0.25">
      <c r="B1160" t="s">
        <v>0</v>
      </c>
      <c r="C1160" t="s">
        <v>1297</v>
      </c>
      <c r="D1160" t="s">
        <v>1182</v>
      </c>
      <c r="E1160" t="s">
        <v>3</v>
      </c>
      <c r="F1160" t="s">
        <v>4</v>
      </c>
      <c r="G1160" s="2" t="str">
        <f t="shared" si="18"/>
        <v>ER_MERLC/EVAPORATION-RATE</v>
      </c>
      <c r="H1160" t="s">
        <v>1183</v>
      </c>
      <c r="I1160" t="s">
        <v>1184</v>
      </c>
      <c r="J1160" t="s">
        <v>1298</v>
      </c>
      <c r="L1160" t="s">
        <v>8</v>
      </c>
      <c r="M1160" t="s">
        <v>8</v>
      </c>
      <c r="N1160" t="s">
        <v>1125</v>
      </c>
    </row>
    <row r="1161" spans="2:14" x14ac:dyDescent="0.25">
      <c r="B1161" t="s">
        <v>0</v>
      </c>
      <c r="C1161" t="s">
        <v>1299</v>
      </c>
      <c r="D1161" t="s">
        <v>1182</v>
      </c>
      <c r="E1161" t="s">
        <v>3</v>
      </c>
      <c r="F1161" t="s">
        <v>4</v>
      </c>
      <c r="G1161" s="2" t="str">
        <f t="shared" si="18"/>
        <v>ER_MLRTN/EVAPORATION-RATE</v>
      </c>
      <c r="H1161" t="s">
        <v>1183</v>
      </c>
      <c r="I1161" t="s">
        <v>1184</v>
      </c>
      <c r="J1161" t="s">
        <v>1300</v>
      </c>
      <c r="L1161" t="s">
        <v>8</v>
      </c>
      <c r="M1161" t="s">
        <v>8</v>
      </c>
      <c r="N1161" t="s">
        <v>1125</v>
      </c>
    </row>
    <row r="1162" spans="2:14" x14ac:dyDescent="0.25">
      <c r="B1162" t="s">
        <v>0</v>
      </c>
      <c r="C1162" t="s">
        <v>1301</v>
      </c>
      <c r="D1162" t="s">
        <v>1182</v>
      </c>
      <c r="E1162" t="s">
        <v>3</v>
      </c>
      <c r="F1162" t="s">
        <v>4</v>
      </c>
      <c r="G1162" s="2" t="str">
        <f t="shared" si="18"/>
        <v>ER_MTMDW/EVAPORATION-RATE</v>
      </c>
      <c r="H1162" t="s">
        <v>1183</v>
      </c>
      <c r="I1162" t="s">
        <v>1184</v>
      </c>
      <c r="J1162" t="s">
        <v>1302</v>
      </c>
      <c r="L1162" t="s">
        <v>8</v>
      </c>
      <c r="M1162" t="s">
        <v>8</v>
      </c>
      <c r="N1162" t="s">
        <v>1125</v>
      </c>
    </row>
    <row r="1163" spans="2:14" x14ac:dyDescent="0.25">
      <c r="B1163" t="s">
        <v>0</v>
      </c>
      <c r="C1163" t="s">
        <v>1303</v>
      </c>
      <c r="D1163" t="s">
        <v>1182</v>
      </c>
      <c r="E1163" t="s">
        <v>3</v>
      </c>
      <c r="F1163" t="s">
        <v>4</v>
      </c>
      <c r="G1163" s="2" t="str">
        <f t="shared" si="18"/>
        <v>ER_NBLDB/EVAPORATION-RATE</v>
      </c>
      <c r="H1163" t="s">
        <v>1183</v>
      </c>
      <c r="I1163" t="s">
        <v>1184</v>
      </c>
      <c r="J1163" t="s">
        <v>1304</v>
      </c>
      <c r="L1163" t="s">
        <v>8</v>
      </c>
      <c r="M1163" t="s">
        <v>8</v>
      </c>
      <c r="N1163" t="s">
        <v>1125</v>
      </c>
    </row>
    <row r="1164" spans="2:14" x14ac:dyDescent="0.25">
      <c r="B1164" t="s">
        <v>0</v>
      </c>
      <c r="C1164" t="s">
        <v>1305</v>
      </c>
      <c r="D1164" t="s">
        <v>1182</v>
      </c>
      <c r="E1164" t="s">
        <v>3</v>
      </c>
      <c r="F1164" t="s">
        <v>4</v>
      </c>
      <c r="G1164" s="2" t="str">
        <f t="shared" si="18"/>
        <v>ER_NHGAN/EVAPORATION-RATE</v>
      </c>
      <c r="H1164" t="s">
        <v>1183</v>
      </c>
      <c r="I1164" t="s">
        <v>1184</v>
      </c>
      <c r="J1164" t="s">
        <v>1306</v>
      </c>
      <c r="L1164" t="s">
        <v>8</v>
      </c>
      <c r="M1164" t="s">
        <v>8</v>
      </c>
      <c r="N1164" t="s">
        <v>1125</v>
      </c>
    </row>
    <row r="1165" spans="2:14" x14ac:dyDescent="0.25">
      <c r="B1165" t="s">
        <v>0</v>
      </c>
      <c r="C1165" t="s">
        <v>1307</v>
      </c>
      <c r="D1165" t="s">
        <v>1182</v>
      </c>
      <c r="E1165" t="s">
        <v>3</v>
      </c>
      <c r="F1165" t="s">
        <v>4</v>
      </c>
      <c r="G1165" s="2" t="str">
        <f t="shared" si="18"/>
        <v>ER_NTOMA/EVAPORATION-RATE</v>
      </c>
      <c r="H1165" t="s">
        <v>1183</v>
      </c>
      <c r="I1165" t="s">
        <v>1184</v>
      </c>
      <c r="J1165" t="s">
        <v>1308</v>
      </c>
      <c r="L1165" t="s">
        <v>8</v>
      </c>
      <c r="M1165" t="s">
        <v>8</v>
      </c>
      <c r="N1165" t="s">
        <v>1125</v>
      </c>
    </row>
    <row r="1166" spans="2:14" x14ac:dyDescent="0.25">
      <c r="B1166" t="s">
        <v>0</v>
      </c>
      <c r="C1166" t="s">
        <v>1309</v>
      </c>
      <c r="D1166" t="s">
        <v>1182</v>
      </c>
      <c r="E1166" t="s">
        <v>3</v>
      </c>
      <c r="F1166" t="s">
        <v>4</v>
      </c>
      <c r="G1166" s="2" t="str">
        <f t="shared" si="18"/>
        <v>ER_OROVL/EVAPORATION-RATE</v>
      </c>
      <c r="H1166" t="s">
        <v>1183</v>
      </c>
      <c r="I1166" t="s">
        <v>1184</v>
      </c>
      <c r="J1166" t="s">
        <v>1310</v>
      </c>
      <c r="L1166" t="s">
        <v>8</v>
      </c>
      <c r="M1166" t="s">
        <v>8</v>
      </c>
      <c r="N1166" t="s">
        <v>1125</v>
      </c>
    </row>
    <row r="1167" spans="2:14" x14ac:dyDescent="0.25">
      <c r="B1167" t="s">
        <v>0</v>
      </c>
      <c r="C1167" t="s">
        <v>1311</v>
      </c>
      <c r="D1167" t="s">
        <v>1182</v>
      </c>
      <c r="E1167" t="s">
        <v>3</v>
      </c>
      <c r="F1167" t="s">
        <v>4</v>
      </c>
      <c r="G1167" s="2" t="str">
        <f t="shared" si="18"/>
        <v>ER_PARDE/EVAPORATION-RATE</v>
      </c>
      <c r="H1167" t="s">
        <v>1183</v>
      </c>
      <c r="I1167" t="s">
        <v>1184</v>
      </c>
      <c r="J1167" t="s">
        <v>1312</v>
      </c>
      <c r="L1167" t="s">
        <v>8</v>
      </c>
      <c r="M1167" t="s">
        <v>8</v>
      </c>
      <c r="N1167" t="s">
        <v>1125</v>
      </c>
    </row>
    <row r="1168" spans="2:14" x14ac:dyDescent="0.25">
      <c r="B1168" t="s">
        <v>0</v>
      </c>
      <c r="C1168" t="s">
        <v>1313</v>
      </c>
      <c r="D1168" t="s">
        <v>1182</v>
      </c>
      <c r="E1168" t="s">
        <v>3</v>
      </c>
      <c r="F1168" t="s">
        <v>4</v>
      </c>
      <c r="G1168" s="2" t="str">
        <f t="shared" si="18"/>
        <v>ER_PCRST/EVAPORATION-RATE</v>
      </c>
      <c r="H1168" t="s">
        <v>1183</v>
      </c>
      <c r="I1168" t="s">
        <v>1184</v>
      </c>
      <c r="J1168" t="s">
        <v>1314</v>
      </c>
      <c r="L1168" t="s">
        <v>8</v>
      </c>
      <c r="M1168" t="s">
        <v>8</v>
      </c>
      <c r="N1168" t="s">
        <v>1125</v>
      </c>
    </row>
    <row r="1169" spans="2:14" x14ac:dyDescent="0.25">
      <c r="B1169" t="s">
        <v>0</v>
      </c>
      <c r="C1169" t="s">
        <v>1315</v>
      </c>
      <c r="D1169" t="s">
        <v>1182</v>
      </c>
      <c r="E1169" t="s">
        <v>3</v>
      </c>
      <c r="F1169" t="s">
        <v>4</v>
      </c>
      <c r="G1169" s="2" t="str">
        <f t="shared" si="18"/>
        <v>ER_PEDRO/EVAPORATION-RATE</v>
      </c>
      <c r="H1169" t="s">
        <v>1183</v>
      </c>
      <c r="I1169" t="s">
        <v>1184</v>
      </c>
      <c r="J1169" t="s">
        <v>1316</v>
      </c>
      <c r="L1169" t="s">
        <v>8</v>
      </c>
      <c r="M1169" t="s">
        <v>8</v>
      </c>
      <c r="N1169" t="s">
        <v>1125</v>
      </c>
    </row>
    <row r="1170" spans="2:14" x14ac:dyDescent="0.25">
      <c r="B1170" t="s">
        <v>0</v>
      </c>
      <c r="C1170" t="s">
        <v>1317</v>
      </c>
      <c r="D1170" t="s">
        <v>1182</v>
      </c>
      <c r="E1170" t="s">
        <v>3</v>
      </c>
      <c r="F1170" t="s">
        <v>4</v>
      </c>
      <c r="G1170" s="2" t="str">
        <f t="shared" si="18"/>
        <v>ER_PRRIS/EVAPORATION-RATE</v>
      </c>
      <c r="H1170" t="s">
        <v>1183</v>
      </c>
      <c r="I1170" t="s">
        <v>1184</v>
      </c>
      <c r="J1170" t="s">
        <v>1318</v>
      </c>
      <c r="K1170" t="s">
        <v>1222</v>
      </c>
      <c r="L1170" t="s">
        <v>8</v>
      </c>
      <c r="M1170" t="s">
        <v>8</v>
      </c>
      <c r="N1170" t="s">
        <v>1125</v>
      </c>
    </row>
    <row r="1171" spans="2:14" x14ac:dyDescent="0.25">
      <c r="B1171" t="s">
        <v>0</v>
      </c>
      <c r="C1171" t="s">
        <v>1319</v>
      </c>
      <c r="D1171" t="s">
        <v>1182</v>
      </c>
      <c r="E1171" t="s">
        <v>3</v>
      </c>
      <c r="F1171" t="s">
        <v>4</v>
      </c>
      <c r="G1171" s="2" t="str">
        <f t="shared" si="18"/>
        <v>ER_PYRMD/EVAPORATION-RATE</v>
      </c>
      <c r="H1171" t="s">
        <v>1183</v>
      </c>
      <c r="I1171" t="s">
        <v>1184</v>
      </c>
      <c r="J1171" t="s">
        <v>1320</v>
      </c>
      <c r="K1171" t="s">
        <v>1222</v>
      </c>
      <c r="L1171" t="s">
        <v>8</v>
      </c>
      <c r="M1171" t="s">
        <v>8</v>
      </c>
      <c r="N1171" t="s">
        <v>1125</v>
      </c>
    </row>
    <row r="1172" spans="2:14" x14ac:dyDescent="0.25">
      <c r="B1172" t="s">
        <v>0</v>
      </c>
      <c r="C1172" t="s">
        <v>1321</v>
      </c>
      <c r="D1172" t="s">
        <v>1182</v>
      </c>
      <c r="E1172" t="s">
        <v>3</v>
      </c>
      <c r="F1172" t="s">
        <v>4</v>
      </c>
      <c r="G1172" s="2" t="str">
        <f t="shared" si="18"/>
        <v>ER_RDNGR/EVAPORATION-RATE</v>
      </c>
      <c r="H1172" t="s">
        <v>1183</v>
      </c>
      <c r="I1172" t="s">
        <v>1184</v>
      </c>
      <c r="J1172" t="s">
        <v>1322</v>
      </c>
      <c r="L1172" t="s">
        <v>8</v>
      </c>
      <c r="M1172" t="s">
        <v>8</v>
      </c>
      <c r="N1172" t="s">
        <v>1125</v>
      </c>
    </row>
    <row r="1173" spans="2:14" x14ac:dyDescent="0.25">
      <c r="B1173" t="s">
        <v>0</v>
      </c>
      <c r="C1173" t="s">
        <v>1323</v>
      </c>
      <c r="D1173" t="s">
        <v>1182</v>
      </c>
      <c r="E1173" t="s">
        <v>3</v>
      </c>
      <c r="F1173" t="s">
        <v>4</v>
      </c>
      <c r="G1173" s="2" t="str">
        <f t="shared" si="18"/>
        <v>ER_RLIEF/EVAPORATION-RATE</v>
      </c>
      <c r="H1173" t="s">
        <v>1183</v>
      </c>
      <c r="I1173" t="s">
        <v>1184</v>
      </c>
      <c r="J1173" t="s">
        <v>1324</v>
      </c>
      <c r="L1173" t="s">
        <v>8</v>
      </c>
      <c r="M1173" t="s">
        <v>8</v>
      </c>
      <c r="N1173" t="s">
        <v>1125</v>
      </c>
    </row>
    <row r="1174" spans="2:14" x14ac:dyDescent="0.25">
      <c r="B1174" t="s">
        <v>0</v>
      </c>
      <c r="C1174" t="s">
        <v>1325</v>
      </c>
      <c r="D1174" t="s">
        <v>1182</v>
      </c>
      <c r="E1174" t="s">
        <v>3</v>
      </c>
      <c r="F1174" t="s">
        <v>4</v>
      </c>
      <c r="G1174" s="2" t="str">
        <f t="shared" si="18"/>
        <v>ER_RLLNS/EVAPORATION-RATE</v>
      </c>
      <c r="H1174" t="s">
        <v>1183</v>
      </c>
      <c r="I1174" t="s">
        <v>1184</v>
      </c>
      <c r="J1174" t="s">
        <v>1326</v>
      </c>
      <c r="L1174" t="s">
        <v>8</v>
      </c>
      <c r="M1174" t="s">
        <v>8</v>
      </c>
      <c r="N1174" t="s">
        <v>1125</v>
      </c>
    </row>
    <row r="1175" spans="2:14" x14ac:dyDescent="0.25">
      <c r="B1175" t="s">
        <v>0</v>
      </c>
      <c r="C1175" t="s">
        <v>1327</v>
      </c>
      <c r="D1175" t="s">
        <v>1182</v>
      </c>
      <c r="E1175" t="s">
        <v>3</v>
      </c>
      <c r="F1175" t="s">
        <v>4</v>
      </c>
      <c r="G1175" s="2" t="str">
        <f t="shared" si="18"/>
        <v>ER_RNCHO/EVAPORATION-RATE</v>
      </c>
      <c r="H1175" t="s">
        <v>1183</v>
      </c>
      <c r="I1175" t="s">
        <v>1184</v>
      </c>
      <c r="J1175" t="s">
        <v>1328</v>
      </c>
      <c r="L1175" t="s">
        <v>8</v>
      </c>
      <c r="M1175" t="s">
        <v>8</v>
      </c>
      <c r="N1175" t="s">
        <v>1125</v>
      </c>
    </row>
    <row r="1176" spans="2:14" x14ac:dyDescent="0.25">
      <c r="B1176" t="s">
        <v>0</v>
      </c>
      <c r="C1176" t="s">
        <v>1329</v>
      </c>
      <c r="D1176" t="s">
        <v>1182</v>
      </c>
      <c r="E1176" t="s">
        <v>3</v>
      </c>
      <c r="F1176" t="s">
        <v>4</v>
      </c>
      <c r="G1176" s="2" t="str">
        <f t="shared" si="18"/>
        <v>ER_RVPHB/EVAPORATION-RATE</v>
      </c>
      <c r="H1176" t="s">
        <v>1183</v>
      </c>
      <c r="I1176" t="s">
        <v>1184</v>
      </c>
      <c r="J1176" t="s">
        <v>1330</v>
      </c>
      <c r="L1176" t="s">
        <v>8</v>
      </c>
      <c r="M1176" t="s">
        <v>8</v>
      </c>
      <c r="N1176" t="s">
        <v>1125</v>
      </c>
    </row>
    <row r="1177" spans="2:14" x14ac:dyDescent="0.25">
      <c r="B1177" t="s">
        <v>0</v>
      </c>
      <c r="C1177" t="s">
        <v>1331</v>
      </c>
      <c r="D1177" t="s">
        <v>1182</v>
      </c>
      <c r="E1177" t="s">
        <v>3</v>
      </c>
      <c r="F1177" t="s">
        <v>4</v>
      </c>
      <c r="G1177" s="2" t="str">
        <f t="shared" si="18"/>
        <v>ER_SCOTF/EVAPORATION-RATE</v>
      </c>
      <c r="H1177" t="s">
        <v>1183</v>
      </c>
      <c r="I1177" t="s">
        <v>1184</v>
      </c>
      <c r="J1177" t="s">
        <v>1332</v>
      </c>
      <c r="L1177" t="s">
        <v>8</v>
      </c>
      <c r="M1177" t="s">
        <v>8</v>
      </c>
      <c r="N1177" t="s">
        <v>1125</v>
      </c>
    </row>
    <row r="1178" spans="2:14" x14ac:dyDescent="0.25">
      <c r="B1178" t="s">
        <v>0</v>
      </c>
      <c r="C1178" t="s">
        <v>1333</v>
      </c>
      <c r="D1178" t="s">
        <v>1182</v>
      </c>
      <c r="E1178" t="s">
        <v>3</v>
      </c>
      <c r="F1178" t="s">
        <v>4</v>
      </c>
      <c r="G1178" s="2" t="str">
        <f t="shared" si="18"/>
        <v>ER_SGRGE/EVAPORATION-RATE</v>
      </c>
      <c r="H1178" t="s">
        <v>1183</v>
      </c>
      <c r="I1178" t="s">
        <v>1184</v>
      </c>
      <c r="J1178" t="s">
        <v>1334</v>
      </c>
      <c r="L1178" t="s">
        <v>8</v>
      </c>
      <c r="M1178" t="s">
        <v>8</v>
      </c>
      <c r="N1178" t="s">
        <v>1125</v>
      </c>
    </row>
    <row r="1179" spans="2:14" x14ac:dyDescent="0.25">
      <c r="B1179" t="s">
        <v>0</v>
      </c>
      <c r="C1179" t="s">
        <v>1335</v>
      </c>
      <c r="D1179" t="s">
        <v>1182</v>
      </c>
      <c r="E1179" t="s">
        <v>3</v>
      </c>
      <c r="F1179" t="s">
        <v>4</v>
      </c>
      <c r="G1179" s="2" t="str">
        <f t="shared" si="18"/>
        <v>ER_SHSTA/EVAPORATION-RATE</v>
      </c>
      <c r="H1179" t="s">
        <v>1183</v>
      </c>
      <c r="I1179" t="s">
        <v>1184</v>
      </c>
      <c r="J1179" t="s">
        <v>1336</v>
      </c>
      <c r="L1179" t="s">
        <v>8</v>
      </c>
      <c r="M1179" t="s">
        <v>8</v>
      </c>
      <c r="N1179" t="s">
        <v>1125</v>
      </c>
    </row>
    <row r="1180" spans="2:14" x14ac:dyDescent="0.25">
      <c r="B1180" t="s">
        <v>0</v>
      </c>
      <c r="C1180" t="s">
        <v>1337</v>
      </c>
      <c r="D1180" t="s">
        <v>1182</v>
      </c>
      <c r="E1180" t="s">
        <v>3</v>
      </c>
      <c r="F1180" t="s">
        <v>4</v>
      </c>
      <c r="G1180" s="2" t="str">
        <f t="shared" si="18"/>
        <v>ER_SHVER/EVAPORATION-RATE</v>
      </c>
      <c r="H1180" t="s">
        <v>1183</v>
      </c>
      <c r="I1180" t="s">
        <v>1184</v>
      </c>
      <c r="J1180" t="s">
        <v>1338</v>
      </c>
      <c r="L1180" t="s">
        <v>8</v>
      </c>
      <c r="M1180" t="s">
        <v>8</v>
      </c>
      <c r="N1180" t="s">
        <v>1125</v>
      </c>
    </row>
    <row r="1181" spans="2:14" x14ac:dyDescent="0.25">
      <c r="B1181" t="s">
        <v>0</v>
      </c>
      <c r="C1181" t="s">
        <v>1339</v>
      </c>
      <c r="D1181" t="s">
        <v>1182</v>
      </c>
      <c r="E1181" t="s">
        <v>3</v>
      </c>
      <c r="F1181" t="s">
        <v>4</v>
      </c>
      <c r="G1181" s="2" t="str">
        <f t="shared" si="18"/>
        <v>ER_SILVR/EVAPORATION-RATE</v>
      </c>
      <c r="H1181" t="s">
        <v>1183</v>
      </c>
      <c r="I1181" t="s">
        <v>1184</v>
      </c>
      <c r="J1181" t="s">
        <v>1340</v>
      </c>
      <c r="L1181" t="s">
        <v>8</v>
      </c>
      <c r="M1181" t="s">
        <v>8</v>
      </c>
      <c r="N1181" t="s">
        <v>1125</v>
      </c>
    </row>
    <row r="1182" spans="2:14" x14ac:dyDescent="0.25">
      <c r="B1182" t="s">
        <v>0</v>
      </c>
      <c r="C1182" t="s">
        <v>1341</v>
      </c>
      <c r="D1182" t="s">
        <v>1182</v>
      </c>
      <c r="E1182" t="s">
        <v>3</v>
      </c>
      <c r="F1182" t="s">
        <v>4</v>
      </c>
      <c r="G1182" s="2" t="str">
        <f t="shared" si="18"/>
        <v>ER_SLTSP/EVAPORATION-RATE</v>
      </c>
      <c r="H1182" t="s">
        <v>1183</v>
      </c>
      <c r="I1182" t="s">
        <v>1184</v>
      </c>
      <c r="J1182" t="s">
        <v>1342</v>
      </c>
      <c r="L1182" t="s">
        <v>8</v>
      </c>
      <c r="M1182" t="s">
        <v>8</v>
      </c>
      <c r="N1182" t="s">
        <v>1125</v>
      </c>
    </row>
    <row r="1183" spans="2:14" x14ac:dyDescent="0.25">
      <c r="B1183" t="s">
        <v>0</v>
      </c>
      <c r="C1183" t="s">
        <v>1343</v>
      </c>
      <c r="D1183" t="s">
        <v>1182</v>
      </c>
      <c r="E1183" t="s">
        <v>3</v>
      </c>
      <c r="F1183" t="s">
        <v>4</v>
      </c>
      <c r="G1183" s="2" t="str">
        <f t="shared" si="18"/>
        <v>ER_SLUIS/EVAPORATION-RATE</v>
      </c>
      <c r="H1183" t="s">
        <v>1183</v>
      </c>
      <c r="I1183" t="s">
        <v>1184</v>
      </c>
      <c r="J1183" t="s">
        <v>1344</v>
      </c>
      <c r="L1183" t="s">
        <v>8</v>
      </c>
      <c r="M1183" t="s">
        <v>8</v>
      </c>
      <c r="N1183" t="s">
        <v>1125</v>
      </c>
    </row>
    <row r="1184" spans="2:14" x14ac:dyDescent="0.25">
      <c r="B1184" t="s">
        <v>0</v>
      </c>
      <c r="C1184" t="s">
        <v>1345</v>
      </c>
      <c r="D1184" t="s">
        <v>1182</v>
      </c>
      <c r="E1184" t="s">
        <v>3</v>
      </c>
      <c r="F1184" t="s">
        <v>4</v>
      </c>
      <c r="G1184" s="2" t="str">
        <f t="shared" si="18"/>
        <v>ER_SLYCK/EVAPORATION-RATE</v>
      </c>
      <c r="H1184" t="s">
        <v>1183</v>
      </c>
      <c r="I1184" t="s">
        <v>1184</v>
      </c>
      <c r="J1184" t="s">
        <v>1346</v>
      </c>
      <c r="L1184" t="s">
        <v>8</v>
      </c>
      <c r="M1184" t="s">
        <v>8</v>
      </c>
      <c r="N1184" t="s">
        <v>1125</v>
      </c>
    </row>
    <row r="1185" spans="2:14" x14ac:dyDescent="0.25">
      <c r="B1185" t="s">
        <v>0</v>
      </c>
      <c r="C1185" t="s">
        <v>1347</v>
      </c>
      <c r="D1185" t="s">
        <v>1182</v>
      </c>
      <c r="E1185" t="s">
        <v>3</v>
      </c>
      <c r="F1185" t="s">
        <v>4</v>
      </c>
      <c r="G1185" s="2" t="str">
        <f t="shared" si="18"/>
        <v>ER_SPICE/EVAPORATION-RATE</v>
      </c>
      <c r="H1185" t="s">
        <v>1183</v>
      </c>
      <c r="I1185" t="s">
        <v>1184</v>
      </c>
      <c r="J1185" t="s">
        <v>1348</v>
      </c>
      <c r="L1185" t="s">
        <v>8</v>
      </c>
      <c r="M1185" t="s">
        <v>8</v>
      </c>
      <c r="N1185" t="s">
        <v>1125</v>
      </c>
    </row>
    <row r="1186" spans="2:14" x14ac:dyDescent="0.25">
      <c r="B1186" t="s">
        <v>0</v>
      </c>
      <c r="C1186" t="s">
        <v>1349</v>
      </c>
      <c r="D1186" t="s">
        <v>1182</v>
      </c>
      <c r="E1186" t="s">
        <v>3</v>
      </c>
      <c r="F1186" t="s">
        <v>4</v>
      </c>
      <c r="G1186" s="2" t="str">
        <f t="shared" si="18"/>
        <v>ER_SPLDG/EVAPORATION-RATE</v>
      </c>
      <c r="H1186" t="s">
        <v>1183</v>
      </c>
      <c r="I1186" t="s">
        <v>1184</v>
      </c>
      <c r="J1186" t="s">
        <v>1350</v>
      </c>
      <c r="L1186" t="s">
        <v>8</v>
      </c>
      <c r="M1186" t="s">
        <v>8</v>
      </c>
      <c r="N1186" t="s">
        <v>1125</v>
      </c>
    </row>
    <row r="1187" spans="2:14" x14ac:dyDescent="0.25">
      <c r="B1187" t="s">
        <v>0</v>
      </c>
      <c r="C1187" t="s">
        <v>1351</v>
      </c>
      <c r="D1187" t="s">
        <v>1182</v>
      </c>
      <c r="E1187" t="s">
        <v>3</v>
      </c>
      <c r="F1187" t="s">
        <v>4</v>
      </c>
      <c r="G1187" s="2" t="str">
        <f t="shared" si="18"/>
        <v>ER_STMPY/EVAPORATION-RATE</v>
      </c>
      <c r="H1187" t="s">
        <v>1183</v>
      </c>
      <c r="I1187" t="s">
        <v>1184</v>
      </c>
      <c r="J1187" t="s">
        <v>1352</v>
      </c>
      <c r="L1187" t="s">
        <v>8</v>
      </c>
      <c r="M1187" t="s">
        <v>8</v>
      </c>
      <c r="N1187" t="s">
        <v>1125</v>
      </c>
    </row>
    <row r="1188" spans="2:14" x14ac:dyDescent="0.25">
      <c r="B1188" t="s">
        <v>0</v>
      </c>
      <c r="C1188" t="s">
        <v>1353</v>
      </c>
      <c r="D1188" t="s">
        <v>1182</v>
      </c>
      <c r="E1188" t="s">
        <v>3</v>
      </c>
      <c r="F1188" t="s">
        <v>4</v>
      </c>
      <c r="G1188" s="2" t="str">
        <f t="shared" si="18"/>
        <v>ER_SVRWD/EVAPORATION-RATE</v>
      </c>
      <c r="H1188" t="s">
        <v>1183</v>
      </c>
      <c r="I1188" t="s">
        <v>1184</v>
      </c>
      <c r="J1188" t="s">
        <v>1354</v>
      </c>
      <c r="K1188" t="s">
        <v>1222</v>
      </c>
      <c r="L1188" t="s">
        <v>8</v>
      </c>
      <c r="M1188" t="s">
        <v>8</v>
      </c>
      <c r="N1188" t="s">
        <v>1125</v>
      </c>
    </row>
    <row r="1189" spans="2:14" x14ac:dyDescent="0.25">
      <c r="B1189" t="s">
        <v>0</v>
      </c>
      <c r="C1189" t="s">
        <v>1355</v>
      </c>
      <c r="D1189" t="s">
        <v>1182</v>
      </c>
      <c r="E1189" t="s">
        <v>3</v>
      </c>
      <c r="F1189" t="s">
        <v>4</v>
      </c>
      <c r="G1189" s="2" t="str">
        <f t="shared" si="18"/>
        <v>ER_THRMA/EVAPORATION-RATE</v>
      </c>
      <c r="H1189" t="s">
        <v>1183</v>
      </c>
      <c r="I1189" t="s">
        <v>1184</v>
      </c>
      <c r="J1189" t="s">
        <v>1356</v>
      </c>
      <c r="L1189" t="s">
        <v>8</v>
      </c>
      <c r="M1189" t="s">
        <v>8</v>
      </c>
      <c r="N1189" t="s">
        <v>1125</v>
      </c>
    </row>
    <row r="1190" spans="2:14" x14ac:dyDescent="0.25">
      <c r="B1190" t="s">
        <v>0</v>
      </c>
      <c r="C1190" t="s">
        <v>1357</v>
      </c>
      <c r="D1190" t="s">
        <v>1182</v>
      </c>
      <c r="E1190" t="s">
        <v>3</v>
      </c>
      <c r="F1190" t="s">
        <v>4</v>
      </c>
      <c r="G1190" s="2" t="str">
        <f t="shared" si="18"/>
        <v>ER_THRMF/EVAPORATION-RATE</v>
      </c>
      <c r="H1190" t="s">
        <v>1183</v>
      </c>
      <c r="I1190" t="s">
        <v>1184</v>
      </c>
      <c r="J1190" t="s">
        <v>1358</v>
      </c>
      <c r="L1190" t="s">
        <v>8</v>
      </c>
      <c r="M1190" t="s">
        <v>8</v>
      </c>
      <c r="N1190" t="s">
        <v>1125</v>
      </c>
    </row>
    <row r="1191" spans="2:14" x14ac:dyDescent="0.25">
      <c r="B1191" t="s">
        <v>0</v>
      </c>
      <c r="C1191" t="s">
        <v>1359</v>
      </c>
      <c r="D1191" t="s">
        <v>1182</v>
      </c>
      <c r="E1191" t="s">
        <v>3</v>
      </c>
      <c r="F1191" t="s">
        <v>4</v>
      </c>
      <c r="G1191" s="2" t="str">
        <f t="shared" si="18"/>
        <v>ER_TRLCK/EVAPORATION-RATE</v>
      </c>
      <c r="H1191" t="s">
        <v>1183</v>
      </c>
      <c r="I1191" t="s">
        <v>1184</v>
      </c>
      <c r="J1191" t="s">
        <v>1360</v>
      </c>
      <c r="L1191" t="s">
        <v>8</v>
      </c>
      <c r="M1191" t="s">
        <v>8</v>
      </c>
      <c r="N1191" t="s">
        <v>1125</v>
      </c>
    </row>
    <row r="1192" spans="2:14" x14ac:dyDescent="0.25">
      <c r="B1192" t="s">
        <v>0</v>
      </c>
      <c r="C1192" t="s">
        <v>1361</v>
      </c>
      <c r="D1192" t="s">
        <v>1182</v>
      </c>
      <c r="E1192" t="s">
        <v>3</v>
      </c>
      <c r="F1192" t="s">
        <v>4</v>
      </c>
      <c r="G1192" s="2" t="str">
        <f t="shared" si="18"/>
        <v>ER_TRNTY/EVAPORATION-RATE</v>
      </c>
      <c r="H1192" t="s">
        <v>1183</v>
      </c>
      <c r="I1192" t="s">
        <v>1184</v>
      </c>
      <c r="J1192" t="s">
        <v>1362</v>
      </c>
      <c r="L1192" t="s">
        <v>8</v>
      </c>
      <c r="M1192" t="s">
        <v>8</v>
      </c>
      <c r="N1192" t="s">
        <v>1125</v>
      </c>
    </row>
    <row r="1193" spans="2:14" x14ac:dyDescent="0.25">
      <c r="B1193" t="s">
        <v>0</v>
      </c>
      <c r="C1193" t="s">
        <v>1363</v>
      </c>
      <c r="D1193" t="s">
        <v>1182</v>
      </c>
      <c r="E1193" t="s">
        <v>3</v>
      </c>
      <c r="F1193" t="s">
        <v>4</v>
      </c>
      <c r="G1193" s="2" t="str">
        <f t="shared" si="18"/>
        <v>ER_TULOC/EVAPORATION-RATE</v>
      </c>
      <c r="H1193" t="s">
        <v>1183</v>
      </c>
      <c r="I1193" t="s">
        <v>1184</v>
      </c>
      <c r="J1193" t="s">
        <v>1364</v>
      </c>
      <c r="L1193" t="s">
        <v>8</v>
      </c>
      <c r="M1193" t="s">
        <v>8</v>
      </c>
      <c r="N1193" t="s">
        <v>1125</v>
      </c>
    </row>
    <row r="1194" spans="2:14" x14ac:dyDescent="0.25">
      <c r="B1194" t="s">
        <v>0</v>
      </c>
      <c r="C1194" t="s">
        <v>1365</v>
      </c>
      <c r="D1194" t="s">
        <v>1182</v>
      </c>
      <c r="E1194" t="s">
        <v>3</v>
      </c>
      <c r="F1194" t="s">
        <v>4</v>
      </c>
      <c r="G1194" s="2" t="str">
        <f t="shared" si="18"/>
        <v>ER_UBEAR/EVAPORATION-RATE</v>
      </c>
      <c r="H1194" t="s">
        <v>1183</v>
      </c>
      <c r="I1194" t="s">
        <v>1184</v>
      </c>
      <c r="J1194" t="s">
        <v>1366</v>
      </c>
      <c r="L1194" t="s">
        <v>8</v>
      </c>
      <c r="M1194" t="s">
        <v>8</v>
      </c>
      <c r="N1194" t="s">
        <v>1125</v>
      </c>
    </row>
    <row r="1195" spans="2:14" x14ac:dyDescent="0.25">
      <c r="B1195" t="s">
        <v>0</v>
      </c>
      <c r="C1195" t="s">
        <v>1367</v>
      </c>
      <c r="D1195" t="s">
        <v>1182</v>
      </c>
      <c r="E1195" t="s">
        <v>3</v>
      </c>
      <c r="F1195" t="s">
        <v>4</v>
      </c>
      <c r="G1195" s="2" t="str">
        <f t="shared" si="18"/>
        <v>ER_UNVLY/EVAPORATION-RATE</v>
      </c>
      <c r="H1195" t="s">
        <v>1183</v>
      </c>
      <c r="I1195" t="s">
        <v>1184</v>
      </c>
      <c r="J1195" t="s">
        <v>1368</v>
      </c>
      <c r="L1195" t="s">
        <v>8</v>
      </c>
      <c r="M1195" t="s">
        <v>8</v>
      </c>
      <c r="N1195" t="s">
        <v>1125</v>
      </c>
    </row>
    <row r="1196" spans="2:14" x14ac:dyDescent="0.25">
      <c r="B1196" t="s">
        <v>0</v>
      </c>
      <c r="C1196" t="s">
        <v>1369</v>
      </c>
      <c r="D1196" t="s">
        <v>1182</v>
      </c>
      <c r="E1196" t="s">
        <v>3</v>
      </c>
      <c r="F1196" t="s">
        <v>4</v>
      </c>
      <c r="G1196" s="2" t="str">
        <f t="shared" si="18"/>
        <v>ER_WDWRD/EVAPORATION-RATE</v>
      </c>
      <c r="H1196" t="s">
        <v>1183</v>
      </c>
      <c r="I1196" t="s">
        <v>1184</v>
      </c>
      <c r="J1196" t="s">
        <v>1370</v>
      </c>
      <c r="L1196" t="s">
        <v>8</v>
      </c>
      <c r="M1196" t="s">
        <v>8</v>
      </c>
      <c r="N1196" t="s">
        <v>1125</v>
      </c>
    </row>
    <row r="1197" spans="2:14" x14ac:dyDescent="0.25">
      <c r="B1197" t="s">
        <v>0</v>
      </c>
      <c r="C1197" t="s">
        <v>1371</v>
      </c>
      <c r="D1197" t="s">
        <v>1182</v>
      </c>
      <c r="E1197" t="s">
        <v>3</v>
      </c>
      <c r="F1197" t="s">
        <v>4</v>
      </c>
      <c r="G1197" s="2" t="str">
        <f t="shared" si="18"/>
        <v>ER_WKYTN/EVAPORATION-RATE</v>
      </c>
      <c r="H1197" t="s">
        <v>1183</v>
      </c>
      <c r="I1197" t="s">
        <v>1184</v>
      </c>
      <c r="J1197" t="s">
        <v>1372</v>
      </c>
      <c r="L1197" t="s">
        <v>8</v>
      </c>
      <c r="M1197" t="s">
        <v>8</v>
      </c>
      <c r="N1197" t="s">
        <v>1125</v>
      </c>
    </row>
    <row r="1198" spans="2:14" x14ac:dyDescent="0.25">
      <c r="B1198" t="s">
        <v>0</v>
      </c>
      <c r="C1198" t="s">
        <v>1373</v>
      </c>
      <c r="D1198" t="s">
        <v>1374</v>
      </c>
      <c r="E1198" t="s">
        <v>3</v>
      </c>
      <c r="F1198" t="s">
        <v>4</v>
      </c>
      <c r="G1198" s="2" t="str">
        <f t="shared" si="18"/>
        <v>E_PEDRO_SV/EVAPORATION</v>
      </c>
      <c r="H1198" t="s">
        <v>1183</v>
      </c>
      <c r="I1198" t="s">
        <v>1184</v>
      </c>
      <c r="J1198" t="s">
        <v>1375</v>
      </c>
      <c r="K1198" t="s">
        <v>1376</v>
      </c>
      <c r="L1198" t="s">
        <v>8</v>
      </c>
      <c r="N1198" t="s">
        <v>9</v>
      </c>
    </row>
    <row r="1199" spans="2:14" x14ac:dyDescent="0.25">
      <c r="B1199" t="s">
        <v>0</v>
      </c>
      <c r="C1199" t="s">
        <v>1377</v>
      </c>
      <c r="D1199" t="s">
        <v>43</v>
      </c>
      <c r="E1199" t="s">
        <v>3</v>
      </c>
      <c r="F1199" t="s">
        <v>4</v>
      </c>
      <c r="G1199" s="2" t="str">
        <f t="shared" si="18"/>
        <v>DEM_NAPA_PIN/DEMAND-SWP-IN</v>
      </c>
      <c r="H1199" t="s">
        <v>5</v>
      </c>
      <c r="I1199" t="s">
        <v>44</v>
      </c>
      <c r="K1199" t="s">
        <v>283</v>
      </c>
      <c r="L1199" t="s">
        <v>8</v>
      </c>
      <c r="N1199" t="s">
        <v>9</v>
      </c>
    </row>
    <row r="1200" spans="2:14" x14ac:dyDescent="0.25">
      <c r="B1200" t="s">
        <v>0</v>
      </c>
      <c r="C1200" t="s">
        <v>1378</v>
      </c>
      <c r="D1200" t="s">
        <v>43</v>
      </c>
      <c r="E1200" t="s">
        <v>3</v>
      </c>
      <c r="F1200" t="s">
        <v>4</v>
      </c>
      <c r="G1200" s="2" t="str">
        <f t="shared" si="18"/>
        <v>DEM_SCWA_PIN/DEMAND-SWP-IN</v>
      </c>
      <c r="H1200" t="s">
        <v>5</v>
      </c>
      <c r="I1200" t="s">
        <v>44</v>
      </c>
      <c r="K1200" t="s">
        <v>283</v>
      </c>
      <c r="L1200" t="s">
        <v>8</v>
      </c>
      <c r="N1200" t="s">
        <v>9</v>
      </c>
    </row>
    <row r="1201" spans="2:14" x14ac:dyDescent="0.25">
      <c r="B1201" t="s">
        <v>0</v>
      </c>
      <c r="C1201" t="s">
        <v>1379</v>
      </c>
      <c r="D1201" t="s">
        <v>1380</v>
      </c>
      <c r="E1201" t="s">
        <v>3</v>
      </c>
      <c r="F1201" t="s">
        <v>4</v>
      </c>
      <c r="G1201" s="2" t="str">
        <f t="shared" si="18"/>
        <v>I_WLF013/INFLOW</v>
      </c>
      <c r="H1201" t="s">
        <v>1381</v>
      </c>
      <c r="I1201" t="s">
        <v>1382</v>
      </c>
      <c r="J1201" t="s">
        <v>1383</v>
      </c>
      <c r="L1201" t="s">
        <v>8</v>
      </c>
      <c r="M1201" t="s">
        <v>8</v>
      </c>
      <c r="N1201" t="s">
        <v>9</v>
      </c>
    </row>
    <row r="1202" spans="2:14" x14ac:dyDescent="0.25">
      <c r="B1202" t="s">
        <v>0</v>
      </c>
      <c r="C1202" t="s">
        <v>1384</v>
      </c>
      <c r="D1202" t="s">
        <v>1380</v>
      </c>
      <c r="E1202" t="s">
        <v>3</v>
      </c>
      <c r="F1202" t="s">
        <v>4</v>
      </c>
      <c r="G1202" s="2" t="str">
        <f t="shared" si="18"/>
        <v>I_WBR001/INFLOW</v>
      </c>
      <c r="H1202" t="s">
        <v>1381</v>
      </c>
      <c r="I1202" t="s">
        <v>1382</v>
      </c>
      <c r="J1202" t="s">
        <v>1385</v>
      </c>
      <c r="L1202" t="s">
        <v>8</v>
      </c>
      <c r="M1202" t="s">
        <v>8</v>
      </c>
      <c r="N1202" t="s">
        <v>9</v>
      </c>
    </row>
    <row r="1203" spans="2:14" x14ac:dyDescent="0.25">
      <c r="B1203" t="s">
        <v>0</v>
      </c>
      <c r="C1203" t="s">
        <v>1386</v>
      </c>
      <c r="D1203" t="s">
        <v>1380</v>
      </c>
      <c r="E1203" t="s">
        <v>3</v>
      </c>
      <c r="F1203" t="s">
        <v>4</v>
      </c>
      <c r="G1203" s="2" t="str">
        <f t="shared" si="18"/>
        <v>I_UBEAR/INFLOW</v>
      </c>
      <c r="H1203" t="s">
        <v>1381</v>
      </c>
      <c r="I1203" t="s">
        <v>1382</v>
      </c>
      <c r="J1203" t="s">
        <v>1387</v>
      </c>
      <c r="L1203" t="s">
        <v>8</v>
      </c>
      <c r="M1203" t="s">
        <v>8</v>
      </c>
      <c r="N1203" t="s">
        <v>9</v>
      </c>
    </row>
    <row r="1204" spans="2:14" x14ac:dyDescent="0.25">
      <c r="B1204" t="s">
        <v>0</v>
      </c>
      <c r="C1204" t="s">
        <v>1388</v>
      </c>
      <c r="D1204" t="s">
        <v>1380</v>
      </c>
      <c r="E1204" t="s">
        <v>3</v>
      </c>
      <c r="F1204" t="s">
        <v>4</v>
      </c>
      <c r="G1204" s="2" t="str">
        <f t="shared" si="18"/>
        <v>I_TUO054/INFLOW</v>
      </c>
      <c r="H1204" t="s">
        <v>1381</v>
      </c>
      <c r="I1204" t="s">
        <v>1382</v>
      </c>
      <c r="J1204" t="s">
        <v>1389</v>
      </c>
      <c r="L1204" t="s">
        <v>8</v>
      </c>
      <c r="M1204" t="s">
        <v>8</v>
      </c>
      <c r="N1204" t="s">
        <v>9</v>
      </c>
    </row>
    <row r="1205" spans="2:14" x14ac:dyDescent="0.25">
      <c r="B1205" t="s">
        <v>0</v>
      </c>
      <c r="C1205" t="s">
        <v>1390</v>
      </c>
      <c r="D1205" t="s">
        <v>1380</v>
      </c>
      <c r="E1205" t="s">
        <v>3</v>
      </c>
      <c r="F1205" t="s">
        <v>4</v>
      </c>
      <c r="G1205" s="2" t="str">
        <f t="shared" si="18"/>
        <v>I_TGC003/INFLOW</v>
      </c>
      <c r="H1205" t="s">
        <v>1381</v>
      </c>
      <c r="I1205" t="s">
        <v>1382</v>
      </c>
      <c r="J1205" t="s">
        <v>1391</v>
      </c>
      <c r="L1205" t="s">
        <v>8</v>
      </c>
      <c r="M1205" t="s">
        <v>8</v>
      </c>
      <c r="N1205" t="s">
        <v>9</v>
      </c>
    </row>
    <row r="1206" spans="2:14" x14ac:dyDescent="0.25">
      <c r="B1206" t="s">
        <v>0</v>
      </c>
      <c r="C1206" t="s">
        <v>1392</v>
      </c>
      <c r="D1206" t="s">
        <v>1380</v>
      </c>
      <c r="E1206" t="s">
        <v>3</v>
      </c>
      <c r="F1206" t="s">
        <v>4</v>
      </c>
      <c r="G1206" s="2" t="str">
        <f t="shared" si="18"/>
        <v>I_THM028/INFLOW</v>
      </c>
      <c r="H1206" t="s">
        <v>1381</v>
      </c>
      <c r="I1206" t="s">
        <v>1382</v>
      </c>
      <c r="J1206" t="s">
        <v>1393</v>
      </c>
      <c r="L1206" t="s">
        <v>8</v>
      </c>
      <c r="M1206" t="s">
        <v>8</v>
      </c>
      <c r="N1206" t="s">
        <v>9</v>
      </c>
    </row>
    <row r="1207" spans="2:14" x14ac:dyDescent="0.25">
      <c r="B1207" t="s">
        <v>0</v>
      </c>
      <c r="C1207" t="s">
        <v>1394</v>
      </c>
      <c r="D1207" t="s">
        <v>1395</v>
      </c>
      <c r="E1207" t="s">
        <v>3</v>
      </c>
      <c r="F1207" t="s">
        <v>4</v>
      </c>
      <c r="G1207" s="2" t="str">
        <f t="shared" si="18"/>
        <v>EBTML_LOSS/LOSS</v>
      </c>
      <c r="H1207" t="s">
        <v>1381</v>
      </c>
      <c r="I1207" t="s">
        <v>1382</v>
      </c>
      <c r="J1207" t="s">
        <v>1396</v>
      </c>
      <c r="K1207" t="s">
        <v>1397</v>
      </c>
      <c r="L1207" t="s">
        <v>8</v>
      </c>
      <c r="M1207" t="s">
        <v>8</v>
      </c>
      <c r="N1207" t="s">
        <v>9</v>
      </c>
    </row>
    <row r="1208" spans="2:14" x14ac:dyDescent="0.25">
      <c r="B1208" t="s">
        <v>0</v>
      </c>
      <c r="C1208" t="s">
        <v>1398</v>
      </c>
      <c r="D1208" t="s">
        <v>1380</v>
      </c>
      <c r="E1208" t="s">
        <v>3</v>
      </c>
      <c r="F1208" t="s">
        <v>4</v>
      </c>
      <c r="G1208" s="2" t="str">
        <f t="shared" si="18"/>
        <v>I_SFY048/INFLOW</v>
      </c>
      <c r="H1208" t="s">
        <v>1381</v>
      </c>
      <c r="I1208" t="s">
        <v>1382</v>
      </c>
      <c r="J1208" t="s">
        <v>1399</v>
      </c>
      <c r="L1208" t="s">
        <v>8</v>
      </c>
      <c r="M1208" t="s">
        <v>8</v>
      </c>
      <c r="N1208" t="s">
        <v>9</v>
      </c>
    </row>
    <row r="1209" spans="2:14" x14ac:dyDescent="0.25">
      <c r="B1209" t="s">
        <v>0</v>
      </c>
      <c r="C1209" t="s">
        <v>1400</v>
      </c>
      <c r="D1209" t="s">
        <v>1380</v>
      </c>
      <c r="E1209" t="s">
        <v>3</v>
      </c>
      <c r="F1209" t="s">
        <v>4</v>
      </c>
      <c r="G1209" s="2" t="str">
        <f t="shared" si="18"/>
        <v>I_SFR006/INFLOW</v>
      </c>
      <c r="H1209" t="s">
        <v>1381</v>
      </c>
      <c r="I1209" t="s">
        <v>1382</v>
      </c>
      <c r="J1209" t="s">
        <v>1401</v>
      </c>
      <c r="L1209" t="s">
        <v>8</v>
      </c>
      <c r="M1209" t="s">
        <v>8</v>
      </c>
      <c r="N1209" t="s">
        <v>9</v>
      </c>
    </row>
    <row r="1210" spans="2:14" x14ac:dyDescent="0.25">
      <c r="B1210" t="s">
        <v>0</v>
      </c>
      <c r="C1210" t="s">
        <v>1402</v>
      </c>
      <c r="D1210" t="s">
        <v>1380</v>
      </c>
      <c r="E1210" t="s">
        <v>3</v>
      </c>
      <c r="F1210" t="s">
        <v>4</v>
      </c>
      <c r="G1210" s="2" t="str">
        <f t="shared" si="18"/>
        <v>I_SFM005/INFLOW</v>
      </c>
      <c r="H1210" t="s">
        <v>1381</v>
      </c>
      <c r="I1210" t="s">
        <v>1382</v>
      </c>
      <c r="J1210" t="s">
        <v>1403</v>
      </c>
      <c r="L1210" t="s">
        <v>8</v>
      </c>
      <c r="M1210" t="s">
        <v>8</v>
      </c>
      <c r="N1210" t="s">
        <v>9</v>
      </c>
    </row>
    <row r="1211" spans="2:14" x14ac:dyDescent="0.25">
      <c r="B1211" t="s">
        <v>0</v>
      </c>
      <c r="C1211" t="s">
        <v>1404</v>
      </c>
      <c r="D1211" t="s">
        <v>1380</v>
      </c>
      <c r="E1211" t="s">
        <v>3</v>
      </c>
      <c r="F1211" t="s">
        <v>4</v>
      </c>
      <c r="G1211" s="2" t="str">
        <f t="shared" si="18"/>
        <v>I_SLC003/INFLOW</v>
      </c>
      <c r="H1211" t="s">
        <v>1381</v>
      </c>
      <c r="I1211" t="s">
        <v>1382</v>
      </c>
      <c r="J1211" t="s">
        <v>1405</v>
      </c>
      <c r="L1211" t="s">
        <v>8</v>
      </c>
      <c r="M1211" t="s">
        <v>8</v>
      </c>
      <c r="N1211" t="s">
        <v>9</v>
      </c>
    </row>
    <row r="1212" spans="2:14" x14ac:dyDescent="0.25">
      <c r="B1212" t="s">
        <v>0</v>
      </c>
      <c r="C1212" t="s">
        <v>1406</v>
      </c>
      <c r="D1212" t="s">
        <v>1380</v>
      </c>
      <c r="E1212" t="s">
        <v>3</v>
      </c>
      <c r="F1212" t="s">
        <v>4</v>
      </c>
      <c r="G1212" s="2" t="str">
        <f t="shared" si="18"/>
        <v>I_LGRSV/INFLOW</v>
      </c>
      <c r="H1212" t="s">
        <v>1381</v>
      </c>
      <c r="I1212" t="s">
        <v>1382</v>
      </c>
      <c r="J1212" t="s">
        <v>1407</v>
      </c>
      <c r="L1212" t="s">
        <v>8</v>
      </c>
      <c r="M1212" t="s">
        <v>8</v>
      </c>
      <c r="N1212" t="s">
        <v>9</v>
      </c>
    </row>
    <row r="1213" spans="2:14" x14ac:dyDescent="0.25">
      <c r="B1213" t="s">
        <v>0</v>
      </c>
      <c r="C1213" t="s">
        <v>1408</v>
      </c>
      <c r="D1213" t="s">
        <v>1380</v>
      </c>
      <c r="E1213" t="s">
        <v>3</v>
      </c>
      <c r="F1213" t="s">
        <v>4</v>
      </c>
      <c r="G1213" s="2" t="str">
        <f t="shared" si="18"/>
        <v>I_SCW008/INFLOW</v>
      </c>
      <c r="H1213" t="s">
        <v>1381</v>
      </c>
      <c r="I1213" t="s">
        <v>1382</v>
      </c>
      <c r="J1213" t="s">
        <v>1409</v>
      </c>
      <c r="L1213" t="s">
        <v>8</v>
      </c>
      <c r="M1213" t="s">
        <v>8</v>
      </c>
      <c r="N1213" t="s">
        <v>9</v>
      </c>
    </row>
    <row r="1214" spans="2:14" x14ac:dyDescent="0.25">
      <c r="B1214" t="s">
        <v>0</v>
      </c>
      <c r="C1214" t="s">
        <v>1410</v>
      </c>
      <c r="D1214" t="s">
        <v>1380</v>
      </c>
      <c r="E1214" t="s">
        <v>3</v>
      </c>
      <c r="F1214" t="s">
        <v>4</v>
      </c>
      <c r="G1214" s="2" t="str">
        <f t="shared" si="18"/>
        <v>I_SFA066/INFLOW</v>
      </c>
      <c r="H1214" t="s">
        <v>1381</v>
      </c>
      <c r="I1214" t="s">
        <v>1382</v>
      </c>
      <c r="J1214" t="s">
        <v>1411</v>
      </c>
      <c r="L1214" t="s">
        <v>8</v>
      </c>
      <c r="M1214" t="s">
        <v>8</v>
      </c>
      <c r="N1214" t="s">
        <v>9</v>
      </c>
    </row>
    <row r="1215" spans="2:14" x14ac:dyDescent="0.25">
      <c r="B1215" t="s">
        <v>0</v>
      </c>
      <c r="C1215" t="s">
        <v>1412</v>
      </c>
      <c r="D1215" t="s">
        <v>1380</v>
      </c>
      <c r="E1215" t="s">
        <v>3</v>
      </c>
      <c r="F1215" t="s">
        <v>4</v>
      </c>
      <c r="G1215" s="2" t="str">
        <f t="shared" si="18"/>
        <v>I_SLT009/INFLOW</v>
      </c>
      <c r="H1215" t="s">
        <v>1381</v>
      </c>
      <c r="I1215" t="s">
        <v>1382</v>
      </c>
      <c r="J1215" t="s">
        <v>1413</v>
      </c>
      <c r="L1215" t="s">
        <v>8</v>
      </c>
      <c r="M1215" t="s">
        <v>8</v>
      </c>
      <c r="N1215" t="s">
        <v>9</v>
      </c>
    </row>
    <row r="1216" spans="2:14" x14ac:dyDescent="0.25">
      <c r="B1216" t="s">
        <v>0</v>
      </c>
      <c r="C1216" t="s">
        <v>1414</v>
      </c>
      <c r="D1216" t="s">
        <v>1380</v>
      </c>
      <c r="E1216" t="s">
        <v>3</v>
      </c>
      <c r="F1216" t="s">
        <v>4</v>
      </c>
      <c r="G1216" s="2" t="str">
        <f t="shared" si="18"/>
        <v>I_PCRST/INFLOW</v>
      </c>
      <c r="H1216" t="s">
        <v>1381</v>
      </c>
      <c r="I1216" t="s">
        <v>1382</v>
      </c>
      <c r="J1216" t="s">
        <v>1415</v>
      </c>
      <c r="L1216" t="s">
        <v>8</v>
      </c>
      <c r="M1216" t="s">
        <v>8</v>
      </c>
      <c r="N1216" t="s">
        <v>9</v>
      </c>
    </row>
    <row r="1217" spans="2:14" x14ac:dyDescent="0.25">
      <c r="B1217" t="s">
        <v>0</v>
      </c>
      <c r="C1217" t="s">
        <v>1416</v>
      </c>
      <c r="D1217" t="s">
        <v>1380</v>
      </c>
      <c r="E1217" t="s">
        <v>3</v>
      </c>
      <c r="F1217" t="s">
        <v>4</v>
      </c>
      <c r="G1217" s="2" t="str">
        <f t="shared" si="18"/>
        <v>I_LYONS/INFLOW</v>
      </c>
      <c r="H1217" t="s">
        <v>1381</v>
      </c>
      <c r="I1217" t="s">
        <v>1382</v>
      </c>
      <c r="J1217" t="s">
        <v>1417</v>
      </c>
      <c r="L1217" t="s">
        <v>8</v>
      </c>
      <c r="M1217" t="s">
        <v>8</v>
      </c>
      <c r="N1217" t="s">
        <v>9</v>
      </c>
    </row>
    <row r="1218" spans="2:14" x14ac:dyDescent="0.25">
      <c r="B1218" t="s">
        <v>0</v>
      </c>
      <c r="C1218" t="s">
        <v>1418</v>
      </c>
      <c r="D1218" t="s">
        <v>1380</v>
      </c>
      <c r="E1218" t="s">
        <v>3</v>
      </c>
      <c r="F1218" t="s">
        <v>4</v>
      </c>
      <c r="G1218" s="2" t="str">
        <f t="shared" si="18"/>
        <v>I_SFS030/INFLOW</v>
      </c>
      <c r="H1218" t="s">
        <v>1381</v>
      </c>
      <c r="I1218" t="s">
        <v>1382</v>
      </c>
      <c r="J1218" t="s">
        <v>1419</v>
      </c>
      <c r="L1218" t="s">
        <v>8</v>
      </c>
      <c r="M1218" t="s">
        <v>8</v>
      </c>
      <c r="N1218" t="s">
        <v>9</v>
      </c>
    </row>
    <row r="1219" spans="2:14" x14ac:dyDescent="0.25">
      <c r="B1219" t="s">
        <v>0</v>
      </c>
      <c r="C1219" t="s">
        <v>1420</v>
      </c>
      <c r="D1219" t="s">
        <v>1380</v>
      </c>
      <c r="E1219" t="s">
        <v>3</v>
      </c>
      <c r="F1219" t="s">
        <v>4</v>
      </c>
      <c r="G1219" s="2" t="str">
        <f t="shared" ref="G1219:G1282" si="19">_xlfn.CONCAT(C1219,"/",D1219)</f>
        <v>I_SFS033/INFLOW</v>
      </c>
      <c r="H1219" t="s">
        <v>1381</v>
      </c>
      <c r="I1219" t="s">
        <v>1382</v>
      </c>
      <c r="J1219" t="s">
        <v>1421</v>
      </c>
      <c r="L1219" t="s">
        <v>8</v>
      </c>
      <c r="M1219" t="s">
        <v>8</v>
      </c>
      <c r="N1219" t="s">
        <v>9</v>
      </c>
    </row>
    <row r="1220" spans="2:14" x14ac:dyDescent="0.25">
      <c r="B1220" t="s">
        <v>0</v>
      </c>
      <c r="C1220" t="s">
        <v>1422</v>
      </c>
      <c r="D1220" t="s">
        <v>1423</v>
      </c>
      <c r="E1220" t="s">
        <v>3</v>
      </c>
      <c r="F1220" t="s">
        <v>4</v>
      </c>
      <c r="G1220" s="2" t="str">
        <f t="shared" si="19"/>
        <v>I_MLRTN_SJR/FLOW-INFLOW</v>
      </c>
      <c r="H1220" t="s">
        <v>1381</v>
      </c>
      <c r="I1220" t="s">
        <v>1382</v>
      </c>
      <c r="J1220" t="s">
        <v>1424</v>
      </c>
      <c r="K1220" t="s">
        <v>1425</v>
      </c>
      <c r="L1220" t="s">
        <v>8</v>
      </c>
      <c r="M1220" t="s">
        <v>8</v>
      </c>
      <c r="N1220" t="s">
        <v>9</v>
      </c>
    </row>
    <row r="1221" spans="2:14" x14ac:dyDescent="0.25">
      <c r="B1221" t="s">
        <v>0</v>
      </c>
      <c r="C1221" t="s">
        <v>1426</v>
      </c>
      <c r="D1221" t="s">
        <v>1380</v>
      </c>
      <c r="E1221" t="s">
        <v>3</v>
      </c>
      <c r="F1221" t="s">
        <v>4</v>
      </c>
      <c r="G1221" s="2" t="str">
        <f t="shared" si="19"/>
        <v>I_SLTSP/INFLOW</v>
      </c>
      <c r="H1221" t="s">
        <v>1381</v>
      </c>
      <c r="I1221" t="s">
        <v>1382</v>
      </c>
      <c r="J1221" t="s">
        <v>1427</v>
      </c>
      <c r="L1221" t="s">
        <v>8</v>
      </c>
      <c r="M1221" t="s">
        <v>8</v>
      </c>
      <c r="N1221" t="s">
        <v>9</v>
      </c>
    </row>
    <row r="1222" spans="2:14" x14ac:dyDescent="0.25">
      <c r="B1222" t="s">
        <v>0</v>
      </c>
      <c r="C1222" t="s">
        <v>1428</v>
      </c>
      <c r="D1222" t="s">
        <v>1380</v>
      </c>
      <c r="E1222" t="s">
        <v>3</v>
      </c>
      <c r="F1222" t="s">
        <v>4</v>
      </c>
      <c r="G1222" s="2" t="str">
        <f t="shared" si="19"/>
        <v>I_SLO007/INFLOW</v>
      </c>
      <c r="H1222" t="s">
        <v>1381</v>
      </c>
      <c r="I1222" t="s">
        <v>1382</v>
      </c>
      <c r="J1222" t="s">
        <v>1429</v>
      </c>
      <c r="L1222" t="s">
        <v>8</v>
      </c>
      <c r="M1222" t="s">
        <v>8</v>
      </c>
      <c r="N1222" t="s">
        <v>9</v>
      </c>
    </row>
    <row r="1223" spans="2:14" x14ac:dyDescent="0.25">
      <c r="B1223" t="s">
        <v>0</v>
      </c>
      <c r="C1223" t="s">
        <v>1430</v>
      </c>
      <c r="D1223" t="s">
        <v>1380</v>
      </c>
      <c r="E1223" t="s">
        <v>3</v>
      </c>
      <c r="F1223" t="s">
        <v>4</v>
      </c>
      <c r="G1223" s="2" t="str">
        <f t="shared" si="19"/>
        <v>I_RLLNS/INFLOW</v>
      </c>
      <c r="H1223" t="s">
        <v>1381</v>
      </c>
      <c r="I1223" t="s">
        <v>1382</v>
      </c>
      <c r="J1223" t="s">
        <v>1431</v>
      </c>
      <c r="L1223" t="s">
        <v>8</v>
      </c>
      <c r="M1223" t="s">
        <v>8</v>
      </c>
      <c r="N1223" t="s">
        <v>9</v>
      </c>
    </row>
    <row r="1224" spans="2:14" x14ac:dyDescent="0.25">
      <c r="B1224" t="s">
        <v>0</v>
      </c>
      <c r="C1224" t="s">
        <v>1432</v>
      </c>
      <c r="D1224" t="s">
        <v>1380</v>
      </c>
      <c r="E1224" t="s">
        <v>3</v>
      </c>
      <c r="F1224" t="s">
        <v>4</v>
      </c>
      <c r="G1224" s="2" t="str">
        <f t="shared" si="19"/>
        <v>I_RCK001/INFLOW</v>
      </c>
      <c r="H1224" t="s">
        <v>1381</v>
      </c>
      <c r="I1224" t="s">
        <v>1382</v>
      </c>
      <c r="J1224" t="s">
        <v>1433</v>
      </c>
      <c r="L1224" t="s">
        <v>8</v>
      </c>
      <c r="M1224" t="s">
        <v>8</v>
      </c>
      <c r="N1224" t="s">
        <v>9</v>
      </c>
    </row>
    <row r="1225" spans="2:14" x14ac:dyDescent="0.25">
      <c r="B1225" t="s">
        <v>0</v>
      </c>
      <c r="C1225" t="s">
        <v>1434</v>
      </c>
      <c r="D1225" t="s">
        <v>1380</v>
      </c>
      <c r="E1225" t="s">
        <v>3</v>
      </c>
      <c r="F1225" t="s">
        <v>4</v>
      </c>
      <c r="G1225" s="2" t="str">
        <f t="shared" si="19"/>
        <v>I_RLIEF/INFLOW</v>
      </c>
      <c r="H1225" t="s">
        <v>1381</v>
      </c>
      <c r="I1225" t="s">
        <v>1382</v>
      </c>
      <c r="J1225" t="s">
        <v>1435</v>
      </c>
      <c r="L1225" t="s">
        <v>8</v>
      </c>
      <c r="M1225" t="s">
        <v>8</v>
      </c>
      <c r="N1225" t="s">
        <v>9</v>
      </c>
    </row>
    <row r="1226" spans="2:14" x14ac:dyDescent="0.25">
      <c r="B1226" t="s">
        <v>0</v>
      </c>
      <c r="C1226" t="s">
        <v>1436</v>
      </c>
      <c r="D1226" t="s">
        <v>1380</v>
      </c>
      <c r="E1226" t="s">
        <v>3</v>
      </c>
      <c r="F1226" t="s">
        <v>4</v>
      </c>
      <c r="G1226" s="2" t="str">
        <f t="shared" si="19"/>
        <v>I_QNT005/INFLOW</v>
      </c>
      <c r="H1226" t="s">
        <v>1381</v>
      </c>
      <c r="I1226" t="s">
        <v>1382</v>
      </c>
      <c r="J1226" t="s">
        <v>1437</v>
      </c>
      <c r="L1226" t="s">
        <v>8</v>
      </c>
      <c r="M1226" t="s">
        <v>8</v>
      </c>
      <c r="N1226" t="s">
        <v>9</v>
      </c>
    </row>
    <row r="1227" spans="2:14" x14ac:dyDescent="0.25">
      <c r="B1227" t="s">
        <v>0</v>
      </c>
      <c r="C1227" t="s">
        <v>1438</v>
      </c>
      <c r="D1227" t="s">
        <v>1380</v>
      </c>
      <c r="E1227" t="s">
        <v>3</v>
      </c>
      <c r="F1227" t="s">
        <v>4</v>
      </c>
      <c r="G1227" s="2" t="str">
        <f t="shared" si="19"/>
        <v>I_PYR001/INFLOW</v>
      </c>
      <c r="H1227" t="s">
        <v>1381</v>
      </c>
      <c r="I1227" t="s">
        <v>1382</v>
      </c>
      <c r="J1227" t="s">
        <v>1439</v>
      </c>
      <c r="L1227" t="s">
        <v>8</v>
      </c>
      <c r="M1227" t="s">
        <v>8</v>
      </c>
      <c r="N1227" t="s">
        <v>9</v>
      </c>
    </row>
    <row r="1228" spans="2:14" x14ac:dyDescent="0.25">
      <c r="B1228" t="s">
        <v>0</v>
      </c>
      <c r="C1228" t="s">
        <v>1440</v>
      </c>
      <c r="D1228" t="s">
        <v>1380</v>
      </c>
      <c r="E1228" t="s">
        <v>3</v>
      </c>
      <c r="F1228" t="s">
        <v>4</v>
      </c>
      <c r="G1228" s="2" t="str">
        <f t="shared" si="19"/>
        <v>I_BRR023/INFLOW</v>
      </c>
      <c r="H1228" t="s">
        <v>1381</v>
      </c>
      <c r="I1228" t="s">
        <v>1382</v>
      </c>
      <c r="J1228" t="s">
        <v>1441</v>
      </c>
      <c r="L1228" t="s">
        <v>8</v>
      </c>
      <c r="M1228" t="s">
        <v>8</v>
      </c>
      <c r="N1228" t="s">
        <v>9</v>
      </c>
    </row>
    <row r="1229" spans="2:14" x14ac:dyDescent="0.25">
      <c r="B1229" t="s">
        <v>0</v>
      </c>
      <c r="C1229" t="s">
        <v>1442</v>
      </c>
      <c r="D1229" t="s">
        <v>1380</v>
      </c>
      <c r="E1229" t="s">
        <v>3</v>
      </c>
      <c r="F1229" t="s">
        <v>4</v>
      </c>
      <c r="G1229" s="2" t="str">
        <f t="shared" si="19"/>
        <v>I_PLM001/INFLOW</v>
      </c>
      <c r="H1229" t="s">
        <v>1381</v>
      </c>
      <c r="I1229" t="s">
        <v>1382</v>
      </c>
      <c r="J1229" t="s">
        <v>1443</v>
      </c>
      <c r="L1229" t="s">
        <v>8</v>
      </c>
      <c r="M1229" t="s">
        <v>8</v>
      </c>
      <c r="N1229" t="s">
        <v>9</v>
      </c>
    </row>
    <row r="1230" spans="2:14" x14ac:dyDescent="0.25">
      <c r="B1230" t="s">
        <v>0</v>
      </c>
      <c r="C1230" t="s">
        <v>1444</v>
      </c>
      <c r="D1230" t="s">
        <v>1380</v>
      </c>
      <c r="E1230" t="s">
        <v>3</v>
      </c>
      <c r="F1230" t="s">
        <v>4</v>
      </c>
      <c r="G1230" s="2" t="str">
        <f t="shared" si="19"/>
        <v>I_TUO105/INFLOW</v>
      </c>
      <c r="H1230" t="s">
        <v>1381</v>
      </c>
      <c r="I1230" t="s">
        <v>1382</v>
      </c>
      <c r="J1230" t="s">
        <v>1445</v>
      </c>
      <c r="K1230" t="s">
        <v>1446</v>
      </c>
      <c r="L1230" t="s">
        <v>8</v>
      </c>
      <c r="M1230" t="s">
        <v>8</v>
      </c>
      <c r="N1230" t="s">
        <v>9</v>
      </c>
    </row>
    <row r="1231" spans="2:14" x14ac:dyDescent="0.25">
      <c r="B1231" t="s">
        <v>0</v>
      </c>
      <c r="C1231" t="s">
        <v>1447</v>
      </c>
      <c r="D1231" t="s">
        <v>1380</v>
      </c>
      <c r="E1231" t="s">
        <v>3</v>
      </c>
      <c r="F1231" t="s">
        <v>4</v>
      </c>
      <c r="G1231" s="2" t="str">
        <f t="shared" si="19"/>
        <v>I_NFF046/INFLOW</v>
      </c>
      <c r="H1231" t="s">
        <v>1381</v>
      </c>
      <c r="I1231" t="s">
        <v>1382</v>
      </c>
      <c r="J1231" t="s">
        <v>1448</v>
      </c>
      <c r="K1231" t="s">
        <v>1446</v>
      </c>
      <c r="L1231" t="s">
        <v>8</v>
      </c>
      <c r="M1231" t="s">
        <v>8</v>
      </c>
      <c r="N1231" t="s">
        <v>9</v>
      </c>
    </row>
    <row r="1232" spans="2:14" x14ac:dyDescent="0.25">
      <c r="B1232" t="s">
        <v>0</v>
      </c>
      <c r="C1232" t="s">
        <v>1449</v>
      </c>
      <c r="D1232" t="s">
        <v>1380</v>
      </c>
      <c r="E1232" t="s">
        <v>3</v>
      </c>
      <c r="F1232" t="s">
        <v>4</v>
      </c>
      <c r="G1232" s="2" t="str">
        <f t="shared" si="19"/>
        <v>I_NFF058/INFLOW</v>
      </c>
      <c r="H1232" t="s">
        <v>1381</v>
      </c>
      <c r="I1232" t="s">
        <v>1382</v>
      </c>
      <c r="J1232" t="s">
        <v>1448</v>
      </c>
      <c r="K1232" t="s">
        <v>1446</v>
      </c>
      <c r="L1232" t="s">
        <v>8</v>
      </c>
      <c r="M1232" t="s">
        <v>8</v>
      </c>
      <c r="N1232" t="s">
        <v>9</v>
      </c>
    </row>
    <row r="1233" spans="2:14" x14ac:dyDescent="0.25">
      <c r="B1233" t="s">
        <v>0</v>
      </c>
      <c r="C1233" t="s">
        <v>1450</v>
      </c>
      <c r="D1233" t="s">
        <v>1380</v>
      </c>
      <c r="E1233" t="s">
        <v>3</v>
      </c>
      <c r="F1233" t="s">
        <v>4</v>
      </c>
      <c r="G1233" s="2" t="str">
        <f t="shared" si="19"/>
        <v>I_SFT003/INFLOW</v>
      </c>
      <c r="H1233" t="s">
        <v>1381</v>
      </c>
      <c r="I1233" t="s">
        <v>1382</v>
      </c>
      <c r="J1233" t="s">
        <v>1451</v>
      </c>
      <c r="K1233" t="s">
        <v>1446</v>
      </c>
      <c r="L1233" t="s">
        <v>8</v>
      </c>
      <c r="M1233" t="s">
        <v>8</v>
      </c>
      <c r="N1233" t="s">
        <v>9</v>
      </c>
    </row>
    <row r="1234" spans="2:14" x14ac:dyDescent="0.25">
      <c r="B1234" t="s">
        <v>0</v>
      </c>
      <c r="C1234" t="s">
        <v>1452</v>
      </c>
      <c r="D1234" t="s">
        <v>1380</v>
      </c>
      <c r="E1234" t="s">
        <v>3</v>
      </c>
      <c r="F1234" t="s">
        <v>4</v>
      </c>
      <c r="G1234" s="2" t="str">
        <f t="shared" si="19"/>
        <v>I_NFT008/INFLOW</v>
      </c>
      <c r="H1234" t="s">
        <v>1381</v>
      </c>
      <c r="I1234" t="s">
        <v>1382</v>
      </c>
      <c r="J1234" t="s">
        <v>1453</v>
      </c>
      <c r="K1234" t="s">
        <v>1446</v>
      </c>
      <c r="L1234" t="s">
        <v>8</v>
      </c>
      <c r="M1234" t="s">
        <v>8</v>
      </c>
      <c r="N1234" t="s">
        <v>9</v>
      </c>
    </row>
    <row r="1235" spans="2:14" x14ac:dyDescent="0.25">
      <c r="B1235" t="s">
        <v>0</v>
      </c>
      <c r="C1235" t="s">
        <v>1454</v>
      </c>
      <c r="D1235" t="s">
        <v>1380</v>
      </c>
      <c r="E1235" t="s">
        <v>3</v>
      </c>
      <c r="F1235" t="s">
        <v>4</v>
      </c>
      <c r="G1235" s="2" t="str">
        <f t="shared" si="19"/>
        <v>I_MOC003/INFLOW</v>
      </c>
      <c r="H1235" t="s">
        <v>1381</v>
      </c>
      <c r="I1235" t="s">
        <v>1382</v>
      </c>
      <c r="J1235" t="s">
        <v>1455</v>
      </c>
      <c r="K1235" t="s">
        <v>1446</v>
      </c>
      <c r="L1235" t="s">
        <v>8</v>
      </c>
      <c r="M1235" t="s">
        <v>8</v>
      </c>
      <c r="N1235" t="s">
        <v>9</v>
      </c>
    </row>
    <row r="1236" spans="2:14" x14ac:dyDescent="0.25">
      <c r="B1236" t="s">
        <v>0</v>
      </c>
      <c r="C1236" t="s">
        <v>1456</v>
      </c>
      <c r="D1236" t="s">
        <v>1380</v>
      </c>
      <c r="E1236" t="s">
        <v>3</v>
      </c>
      <c r="F1236" t="s">
        <v>4</v>
      </c>
      <c r="G1236" s="2" t="str">
        <f t="shared" si="19"/>
        <v>I_BCM003/INFLOW</v>
      </c>
      <c r="H1236" t="s">
        <v>1381</v>
      </c>
      <c r="I1236" t="s">
        <v>1382</v>
      </c>
      <c r="J1236" t="s">
        <v>1457</v>
      </c>
      <c r="K1236" t="s">
        <v>1446</v>
      </c>
      <c r="L1236" t="s">
        <v>8</v>
      </c>
      <c r="M1236" t="s">
        <v>8</v>
      </c>
      <c r="N1236" t="s">
        <v>9</v>
      </c>
    </row>
    <row r="1237" spans="2:14" x14ac:dyDescent="0.25">
      <c r="B1237" t="s">
        <v>0</v>
      </c>
      <c r="C1237" t="s">
        <v>1458</v>
      </c>
      <c r="D1237" t="s">
        <v>1380</v>
      </c>
      <c r="E1237" t="s">
        <v>3</v>
      </c>
      <c r="F1237" t="s">
        <v>4</v>
      </c>
      <c r="G1237" s="2" t="str">
        <f t="shared" si="19"/>
        <v>I_CVY009/INFLOW</v>
      </c>
      <c r="H1237" t="s">
        <v>1381</v>
      </c>
      <c r="I1237" t="s">
        <v>1382</v>
      </c>
      <c r="J1237" t="s">
        <v>1459</v>
      </c>
      <c r="K1237" t="s">
        <v>1446</v>
      </c>
      <c r="L1237" t="s">
        <v>8</v>
      </c>
      <c r="M1237" t="s">
        <v>8</v>
      </c>
      <c r="N1237" t="s">
        <v>9</v>
      </c>
    </row>
    <row r="1238" spans="2:14" x14ac:dyDescent="0.25">
      <c r="B1238" t="s">
        <v>0</v>
      </c>
      <c r="C1238" t="s">
        <v>1460</v>
      </c>
      <c r="D1238" t="s">
        <v>1380</v>
      </c>
      <c r="E1238" t="s">
        <v>3</v>
      </c>
      <c r="F1238" t="s">
        <v>4</v>
      </c>
      <c r="G1238" s="2" t="str">
        <f t="shared" si="19"/>
        <v>I_CHY006/INFLOW</v>
      </c>
      <c r="H1238" t="s">
        <v>1381</v>
      </c>
      <c r="I1238" t="s">
        <v>1382</v>
      </c>
      <c r="J1238" t="s">
        <v>1461</v>
      </c>
      <c r="K1238" t="s">
        <v>1446</v>
      </c>
      <c r="L1238" t="s">
        <v>8</v>
      </c>
      <c r="M1238" t="s">
        <v>8</v>
      </c>
      <c r="N1238" t="s">
        <v>9</v>
      </c>
    </row>
    <row r="1239" spans="2:14" x14ac:dyDescent="0.25">
      <c r="B1239" t="s">
        <v>0</v>
      </c>
      <c r="C1239" t="s">
        <v>1462</v>
      </c>
      <c r="D1239" t="s">
        <v>1380</v>
      </c>
      <c r="E1239" t="s">
        <v>3</v>
      </c>
      <c r="F1239" t="s">
        <v>4</v>
      </c>
      <c r="G1239" s="2" t="str">
        <f t="shared" si="19"/>
        <v>I_MFT000/INFLOW</v>
      </c>
      <c r="H1239" t="s">
        <v>1381</v>
      </c>
      <c r="I1239" t="s">
        <v>1382</v>
      </c>
      <c r="J1239" t="s">
        <v>1463</v>
      </c>
      <c r="K1239" t="s">
        <v>1446</v>
      </c>
      <c r="L1239" t="s">
        <v>8</v>
      </c>
      <c r="M1239" t="s">
        <v>8</v>
      </c>
      <c r="N1239" t="s">
        <v>9</v>
      </c>
    </row>
    <row r="1240" spans="2:14" x14ac:dyDescent="0.25">
      <c r="B1240" t="s">
        <v>0</v>
      </c>
      <c r="C1240" t="s">
        <v>1464</v>
      </c>
      <c r="D1240" t="s">
        <v>1380</v>
      </c>
      <c r="E1240" t="s">
        <v>3</v>
      </c>
      <c r="F1240" t="s">
        <v>4</v>
      </c>
      <c r="G1240" s="2" t="str">
        <f t="shared" si="19"/>
        <v>I_JWB001/INFLOW</v>
      </c>
      <c r="H1240" t="s">
        <v>1381</v>
      </c>
      <c r="I1240" t="s">
        <v>1382</v>
      </c>
      <c r="J1240" t="s">
        <v>1465</v>
      </c>
      <c r="K1240" t="s">
        <v>1446</v>
      </c>
      <c r="L1240" t="s">
        <v>8</v>
      </c>
      <c r="M1240" t="s">
        <v>8</v>
      </c>
      <c r="N1240" t="s">
        <v>9</v>
      </c>
    </row>
    <row r="1241" spans="2:14" x14ac:dyDescent="0.25">
      <c r="B1241" t="s">
        <v>0</v>
      </c>
      <c r="C1241" t="s">
        <v>1466</v>
      </c>
      <c r="D1241" t="s">
        <v>1380</v>
      </c>
      <c r="E1241" t="s">
        <v>3</v>
      </c>
      <c r="F1241" t="s">
        <v>4</v>
      </c>
      <c r="G1241" s="2" t="str">
        <f t="shared" si="19"/>
        <v>I_STMPY/INFLOW</v>
      </c>
      <c r="H1241" t="s">
        <v>1381</v>
      </c>
      <c r="I1241" t="s">
        <v>1382</v>
      </c>
      <c r="J1241" t="s">
        <v>1467</v>
      </c>
      <c r="L1241" t="s">
        <v>8</v>
      </c>
      <c r="M1241" t="s">
        <v>8</v>
      </c>
      <c r="N1241" t="s">
        <v>9</v>
      </c>
    </row>
    <row r="1242" spans="2:14" x14ac:dyDescent="0.25">
      <c r="B1242" t="s">
        <v>0</v>
      </c>
      <c r="C1242" t="s">
        <v>1468</v>
      </c>
      <c r="D1242" t="s">
        <v>1380</v>
      </c>
      <c r="E1242" t="s">
        <v>3</v>
      </c>
      <c r="F1242" t="s">
        <v>4</v>
      </c>
      <c r="G1242" s="2" t="str">
        <f t="shared" si="19"/>
        <v>I_PLC007/INFLOW</v>
      </c>
      <c r="H1242" t="s">
        <v>1381</v>
      </c>
      <c r="I1242" t="s">
        <v>1382</v>
      </c>
      <c r="J1242" t="s">
        <v>1469</v>
      </c>
      <c r="L1242" t="s">
        <v>8</v>
      </c>
      <c r="M1242" t="s">
        <v>8</v>
      </c>
      <c r="N1242" t="s">
        <v>9</v>
      </c>
    </row>
    <row r="1243" spans="2:14" x14ac:dyDescent="0.25">
      <c r="B1243" t="s">
        <v>0</v>
      </c>
      <c r="C1243" t="s">
        <v>1470</v>
      </c>
      <c r="D1243" t="s">
        <v>1380</v>
      </c>
      <c r="E1243" t="s">
        <v>3</v>
      </c>
      <c r="F1243" t="s">
        <v>4</v>
      </c>
      <c r="G1243" s="2" t="str">
        <f t="shared" si="19"/>
        <v>I_PYN001/INFLOW</v>
      </c>
      <c r="H1243" t="s">
        <v>1381</v>
      </c>
      <c r="I1243" t="s">
        <v>1382</v>
      </c>
      <c r="J1243" t="s">
        <v>1471</v>
      </c>
      <c r="L1243" t="s">
        <v>8</v>
      </c>
      <c r="M1243" t="s">
        <v>8</v>
      </c>
      <c r="N1243" t="s">
        <v>9</v>
      </c>
    </row>
    <row r="1244" spans="2:14" x14ac:dyDescent="0.25">
      <c r="B1244" t="s">
        <v>0</v>
      </c>
      <c r="C1244" t="s">
        <v>1472</v>
      </c>
      <c r="D1244" t="s">
        <v>1380</v>
      </c>
      <c r="E1244" t="s">
        <v>3</v>
      </c>
      <c r="F1244" t="s">
        <v>4</v>
      </c>
      <c r="G1244" s="2" t="str">
        <f t="shared" si="19"/>
        <v>I_ORG000/INFLOW</v>
      </c>
      <c r="H1244" t="s">
        <v>1381</v>
      </c>
      <c r="I1244" t="s">
        <v>1382</v>
      </c>
      <c r="J1244" t="s">
        <v>1473</v>
      </c>
      <c r="L1244" t="s">
        <v>8</v>
      </c>
      <c r="M1244" t="s">
        <v>8</v>
      </c>
      <c r="N1244" t="s">
        <v>9</v>
      </c>
    </row>
    <row r="1245" spans="2:14" x14ac:dyDescent="0.25">
      <c r="B1245" t="s">
        <v>0</v>
      </c>
      <c r="C1245" t="s">
        <v>1474</v>
      </c>
      <c r="D1245" t="s">
        <v>1380</v>
      </c>
      <c r="E1245" t="s">
        <v>3</v>
      </c>
      <c r="F1245" t="s">
        <v>4</v>
      </c>
      <c r="G1245" s="2" t="str">
        <f t="shared" si="19"/>
        <v>I_ORT014/INFLOW</v>
      </c>
      <c r="H1245" t="s">
        <v>1381</v>
      </c>
      <c r="I1245" t="s">
        <v>1382</v>
      </c>
      <c r="J1245" t="s">
        <v>1475</v>
      </c>
      <c r="L1245" t="s">
        <v>8</v>
      </c>
      <c r="M1245" t="s">
        <v>8</v>
      </c>
      <c r="N1245" t="s">
        <v>9</v>
      </c>
    </row>
    <row r="1246" spans="2:14" x14ac:dyDescent="0.25">
      <c r="B1246" t="s">
        <v>0</v>
      </c>
      <c r="C1246" t="s">
        <v>1476</v>
      </c>
      <c r="D1246" t="s">
        <v>1380</v>
      </c>
      <c r="E1246" t="s">
        <v>3</v>
      </c>
      <c r="F1246" t="s">
        <v>4</v>
      </c>
      <c r="G1246" s="2" t="str">
        <f t="shared" si="19"/>
        <v>I_OGN005/INFLOW</v>
      </c>
      <c r="H1246" t="s">
        <v>1381</v>
      </c>
      <c r="I1246" t="s">
        <v>1382</v>
      </c>
      <c r="J1246" t="s">
        <v>1477</v>
      </c>
      <c r="L1246" t="s">
        <v>8</v>
      </c>
      <c r="M1246" t="s">
        <v>8</v>
      </c>
      <c r="N1246" t="s">
        <v>9</v>
      </c>
    </row>
    <row r="1247" spans="2:14" x14ac:dyDescent="0.25">
      <c r="B1247" t="s">
        <v>0</v>
      </c>
      <c r="C1247" t="s">
        <v>1478</v>
      </c>
      <c r="D1247" t="s">
        <v>1380</v>
      </c>
      <c r="E1247" t="s">
        <v>3</v>
      </c>
      <c r="F1247" t="s">
        <v>4</v>
      </c>
      <c r="G1247" s="2" t="str">
        <f t="shared" si="19"/>
        <v>I_NFY029/INFLOW</v>
      </c>
      <c r="H1247" t="s">
        <v>1381</v>
      </c>
      <c r="I1247" t="s">
        <v>1382</v>
      </c>
      <c r="J1247" t="s">
        <v>1479</v>
      </c>
      <c r="L1247" t="s">
        <v>8</v>
      </c>
      <c r="M1247" t="s">
        <v>8</v>
      </c>
      <c r="N1247" t="s">
        <v>9</v>
      </c>
    </row>
    <row r="1248" spans="2:14" x14ac:dyDescent="0.25">
      <c r="B1248" t="s">
        <v>0</v>
      </c>
      <c r="C1248" t="s">
        <v>1480</v>
      </c>
      <c r="D1248" t="s">
        <v>1380</v>
      </c>
      <c r="E1248" t="s">
        <v>3</v>
      </c>
      <c r="F1248" t="s">
        <v>4</v>
      </c>
      <c r="G1248" s="2" t="str">
        <f t="shared" si="19"/>
        <v>I_NFS009/INFLOW</v>
      </c>
      <c r="H1248" t="s">
        <v>1381</v>
      </c>
      <c r="I1248" t="s">
        <v>1382</v>
      </c>
      <c r="J1248" t="s">
        <v>1481</v>
      </c>
      <c r="L1248" t="s">
        <v>8</v>
      </c>
      <c r="M1248" t="s">
        <v>8</v>
      </c>
      <c r="N1248" t="s">
        <v>9</v>
      </c>
    </row>
    <row r="1249" spans="2:14" x14ac:dyDescent="0.25">
      <c r="B1249" t="s">
        <v>0</v>
      </c>
      <c r="C1249" t="s">
        <v>1482</v>
      </c>
      <c r="D1249" t="s">
        <v>1380</v>
      </c>
      <c r="E1249" t="s">
        <v>3</v>
      </c>
      <c r="F1249" t="s">
        <v>4</v>
      </c>
      <c r="G1249" s="2" t="str">
        <f t="shared" si="19"/>
        <v>I_NFS033/INFLOW</v>
      </c>
      <c r="H1249" t="s">
        <v>1381</v>
      </c>
      <c r="I1249" t="s">
        <v>1382</v>
      </c>
      <c r="J1249" t="s">
        <v>1483</v>
      </c>
      <c r="L1249" t="s">
        <v>8</v>
      </c>
      <c r="M1249" t="s">
        <v>8</v>
      </c>
      <c r="N1249" t="s">
        <v>9</v>
      </c>
    </row>
    <row r="1250" spans="2:14" x14ac:dyDescent="0.25">
      <c r="B1250" t="s">
        <v>0</v>
      </c>
      <c r="C1250" t="s">
        <v>1484</v>
      </c>
      <c r="D1250" t="s">
        <v>1380</v>
      </c>
      <c r="E1250" t="s">
        <v>3</v>
      </c>
      <c r="F1250" t="s">
        <v>4</v>
      </c>
      <c r="G1250" s="2" t="str">
        <f t="shared" si="19"/>
        <v>I_NMA003/INFLOW</v>
      </c>
      <c r="H1250" t="s">
        <v>1381</v>
      </c>
      <c r="I1250" t="s">
        <v>1382</v>
      </c>
      <c r="J1250" t="s">
        <v>1485</v>
      </c>
      <c r="L1250" t="s">
        <v>8</v>
      </c>
      <c r="M1250" t="s">
        <v>8</v>
      </c>
      <c r="N1250" t="s">
        <v>9</v>
      </c>
    </row>
    <row r="1251" spans="2:14" x14ac:dyDescent="0.25">
      <c r="B1251" t="s">
        <v>0</v>
      </c>
      <c r="C1251" t="s">
        <v>1486</v>
      </c>
      <c r="D1251" t="s">
        <v>1380</v>
      </c>
      <c r="E1251" t="s">
        <v>3</v>
      </c>
      <c r="F1251" t="s">
        <v>4</v>
      </c>
      <c r="G1251" s="2" t="str">
        <f t="shared" si="19"/>
        <v>I_NFM010/INFLOW</v>
      </c>
      <c r="H1251" t="s">
        <v>1381</v>
      </c>
      <c r="I1251" t="s">
        <v>1382</v>
      </c>
      <c r="J1251" t="s">
        <v>1487</v>
      </c>
      <c r="L1251" t="s">
        <v>8</v>
      </c>
      <c r="M1251" t="s">
        <v>8</v>
      </c>
      <c r="N1251" t="s">
        <v>9</v>
      </c>
    </row>
    <row r="1252" spans="2:14" x14ac:dyDescent="0.25">
      <c r="B1252" t="s">
        <v>0</v>
      </c>
      <c r="C1252" t="s">
        <v>1488</v>
      </c>
      <c r="D1252" t="s">
        <v>1380</v>
      </c>
      <c r="E1252" t="s">
        <v>3</v>
      </c>
      <c r="F1252" t="s">
        <v>4</v>
      </c>
      <c r="G1252" s="2" t="str">
        <f t="shared" si="19"/>
        <v>I_NLC003/INFLOW</v>
      </c>
      <c r="H1252" t="s">
        <v>1381</v>
      </c>
      <c r="I1252" t="s">
        <v>1382</v>
      </c>
      <c r="J1252" t="s">
        <v>1489</v>
      </c>
      <c r="L1252" t="s">
        <v>8</v>
      </c>
      <c r="M1252" t="s">
        <v>8</v>
      </c>
      <c r="N1252" t="s">
        <v>9</v>
      </c>
    </row>
    <row r="1253" spans="2:14" x14ac:dyDescent="0.25">
      <c r="B1253" t="s">
        <v>0</v>
      </c>
      <c r="C1253" t="s">
        <v>1490</v>
      </c>
      <c r="D1253" t="s">
        <v>1380</v>
      </c>
      <c r="E1253" t="s">
        <v>3</v>
      </c>
      <c r="F1253" t="s">
        <v>4</v>
      </c>
      <c r="G1253" s="2" t="str">
        <f t="shared" si="19"/>
        <v>I_NFA022/INFLOW</v>
      </c>
      <c r="H1253" t="s">
        <v>1381</v>
      </c>
      <c r="I1253" t="s">
        <v>1382</v>
      </c>
      <c r="J1253" t="s">
        <v>1491</v>
      </c>
      <c r="L1253" t="s">
        <v>8</v>
      </c>
      <c r="M1253" t="s">
        <v>8</v>
      </c>
      <c r="N1253" t="s">
        <v>9</v>
      </c>
    </row>
    <row r="1254" spans="2:14" x14ac:dyDescent="0.25">
      <c r="B1254" t="s">
        <v>0</v>
      </c>
      <c r="C1254" t="s">
        <v>1492</v>
      </c>
      <c r="D1254" t="s">
        <v>1380</v>
      </c>
      <c r="E1254" t="s">
        <v>3</v>
      </c>
      <c r="F1254" t="s">
        <v>4</v>
      </c>
      <c r="G1254" s="2" t="str">
        <f t="shared" si="19"/>
        <v>I_NFA054/INFLOW</v>
      </c>
      <c r="H1254" t="s">
        <v>1381</v>
      </c>
      <c r="I1254" t="s">
        <v>1382</v>
      </c>
      <c r="J1254" t="s">
        <v>1491</v>
      </c>
      <c r="L1254" t="s">
        <v>8</v>
      </c>
      <c r="M1254" t="s">
        <v>8</v>
      </c>
      <c r="N1254" t="s">
        <v>9</v>
      </c>
    </row>
    <row r="1255" spans="2:14" x14ac:dyDescent="0.25">
      <c r="B1255" t="s">
        <v>0</v>
      </c>
      <c r="C1255" t="s">
        <v>1493</v>
      </c>
      <c r="D1255" t="s">
        <v>1380</v>
      </c>
      <c r="E1255" t="s">
        <v>3</v>
      </c>
      <c r="F1255" t="s">
        <v>4</v>
      </c>
      <c r="G1255" s="2" t="str">
        <f t="shared" si="19"/>
        <v>I_NFS005/INFLOW</v>
      </c>
      <c r="H1255" t="s">
        <v>1381</v>
      </c>
      <c r="I1255" t="s">
        <v>1382</v>
      </c>
      <c r="J1255" t="s">
        <v>1494</v>
      </c>
      <c r="L1255" t="s">
        <v>8</v>
      </c>
      <c r="M1255" t="s">
        <v>8</v>
      </c>
      <c r="N1255" t="s">
        <v>9</v>
      </c>
    </row>
    <row r="1256" spans="2:14" x14ac:dyDescent="0.25">
      <c r="B1256" t="s">
        <v>0</v>
      </c>
      <c r="C1256" t="s">
        <v>1495</v>
      </c>
      <c r="D1256" t="s">
        <v>1380</v>
      </c>
      <c r="E1256" t="s">
        <v>3</v>
      </c>
      <c r="F1256" t="s">
        <v>4</v>
      </c>
      <c r="G1256" s="2" t="str">
        <f t="shared" si="19"/>
        <v>I_WKYTN/INFLOW</v>
      </c>
      <c r="H1256" t="s">
        <v>1381</v>
      </c>
      <c r="I1256" t="s">
        <v>1382</v>
      </c>
      <c r="J1256" t="s">
        <v>1496</v>
      </c>
      <c r="L1256" t="s">
        <v>8</v>
      </c>
      <c r="M1256" t="s">
        <v>8</v>
      </c>
      <c r="N1256" t="s">
        <v>9</v>
      </c>
    </row>
    <row r="1257" spans="2:14" x14ac:dyDescent="0.25">
      <c r="B1257" t="s">
        <v>0</v>
      </c>
      <c r="C1257" t="s">
        <v>1497</v>
      </c>
      <c r="D1257" t="s">
        <v>1380</v>
      </c>
      <c r="E1257" t="s">
        <v>3</v>
      </c>
      <c r="F1257" t="s">
        <v>4</v>
      </c>
      <c r="G1257" s="2" t="str">
        <f t="shared" si="19"/>
        <v>I_MOK079/INFLOW</v>
      </c>
      <c r="H1257" t="s">
        <v>1381</v>
      </c>
      <c r="I1257" t="s">
        <v>1382</v>
      </c>
      <c r="J1257" t="s">
        <v>1498</v>
      </c>
      <c r="L1257" t="s">
        <v>8</v>
      </c>
      <c r="M1257" t="s">
        <v>8</v>
      </c>
      <c r="N1257" t="s">
        <v>9</v>
      </c>
    </row>
    <row r="1258" spans="2:14" x14ac:dyDescent="0.25">
      <c r="B1258" t="s">
        <v>0</v>
      </c>
      <c r="C1258" t="s">
        <v>1499</v>
      </c>
      <c r="D1258" t="s">
        <v>1380</v>
      </c>
      <c r="E1258" t="s">
        <v>3</v>
      </c>
      <c r="F1258" t="s">
        <v>4</v>
      </c>
      <c r="G1258" s="2" t="str">
        <f t="shared" si="19"/>
        <v>I_MNS000/INFLOW</v>
      </c>
      <c r="H1258" t="s">
        <v>1381</v>
      </c>
      <c r="I1258" t="s">
        <v>1382</v>
      </c>
      <c r="J1258" t="s">
        <v>1500</v>
      </c>
      <c r="L1258" t="s">
        <v>8</v>
      </c>
      <c r="M1258" t="s">
        <v>8</v>
      </c>
      <c r="N1258" t="s">
        <v>9</v>
      </c>
    </row>
    <row r="1259" spans="2:14" x14ac:dyDescent="0.25">
      <c r="B1259" t="s">
        <v>0</v>
      </c>
      <c r="C1259" t="s">
        <v>1501</v>
      </c>
      <c r="D1259" t="s">
        <v>1380</v>
      </c>
      <c r="E1259" t="s">
        <v>3</v>
      </c>
      <c r="F1259" t="s">
        <v>4</v>
      </c>
      <c r="G1259" s="2" t="str">
        <f t="shared" si="19"/>
        <v>I_MIL003/INFLOW</v>
      </c>
      <c r="H1259" t="s">
        <v>1381</v>
      </c>
      <c r="I1259" t="s">
        <v>1382</v>
      </c>
      <c r="J1259" t="s">
        <v>1502</v>
      </c>
      <c r="L1259" t="s">
        <v>8</v>
      </c>
      <c r="M1259" t="s">
        <v>8</v>
      </c>
      <c r="N1259" t="s">
        <v>9</v>
      </c>
    </row>
    <row r="1260" spans="2:14" x14ac:dyDescent="0.25">
      <c r="B1260" t="s">
        <v>0</v>
      </c>
      <c r="C1260" t="s">
        <v>1503</v>
      </c>
      <c r="D1260" t="s">
        <v>1380</v>
      </c>
      <c r="E1260" t="s">
        <v>3</v>
      </c>
      <c r="F1260" t="s">
        <v>4</v>
      </c>
      <c r="G1260" s="2" t="str">
        <f t="shared" si="19"/>
        <v>I_MLC006/INFLOW</v>
      </c>
      <c r="H1260" t="s">
        <v>1381</v>
      </c>
      <c r="I1260" t="s">
        <v>1382</v>
      </c>
      <c r="J1260" t="s">
        <v>1504</v>
      </c>
      <c r="L1260" t="s">
        <v>8</v>
      </c>
      <c r="M1260" t="s">
        <v>8</v>
      </c>
      <c r="N1260" t="s">
        <v>9</v>
      </c>
    </row>
    <row r="1261" spans="2:14" x14ac:dyDescent="0.25">
      <c r="B1261" t="s">
        <v>0</v>
      </c>
      <c r="C1261" t="s">
        <v>1505</v>
      </c>
      <c r="D1261" t="s">
        <v>1380</v>
      </c>
      <c r="E1261" t="s">
        <v>3</v>
      </c>
      <c r="F1261" t="s">
        <v>4</v>
      </c>
      <c r="G1261" s="2" t="str">
        <f t="shared" si="19"/>
        <v>I_MFM008/INFLOW</v>
      </c>
      <c r="H1261" t="s">
        <v>1381</v>
      </c>
      <c r="I1261" t="s">
        <v>1382</v>
      </c>
      <c r="J1261" t="s">
        <v>1506</v>
      </c>
      <c r="L1261" t="s">
        <v>8</v>
      </c>
      <c r="M1261" t="s">
        <v>8</v>
      </c>
      <c r="N1261" t="s">
        <v>9</v>
      </c>
    </row>
    <row r="1262" spans="2:14" x14ac:dyDescent="0.25">
      <c r="B1262" t="s">
        <v>0</v>
      </c>
      <c r="C1262" t="s">
        <v>1507</v>
      </c>
      <c r="D1262" t="s">
        <v>1380</v>
      </c>
      <c r="E1262" t="s">
        <v>3</v>
      </c>
      <c r="F1262" t="s">
        <v>4</v>
      </c>
      <c r="G1262" s="2" t="str">
        <f t="shared" si="19"/>
        <v>I_MFF019/INFLOW</v>
      </c>
      <c r="H1262" t="s">
        <v>1381</v>
      </c>
      <c r="I1262" t="s">
        <v>1382</v>
      </c>
      <c r="J1262" t="s">
        <v>1508</v>
      </c>
      <c r="L1262" t="s">
        <v>8</v>
      </c>
      <c r="M1262" t="s">
        <v>8</v>
      </c>
      <c r="N1262" t="s">
        <v>9</v>
      </c>
    </row>
    <row r="1263" spans="2:14" x14ac:dyDescent="0.25">
      <c r="B1263" t="s">
        <v>0</v>
      </c>
      <c r="C1263" t="s">
        <v>1509</v>
      </c>
      <c r="D1263" t="s">
        <v>1380</v>
      </c>
      <c r="E1263" t="s">
        <v>3</v>
      </c>
      <c r="F1263" t="s">
        <v>4</v>
      </c>
      <c r="G1263" s="2" t="str">
        <f t="shared" si="19"/>
        <v>I_FRMDW/INFLOW</v>
      </c>
      <c r="H1263" t="s">
        <v>1381</v>
      </c>
      <c r="I1263" t="s">
        <v>1382</v>
      </c>
      <c r="J1263" t="s">
        <v>1510</v>
      </c>
      <c r="L1263" t="s">
        <v>8</v>
      </c>
      <c r="M1263" t="s">
        <v>8</v>
      </c>
      <c r="N1263" t="s">
        <v>9</v>
      </c>
    </row>
    <row r="1264" spans="2:14" x14ac:dyDescent="0.25">
      <c r="B1264" t="s">
        <v>0</v>
      </c>
      <c r="C1264" t="s">
        <v>1511</v>
      </c>
      <c r="D1264" t="s">
        <v>1380</v>
      </c>
      <c r="E1264" t="s">
        <v>3</v>
      </c>
      <c r="F1264" t="s">
        <v>4</v>
      </c>
      <c r="G1264" s="2" t="str">
        <f t="shared" si="19"/>
        <v>I_MFF087/INFLOW</v>
      </c>
      <c r="H1264" t="s">
        <v>1381</v>
      </c>
      <c r="I1264" t="s">
        <v>1382</v>
      </c>
      <c r="J1264" t="s">
        <v>1512</v>
      </c>
      <c r="L1264" t="s">
        <v>8</v>
      </c>
      <c r="M1264" t="s">
        <v>8</v>
      </c>
      <c r="N1264" t="s">
        <v>9</v>
      </c>
    </row>
    <row r="1265" spans="2:14" x14ac:dyDescent="0.25">
      <c r="B1265" t="s">
        <v>0</v>
      </c>
      <c r="C1265" t="s">
        <v>1513</v>
      </c>
      <c r="D1265" t="s">
        <v>1380</v>
      </c>
      <c r="E1265" t="s">
        <v>3</v>
      </c>
      <c r="F1265" t="s">
        <v>4</v>
      </c>
      <c r="G1265" s="2" t="str">
        <f t="shared" si="19"/>
        <v>I_MFS013/INFLOW</v>
      </c>
      <c r="H1265" t="s">
        <v>1381</v>
      </c>
      <c r="I1265" t="s">
        <v>1382</v>
      </c>
      <c r="J1265" t="s">
        <v>1514</v>
      </c>
      <c r="L1265" t="s">
        <v>8</v>
      </c>
      <c r="M1265" t="s">
        <v>8</v>
      </c>
      <c r="N1265" t="s">
        <v>9</v>
      </c>
    </row>
    <row r="1266" spans="2:14" x14ac:dyDescent="0.25">
      <c r="B1266" t="s">
        <v>0</v>
      </c>
      <c r="C1266" t="s">
        <v>1515</v>
      </c>
      <c r="D1266" t="s">
        <v>1380</v>
      </c>
      <c r="E1266" t="s">
        <v>3</v>
      </c>
      <c r="F1266" t="s">
        <v>4</v>
      </c>
      <c r="G1266" s="2" t="str">
        <f t="shared" si="19"/>
        <v>I_MFS047/INFLOW</v>
      </c>
      <c r="H1266" t="s">
        <v>1381</v>
      </c>
      <c r="I1266" t="s">
        <v>1382</v>
      </c>
      <c r="J1266" t="s">
        <v>1516</v>
      </c>
      <c r="L1266" t="s">
        <v>8</v>
      </c>
      <c r="M1266" t="s">
        <v>8</v>
      </c>
      <c r="N1266" t="s">
        <v>9</v>
      </c>
    </row>
    <row r="1267" spans="2:14" x14ac:dyDescent="0.25">
      <c r="B1267" t="s">
        <v>0</v>
      </c>
      <c r="C1267" t="s">
        <v>1517</v>
      </c>
      <c r="D1267" t="s">
        <v>1380</v>
      </c>
      <c r="E1267" t="s">
        <v>3</v>
      </c>
      <c r="F1267" t="s">
        <v>4</v>
      </c>
      <c r="G1267" s="2" t="str">
        <f t="shared" si="19"/>
        <v>I_MCD055/INFLOW</v>
      </c>
      <c r="H1267" t="s">
        <v>1381</v>
      </c>
      <c r="I1267" t="s">
        <v>1382</v>
      </c>
      <c r="J1267" t="s">
        <v>1518</v>
      </c>
      <c r="L1267" t="s">
        <v>8</v>
      </c>
      <c r="M1267" t="s">
        <v>8</v>
      </c>
      <c r="N1267" t="s">
        <v>9</v>
      </c>
    </row>
    <row r="1268" spans="2:14" x14ac:dyDescent="0.25">
      <c r="B1268" t="s">
        <v>0</v>
      </c>
      <c r="C1268" t="s">
        <v>1519</v>
      </c>
      <c r="D1268" t="s">
        <v>1380</v>
      </c>
      <c r="E1268" t="s">
        <v>3</v>
      </c>
      <c r="F1268" t="s">
        <v>4</v>
      </c>
      <c r="G1268" s="2" t="str">
        <f t="shared" si="19"/>
        <v>I_MSH015/INFLOW</v>
      </c>
      <c r="H1268" t="s">
        <v>1381</v>
      </c>
      <c r="I1268" t="s">
        <v>1382</v>
      </c>
      <c r="J1268" t="s">
        <v>1520</v>
      </c>
      <c r="L1268" t="s">
        <v>8</v>
      </c>
      <c r="M1268" t="s">
        <v>8</v>
      </c>
      <c r="N1268" t="s">
        <v>9</v>
      </c>
    </row>
    <row r="1269" spans="2:14" x14ac:dyDescent="0.25">
      <c r="B1269" t="s">
        <v>0</v>
      </c>
      <c r="C1269" t="s">
        <v>1521</v>
      </c>
      <c r="D1269" t="s">
        <v>1380</v>
      </c>
      <c r="E1269" t="s">
        <v>3</v>
      </c>
      <c r="F1269" t="s">
        <v>4</v>
      </c>
      <c r="G1269" s="2" t="str">
        <f t="shared" si="19"/>
        <v>I_BANOS/INFLOW</v>
      </c>
      <c r="H1269" t="s">
        <v>1381</v>
      </c>
      <c r="I1269" t="s">
        <v>1382</v>
      </c>
      <c r="J1269" t="s">
        <v>1522</v>
      </c>
      <c r="L1269" t="s">
        <v>8</v>
      </c>
      <c r="M1269" t="s">
        <v>8</v>
      </c>
      <c r="N1269" t="s">
        <v>9</v>
      </c>
    </row>
    <row r="1270" spans="2:14" x14ac:dyDescent="0.25">
      <c r="B1270" t="s">
        <v>0</v>
      </c>
      <c r="C1270" t="s">
        <v>1523</v>
      </c>
      <c r="D1270" t="s">
        <v>1380</v>
      </c>
      <c r="E1270" t="s">
        <v>3</v>
      </c>
      <c r="F1270" t="s">
        <v>4</v>
      </c>
      <c r="G1270" s="2" t="str">
        <f t="shared" si="19"/>
        <v>I_LNG012/INFLOW</v>
      </c>
      <c r="H1270" t="s">
        <v>1381</v>
      </c>
      <c r="I1270" t="s">
        <v>1382</v>
      </c>
      <c r="J1270" t="s">
        <v>1524</v>
      </c>
      <c r="L1270" t="s">
        <v>8</v>
      </c>
      <c r="M1270" t="s">
        <v>8</v>
      </c>
      <c r="N1270" t="s">
        <v>9</v>
      </c>
    </row>
    <row r="1271" spans="2:14" x14ac:dyDescent="0.25">
      <c r="B1271" t="s">
        <v>0</v>
      </c>
      <c r="C1271" t="s">
        <v>1525</v>
      </c>
      <c r="D1271" t="s">
        <v>1380</v>
      </c>
      <c r="E1271" t="s">
        <v>3</v>
      </c>
      <c r="F1271" t="s">
        <v>4</v>
      </c>
      <c r="G1271" s="2" t="str">
        <f t="shared" si="19"/>
        <v>I_MFY013/INFLOW</v>
      </c>
      <c r="H1271" t="s">
        <v>1381</v>
      </c>
      <c r="I1271" t="s">
        <v>1382</v>
      </c>
      <c r="J1271" t="s">
        <v>1526</v>
      </c>
      <c r="L1271" t="s">
        <v>8</v>
      </c>
      <c r="M1271" t="s">
        <v>8</v>
      </c>
      <c r="N1271" t="s">
        <v>9</v>
      </c>
    </row>
    <row r="1272" spans="2:14" x14ac:dyDescent="0.25">
      <c r="B1272" t="s">
        <v>0</v>
      </c>
      <c r="C1272" t="s">
        <v>1527</v>
      </c>
      <c r="D1272" t="s">
        <v>1380</v>
      </c>
      <c r="E1272" t="s">
        <v>3</v>
      </c>
      <c r="F1272" t="s">
        <v>4</v>
      </c>
      <c r="G1272" s="2" t="str">
        <f t="shared" si="19"/>
        <v>I_SFY007/INFLOW</v>
      </c>
      <c r="H1272" t="s">
        <v>1381</v>
      </c>
      <c r="I1272" t="s">
        <v>1382</v>
      </c>
      <c r="J1272" t="s">
        <v>1528</v>
      </c>
      <c r="L1272" t="s">
        <v>8</v>
      </c>
      <c r="M1272" t="s">
        <v>8</v>
      </c>
      <c r="N1272" t="s">
        <v>9</v>
      </c>
    </row>
    <row r="1273" spans="2:14" x14ac:dyDescent="0.25">
      <c r="B1273" t="s">
        <v>0</v>
      </c>
      <c r="C1273" t="s">
        <v>1529</v>
      </c>
      <c r="D1273" t="s">
        <v>1380</v>
      </c>
      <c r="E1273" t="s">
        <v>3</v>
      </c>
      <c r="F1273" t="s">
        <v>4</v>
      </c>
      <c r="G1273" s="2" t="str">
        <f t="shared" si="19"/>
        <v>I_SFD003/INFLOW</v>
      </c>
      <c r="H1273" t="s">
        <v>1381</v>
      </c>
      <c r="I1273" t="s">
        <v>1382</v>
      </c>
      <c r="J1273" t="s">
        <v>1530</v>
      </c>
      <c r="L1273" t="s">
        <v>8</v>
      </c>
      <c r="M1273" t="s">
        <v>8</v>
      </c>
      <c r="N1273" t="s">
        <v>9</v>
      </c>
    </row>
    <row r="1274" spans="2:14" x14ac:dyDescent="0.25">
      <c r="B1274" t="s">
        <v>0</v>
      </c>
      <c r="C1274" t="s">
        <v>1531</v>
      </c>
      <c r="D1274" t="s">
        <v>1380</v>
      </c>
      <c r="E1274" t="s">
        <v>3</v>
      </c>
      <c r="F1274" t="s">
        <v>4</v>
      </c>
      <c r="G1274" s="2" t="str">
        <f t="shared" si="19"/>
        <v>I_SFA030/INFLOW</v>
      </c>
      <c r="H1274" t="s">
        <v>1381</v>
      </c>
      <c r="I1274" t="s">
        <v>1382</v>
      </c>
      <c r="J1274" t="s">
        <v>1532</v>
      </c>
      <c r="L1274" t="s">
        <v>8</v>
      </c>
      <c r="M1274" t="s">
        <v>8</v>
      </c>
      <c r="N1274" t="s">
        <v>9</v>
      </c>
    </row>
    <row r="1275" spans="2:14" x14ac:dyDescent="0.25">
      <c r="B1275" t="s">
        <v>0</v>
      </c>
      <c r="C1275" t="s">
        <v>1533</v>
      </c>
      <c r="D1275" t="s">
        <v>1380</v>
      </c>
      <c r="E1275" t="s">
        <v>3</v>
      </c>
      <c r="F1275" t="s">
        <v>4</v>
      </c>
      <c r="G1275" s="2" t="str">
        <f t="shared" si="19"/>
        <v>I_SFA040/INFLOW</v>
      </c>
      <c r="H1275" t="s">
        <v>1381</v>
      </c>
      <c r="I1275" t="s">
        <v>1382</v>
      </c>
      <c r="J1275" t="s">
        <v>1534</v>
      </c>
      <c r="L1275" t="s">
        <v>8</v>
      </c>
      <c r="M1275" t="s">
        <v>8</v>
      </c>
      <c r="N1275" t="s">
        <v>9</v>
      </c>
    </row>
    <row r="1276" spans="2:14" x14ac:dyDescent="0.25">
      <c r="B1276" t="s">
        <v>0</v>
      </c>
      <c r="C1276" t="s">
        <v>1535</v>
      </c>
      <c r="D1276" t="s">
        <v>1380</v>
      </c>
      <c r="E1276" t="s">
        <v>3</v>
      </c>
      <c r="F1276" t="s">
        <v>4</v>
      </c>
      <c r="G1276" s="2" t="str">
        <f t="shared" si="19"/>
        <v>I_SLF009/INFLOW</v>
      </c>
      <c r="H1276" t="s">
        <v>1381</v>
      </c>
      <c r="I1276" t="s">
        <v>1382</v>
      </c>
      <c r="J1276" t="s">
        <v>1536</v>
      </c>
      <c r="L1276" t="s">
        <v>8</v>
      </c>
      <c r="M1276" t="s">
        <v>8</v>
      </c>
      <c r="N1276" t="s">
        <v>9</v>
      </c>
    </row>
    <row r="1277" spans="2:14" x14ac:dyDescent="0.25">
      <c r="B1277" t="s">
        <v>0</v>
      </c>
      <c r="C1277" t="s">
        <v>1537</v>
      </c>
      <c r="D1277" t="s">
        <v>1380</v>
      </c>
      <c r="E1277" t="s">
        <v>3</v>
      </c>
      <c r="F1277" t="s">
        <v>4</v>
      </c>
      <c r="G1277" s="2" t="str">
        <f t="shared" si="19"/>
        <v>I_SCOTF/INFLOW</v>
      </c>
      <c r="H1277" t="s">
        <v>1381</v>
      </c>
      <c r="I1277" t="s">
        <v>1382</v>
      </c>
      <c r="J1277" t="s">
        <v>1538</v>
      </c>
      <c r="L1277" t="s">
        <v>8</v>
      </c>
      <c r="M1277" t="s">
        <v>8</v>
      </c>
      <c r="N1277" t="s">
        <v>9</v>
      </c>
    </row>
    <row r="1278" spans="2:14" x14ac:dyDescent="0.25">
      <c r="B1278" t="s">
        <v>0</v>
      </c>
      <c r="C1278" t="s">
        <v>1539</v>
      </c>
      <c r="D1278" t="s">
        <v>1380</v>
      </c>
      <c r="E1278" t="s">
        <v>3</v>
      </c>
      <c r="F1278" t="s">
        <v>4</v>
      </c>
      <c r="G1278" s="2" t="str">
        <f t="shared" si="19"/>
        <v>I_RUB002/INFLOW</v>
      </c>
      <c r="H1278" t="s">
        <v>1381</v>
      </c>
      <c r="I1278" t="s">
        <v>1382</v>
      </c>
      <c r="J1278" t="s">
        <v>1540</v>
      </c>
      <c r="L1278" t="s">
        <v>8</v>
      </c>
      <c r="M1278" t="s">
        <v>8</v>
      </c>
      <c r="N1278" t="s">
        <v>9</v>
      </c>
    </row>
    <row r="1279" spans="2:14" x14ac:dyDescent="0.25">
      <c r="B1279" t="s">
        <v>0</v>
      </c>
      <c r="C1279" t="s">
        <v>1541</v>
      </c>
      <c r="D1279" t="s">
        <v>1380</v>
      </c>
      <c r="E1279" t="s">
        <v>3</v>
      </c>
      <c r="F1279" t="s">
        <v>4</v>
      </c>
      <c r="G1279" s="2" t="str">
        <f t="shared" si="19"/>
        <v>I_NFA016/INFLOW</v>
      </c>
      <c r="H1279" t="s">
        <v>1381</v>
      </c>
      <c r="I1279" t="s">
        <v>1382</v>
      </c>
      <c r="J1279" t="s">
        <v>1542</v>
      </c>
      <c r="L1279" t="s">
        <v>8</v>
      </c>
      <c r="M1279" t="s">
        <v>8</v>
      </c>
      <c r="N1279" t="s">
        <v>9</v>
      </c>
    </row>
    <row r="1280" spans="2:14" x14ac:dyDescent="0.25">
      <c r="B1280" t="s">
        <v>0</v>
      </c>
      <c r="C1280" t="s">
        <v>1543</v>
      </c>
      <c r="D1280" t="s">
        <v>1380</v>
      </c>
      <c r="E1280" t="s">
        <v>3</v>
      </c>
      <c r="F1280" t="s">
        <v>4</v>
      </c>
      <c r="G1280" s="2" t="str">
        <f t="shared" si="19"/>
        <v>I_MFA036/INFLOW</v>
      </c>
      <c r="H1280" t="s">
        <v>1381</v>
      </c>
      <c r="I1280" t="s">
        <v>1382</v>
      </c>
      <c r="J1280" t="s">
        <v>1544</v>
      </c>
      <c r="L1280" t="s">
        <v>8</v>
      </c>
      <c r="M1280" t="s">
        <v>8</v>
      </c>
      <c r="N1280" t="s">
        <v>9</v>
      </c>
    </row>
    <row r="1281" spans="2:14" x14ac:dyDescent="0.25">
      <c r="B1281" t="s">
        <v>0</v>
      </c>
      <c r="C1281" t="s">
        <v>1545</v>
      </c>
      <c r="D1281" t="s">
        <v>1380</v>
      </c>
      <c r="E1281" t="s">
        <v>3</v>
      </c>
      <c r="F1281" t="s">
        <v>4</v>
      </c>
      <c r="G1281" s="2" t="str">
        <f t="shared" si="19"/>
        <v>I_MFA023/INFLOW</v>
      </c>
      <c r="H1281" t="s">
        <v>1381</v>
      </c>
      <c r="I1281" t="s">
        <v>1382</v>
      </c>
      <c r="J1281" t="s">
        <v>1546</v>
      </c>
      <c r="L1281" t="s">
        <v>8</v>
      </c>
      <c r="M1281" t="s">
        <v>8</v>
      </c>
      <c r="N1281" t="s">
        <v>9</v>
      </c>
    </row>
    <row r="1282" spans="2:14" x14ac:dyDescent="0.25">
      <c r="B1282" t="s">
        <v>0</v>
      </c>
      <c r="C1282" t="s">
        <v>1547</v>
      </c>
      <c r="D1282" t="s">
        <v>1380</v>
      </c>
      <c r="E1282" t="s">
        <v>3</v>
      </c>
      <c r="F1282" t="s">
        <v>4</v>
      </c>
      <c r="G1282" s="2" t="str">
        <f t="shared" si="19"/>
        <v>I_MFA001/INFLOW</v>
      </c>
      <c r="H1282" t="s">
        <v>1381</v>
      </c>
      <c r="I1282" t="s">
        <v>1382</v>
      </c>
      <c r="J1282" t="s">
        <v>1548</v>
      </c>
      <c r="L1282" t="s">
        <v>8</v>
      </c>
      <c r="M1282" t="s">
        <v>8</v>
      </c>
      <c r="N1282" t="s">
        <v>9</v>
      </c>
    </row>
    <row r="1283" spans="2:14" x14ac:dyDescent="0.25">
      <c r="B1283" t="s">
        <v>0</v>
      </c>
      <c r="C1283" t="s">
        <v>1549</v>
      </c>
      <c r="D1283" t="s">
        <v>1380</v>
      </c>
      <c r="E1283" t="s">
        <v>3</v>
      </c>
      <c r="F1283" t="s">
        <v>4</v>
      </c>
      <c r="G1283" s="2" t="str">
        <f t="shared" ref="G1283:G1346" si="20">_xlfn.CONCAT(C1283,"/",D1283)</f>
        <v>I_MFA025/INFLOW</v>
      </c>
      <c r="H1283" t="s">
        <v>1381</v>
      </c>
      <c r="I1283" t="s">
        <v>1382</v>
      </c>
      <c r="J1283" t="s">
        <v>1550</v>
      </c>
      <c r="L1283" t="s">
        <v>8</v>
      </c>
      <c r="M1283" t="s">
        <v>8</v>
      </c>
      <c r="N1283" t="s">
        <v>9</v>
      </c>
    </row>
    <row r="1284" spans="2:14" x14ac:dyDescent="0.25">
      <c r="B1284" t="s">
        <v>0</v>
      </c>
      <c r="C1284" t="s">
        <v>1551</v>
      </c>
      <c r="D1284" t="s">
        <v>1380</v>
      </c>
      <c r="E1284" t="s">
        <v>3</v>
      </c>
      <c r="F1284" t="s">
        <v>4</v>
      </c>
      <c r="G1284" s="2" t="str">
        <f t="shared" si="20"/>
        <v>I_OROVL/INFLOW</v>
      </c>
      <c r="H1284" t="s">
        <v>1381</v>
      </c>
      <c r="I1284" t="s">
        <v>1382</v>
      </c>
      <c r="J1284" t="s">
        <v>1552</v>
      </c>
      <c r="L1284" t="s">
        <v>8</v>
      </c>
      <c r="M1284" t="s">
        <v>8</v>
      </c>
      <c r="N1284" t="s">
        <v>9</v>
      </c>
    </row>
    <row r="1285" spans="2:14" x14ac:dyDescent="0.25">
      <c r="B1285" t="s">
        <v>0</v>
      </c>
      <c r="C1285" t="s">
        <v>1553</v>
      </c>
      <c r="D1285" t="s">
        <v>1380</v>
      </c>
      <c r="E1285" t="s">
        <v>3</v>
      </c>
      <c r="F1285" t="s">
        <v>4</v>
      </c>
      <c r="G1285" s="2" t="str">
        <f t="shared" si="20"/>
        <v>I_HHOLE/INFLOW</v>
      </c>
      <c r="H1285" t="s">
        <v>1381</v>
      </c>
      <c r="I1285" t="s">
        <v>1382</v>
      </c>
      <c r="J1285" t="s">
        <v>1554</v>
      </c>
      <c r="L1285" t="s">
        <v>8</v>
      </c>
      <c r="M1285" t="s">
        <v>8</v>
      </c>
      <c r="N1285" t="s">
        <v>9</v>
      </c>
    </row>
    <row r="1286" spans="2:14" x14ac:dyDescent="0.25">
      <c r="B1286" t="s">
        <v>0</v>
      </c>
      <c r="C1286" t="s">
        <v>1555</v>
      </c>
      <c r="D1286" t="s">
        <v>1380</v>
      </c>
      <c r="E1286" t="s">
        <v>3</v>
      </c>
      <c r="F1286" t="s">
        <v>4</v>
      </c>
      <c r="G1286" s="2" t="str">
        <f t="shared" si="20"/>
        <v>I_GERLE/INFLOW</v>
      </c>
      <c r="H1286" t="s">
        <v>1381</v>
      </c>
      <c r="I1286" t="s">
        <v>1382</v>
      </c>
      <c r="J1286" t="s">
        <v>1556</v>
      </c>
      <c r="L1286" t="s">
        <v>8</v>
      </c>
      <c r="M1286" t="s">
        <v>8</v>
      </c>
      <c r="N1286" t="s">
        <v>9</v>
      </c>
    </row>
    <row r="1287" spans="2:14" x14ac:dyDescent="0.25">
      <c r="B1287" t="s">
        <v>0</v>
      </c>
      <c r="C1287" t="s">
        <v>1557</v>
      </c>
      <c r="D1287" t="s">
        <v>1380</v>
      </c>
      <c r="E1287" t="s">
        <v>3</v>
      </c>
      <c r="F1287" t="s">
        <v>4</v>
      </c>
      <c r="G1287" s="2" t="str">
        <f t="shared" si="20"/>
        <v>I_DER001/INFLOW</v>
      </c>
      <c r="H1287" t="s">
        <v>1381</v>
      </c>
      <c r="I1287" t="s">
        <v>1382</v>
      </c>
      <c r="J1287" t="s">
        <v>1558</v>
      </c>
      <c r="L1287" t="s">
        <v>8</v>
      </c>
      <c r="M1287" t="s">
        <v>8</v>
      </c>
      <c r="N1287" t="s">
        <v>9</v>
      </c>
    </row>
    <row r="1288" spans="2:14" x14ac:dyDescent="0.25">
      <c r="B1288" t="s">
        <v>0</v>
      </c>
      <c r="C1288" t="s">
        <v>1559</v>
      </c>
      <c r="D1288" t="s">
        <v>1380</v>
      </c>
      <c r="E1288" t="s">
        <v>3</v>
      </c>
      <c r="F1288" t="s">
        <v>4</v>
      </c>
      <c r="G1288" s="2" t="str">
        <f t="shared" si="20"/>
        <v>I_DER004/INFLOW</v>
      </c>
      <c r="H1288" t="s">
        <v>1381</v>
      </c>
      <c r="I1288" t="s">
        <v>1382</v>
      </c>
      <c r="J1288" t="s">
        <v>1560</v>
      </c>
      <c r="L1288" t="s">
        <v>8</v>
      </c>
      <c r="M1288" t="s">
        <v>8</v>
      </c>
      <c r="N1288" t="s">
        <v>9</v>
      </c>
    </row>
    <row r="1289" spans="2:14" x14ac:dyDescent="0.25">
      <c r="B1289" t="s">
        <v>0</v>
      </c>
      <c r="C1289" t="s">
        <v>1561</v>
      </c>
      <c r="D1289" t="s">
        <v>1380</v>
      </c>
      <c r="E1289" t="s">
        <v>3</v>
      </c>
      <c r="F1289" t="s">
        <v>4</v>
      </c>
      <c r="G1289" s="2" t="str">
        <f t="shared" si="20"/>
        <v>I_CLR011/INFLOW</v>
      </c>
      <c r="H1289" t="s">
        <v>1381</v>
      </c>
      <c r="I1289" t="s">
        <v>1382</v>
      </c>
      <c r="J1289" t="s">
        <v>1562</v>
      </c>
      <c r="L1289" t="s">
        <v>8</v>
      </c>
      <c r="M1289" t="s">
        <v>8</v>
      </c>
      <c r="N1289" t="s">
        <v>9</v>
      </c>
    </row>
    <row r="1290" spans="2:14" x14ac:dyDescent="0.25">
      <c r="B1290" t="s">
        <v>0</v>
      </c>
      <c r="C1290" t="s">
        <v>1563</v>
      </c>
      <c r="D1290" t="s">
        <v>1380</v>
      </c>
      <c r="E1290" t="s">
        <v>3</v>
      </c>
      <c r="F1290" t="s">
        <v>4</v>
      </c>
      <c r="G1290" s="2" t="str">
        <f t="shared" si="20"/>
        <v>I_SFA076/INFLOW</v>
      </c>
      <c r="H1290" t="s">
        <v>1381</v>
      </c>
      <c r="I1290" t="s">
        <v>1382</v>
      </c>
      <c r="J1290" t="s">
        <v>1564</v>
      </c>
      <c r="L1290" t="s">
        <v>8</v>
      </c>
      <c r="M1290" t="s">
        <v>8</v>
      </c>
      <c r="N1290" t="s">
        <v>9</v>
      </c>
    </row>
    <row r="1291" spans="2:14" x14ac:dyDescent="0.25">
      <c r="B1291" t="s">
        <v>0</v>
      </c>
      <c r="C1291" t="s">
        <v>1565</v>
      </c>
      <c r="D1291" t="s">
        <v>1380</v>
      </c>
      <c r="E1291" t="s">
        <v>3</v>
      </c>
      <c r="F1291" t="s">
        <v>4</v>
      </c>
      <c r="G1291" s="2" t="str">
        <f t="shared" si="20"/>
        <v>I_WBF006/INFLOW</v>
      </c>
      <c r="H1291" t="s">
        <v>1381</v>
      </c>
      <c r="I1291" t="s">
        <v>1382</v>
      </c>
      <c r="J1291" t="s">
        <v>1566</v>
      </c>
      <c r="L1291" t="s">
        <v>8</v>
      </c>
      <c r="M1291" t="s">
        <v>8</v>
      </c>
      <c r="N1291" t="s">
        <v>9</v>
      </c>
    </row>
    <row r="1292" spans="2:14" x14ac:dyDescent="0.25">
      <c r="B1292" t="s">
        <v>0</v>
      </c>
      <c r="C1292" t="s">
        <v>1567</v>
      </c>
      <c r="D1292" t="s">
        <v>1380</v>
      </c>
      <c r="E1292" t="s">
        <v>3</v>
      </c>
      <c r="F1292" t="s">
        <v>4</v>
      </c>
      <c r="G1292" s="2" t="str">
        <f t="shared" si="20"/>
        <v>I_SGRGE/INFLOW</v>
      </c>
      <c r="H1292" t="s">
        <v>1381</v>
      </c>
      <c r="I1292" t="s">
        <v>1382</v>
      </c>
      <c r="J1292" t="s">
        <v>1568</v>
      </c>
      <c r="L1292" t="s">
        <v>8</v>
      </c>
      <c r="M1292" t="s">
        <v>8</v>
      </c>
      <c r="N1292" t="s">
        <v>9</v>
      </c>
    </row>
    <row r="1293" spans="2:14" x14ac:dyDescent="0.25">
      <c r="B1293" t="s">
        <v>0</v>
      </c>
      <c r="C1293" t="s">
        <v>1569</v>
      </c>
      <c r="D1293" t="s">
        <v>1380</v>
      </c>
      <c r="E1293" t="s">
        <v>3</v>
      </c>
      <c r="F1293" t="s">
        <v>4</v>
      </c>
      <c r="G1293" s="2" t="str">
        <f t="shared" si="20"/>
        <v>I_STS059/INFLOW</v>
      </c>
      <c r="H1293" t="s">
        <v>1381</v>
      </c>
      <c r="I1293" t="s">
        <v>1382</v>
      </c>
      <c r="J1293" t="s">
        <v>1570</v>
      </c>
      <c r="L1293" t="s">
        <v>8</v>
      </c>
      <c r="M1293" t="s">
        <v>8</v>
      </c>
      <c r="N1293" t="s">
        <v>9</v>
      </c>
    </row>
    <row r="1294" spans="2:14" x14ac:dyDescent="0.25">
      <c r="B1294" t="s">
        <v>0</v>
      </c>
      <c r="C1294" t="s">
        <v>1571</v>
      </c>
      <c r="D1294" t="s">
        <v>1380</v>
      </c>
      <c r="E1294" t="s">
        <v>3</v>
      </c>
      <c r="F1294" t="s">
        <v>4</v>
      </c>
      <c r="G1294" s="2" t="str">
        <f t="shared" si="20"/>
        <v>I_TULOC/INFLOW</v>
      </c>
      <c r="H1294" t="s">
        <v>1381</v>
      </c>
      <c r="I1294" t="s">
        <v>1382</v>
      </c>
      <c r="J1294" t="s">
        <v>1572</v>
      </c>
      <c r="L1294" t="s">
        <v>8</v>
      </c>
      <c r="M1294" t="s">
        <v>8</v>
      </c>
      <c r="N1294" t="s">
        <v>9</v>
      </c>
    </row>
    <row r="1295" spans="2:14" x14ac:dyDescent="0.25">
      <c r="B1295" t="s">
        <v>0</v>
      </c>
      <c r="C1295" t="s">
        <v>1573</v>
      </c>
      <c r="D1295" t="s">
        <v>1380</v>
      </c>
      <c r="E1295" t="s">
        <v>3</v>
      </c>
      <c r="F1295" t="s">
        <v>4</v>
      </c>
      <c r="G1295" s="2" t="str">
        <f t="shared" si="20"/>
        <v>I_SFF011/INFLOW</v>
      </c>
      <c r="H1295" t="s">
        <v>1381</v>
      </c>
      <c r="I1295" t="s">
        <v>1382</v>
      </c>
      <c r="J1295" t="s">
        <v>1574</v>
      </c>
      <c r="L1295" t="s">
        <v>8</v>
      </c>
      <c r="M1295" t="s">
        <v>8</v>
      </c>
      <c r="N1295" t="s">
        <v>9</v>
      </c>
    </row>
    <row r="1296" spans="2:14" x14ac:dyDescent="0.25">
      <c r="B1296" t="s">
        <v>0</v>
      </c>
      <c r="C1296" t="s">
        <v>1575</v>
      </c>
      <c r="D1296" t="s">
        <v>1380</v>
      </c>
      <c r="E1296" t="s">
        <v>3</v>
      </c>
      <c r="F1296" t="s">
        <v>4</v>
      </c>
      <c r="G1296" s="2" t="str">
        <f t="shared" si="20"/>
        <v>I_SFF008/INFLOW</v>
      </c>
      <c r="H1296" t="s">
        <v>1381</v>
      </c>
      <c r="I1296" t="s">
        <v>1382</v>
      </c>
      <c r="J1296" t="s">
        <v>1576</v>
      </c>
      <c r="L1296" t="s">
        <v>8</v>
      </c>
      <c r="M1296" t="s">
        <v>8</v>
      </c>
      <c r="N1296" t="s">
        <v>9</v>
      </c>
    </row>
    <row r="1297" spans="2:14" x14ac:dyDescent="0.25">
      <c r="B1297" t="s">
        <v>0</v>
      </c>
      <c r="C1297" t="s">
        <v>1577</v>
      </c>
      <c r="D1297" t="s">
        <v>1380</v>
      </c>
      <c r="E1297" t="s">
        <v>3</v>
      </c>
      <c r="F1297" t="s">
        <v>4</v>
      </c>
      <c r="G1297" s="2" t="str">
        <f t="shared" si="20"/>
        <v>I_STS072/INFLOW</v>
      </c>
      <c r="H1297" t="s">
        <v>1381</v>
      </c>
      <c r="I1297" t="s">
        <v>1382</v>
      </c>
      <c r="J1297" t="s">
        <v>1578</v>
      </c>
      <c r="L1297" t="s">
        <v>8</v>
      </c>
      <c r="M1297" t="s">
        <v>8</v>
      </c>
      <c r="N1297" t="s">
        <v>9</v>
      </c>
    </row>
    <row r="1298" spans="2:14" x14ac:dyDescent="0.25">
      <c r="B1298" t="s">
        <v>0</v>
      </c>
      <c r="C1298" t="s">
        <v>1579</v>
      </c>
      <c r="D1298" t="s">
        <v>1380</v>
      </c>
      <c r="E1298" t="s">
        <v>3</v>
      </c>
      <c r="F1298" t="s">
        <v>4</v>
      </c>
      <c r="G1298" s="2" t="str">
        <f t="shared" si="20"/>
        <v>I_NBLDB/INFLOW</v>
      </c>
      <c r="H1298" t="s">
        <v>1381</v>
      </c>
      <c r="I1298" t="s">
        <v>1382</v>
      </c>
      <c r="J1298" t="s">
        <v>1580</v>
      </c>
      <c r="L1298" t="s">
        <v>8</v>
      </c>
      <c r="M1298" t="s">
        <v>8</v>
      </c>
      <c r="N1298" t="s">
        <v>9</v>
      </c>
    </row>
    <row r="1299" spans="2:14" x14ac:dyDescent="0.25">
      <c r="B1299" t="s">
        <v>0</v>
      </c>
      <c r="C1299" t="s">
        <v>1581</v>
      </c>
      <c r="D1299" t="s">
        <v>1380</v>
      </c>
      <c r="E1299" t="s">
        <v>3</v>
      </c>
      <c r="F1299" t="s">
        <v>4</v>
      </c>
      <c r="G1299" s="2" t="str">
        <f t="shared" si="20"/>
        <v>I_LWSTN/INFLOW</v>
      </c>
      <c r="H1299" t="s">
        <v>1381</v>
      </c>
      <c r="I1299" t="s">
        <v>1382</v>
      </c>
      <c r="J1299" t="s">
        <v>1582</v>
      </c>
      <c r="L1299" t="s">
        <v>8</v>
      </c>
      <c r="M1299" t="s">
        <v>8</v>
      </c>
      <c r="N1299" t="s">
        <v>9</v>
      </c>
    </row>
    <row r="1300" spans="2:14" x14ac:dyDescent="0.25">
      <c r="B1300" t="s">
        <v>0</v>
      </c>
      <c r="C1300" t="s">
        <v>1583</v>
      </c>
      <c r="D1300" t="s">
        <v>1380</v>
      </c>
      <c r="E1300" t="s">
        <v>3</v>
      </c>
      <c r="F1300" t="s">
        <v>4</v>
      </c>
      <c r="G1300" s="2" t="str">
        <f t="shared" si="20"/>
        <v>I_SPLDG/INFLOW</v>
      </c>
      <c r="H1300" t="s">
        <v>1381</v>
      </c>
      <c r="I1300" t="s">
        <v>1382</v>
      </c>
      <c r="J1300" t="s">
        <v>1584</v>
      </c>
      <c r="L1300" t="s">
        <v>8</v>
      </c>
      <c r="M1300" t="s">
        <v>8</v>
      </c>
      <c r="N1300" t="s">
        <v>9</v>
      </c>
    </row>
    <row r="1301" spans="2:14" x14ac:dyDescent="0.25">
      <c r="B1301" t="s">
        <v>0</v>
      </c>
      <c r="C1301" t="s">
        <v>1585</v>
      </c>
      <c r="D1301" t="s">
        <v>1380</v>
      </c>
      <c r="E1301" t="s">
        <v>3</v>
      </c>
      <c r="F1301" t="s">
        <v>4</v>
      </c>
      <c r="G1301" s="2" t="str">
        <f t="shared" si="20"/>
        <v>I_CMBIE/INFLOW</v>
      </c>
      <c r="H1301" t="s">
        <v>1381</v>
      </c>
      <c r="I1301" t="s">
        <v>1382</v>
      </c>
      <c r="J1301" t="s">
        <v>1586</v>
      </c>
      <c r="L1301" t="s">
        <v>8</v>
      </c>
      <c r="M1301" t="s">
        <v>8</v>
      </c>
      <c r="N1301" t="s">
        <v>9</v>
      </c>
    </row>
    <row r="1302" spans="2:14" x14ac:dyDescent="0.25">
      <c r="B1302" t="s">
        <v>0</v>
      </c>
      <c r="C1302" t="s">
        <v>1587</v>
      </c>
      <c r="D1302" t="s">
        <v>1380</v>
      </c>
      <c r="E1302" t="s">
        <v>3</v>
      </c>
      <c r="F1302" t="s">
        <v>4</v>
      </c>
      <c r="G1302" s="2" t="str">
        <f t="shared" si="20"/>
        <v>I_SLV015/INFLOW</v>
      </c>
      <c r="H1302" t="s">
        <v>1381</v>
      </c>
      <c r="I1302" t="s">
        <v>1382</v>
      </c>
      <c r="J1302" t="s">
        <v>1588</v>
      </c>
      <c r="L1302" t="s">
        <v>8</v>
      </c>
      <c r="M1302" t="s">
        <v>8</v>
      </c>
      <c r="N1302" t="s">
        <v>9</v>
      </c>
    </row>
    <row r="1303" spans="2:14" x14ac:dyDescent="0.25">
      <c r="B1303" t="s">
        <v>0</v>
      </c>
      <c r="C1303" t="s">
        <v>1589</v>
      </c>
      <c r="D1303" t="s">
        <v>1380</v>
      </c>
      <c r="E1303" t="s">
        <v>3</v>
      </c>
      <c r="F1303" t="s">
        <v>4</v>
      </c>
      <c r="G1303" s="2" t="str">
        <f t="shared" si="20"/>
        <v>I_FOLSM/INFLOW</v>
      </c>
      <c r="H1303" t="s">
        <v>1381</v>
      </c>
      <c r="I1303" t="s">
        <v>1382</v>
      </c>
      <c r="J1303" t="s">
        <v>1590</v>
      </c>
      <c r="L1303" t="s">
        <v>8</v>
      </c>
      <c r="M1303" t="s">
        <v>8</v>
      </c>
      <c r="N1303" t="s">
        <v>9</v>
      </c>
    </row>
    <row r="1304" spans="2:14" x14ac:dyDescent="0.25">
      <c r="B1304" t="s">
        <v>0</v>
      </c>
      <c r="C1304" t="s">
        <v>1591</v>
      </c>
      <c r="D1304" t="s">
        <v>1380</v>
      </c>
      <c r="E1304" t="s">
        <v>3</v>
      </c>
      <c r="F1304" t="s">
        <v>4</v>
      </c>
      <c r="G1304" s="2" t="str">
        <f t="shared" si="20"/>
        <v>I_ENGLB/INFLOW</v>
      </c>
      <c r="H1304" t="s">
        <v>1381</v>
      </c>
      <c r="I1304" t="s">
        <v>1382</v>
      </c>
      <c r="J1304" t="s">
        <v>1592</v>
      </c>
      <c r="L1304" t="s">
        <v>8</v>
      </c>
      <c r="M1304" t="s">
        <v>8</v>
      </c>
      <c r="N1304" t="s">
        <v>9</v>
      </c>
    </row>
    <row r="1305" spans="2:14" x14ac:dyDescent="0.25">
      <c r="B1305" t="s">
        <v>0</v>
      </c>
      <c r="C1305" t="s">
        <v>1593</v>
      </c>
      <c r="D1305" t="s">
        <v>1380</v>
      </c>
      <c r="E1305" t="s">
        <v>3</v>
      </c>
      <c r="F1305" t="s">
        <v>4</v>
      </c>
      <c r="G1305" s="2" t="str">
        <f t="shared" si="20"/>
        <v>I_DAVIS/INFLOW</v>
      </c>
      <c r="H1305" t="s">
        <v>1381</v>
      </c>
      <c r="I1305" t="s">
        <v>1382</v>
      </c>
      <c r="J1305" t="s">
        <v>1594</v>
      </c>
      <c r="L1305" t="s">
        <v>8</v>
      </c>
      <c r="M1305" t="s">
        <v>8</v>
      </c>
      <c r="N1305" t="s">
        <v>9</v>
      </c>
    </row>
    <row r="1306" spans="2:14" x14ac:dyDescent="0.25">
      <c r="B1306" t="s">
        <v>0</v>
      </c>
      <c r="C1306" t="s">
        <v>1595</v>
      </c>
      <c r="D1306" t="s">
        <v>1380</v>
      </c>
      <c r="E1306" t="s">
        <v>3</v>
      </c>
      <c r="F1306" t="s">
        <v>4</v>
      </c>
      <c r="G1306" s="2" t="str">
        <f t="shared" si="20"/>
        <v>I_CHW031/INFLOW</v>
      </c>
      <c r="H1306" t="s">
        <v>1381</v>
      </c>
      <c r="I1306" t="s">
        <v>1382</v>
      </c>
      <c r="J1306" t="s">
        <v>1596</v>
      </c>
      <c r="L1306" t="s">
        <v>8</v>
      </c>
      <c r="M1306" t="s">
        <v>8</v>
      </c>
      <c r="N1306" t="s">
        <v>9</v>
      </c>
    </row>
    <row r="1307" spans="2:14" x14ac:dyDescent="0.25">
      <c r="B1307" t="s">
        <v>0</v>
      </c>
      <c r="C1307" t="s">
        <v>1597</v>
      </c>
      <c r="D1307" t="s">
        <v>1380</v>
      </c>
      <c r="E1307" t="s">
        <v>3</v>
      </c>
      <c r="F1307" t="s">
        <v>4</v>
      </c>
      <c r="G1307" s="2" t="str">
        <f t="shared" si="20"/>
        <v>I_CMPFW/INFLOW</v>
      </c>
      <c r="H1307" t="s">
        <v>1381</v>
      </c>
      <c r="I1307" t="s">
        <v>1382</v>
      </c>
      <c r="J1307" t="s">
        <v>1598</v>
      </c>
      <c r="L1307" t="s">
        <v>8</v>
      </c>
      <c r="M1307" t="s">
        <v>8</v>
      </c>
      <c r="N1307" t="s">
        <v>9</v>
      </c>
    </row>
    <row r="1308" spans="2:14" x14ac:dyDescent="0.25">
      <c r="B1308" t="s">
        <v>0</v>
      </c>
      <c r="C1308" t="s">
        <v>1599</v>
      </c>
      <c r="D1308" t="s">
        <v>1380</v>
      </c>
      <c r="E1308" t="s">
        <v>3</v>
      </c>
      <c r="F1308" t="s">
        <v>4</v>
      </c>
      <c r="G1308" s="2" t="str">
        <f t="shared" si="20"/>
        <v>I_SLV006/INFLOW</v>
      </c>
      <c r="H1308" t="s">
        <v>1381</v>
      </c>
      <c r="I1308" t="s">
        <v>1382</v>
      </c>
      <c r="J1308" t="s">
        <v>1600</v>
      </c>
      <c r="L1308" t="s">
        <v>8</v>
      </c>
      <c r="M1308" t="s">
        <v>8</v>
      </c>
      <c r="N1308" t="s">
        <v>9</v>
      </c>
    </row>
    <row r="1309" spans="2:14" x14ac:dyDescent="0.25">
      <c r="B1309" t="s">
        <v>0</v>
      </c>
      <c r="C1309" t="s">
        <v>1601</v>
      </c>
      <c r="D1309" t="s">
        <v>1380</v>
      </c>
      <c r="E1309" t="s">
        <v>3</v>
      </c>
      <c r="F1309" t="s">
        <v>4</v>
      </c>
      <c r="G1309" s="2" t="str">
        <f t="shared" si="20"/>
        <v>I_CMCHE/INFLOW</v>
      </c>
      <c r="H1309" t="s">
        <v>1381</v>
      </c>
      <c r="I1309" t="s">
        <v>1382</v>
      </c>
      <c r="J1309" t="s">
        <v>1602</v>
      </c>
      <c r="L1309" t="s">
        <v>8</v>
      </c>
      <c r="M1309" t="s">
        <v>8</v>
      </c>
      <c r="N1309" t="s">
        <v>9</v>
      </c>
    </row>
    <row r="1310" spans="2:14" x14ac:dyDescent="0.25">
      <c r="B1310" t="s">
        <v>0</v>
      </c>
      <c r="C1310" t="s">
        <v>1603</v>
      </c>
      <c r="D1310" t="s">
        <v>1380</v>
      </c>
      <c r="E1310" t="s">
        <v>3</v>
      </c>
      <c r="F1310" t="s">
        <v>4</v>
      </c>
      <c r="G1310" s="2" t="str">
        <f t="shared" si="20"/>
        <v>I_CLV026/INFLOW</v>
      </c>
      <c r="H1310" t="s">
        <v>1381</v>
      </c>
      <c r="I1310" t="s">
        <v>1382</v>
      </c>
      <c r="J1310" t="s">
        <v>1604</v>
      </c>
      <c r="L1310" t="s">
        <v>8</v>
      </c>
      <c r="M1310" t="s">
        <v>8</v>
      </c>
      <c r="N1310" t="s">
        <v>9</v>
      </c>
    </row>
    <row r="1311" spans="2:14" x14ac:dyDescent="0.25">
      <c r="B1311" t="s">
        <v>0</v>
      </c>
      <c r="C1311" t="s">
        <v>1605</v>
      </c>
      <c r="D1311" t="s">
        <v>1380</v>
      </c>
      <c r="E1311" t="s">
        <v>3</v>
      </c>
      <c r="F1311" t="s">
        <v>4</v>
      </c>
      <c r="G1311" s="2" t="str">
        <f t="shared" si="20"/>
        <v>I_BLKBT/INFLOW</v>
      </c>
      <c r="H1311" t="s">
        <v>1381</v>
      </c>
      <c r="I1311" t="s">
        <v>1382</v>
      </c>
      <c r="J1311" t="s">
        <v>1606</v>
      </c>
      <c r="L1311" t="s">
        <v>8</v>
      </c>
      <c r="M1311" t="s">
        <v>8</v>
      </c>
      <c r="N1311" t="s">
        <v>9</v>
      </c>
    </row>
    <row r="1312" spans="2:14" x14ac:dyDescent="0.25">
      <c r="B1312" t="s">
        <v>0</v>
      </c>
      <c r="C1312" t="s">
        <v>1607</v>
      </c>
      <c r="D1312" t="s">
        <v>1380</v>
      </c>
      <c r="E1312" t="s">
        <v>3</v>
      </c>
      <c r="F1312" t="s">
        <v>4</v>
      </c>
      <c r="G1312" s="2" t="str">
        <f t="shared" si="20"/>
        <v>I_NFF029/INFLOW</v>
      </c>
      <c r="H1312" t="s">
        <v>1381</v>
      </c>
      <c r="I1312" t="s">
        <v>1382</v>
      </c>
      <c r="J1312" t="s">
        <v>1608</v>
      </c>
      <c r="L1312" t="s">
        <v>8</v>
      </c>
      <c r="M1312" t="s">
        <v>8</v>
      </c>
      <c r="N1312" t="s">
        <v>9</v>
      </c>
    </row>
    <row r="1313" spans="2:14" x14ac:dyDescent="0.25">
      <c r="B1313" t="s">
        <v>0</v>
      </c>
      <c r="C1313" t="s">
        <v>1609</v>
      </c>
      <c r="D1313" t="s">
        <v>1380</v>
      </c>
      <c r="E1313" t="s">
        <v>3</v>
      </c>
      <c r="F1313" t="s">
        <v>4</v>
      </c>
      <c r="G1313" s="2" t="str">
        <f t="shared" si="20"/>
        <v>I_FRS046/INFLOW</v>
      </c>
      <c r="H1313" t="s">
        <v>1381</v>
      </c>
      <c r="I1313" t="s">
        <v>1382</v>
      </c>
      <c r="J1313" t="s">
        <v>1610</v>
      </c>
      <c r="L1313" t="s">
        <v>8</v>
      </c>
      <c r="M1313" t="s">
        <v>8</v>
      </c>
      <c r="N1313" t="s">
        <v>9</v>
      </c>
    </row>
    <row r="1314" spans="2:14" x14ac:dyDescent="0.25">
      <c r="B1314" t="s">
        <v>0</v>
      </c>
      <c r="C1314" t="s">
        <v>1611</v>
      </c>
      <c r="D1314" t="s">
        <v>1380</v>
      </c>
      <c r="E1314" t="s">
        <v>3</v>
      </c>
      <c r="F1314" t="s">
        <v>4</v>
      </c>
      <c r="G1314" s="2" t="str">
        <f t="shared" si="20"/>
        <v>I_LRB004/INFLOW</v>
      </c>
      <c r="H1314" t="s">
        <v>1381</v>
      </c>
      <c r="I1314" t="s">
        <v>1382</v>
      </c>
      <c r="J1314" t="s">
        <v>1612</v>
      </c>
      <c r="L1314" t="s">
        <v>8</v>
      </c>
      <c r="M1314" t="s">
        <v>8</v>
      </c>
      <c r="N1314" t="s">
        <v>9</v>
      </c>
    </row>
    <row r="1315" spans="2:14" x14ac:dyDescent="0.25">
      <c r="B1315" t="s">
        <v>0</v>
      </c>
      <c r="C1315" t="s">
        <v>1613</v>
      </c>
      <c r="D1315" t="s">
        <v>1380</v>
      </c>
      <c r="E1315" t="s">
        <v>3</v>
      </c>
      <c r="F1315" t="s">
        <v>4</v>
      </c>
      <c r="G1315" s="2" t="str">
        <f t="shared" si="20"/>
        <v>I_LPC007/INFLOW</v>
      </c>
      <c r="H1315" t="s">
        <v>1381</v>
      </c>
      <c r="I1315" t="s">
        <v>1382</v>
      </c>
      <c r="J1315" t="s">
        <v>1614</v>
      </c>
      <c r="L1315" t="s">
        <v>8</v>
      </c>
      <c r="M1315" t="s">
        <v>8</v>
      </c>
      <c r="N1315" t="s">
        <v>9</v>
      </c>
    </row>
    <row r="1316" spans="2:14" x14ac:dyDescent="0.25">
      <c r="B1316" t="s">
        <v>0</v>
      </c>
      <c r="C1316" t="s">
        <v>1615</v>
      </c>
      <c r="D1316" t="s">
        <v>1380</v>
      </c>
      <c r="E1316" t="s">
        <v>3</v>
      </c>
      <c r="F1316" t="s">
        <v>4</v>
      </c>
      <c r="G1316" s="2" t="str">
        <f t="shared" si="20"/>
        <v>I_LDC029/INFLOW</v>
      </c>
      <c r="H1316" t="s">
        <v>1381</v>
      </c>
      <c r="I1316" t="s">
        <v>1382</v>
      </c>
      <c r="J1316" t="s">
        <v>1616</v>
      </c>
      <c r="L1316" t="s">
        <v>8</v>
      </c>
      <c r="M1316" t="s">
        <v>8</v>
      </c>
      <c r="N1316" t="s">
        <v>9</v>
      </c>
    </row>
    <row r="1317" spans="2:14" x14ac:dyDescent="0.25">
      <c r="B1317" t="s">
        <v>0</v>
      </c>
      <c r="C1317" t="s">
        <v>1617</v>
      </c>
      <c r="D1317" t="s">
        <v>1380</v>
      </c>
      <c r="E1317" t="s">
        <v>3</v>
      </c>
      <c r="F1317" t="s">
        <v>4</v>
      </c>
      <c r="G1317" s="2" t="str">
        <f t="shared" si="20"/>
        <v>I_LCC038/INFLOW</v>
      </c>
      <c r="H1317" t="s">
        <v>1381</v>
      </c>
      <c r="I1317" t="s">
        <v>1382</v>
      </c>
      <c r="J1317" t="s">
        <v>1618</v>
      </c>
      <c r="L1317" t="s">
        <v>8</v>
      </c>
      <c r="M1317" t="s">
        <v>8</v>
      </c>
      <c r="N1317" t="s">
        <v>9</v>
      </c>
    </row>
    <row r="1318" spans="2:14" x14ac:dyDescent="0.25">
      <c r="B1318" t="s">
        <v>0</v>
      </c>
      <c r="C1318" t="s">
        <v>1619</v>
      </c>
      <c r="D1318" t="s">
        <v>1380</v>
      </c>
      <c r="E1318" t="s">
        <v>3</v>
      </c>
      <c r="F1318" t="s">
        <v>4</v>
      </c>
      <c r="G1318" s="2" t="str">
        <f t="shared" si="20"/>
        <v>I_ING008/INFLOW</v>
      </c>
      <c r="H1318" t="s">
        <v>1381</v>
      </c>
      <c r="I1318" t="s">
        <v>1382</v>
      </c>
      <c r="J1318" t="s">
        <v>1620</v>
      </c>
      <c r="L1318" t="s">
        <v>8</v>
      </c>
      <c r="M1318" t="s">
        <v>8</v>
      </c>
      <c r="N1318" t="s">
        <v>9</v>
      </c>
    </row>
    <row r="1319" spans="2:14" x14ac:dyDescent="0.25">
      <c r="B1319" t="s">
        <v>0</v>
      </c>
      <c r="C1319" t="s">
        <v>1621</v>
      </c>
      <c r="D1319" t="s">
        <v>1423</v>
      </c>
      <c r="E1319" t="s">
        <v>3</v>
      </c>
      <c r="F1319" t="s">
        <v>4</v>
      </c>
      <c r="G1319" s="2" t="str">
        <f t="shared" si="20"/>
        <v>I422/FLOW-INFLOW</v>
      </c>
      <c r="H1319" t="s">
        <v>1381</v>
      </c>
      <c r="I1319" t="s">
        <v>1382</v>
      </c>
      <c r="J1319" t="s">
        <v>1622</v>
      </c>
      <c r="K1319" t="s">
        <v>1623</v>
      </c>
      <c r="L1319" t="s">
        <v>8</v>
      </c>
      <c r="N1319" t="s">
        <v>9</v>
      </c>
    </row>
    <row r="1320" spans="2:14" x14ac:dyDescent="0.25">
      <c r="B1320" t="s">
        <v>0</v>
      </c>
      <c r="C1320" t="s">
        <v>1624</v>
      </c>
      <c r="D1320" t="s">
        <v>1380</v>
      </c>
      <c r="E1320" t="s">
        <v>3</v>
      </c>
      <c r="F1320" t="s">
        <v>4</v>
      </c>
      <c r="G1320" s="2" t="str">
        <f t="shared" si="20"/>
        <v>I_LOSVQ/INFLOW</v>
      </c>
      <c r="H1320" t="s">
        <v>1381</v>
      </c>
      <c r="I1320" t="s">
        <v>1382</v>
      </c>
      <c r="J1320" t="s">
        <v>1622</v>
      </c>
      <c r="L1320" t="s">
        <v>8</v>
      </c>
      <c r="M1320" t="s">
        <v>8</v>
      </c>
      <c r="N1320" t="s">
        <v>9</v>
      </c>
    </row>
    <row r="1321" spans="2:14" x14ac:dyDescent="0.25">
      <c r="B1321" t="s">
        <v>0</v>
      </c>
      <c r="C1321" t="s">
        <v>1625</v>
      </c>
      <c r="D1321" t="s">
        <v>1380</v>
      </c>
      <c r="E1321" t="s">
        <v>3</v>
      </c>
      <c r="F1321" t="s">
        <v>4</v>
      </c>
      <c r="G1321" s="2" t="str">
        <f t="shared" si="20"/>
        <v>I_FRNCH/INFLOW</v>
      </c>
      <c r="H1321" t="s">
        <v>1381</v>
      </c>
      <c r="I1321" t="s">
        <v>1382</v>
      </c>
      <c r="J1321" t="s">
        <v>1626</v>
      </c>
      <c r="L1321" t="s">
        <v>8</v>
      </c>
      <c r="M1321" t="s">
        <v>8</v>
      </c>
      <c r="N1321" t="s">
        <v>9</v>
      </c>
    </row>
    <row r="1322" spans="2:14" x14ac:dyDescent="0.25">
      <c r="B1322" t="s">
        <v>0</v>
      </c>
      <c r="C1322" t="s">
        <v>1627</v>
      </c>
      <c r="D1322" t="s">
        <v>1380</v>
      </c>
      <c r="E1322" t="s">
        <v>3</v>
      </c>
      <c r="F1322" t="s">
        <v>4</v>
      </c>
      <c r="G1322" s="2" t="str">
        <f t="shared" si="20"/>
        <v>I_BOWMN/INFLOW</v>
      </c>
      <c r="H1322" t="s">
        <v>1381</v>
      </c>
      <c r="I1322" t="s">
        <v>1382</v>
      </c>
      <c r="J1322" t="s">
        <v>1628</v>
      </c>
      <c r="L1322" t="s">
        <v>8</v>
      </c>
      <c r="M1322" t="s">
        <v>8</v>
      </c>
      <c r="N1322" t="s">
        <v>9</v>
      </c>
    </row>
    <row r="1323" spans="2:14" x14ac:dyDescent="0.25">
      <c r="B1323" t="s">
        <v>0</v>
      </c>
      <c r="C1323" t="s">
        <v>1629</v>
      </c>
      <c r="D1323" t="s">
        <v>1380</v>
      </c>
      <c r="E1323" t="s">
        <v>3</v>
      </c>
      <c r="F1323" t="s">
        <v>4</v>
      </c>
      <c r="G1323" s="2" t="str">
        <f t="shared" si="20"/>
        <v>I_LCBRF/INFLOW</v>
      </c>
      <c r="H1323" t="s">
        <v>1381</v>
      </c>
      <c r="I1323" t="s">
        <v>1382</v>
      </c>
      <c r="J1323" t="s">
        <v>1630</v>
      </c>
      <c r="L1323" t="s">
        <v>8</v>
      </c>
      <c r="M1323" t="s">
        <v>8</v>
      </c>
      <c r="N1323" t="s">
        <v>9</v>
      </c>
    </row>
    <row r="1324" spans="2:14" x14ac:dyDescent="0.25">
      <c r="B1324" t="s">
        <v>0</v>
      </c>
      <c r="C1324" t="s">
        <v>1631</v>
      </c>
      <c r="D1324" t="s">
        <v>1380</v>
      </c>
      <c r="E1324" t="s">
        <v>3</v>
      </c>
      <c r="F1324" t="s">
        <v>4</v>
      </c>
      <c r="G1324" s="2" t="str">
        <f t="shared" si="20"/>
        <v>I_UNVLY/INFLOW</v>
      </c>
      <c r="H1324" t="s">
        <v>1381</v>
      </c>
      <c r="I1324" t="s">
        <v>1382</v>
      </c>
      <c r="J1324" t="s">
        <v>1632</v>
      </c>
      <c r="L1324" t="s">
        <v>8</v>
      </c>
      <c r="M1324" t="s">
        <v>8</v>
      </c>
      <c r="N1324" t="s">
        <v>9</v>
      </c>
    </row>
    <row r="1325" spans="2:14" x14ac:dyDescent="0.25">
      <c r="B1325" t="s">
        <v>0</v>
      </c>
      <c r="C1325" t="s">
        <v>1633</v>
      </c>
      <c r="D1325" t="s">
        <v>1380</v>
      </c>
      <c r="E1325" t="s">
        <v>3</v>
      </c>
      <c r="F1325" t="s">
        <v>4</v>
      </c>
      <c r="G1325" s="2" t="str">
        <f t="shared" si="20"/>
        <v>I_TRNTY/INFLOW</v>
      </c>
      <c r="H1325" t="s">
        <v>1381</v>
      </c>
      <c r="I1325" t="s">
        <v>1382</v>
      </c>
      <c r="J1325" t="s">
        <v>1634</v>
      </c>
      <c r="L1325" t="s">
        <v>8</v>
      </c>
      <c r="M1325" t="s">
        <v>8</v>
      </c>
      <c r="N1325" t="s">
        <v>9</v>
      </c>
    </row>
    <row r="1326" spans="2:14" x14ac:dyDescent="0.25">
      <c r="B1326" t="s">
        <v>0</v>
      </c>
      <c r="C1326" t="s">
        <v>1635</v>
      </c>
      <c r="D1326" t="s">
        <v>1380</v>
      </c>
      <c r="E1326" t="s">
        <v>3</v>
      </c>
      <c r="F1326" t="s">
        <v>4</v>
      </c>
      <c r="G1326" s="2" t="str">
        <f t="shared" si="20"/>
        <v>I_SLYCK/INFLOW</v>
      </c>
      <c r="H1326" t="s">
        <v>1381</v>
      </c>
      <c r="I1326" t="s">
        <v>1382</v>
      </c>
      <c r="J1326" t="s">
        <v>1636</v>
      </c>
      <c r="L1326" t="s">
        <v>8</v>
      </c>
      <c r="M1326" t="s">
        <v>8</v>
      </c>
      <c r="N1326" t="s">
        <v>9</v>
      </c>
    </row>
    <row r="1327" spans="2:14" x14ac:dyDescent="0.25">
      <c r="B1327" t="s">
        <v>0</v>
      </c>
      <c r="C1327" t="s">
        <v>1637</v>
      </c>
      <c r="D1327" t="s">
        <v>1380</v>
      </c>
      <c r="E1327" t="s">
        <v>3</v>
      </c>
      <c r="F1327" t="s">
        <v>4</v>
      </c>
      <c r="G1327" s="2" t="str">
        <f t="shared" si="20"/>
        <v>I_SILVR/INFLOW</v>
      </c>
      <c r="H1327" t="s">
        <v>1381</v>
      </c>
      <c r="I1327" t="s">
        <v>1382</v>
      </c>
      <c r="J1327" t="s">
        <v>1638</v>
      </c>
      <c r="L1327" t="s">
        <v>8</v>
      </c>
      <c r="M1327" t="s">
        <v>8</v>
      </c>
      <c r="N1327" t="s">
        <v>9</v>
      </c>
    </row>
    <row r="1328" spans="2:14" x14ac:dyDescent="0.25">
      <c r="B1328" t="s">
        <v>0</v>
      </c>
      <c r="C1328" t="s">
        <v>1639</v>
      </c>
      <c r="D1328" t="s">
        <v>1380</v>
      </c>
      <c r="E1328" t="s">
        <v>3</v>
      </c>
      <c r="F1328" t="s">
        <v>4</v>
      </c>
      <c r="G1328" s="2" t="str">
        <f t="shared" si="20"/>
        <v>I_SLUIS/INFLOW</v>
      </c>
      <c r="H1328" t="s">
        <v>1381</v>
      </c>
      <c r="I1328" t="s">
        <v>1382</v>
      </c>
      <c r="J1328" t="s">
        <v>1640</v>
      </c>
      <c r="L1328" t="s">
        <v>8</v>
      </c>
      <c r="M1328" t="s">
        <v>8</v>
      </c>
      <c r="N1328" t="s">
        <v>9</v>
      </c>
    </row>
    <row r="1329" spans="2:14" x14ac:dyDescent="0.25">
      <c r="B1329" t="s">
        <v>0</v>
      </c>
      <c r="C1329" t="s">
        <v>1641</v>
      </c>
      <c r="D1329" t="s">
        <v>1380</v>
      </c>
      <c r="E1329" t="s">
        <v>3</v>
      </c>
      <c r="F1329" t="s">
        <v>4</v>
      </c>
      <c r="G1329" s="2" t="str">
        <f t="shared" si="20"/>
        <v>I_SJR265/INFLOW</v>
      </c>
      <c r="H1329" t="s">
        <v>1381</v>
      </c>
      <c r="I1329" t="s">
        <v>1382</v>
      </c>
      <c r="J1329" t="s">
        <v>1642</v>
      </c>
      <c r="L1329" t="s">
        <v>8</v>
      </c>
      <c r="M1329" t="s">
        <v>8</v>
      </c>
      <c r="N1329" t="s">
        <v>9</v>
      </c>
    </row>
    <row r="1330" spans="2:14" x14ac:dyDescent="0.25">
      <c r="B1330" t="s">
        <v>0</v>
      </c>
      <c r="C1330" t="s">
        <v>1643</v>
      </c>
      <c r="D1330" t="s">
        <v>1380</v>
      </c>
      <c r="E1330" t="s">
        <v>3</v>
      </c>
      <c r="F1330" t="s">
        <v>4</v>
      </c>
      <c r="G1330" s="2" t="str">
        <f t="shared" si="20"/>
        <v>I_RUB047/INFLOW</v>
      </c>
      <c r="H1330" t="s">
        <v>1381</v>
      </c>
      <c r="I1330" t="s">
        <v>1382</v>
      </c>
      <c r="J1330" t="s">
        <v>1644</v>
      </c>
      <c r="L1330" t="s">
        <v>8</v>
      </c>
      <c r="M1330" t="s">
        <v>8</v>
      </c>
      <c r="N1330" t="s">
        <v>9</v>
      </c>
    </row>
    <row r="1331" spans="2:14" x14ac:dyDescent="0.25">
      <c r="B1331" t="s">
        <v>0</v>
      </c>
      <c r="C1331" t="s">
        <v>1645</v>
      </c>
      <c r="D1331" t="s">
        <v>1380</v>
      </c>
      <c r="E1331" t="s">
        <v>3</v>
      </c>
      <c r="F1331" t="s">
        <v>4</v>
      </c>
      <c r="G1331" s="2" t="str">
        <f t="shared" si="20"/>
        <v>I_CHC000/INFLOW</v>
      </c>
      <c r="H1331" t="s">
        <v>1381</v>
      </c>
      <c r="I1331" t="s">
        <v>1382</v>
      </c>
      <c r="J1331" t="s">
        <v>1646</v>
      </c>
      <c r="L1331" t="s">
        <v>8</v>
      </c>
      <c r="M1331" t="s">
        <v>8</v>
      </c>
      <c r="N1331" t="s">
        <v>9</v>
      </c>
    </row>
    <row r="1332" spans="2:14" x14ac:dyDescent="0.25">
      <c r="B1332" t="s">
        <v>0</v>
      </c>
      <c r="C1332" t="s">
        <v>1647</v>
      </c>
      <c r="D1332" t="s">
        <v>1380</v>
      </c>
      <c r="E1332" t="s">
        <v>3</v>
      </c>
      <c r="F1332" t="s">
        <v>4</v>
      </c>
      <c r="G1332" s="2" t="str">
        <f t="shared" si="20"/>
        <v>I_NHGAN/INFLOW</v>
      </c>
      <c r="H1332" t="s">
        <v>1381</v>
      </c>
      <c r="I1332" t="s">
        <v>1382</v>
      </c>
      <c r="J1332" t="s">
        <v>1648</v>
      </c>
      <c r="L1332" t="s">
        <v>8</v>
      </c>
      <c r="M1332" t="s">
        <v>8</v>
      </c>
      <c r="N1332" t="s">
        <v>9</v>
      </c>
    </row>
    <row r="1333" spans="2:14" x14ac:dyDescent="0.25">
      <c r="B1333" t="s">
        <v>0</v>
      </c>
      <c r="C1333" t="s">
        <v>1649</v>
      </c>
      <c r="D1333" t="s">
        <v>1380</v>
      </c>
      <c r="E1333" t="s">
        <v>3</v>
      </c>
      <c r="F1333" t="s">
        <v>4</v>
      </c>
      <c r="G1333" s="2" t="str">
        <f t="shared" si="20"/>
        <v>I_MTMDW/INFLOW</v>
      </c>
      <c r="H1333" t="s">
        <v>1381</v>
      </c>
      <c r="I1333" t="s">
        <v>1382</v>
      </c>
      <c r="J1333" t="s">
        <v>1650</v>
      </c>
      <c r="L1333" t="s">
        <v>8</v>
      </c>
      <c r="M1333" t="s">
        <v>8</v>
      </c>
      <c r="N1333" t="s">
        <v>9</v>
      </c>
    </row>
    <row r="1334" spans="2:14" x14ac:dyDescent="0.25">
      <c r="B1334" t="s">
        <v>0</v>
      </c>
      <c r="C1334" t="s">
        <v>1651</v>
      </c>
      <c r="D1334" t="s">
        <v>1380</v>
      </c>
      <c r="E1334" t="s">
        <v>3</v>
      </c>
      <c r="F1334" t="s">
        <v>4</v>
      </c>
      <c r="G1334" s="2" t="str">
        <f t="shared" si="20"/>
        <v>I_MLRTN/INFLOW</v>
      </c>
      <c r="H1334" t="s">
        <v>1381</v>
      </c>
      <c r="I1334" t="s">
        <v>1382</v>
      </c>
      <c r="J1334" t="s">
        <v>1652</v>
      </c>
      <c r="L1334" t="s">
        <v>8</v>
      </c>
      <c r="M1334" t="s">
        <v>8</v>
      </c>
      <c r="N1334" t="s">
        <v>9</v>
      </c>
    </row>
    <row r="1335" spans="2:14" x14ac:dyDescent="0.25">
      <c r="B1335" t="s">
        <v>0</v>
      </c>
      <c r="C1335" t="s">
        <v>1653</v>
      </c>
      <c r="D1335" t="s">
        <v>1380</v>
      </c>
      <c r="E1335" t="s">
        <v>3</v>
      </c>
      <c r="F1335" t="s">
        <v>4</v>
      </c>
      <c r="G1335" s="2" t="str">
        <f t="shared" si="20"/>
        <v>I_MFS022/INFLOW</v>
      </c>
      <c r="H1335" t="s">
        <v>1381</v>
      </c>
      <c r="I1335" t="s">
        <v>1382</v>
      </c>
      <c r="J1335" t="s">
        <v>1654</v>
      </c>
      <c r="L1335" t="s">
        <v>8</v>
      </c>
      <c r="M1335" t="s">
        <v>8</v>
      </c>
      <c r="N1335" t="s">
        <v>9</v>
      </c>
    </row>
    <row r="1336" spans="2:14" x14ac:dyDescent="0.25">
      <c r="B1336" t="s">
        <v>0</v>
      </c>
      <c r="C1336" t="s">
        <v>1655</v>
      </c>
      <c r="D1336" t="s">
        <v>1380</v>
      </c>
      <c r="E1336" t="s">
        <v>3</v>
      </c>
      <c r="F1336" t="s">
        <v>4</v>
      </c>
      <c r="G1336" s="2" t="str">
        <f t="shared" si="20"/>
        <v>I_MERLC/INFLOW</v>
      </c>
      <c r="H1336" t="s">
        <v>1381</v>
      </c>
      <c r="I1336" t="s">
        <v>1382</v>
      </c>
      <c r="J1336" t="s">
        <v>1656</v>
      </c>
      <c r="L1336" t="s">
        <v>8</v>
      </c>
      <c r="M1336" t="s">
        <v>8</v>
      </c>
      <c r="N1336" t="s">
        <v>9</v>
      </c>
    </row>
    <row r="1337" spans="2:14" x14ac:dyDescent="0.25">
      <c r="B1337" t="s">
        <v>0</v>
      </c>
      <c r="C1337" t="s">
        <v>1657</v>
      </c>
      <c r="D1337" t="s">
        <v>1380</v>
      </c>
      <c r="E1337" t="s">
        <v>3</v>
      </c>
      <c r="F1337" t="s">
        <v>4</v>
      </c>
      <c r="G1337" s="2" t="str">
        <f t="shared" si="20"/>
        <v>I_LKVLY/INFLOW</v>
      </c>
      <c r="H1337" t="s">
        <v>1381</v>
      </c>
      <c r="I1337" t="s">
        <v>1382</v>
      </c>
      <c r="J1337" t="s">
        <v>1658</v>
      </c>
      <c r="L1337" t="s">
        <v>8</v>
      </c>
      <c r="M1337" t="s">
        <v>8</v>
      </c>
      <c r="N1337" t="s">
        <v>9</v>
      </c>
    </row>
    <row r="1338" spans="2:14" x14ac:dyDescent="0.25">
      <c r="B1338" t="s">
        <v>0</v>
      </c>
      <c r="C1338" t="s">
        <v>1659</v>
      </c>
      <c r="D1338" t="s">
        <v>1380</v>
      </c>
      <c r="E1338" t="s">
        <v>3</v>
      </c>
      <c r="F1338" t="s">
        <v>4</v>
      </c>
      <c r="G1338" s="2" t="str">
        <f t="shared" si="20"/>
        <v>I_SHSTA/INFLOW</v>
      </c>
      <c r="H1338" t="s">
        <v>1381</v>
      </c>
      <c r="I1338" t="s">
        <v>1382</v>
      </c>
      <c r="J1338" t="s">
        <v>1660</v>
      </c>
      <c r="L1338" t="s">
        <v>8</v>
      </c>
      <c r="M1338" t="s">
        <v>8</v>
      </c>
      <c r="N1338" t="s">
        <v>9</v>
      </c>
    </row>
    <row r="1339" spans="2:14" x14ac:dyDescent="0.25">
      <c r="B1339" t="s">
        <v>0</v>
      </c>
      <c r="C1339" t="s">
        <v>1661</v>
      </c>
      <c r="D1339" t="s">
        <v>1380</v>
      </c>
      <c r="E1339" t="s">
        <v>3</v>
      </c>
      <c r="F1339" t="s">
        <v>4</v>
      </c>
      <c r="G1339" s="2" t="str">
        <f t="shared" si="20"/>
        <v>I_MCLRE/INFLOW</v>
      </c>
      <c r="H1339" t="s">
        <v>1381</v>
      </c>
      <c r="I1339" t="s">
        <v>1382</v>
      </c>
      <c r="J1339" t="s">
        <v>1662</v>
      </c>
      <c r="L1339" t="s">
        <v>8</v>
      </c>
      <c r="M1339" t="s">
        <v>8</v>
      </c>
      <c r="N1339" t="s">
        <v>9</v>
      </c>
    </row>
    <row r="1340" spans="2:14" x14ac:dyDescent="0.25">
      <c r="B1340" t="s">
        <v>0</v>
      </c>
      <c r="C1340" t="s">
        <v>1663</v>
      </c>
      <c r="D1340" t="s">
        <v>1380</v>
      </c>
      <c r="E1340" t="s">
        <v>3</v>
      </c>
      <c r="F1340" t="s">
        <v>4</v>
      </c>
      <c r="G1340" s="2" t="str">
        <f t="shared" si="20"/>
        <v>I_LLOYD/INFLOW</v>
      </c>
      <c r="H1340" t="s">
        <v>1381</v>
      </c>
      <c r="I1340" t="s">
        <v>1382</v>
      </c>
      <c r="J1340" t="s">
        <v>1664</v>
      </c>
      <c r="L1340" t="s">
        <v>8</v>
      </c>
      <c r="M1340" t="s">
        <v>8</v>
      </c>
      <c r="N1340" t="s">
        <v>9</v>
      </c>
    </row>
    <row r="1341" spans="2:14" x14ac:dyDescent="0.25">
      <c r="B1341" t="s">
        <v>0</v>
      </c>
      <c r="C1341" t="s">
        <v>1665</v>
      </c>
      <c r="D1341" t="s">
        <v>1380</v>
      </c>
      <c r="E1341" t="s">
        <v>3</v>
      </c>
      <c r="F1341" t="s">
        <v>4</v>
      </c>
      <c r="G1341" s="2" t="str">
        <f t="shared" si="20"/>
        <v>I_HNSLY/INFLOW</v>
      </c>
      <c r="H1341" t="s">
        <v>1381</v>
      </c>
      <c r="I1341" t="s">
        <v>1382</v>
      </c>
      <c r="J1341" t="s">
        <v>1666</v>
      </c>
      <c r="L1341" t="s">
        <v>8</v>
      </c>
      <c r="M1341" t="s">
        <v>8</v>
      </c>
      <c r="N1341" t="s">
        <v>9</v>
      </c>
    </row>
    <row r="1342" spans="2:14" x14ac:dyDescent="0.25">
      <c r="B1342" t="s">
        <v>0</v>
      </c>
      <c r="C1342" t="s">
        <v>1667</v>
      </c>
      <c r="D1342" t="s">
        <v>1380</v>
      </c>
      <c r="E1342" t="s">
        <v>3</v>
      </c>
      <c r="F1342" t="s">
        <v>4</v>
      </c>
      <c r="G1342" s="2" t="str">
        <f t="shared" si="20"/>
        <v>I_ELENR/INFLOW</v>
      </c>
      <c r="H1342" t="s">
        <v>1381</v>
      </c>
      <c r="I1342" t="s">
        <v>1382</v>
      </c>
      <c r="J1342" t="s">
        <v>1668</v>
      </c>
      <c r="L1342" t="s">
        <v>8</v>
      </c>
      <c r="M1342" t="s">
        <v>8</v>
      </c>
      <c r="N1342" t="s">
        <v>9</v>
      </c>
    </row>
    <row r="1343" spans="2:14" x14ac:dyDescent="0.25">
      <c r="B1343" t="s">
        <v>0</v>
      </c>
      <c r="C1343" t="s">
        <v>1669</v>
      </c>
      <c r="D1343" t="s">
        <v>1380</v>
      </c>
      <c r="E1343" t="s">
        <v>3</v>
      </c>
      <c r="F1343" t="s">
        <v>4</v>
      </c>
      <c r="G1343" s="2" t="str">
        <f t="shared" si="20"/>
        <v>I_ESTMN/INFLOW</v>
      </c>
      <c r="H1343" t="s">
        <v>1381</v>
      </c>
      <c r="I1343" t="s">
        <v>1382</v>
      </c>
      <c r="J1343" t="s">
        <v>1670</v>
      </c>
      <c r="L1343" t="s">
        <v>8</v>
      </c>
      <c r="M1343" t="s">
        <v>8</v>
      </c>
      <c r="N1343" t="s">
        <v>9</v>
      </c>
    </row>
    <row r="1344" spans="2:14" x14ac:dyDescent="0.25">
      <c r="B1344" t="s">
        <v>0</v>
      </c>
      <c r="C1344" t="s">
        <v>1671</v>
      </c>
      <c r="D1344" t="s">
        <v>1380</v>
      </c>
      <c r="E1344" t="s">
        <v>3</v>
      </c>
      <c r="F1344" t="s">
        <v>4</v>
      </c>
      <c r="G1344" s="2" t="str">
        <f t="shared" si="20"/>
        <v>I_PTH070/INFLOW</v>
      </c>
      <c r="H1344" t="s">
        <v>1381</v>
      </c>
      <c r="I1344" t="s">
        <v>1382</v>
      </c>
      <c r="J1344" t="s">
        <v>1672</v>
      </c>
      <c r="L1344" t="s">
        <v>8</v>
      </c>
      <c r="M1344" t="s">
        <v>8</v>
      </c>
      <c r="N1344" t="s">
        <v>9</v>
      </c>
    </row>
    <row r="1345" spans="2:14" x14ac:dyDescent="0.25">
      <c r="B1345" t="s">
        <v>0</v>
      </c>
      <c r="C1345" t="s">
        <v>1673</v>
      </c>
      <c r="D1345" t="s">
        <v>1380</v>
      </c>
      <c r="E1345" t="s">
        <v>3</v>
      </c>
      <c r="F1345" t="s">
        <v>4</v>
      </c>
      <c r="G1345" s="2" t="str">
        <f t="shared" si="20"/>
        <v>I_ALOHA/INFLOW</v>
      </c>
      <c r="H1345" t="s">
        <v>1381</v>
      </c>
      <c r="I1345" t="s">
        <v>1382</v>
      </c>
      <c r="J1345" t="s">
        <v>1674</v>
      </c>
      <c r="L1345" t="s">
        <v>8</v>
      </c>
      <c r="M1345" t="s">
        <v>8</v>
      </c>
      <c r="N1345" t="s">
        <v>9</v>
      </c>
    </row>
    <row r="1346" spans="2:14" x14ac:dyDescent="0.25">
      <c r="B1346" t="s">
        <v>0</v>
      </c>
      <c r="C1346" t="s">
        <v>1675</v>
      </c>
      <c r="D1346" t="s">
        <v>1380</v>
      </c>
      <c r="E1346" t="s">
        <v>3</v>
      </c>
      <c r="F1346" t="s">
        <v>4</v>
      </c>
      <c r="G1346" s="2" t="str">
        <f t="shared" si="20"/>
        <v>I_ALMNR/INFLOW</v>
      </c>
      <c r="H1346" t="s">
        <v>1381</v>
      </c>
      <c r="I1346" t="s">
        <v>1382</v>
      </c>
      <c r="J1346" t="s">
        <v>1676</v>
      </c>
      <c r="L1346" t="s">
        <v>8</v>
      </c>
      <c r="M1346" t="s">
        <v>8</v>
      </c>
      <c r="N1346" t="s">
        <v>9</v>
      </c>
    </row>
    <row r="1347" spans="2:14" x14ac:dyDescent="0.25">
      <c r="B1347" t="s">
        <v>0</v>
      </c>
      <c r="C1347" t="s">
        <v>1677</v>
      </c>
      <c r="D1347" t="s">
        <v>1380</v>
      </c>
      <c r="E1347" t="s">
        <v>3</v>
      </c>
      <c r="F1347" t="s">
        <v>4</v>
      </c>
      <c r="G1347" s="2" t="str">
        <f t="shared" ref="G1347:G1410" si="21">_xlfn.CONCAT(C1347,"/",D1347)</f>
        <v>I_JNKSN/INFLOW</v>
      </c>
      <c r="H1347" t="s">
        <v>1381</v>
      </c>
      <c r="I1347" t="s">
        <v>1382</v>
      </c>
      <c r="J1347" t="s">
        <v>1678</v>
      </c>
      <c r="L1347" t="s">
        <v>8</v>
      </c>
      <c r="M1347" t="s">
        <v>8</v>
      </c>
      <c r="N1347" t="s">
        <v>9</v>
      </c>
    </row>
    <row r="1348" spans="2:14" x14ac:dyDescent="0.25">
      <c r="B1348" t="s">
        <v>0</v>
      </c>
      <c r="C1348" t="s">
        <v>1679</v>
      </c>
      <c r="D1348" t="s">
        <v>1380</v>
      </c>
      <c r="E1348" t="s">
        <v>3</v>
      </c>
      <c r="F1348" t="s">
        <v>4</v>
      </c>
      <c r="G1348" s="2" t="str">
        <f t="shared" si="21"/>
        <v>I_JKSMD/INFLOW</v>
      </c>
      <c r="H1348" t="s">
        <v>1381</v>
      </c>
      <c r="I1348" t="s">
        <v>1382</v>
      </c>
      <c r="J1348" t="s">
        <v>1680</v>
      </c>
      <c r="L1348" t="s">
        <v>8</v>
      </c>
      <c r="M1348" t="s">
        <v>8</v>
      </c>
      <c r="N1348" t="s">
        <v>9</v>
      </c>
    </row>
    <row r="1349" spans="2:14" x14ac:dyDescent="0.25">
      <c r="B1349" t="s">
        <v>0</v>
      </c>
      <c r="C1349" t="s">
        <v>1681</v>
      </c>
      <c r="D1349" t="s">
        <v>1380</v>
      </c>
      <c r="E1349" t="s">
        <v>3</v>
      </c>
      <c r="F1349" t="s">
        <v>4</v>
      </c>
      <c r="G1349" s="2" t="str">
        <f t="shared" si="21"/>
        <v>I_INDVL/INFLOW</v>
      </c>
      <c r="H1349" t="s">
        <v>1381</v>
      </c>
      <c r="I1349" t="s">
        <v>1382</v>
      </c>
      <c r="J1349" t="s">
        <v>1682</v>
      </c>
      <c r="L1349" t="s">
        <v>8</v>
      </c>
      <c r="M1349" t="s">
        <v>8</v>
      </c>
      <c r="N1349" t="s">
        <v>9</v>
      </c>
    </row>
    <row r="1350" spans="2:14" x14ac:dyDescent="0.25">
      <c r="B1350" t="s">
        <v>0</v>
      </c>
      <c r="C1350" t="s">
        <v>1683</v>
      </c>
      <c r="D1350" t="s">
        <v>1380</v>
      </c>
      <c r="E1350" t="s">
        <v>3</v>
      </c>
      <c r="F1350" t="s">
        <v>4</v>
      </c>
      <c r="G1350" s="2" t="str">
        <f t="shared" si="21"/>
        <v>I_ICEHS/INFLOW</v>
      </c>
      <c r="H1350" t="s">
        <v>1381</v>
      </c>
      <c r="I1350" t="s">
        <v>1382</v>
      </c>
      <c r="J1350" t="s">
        <v>1684</v>
      </c>
      <c r="L1350" t="s">
        <v>8</v>
      </c>
      <c r="M1350" t="s">
        <v>8</v>
      </c>
      <c r="N1350" t="s">
        <v>9</v>
      </c>
    </row>
    <row r="1351" spans="2:14" x14ac:dyDescent="0.25">
      <c r="B1351" t="s">
        <v>0</v>
      </c>
      <c r="C1351" t="s">
        <v>1685</v>
      </c>
      <c r="D1351" t="s">
        <v>1380</v>
      </c>
      <c r="E1351" t="s">
        <v>3</v>
      </c>
      <c r="F1351" t="s">
        <v>4</v>
      </c>
      <c r="G1351" s="2" t="str">
        <f t="shared" si="21"/>
        <v>I_HTCHY/INFLOW</v>
      </c>
      <c r="H1351" t="s">
        <v>1381</v>
      </c>
      <c r="I1351" t="s">
        <v>1382</v>
      </c>
      <c r="J1351" t="s">
        <v>1686</v>
      </c>
      <c r="L1351" t="s">
        <v>8</v>
      </c>
      <c r="M1351" t="s">
        <v>8</v>
      </c>
      <c r="N1351" t="s">
        <v>9</v>
      </c>
    </row>
    <row r="1352" spans="2:14" x14ac:dyDescent="0.25">
      <c r="B1352" t="s">
        <v>0</v>
      </c>
      <c r="C1352" t="s">
        <v>1687</v>
      </c>
      <c r="D1352" t="s">
        <v>1380</v>
      </c>
      <c r="E1352" t="s">
        <v>3</v>
      </c>
      <c r="F1352" t="s">
        <v>4</v>
      </c>
      <c r="G1352" s="2" t="str">
        <f t="shared" si="21"/>
        <v>I_GZL009/INFLOW</v>
      </c>
      <c r="H1352" t="s">
        <v>1381</v>
      </c>
      <c r="I1352" t="s">
        <v>1382</v>
      </c>
      <c r="J1352" t="s">
        <v>1688</v>
      </c>
      <c r="L1352" t="s">
        <v>8</v>
      </c>
      <c r="M1352" t="s">
        <v>8</v>
      </c>
      <c r="N1352" t="s">
        <v>9</v>
      </c>
    </row>
    <row r="1353" spans="2:14" x14ac:dyDescent="0.25">
      <c r="B1353" t="s">
        <v>0</v>
      </c>
      <c r="C1353" t="s">
        <v>1689</v>
      </c>
      <c r="D1353" t="s">
        <v>1380</v>
      </c>
      <c r="E1353" t="s">
        <v>3</v>
      </c>
      <c r="F1353" t="s">
        <v>4</v>
      </c>
      <c r="G1353" s="2" t="str">
        <f t="shared" si="21"/>
        <v>I_FRMAN/INFLOW</v>
      </c>
      <c r="H1353" t="s">
        <v>1381</v>
      </c>
      <c r="I1353" t="s">
        <v>1382</v>
      </c>
      <c r="J1353" t="s">
        <v>1690</v>
      </c>
      <c r="L1353" t="s">
        <v>8</v>
      </c>
      <c r="M1353" t="s">
        <v>8</v>
      </c>
      <c r="N1353" t="s">
        <v>9</v>
      </c>
    </row>
    <row r="1354" spans="2:14" x14ac:dyDescent="0.25">
      <c r="B1354" t="s">
        <v>0</v>
      </c>
      <c r="C1354" t="s">
        <v>1691</v>
      </c>
      <c r="D1354" t="s">
        <v>1380</v>
      </c>
      <c r="E1354" t="s">
        <v>3</v>
      </c>
      <c r="F1354" t="s">
        <v>4</v>
      </c>
      <c r="G1354" s="2" t="str">
        <f t="shared" si="21"/>
        <v>I_LJC022/INFLOW</v>
      </c>
      <c r="H1354" t="s">
        <v>1381</v>
      </c>
      <c r="I1354" t="s">
        <v>1382</v>
      </c>
      <c r="J1354" t="s">
        <v>1692</v>
      </c>
      <c r="L1354" t="s">
        <v>8</v>
      </c>
      <c r="M1354" t="s">
        <v>8</v>
      </c>
      <c r="N1354" t="s">
        <v>9</v>
      </c>
    </row>
    <row r="1355" spans="2:14" x14ac:dyDescent="0.25">
      <c r="B1355" t="s">
        <v>0</v>
      </c>
      <c r="C1355" t="s">
        <v>1693</v>
      </c>
      <c r="D1355" t="s">
        <v>1380</v>
      </c>
      <c r="E1355" t="s">
        <v>3</v>
      </c>
      <c r="F1355" t="s">
        <v>4</v>
      </c>
      <c r="G1355" s="2" t="str">
        <f t="shared" si="21"/>
        <v>I_ECHOL/INFLOW</v>
      </c>
      <c r="H1355" t="s">
        <v>1381</v>
      </c>
      <c r="I1355" t="s">
        <v>1382</v>
      </c>
      <c r="J1355" t="s">
        <v>1694</v>
      </c>
      <c r="L1355" t="s">
        <v>8</v>
      </c>
      <c r="M1355" t="s">
        <v>8</v>
      </c>
      <c r="N1355" t="s">
        <v>9</v>
      </c>
    </row>
    <row r="1356" spans="2:14" x14ac:dyDescent="0.25">
      <c r="B1356" t="s">
        <v>0</v>
      </c>
      <c r="C1356" t="s">
        <v>1695</v>
      </c>
      <c r="D1356" t="s">
        <v>1380</v>
      </c>
      <c r="E1356" t="s">
        <v>3</v>
      </c>
      <c r="F1356" t="s">
        <v>4</v>
      </c>
      <c r="G1356" s="2" t="str">
        <f t="shared" si="21"/>
        <v>I_EPARK/INFLOW</v>
      </c>
      <c r="H1356" t="s">
        <v>1381</v>
      </c>
      <c r="I1356" t="s">
        <v>1382</v>
      </c>
      <c r="J1356" t="s">
        <v>1696</v>
      </c>
      <c r="L1356" t="s">
        <v>8</v>
      </c>
      <c r="M1356" t="s">
        <v>8</v>
      </c>
      <c r="N1356" t="s">
        <v>9</v>
      </c>
    </row>
    <row r="1357" spans="2:14" x14ac:dyDescent="0.25">
      <c r="B1357" t="s">
        <v>0</v>
      </c>
      <c r="C1357" t="s">
        <v>1697</v>
      </c>
      <c r="D1357" t="s">
        <v>1380</v>
      </c>
      <c r="E1357" t="s">
        <v>3</v>
      </c>
      <c r="F1357" t="s">
        <v>4</v>
      </c>
      <c r="G1357" s="2" t="str">
        <f t="shared" si="21"/>
        <v>I_DONLL/INFLOW</v>
      </c>
      <c r="H1357" t="s">
        <v>1381</v>
      </c>
      <c r="I1357" t="s">
        <v>1382</v>
      </c>
      <c r="J1357" t="s">
        <v>1698</v>
      </c>
      <c r="L1357" t="s">
        <v>8</v>
      </c>
      <c r="M1357" t="s">
        <v>8</v>
      </c>
      <c r="N1357" t="s">
        <v>9</v>
      </c>
    </row>
    <row r="1358" spans="2:14" x14ac:dyDescent="0.25">
      <c r="B1358" t="s">
        <v>0</v>
      </c>
      <c r="C1358" t="s">
        <v>1699</v>
      </c>
      <c r="D1358" t="s">
        <v>1380</v>
      </c>
      <c r="E1358" t="s">
        <v>3</v>
      </c>
      <c r="F1358" t="s">
        <v>4</v>
      </c>
      <c r="G1358" s="2" t="str">
        <f t="shared" si="21"/>
        <v>I_PEDRO/INFLOW</v>
      </c>
      <c r="H1358" t="s">
        <v>1381</v>
      </c>
      <c r="I1358" t="s">
        <v>1382</v>
      </c>
      <c r="J1358" t="s">
        <v>1700</v>
      </c>
      <c r="L1358" t="s">
        <v>8</v>
      </c>
      <c r="M1358" t="s">
        <v>8</v>
      </c>
      <c r="N1358" t="s">
        <v>9</v>
      </c>
    </row>
    <row r="1359" spans="2:14" x14ac:dyDescent="0.25">
      <c r="B1359" t="s">
        <v>0</v>
      </c>
      <c r="C1359" t="s">
        <v>1701</v>
      </c>
      <c r="D1359" t="s">
        <v>1380</v>
      </c>
      <c r="E1359" t="s">
        <v>3</v>
      </c>
      <c r="F1359" t="s">
        <v>4</v>
      </c>
      <c r="G1359" s="2" t="str">
        <f t="shared" si="21"/>
        <v>I_CLRLK/INFLOW</v>
      </c>
      <c r="H1359" t="s">
        <v>1381</v>
      </c>
      <c r="I1359" t="s">
        <v>1382</v>
      </c>
      <c r="J1359" t="s">
        <v>1702</v>
      </c>
      <c r="L1359" t="s">
        <v>8</v>
      </c>
      <c r="M1359" t="s">
        <v>8</v>
      </c>
      <c r="N1359" t="s">
        <v>9</v>
      </c>
    </row>
    <row r="1360" spans="2:14" x14ac:dyDescent="0.25">
      <c r="B1360" t="s">
        <v>0</v>
      </c>
      <c r="C1360" t="s">
        <v>1703</v>
      </c>
      <c r="D1360" t="s">
        <v>1380</v>
      </c>
      <c r="E1360" t="s">
        <v>3</v>
      </c>
      <c r="F1360" t="s">
        <v>4</v>
      </c>
      <c r="G1360" s="2" t="str">
        <f t="shared" si="21"/>
        <v>I_CAPLS/INFLOW</v>
      </c>
      <c r="H1360" t="s">
        <v>1381</v>
      </c>
      <c r="I1360" t="s">
        <v>1382</v>
      </c>
      <c r="J1360" t="s">
        <v>1704</v>
      </c>
      <c r="L1360" t="s">
        <v>8</v>
      </c>
      <c r="M1360" t="s">
        <v>8</v>
      </c>
      <c r="N1360" t="s">
        <v>9</v>
      </c>
    </row>
    <row r="1361" spans="2:14" x14ac:dyDescent="0.25">
      <c r="B1361" t="s">
        <v>0</v>
      </c>
      <c r="C1361" t="s">
        <v>1705</v>
      </c>
      <c r="D1361" t="s">
        <v>1380</v>
      </c>
      <c r="E1361" t="s">
        <v>3</v>
      </c>
      <c r="F1361" t="s">
        <v>4</v>
      </c>
      <c r="G1361" s="2" t="str">
        <f t="shared" si="21"/>
        <v>I_BTVLY/INFLOW</v>
      </c>
      <c r="H1361" t="s">
        <v>1381</v>
      </c>
      <c r="I1361" t="s">
        <v>1382</v>
      </c>
      <c r="J1361" t="s">
        <v>1706</v>
      </c>
      <c r="L1361" t="s">
        <v>8</v>
      </c>
      <c r="M1361" t="s">
        <v>8</v>
      </c>
      <c r="N1361" t="s">
        <v>9</v>
      </c>
    </row>
    <row r="1362" spans="2:14" x14ac:dyDescent="0.25">
      <c r="B1362" t="s">
        <v>0</v>
      </c>
      <c r="C1362" t="s">
        <v>1707</v>
      </c>
      <c r="D1362" t="s">
        <v>1380</v>
      </c>
      <c r="E1362" t="s">
        <v>3</v>
      </c>
      <c r="F1362" t="s">
        <v>4</v>
      </c>
      <c r="G1362" s="2" t="str">
        <f t="shared" si="21"/>
        <v>I_BUCKS/INFLOW</v>
      </c>
      <c r="H1362" t="s">
        <v>1381</v>
      </c>
      <c r="I1362" t="s">
        <v>1382</v>
      </c>
      <c r="J1362" t="s">
        <v>1708</v>
      </c>
      <c r="L1362" t="s">
        <v>8</v>
      </c>
      <c r="M1362" t="s">
        <v>8</v>
      </c>
      <c r="N1362" t="s">
        <v>9</v>
      </c>
    </row>
    <row r="1363" spans="2:14" x14ac:dyDescent="0.25">
      <c r="B1363" t="s">
        <v>0</v>
      </c>
      <c r="C1363" t="s">
        <v>1709</v>
      </c>
      <c r="D1363" t="s">
        <v>1380</v>
      </c>
      <c r="E1363" t="s">
        <v>3</v>
      </c>
      <c r="F1363" t="s">
        <v>4</v>
      </c>
      <c r="G1363" s="2" t="str">
        <f t="shared" si="21"/>
        <v>I_BEARD/INFLOW</v>
      </c>
      <c r="H1363" t="s">
        <v>1381</v>
      </c>
      <c r="I1363" t="s">
        <v>1382</v>
      </c>
      <c r="J1363" t="s">
        <v>1710</v>
      </c>
      <c r="L1363" t="s">
        <v>8</v>
      </c>
      <c r="M1363" t="s">
        <v>8</v>
      </c>
      <c r="N1363" t="s">
        <v>9</v>
      </c>
    </row>
    <row r="1364" spans="2:14" x14ac:dyDescent="0.25">
      <c r="B1364" t="s">
        <v>0</v>
      </c>
      <c r="C1364" t="s">
        <v>1711</v>
      </c>
      <c r="D1364" t="s">
        <v>1380</v>
      </c>
      <c r="E1364" t="s">
        <v>3</v>
      </c>
      <c r="F1364" t="s">
        <v>4</v>
      </c>
      <c r="G1364" s="2" t="str">
        <f t="shared" si="21"/>
        <v>I_BCK040/INFLOW</v>
      </c>
      <c r="H1364" t="s">
        <v>1381</v>
      </c>
      <c r="I1364" t="s">
        <v>1382</v>
      </c>
      <c r="J1364" t="s">
        <v>1712</v>
      </c>
      <c r="L1364" t="s">
        <v>8</v>
      </c>
      <c r="M1364" t="s">
        <v>8</v>
      </c>
      <c r="N1364" t="s">
        <v>9</v>
      </c>
    </row>
    <row r="1365" spans="2:14" x14ac:dyDescent="0.25">
      <c r="B1365" t="s">
        <v>0</v>
      </c>
      <c r="C1365" t="s">
        <v>1713</v>
      </c>
      <c r="D1365" t="s">
        <v>1380</v>
      </c>
      <c r="E1365" t="s">
        <v>3</v>
      </c>
      <c r="F1365" t="s">
        <v>4</v>
      </c>
      <c r="G1365" s="2" t="str">
        <f t="shared" si="21"/>
        <v>I_ANTLP/INFLOW</v>
      </c>
      <c r="H1365" t="s">
        <v>1381</v>
      </c>
      <c r="I1365" t="s">
        <v>1382</v>
      </c>
      <c r="J1365" t="s">
        <v>1714</v>
      </c>
      <c r="L1365" t="s">
        <v>8</v>
      </c>
      <c r="M1365" t="s">
        <v>8</v>
      </c>
      <c r="N1365" t="s">
        <v>9</v>
      </c>
    </row>
    <row r="1366" spans="2:14" x14ac:dyDescent="0.25">
      <c r="B1366" t="s">
        <v>0</v>
      </c>
      <c r="C1366" t="s">
        <v>1715</v>
      </c>
      <c r="D1366" t="s">
        <v>1380</v>
      </c>
      <c r="E1366" t="s">
        <v>3</v>
      </c>
      <c r="F1366" t="s">
        <v>4</v>
      </c>
      <c r="G1366" s="2" t="str">
        <f t="shared" si="21"/>
        <v>I_AMADR/INFLOW</v>
      </c>
      <c r="H1366" t="s">
        <v>1381</v>
      </c>
      <c r="I1366" t="s">
        <v>1382</v>
      </c>
      <c r="J1366" t="s">
        <v>1716</v>
      </c>
      <c r="L1366" t="s">
        <v>8</v>
      </c>
      <c r="M1366" t="s">
        <v>8</v>
      </c>
      <c r="N1366" t="s">
        <v>9</v>
      </c>
    </row>
    <row r="1367" spans="2:14" x14ac:dyDescent="0.25">
      <c r="B1367" t="s">
        <v>0</v>
      </c>
      <c r="C1367" t="s">
        <v>1717</v>
      </c>
      <c r="D1367" t="s">
        <v>1380</v>
      </c>
      <c r="E1367" t="s">
        <v>3</v>
      </c>
      <c r="F1367" t="s">
        <v>4</v>
      </c>
      <c r="G1367" s="2" t="str">
        <f t="shared" si="21"/>
        <v>I_RVPHB/INFLOW</v>
      </c>
      <c r="H1367" t="s">
        <v>1381</v>
      </c>
      <c r="I1367" t="s">
        <v>1382</v>
      </c>
      <c r="J1367" t="s">
        <v>1718</v>
      </c>
      <c r="L1367" t="s">
        <v>8</v>
      </c>
      <c r="M1367" t="s">
        <v>8</v>
      </c>
      <c r="N1367" t="s">
        <v>9</v>
      </c>
    </row>
    <row r="1368" spans="2:14" x14ac:dyDescent="0.25">
      <c r="B1368" t="s">
        <v>0</v>
      </c>
      <c r="C1368" t="s">
        <v>1719</v>
      </c>
      <c r="D1368" t="s">
        <v>1380</v>
      </c>
      <c r="E1368" t="s">
        <v>3</v>
      </c>
      <c r="F1368" t="s">
        <v>4</v>
      </c>
      <c r="G1368" s="2" t="str">
        <f t="shared" si="21"/>
        <v>I_WBF030/INFLOW</v>
      </c>
      <c r="H1368" t="s">
        <v>1381</v>
      </c>
      <c r="I1368" t="s">
        <v>1382</v>
      </c>
      <c r="J1368" t="s">
        <v>1718</v>
      </c>
      <c r="L1368" t="s">
        <v>8</v>
      </c>
      <c r="M1368" t="s">
        <v>8</v>
      </c>
      <c r="N1368" t="s">
        <v>9</v>
      </c>
    </row>
    <row r="1369" spans="2:14" x14ac:dyDescent="0.25">
      <c r="B1369" t="s">
        <v>0</v>
      </c>
      <c r="C1369" t="s">
        <v>1720</v>
      </c>
      <c r="D1369" t="s">
        <v>1380</v>
      </c>
      <c r="E1369" t="s">
        <v>3</v>
      </c>
      <c r="F1369" t="s">
        <v>4</v>
      </c>
      <c r="G1369" s="2" t="str">
        <f t="shared" si="21"/>
        <v>I_EBF001/INFLOW</v>
      </c>
      <c r="H1369" t="s">
        <v>1381</v>
      </c>
      <c r="I1369" t="s">
        <v>1382</v>
      </c>
      <c r="J1369" t="s">
        <v>1721</v>
      </c>
      <c r="L1369" t="s">
        <v>8</v>
      </c>
      <c r="M1369" t="s">
        <v>8</v>
      </c>
      <c r="N1369" t="s">
        <v>9</v>
      </c>
    </row>
    <row r="1370" spans="2:14" x14ac:dyDescent="0.25">
      <c r="B1370" t="s">
        <v>0</v>
      </c>
      <c r="C1370" t="s">
        <v>1722</v>
      </c>
      <c r="D1370" t="s">
        <v>1380</v>
      </c>
      <c r="E1370" t="s">
        <v>3</v>
      </c>
      <c r="F1370" t="s">
        <v>4</v>
      </c>
      <c r="G1370" s="2" t="str">
        <f t="shared" si="21"/>
        <v>I_OWN040/INFLOW</v>
      </c>
      <c r="H1370" t="s">
        <v>1381</v>
      </c>
      <c r="I1370" t="s">
        <v>1382</v>
      </c>
      <c r="J1370" t="s">
        <v>1723</v>
      </c>
      <c r="L1370" t="s">
        <v>8</v>
      </c>
      <c r="M1370" t="s">
        <v>8</v>
      </c>
      <c r="N1370" t="s">
        <v>9</v>
      </c>
    </row>
    <row r="1371" spans="2:14" x14ac:dyDescent="0.25">
      <c r="B1371" t="s">
        <v>0</v>
      </c>
      <c r="C1371" t="s">
        <v>1724</v>
      </c>
      <c r="D1371" t="s">
        <v>1380</v>
      </c>
      <c r="E1371" t="s">
        <v>3</v>
      </c>
      <c r="F1371" t="s">
        <v>4</v>
      </c>
      <c r="G1371" s="2" t="str">
        <f t="shared" si="21"/>
        <v>I_PARDE/INFLOW</v>
      </c>
      <c r="H1371" t="s">
        <v>1381</v>
      </c>
      <c r="I1371" t="s">
        <v>1382</v>
      </c>
      <c r="J1371" t="s">
        <v>1725</v>
      </c>
      <c r="L1371" t="s">
        <v>8</v>
      </c>
      <c r="M1371" t="s">
        <v>8</v>
      </c>
      <c r="N1371" t="s">
        <v>9</v>
      </c>
    </row>
    <row r="1372" spans="2:14" x14ac:dyDescent="0.25">
      <c r="B1372" t="s">
        <v>0</v>
      </c>
      <c r="C1372" t="s">
        <v>1726</v>
      </c>
      <c r="D1372" t="s">
        <v>1380</v>
      </c>
      <c r="E1372" t="s">
        <v>3</v>
      </c>
      <c r="F1372" t="s">
        <v>4</v>
      </c>
      <c r="G1372" s="2" t="str">
        <f t="shared" si="21"/>
        <v>I_MPS038/INFLOW</v>
      </c>
      <c r="H1372" t="s">
        <v>1381</v>
      </c>
      <c r="I1372" t="s">
        <v>1382</v>
      </c>
      <c r="J1372" t="s">
        <v>1727</v>
      </c>
      <c r="L1372" t="s">
        <v>8</v>
      </c>
      <c r="M1372" t="s">
        <v>8</v>
      </c>
      <c r="N1372" t="s">
        <v>9</v>
      </c>
    </row>
    <row r="1373" spans="2:14" x14ac:dyDescent="0.25">
      <c r="B1373" t="s">
        <v>0</v>
      </c>
      <c r="C1373" t="s">
        <v>1728</v>
      </c>
      <c r="D1373" t="s">
        <v>1380</v>
      </c>
      <c r="E1373" t="s">
        <v>3</v>
      </c>
      <c r="F1373" t="s">
        <v>4</v>
      </c>
      <c r="G1373" s="2" t="str">
        <f t="shared" si="21"/>
        <v>I_SJR258/INFLOW</v>
      </c>
      <c r="H1373" t="s">
        <v>1381</v>
      </c>
      <c r="I1373" t="s">
        <v>1382</v>
      </c>
      <c r="J1373" t="s">
        <v>1729</v>
      </c>
      <c r="L1373" t="s">
        <v>8</v>
      </c>
      <c r="M1373" t="s">
        <v>8</v>
      </c>
      <c r="N1373" t="s">
        <v>9</v>
      </c>
    </row>
    <row r="1374" spans="2:14" x14ac:dyDescent="0.25">
      <c r="B1374" t="s">
        <v>0</v>
      </c>
      <c r="C1374" t="s">
        <v>1730</v>
      </c>
      <c r="D1374" t="s">
        <v>1380</v>
      </c>
      <c r="E1374" t="s">
        <v>3</v>
      </c>
      <c r="F1374" t="s">
        <v>4</v>
      </c>
      <c r="G1374" s="2" t="str">
        <f t="shared" si="21"/>
        <v>I_DED044/INFLOW</v>
      </c>
      <c r="H1374" t="s">
        <v>1381</v>
      </c>
      <c r="I1374" t="s">
        <v>1382</v>
      </c>
      <c r="J1374" t="s">
        <v>1731</v>
      </c>
      <c r="L1374" t="s">
        <v>8</v>
      </c>
      <c r="M1374" t="s">
        <v>8</v>
      </c>
      <c r="N1374" t="s">
        <v>9</v>
      </c>
    </row>
    <row r="1375" spans="2:14" x14ac:dyDescent="0.25">
      <c r="B1375" t="s">
        <v>0</v>
      </c>
      <c r="C1375" t="s">
        <v>1732</v>
      </c>
      <c r="D1375" t="s">
        <v>1380</v>
      </c>
      <c r="E1375" t="s">
        <v>3</v>
      </c>
      <c r="F1375" t="s">
        <v>4</v>
      </c>
      <c r="G1375" s="2" t="str">
        <f t="shared" si="21"/>
        <v>I_COT033/INFLOW</v>
      </c>
      <c r="H1375" t="s">
        <v>1381</v>
      </c>
      <c r="I1375" t="s">
        <v>1382</v>
      </c>
      <c r="J1375" t="s">
        <v>1733</v>
      </c>
      <c r="L1375" t="s">
        <v>8</v>
      </c>
      <c r="M1375" t="s">
        <v>8</v>
      </c>
      <c r="N1375" t="s">
        <v>9</v>
      </c>
    </row>
    <row r="1376" spans="2:14" x14ac:dyDescent="0.25">
      <c r="B1376" t="s">
        <v>0</v>
      </c>
      <c r="C1376" t="s">
        <v>1734</v>
      </c>
      <c r="D1376" t="s">
        <v>1380</v>
      </c>
      <c r="E1376" t="s">
        <v>3</v>
      </c>
      <c r="F1376" t="s">
        <v>4</v>
      </c>
      <c r="G1376" s="2" t="str">
        <f t="shared" si="21"/>
        <v>I_BUR005/INFLOW</v>
      </c>
      <c r="H1376" t="s">
        <v>1381</v>
      </c>
      <c r="I1376" t="s">
        <v>1382</v>
      </c>
      <c r="J1376" t="s">
        <v>1735</v>
      </c>
      <c r="L1376" t="s">
        <v>8</v>
      </c>
      <c r="M1376" t="s">
        <v>8</v>
      </c>
      <c r="N1376" t="s">
        <v>9</v>
      </c>
    </row>
    <row r="1377" spans="2:14" x14ac:dyDescent="0.25">
      <c r="B1377" t="s">
        <v>0</v>
      </c>
      <c r="C1377" t="s">
        <v>1736</v>
      </c>
      <c r="D1377" t="s">
        <v>1380</v>
      </c>
      <c r="E1377" t="s">
        <v>3</v>
      </c>
      <c r="F1377" t="s">
        <v>4</v>
      </c>
      <c r="G1377" s="2" t="str">
        <f t="shared" si="21"/>
        <v>I_DBC024/INFLOW</v>
      </c>
      <c r="H1377" t="s">
        <v>1381</v>
      </c>
      <c r="I1377" t="s">
        <v>1382</v>
      </c>
      <c r="J1377" t="s">
        <v>1737</v>
      </c>
      <c r="L1377" t="s">
        <v>8</v>
      </c>
      <c r="M1377" t="s">
        <v>8</v>
      </c>
      <c r="N1377" t="s">
        <v>9</v>
      </c>
    </row>
    <row r="1378" spans="2:14" x14ac:dyDescent="0.25">
      <c r="B1378" t="s">
        <v>0</v>
      </c>
      <c r="C1378" t="s">
        <v>1738</v>
      </c>
      <c r="D1378" t="s">
        <v>1380</v>
      </c>
      <c r="E1378" t="s">
        <v>3</v>
      </c>
      <c r="F1378" t="s">
        <v>4</v>
      </c>
      <c r="G1378" s="2" t="str">
        <f t="shared" si="21"/>
        <v>I_JBP006/INFLOW</v>
      </c>
      <c r="H1378" t="s">
        <v>1381</v>
      </c>
      <c r="I1378" t="s">
        <v>1382</v>
      </c>
      <c r="J1378" t="s">
        <v>1739</v>
      </c>
      <c r="L1378" t="s">
        <v>8</v>
      </c>
      <c r="M1378" t="s">
        <v>8</v>
      </c>
      <c r="N1378" t="s">
        <v>9</v>
      </c>
    </row>
    <row r="1379" spans="2:14" x14ac:dyDescent="0.25">
      <c r="B1379" t="s">
        <v>0</v>
      </c>
      <c r="C1379" t="s">
        <v>1740</v>
      </c>
      <c r="D1379" t="s">
        <v>1380</v>
      </c>
      <c r="E1379" t="s">
        <v>3</v>
      </c>
      <c r="F1379" t="s">
        <v>4</v>
      </c>
      <c r="G1379" s="2" t="str">
        <f t="shared" si="21"/>
        <v>I_HON021/INFLOW</v>
      </c>
      <c r="H1379" t="s">
        <v>1381</v>
      </c>
      <c r="I1379" t="s">
        <v>1382</v>
      </c>
      <c r="J1379" t="s">
        <v>1741</v>
      </c>
      <c r="L1379" t="s">
        <v>8</v>
      </c>
      <c r="M1379" t="s">
        <v>8</v>
      </c>
      <c r="N1379" t="s">
        <v>9</v>
      </c>
    </row>
    <row r="1380" spans="2:14" x14ac:dyDescent="0.25">
      <c r="B1380" t="s">
        <v>0</v>
      </c>
      <c r="C1380" t="s">
        <v>1742</v>
      </c>
      <c r="D1380" t="s">
        <v>1380</v>
      </c>
      <c r="E1380" t="s">
        <v>3</v>
      </c>
      <c r="F1380" t="s">
        <v>4</v>
      </c>
      <c r="G1380" s="2" t="str">
        <f t="shared" si="21"/>
        <v>I_SPICE/INFLOW</v>
      </c>
      <c r="H1380" t="s">
        <v>1381</v>
      </c>
      <c r="I1380" t="s">
        <v>1382</v>
      </c>
      <c r="J1380" t="s">
        <v>1743</v>
      </c>
      <c r="L1380" t="s">
        <v>8</v>
      </c>
      <c r="M1380" t="s">
        <v>8</v>
      </c>
      <c r="N1380" t="s">
        <v>9</v>
      </c>
    </row>
    <row r="1381" spans="2:14" x14ac:dyDescent="0.25">
      <c r="B1381" t="s">
        <v>0</v>
      </c>
      <c r="C1381" t="s">
        <v>1744</v>
      </c>
      <c r="D1381" t="s">
        <v>1380</v>
      </c>
      <c r="E1381" t="s">
        <v>3</v>
      </c>
      <c r="F1381" t="s">
        <v>4</v>
      </c>
      <c r="G1381" s="2" t="str">
        <f t="shared" si="21"/>
        <v>I_LOONL/INFLOW</v>
      </c>
      <c r="H1381" t="s">
        <v>1381</v>
      </c>
      <c r="I1381" t="s">
        <v>1382</v>
      </c>
      <c r="J1381" t="s">
        <v>1745</v>
      </c>
      <c r="L1381" t="s">
        <v>8</v>
      </c>
      <c r="M1381" t="s">
        <v>8</v>
      </c>
      <c r="N1381" t="s">
        <v>9</v>
      </c>
    </row>
    <row r="1382" spans="2:14" x14ac:dyDescent="0.25">
      <c r="B1382" t="s">
        <v>0</v>
      </c>
      <c r="C1382" t="s">
        <v>1746</v>
      </c>
      <c r="D1382" t="s">
        <v>1380</v>
      </c>
      <c r="E1382" t="s">
        <v>3</v>
      </c>
      <c r="F1382" t="s">
        <v>4</v>
      </c>
      <c r="G1382" s="2" t="str">
        <f t="shared" si="21"/>
        <v>I_GRZ012/INFLOW</v>
      </c>
      <c r="H1382" t="s">
        <v>1381</v>
      </c>
      <c r="I1382" t="s">
        <v>1382</v>
      </c>
      <c r="J1382" t="s">
        <v>1747</v>
      </c>
      <c r="L1382" t="s">
        <v>8</v>
      </c>
      <c r="M1382" t="s">
        <v>8</v>
      </c>
      <c r="N1382" t="s">
        <v>9</v>
      </c>
    </row>
    <row r="1383" spans="2:14" x14ac:dyDescent="0.25">
      <c r="B1383" t="s">
        <v>0</v>
      </c>
      <c r="C1383" t="s">
        <v>1748</v>
      </c>
      <c r="D1383" t="s">
        <v>1380</v>
      </c>
      <c r="E1383" t="s">
        <v>3</v>
      </c>
      <c r="F1383" t="s">
        <v>4</v>
      </c>
      <c r="G1383" s="2" t="str">
        <f t="shared" si="21"/>
        <v>I_FSL012/INFLOW</v>
      </c>
      <c r="H1383" t="s">
        <v>1381</v>
      </c>
      <c r="I1383" t="s">
        <v>1382</v>
      </c>
      <c r="J1383" t="s">
        <v>1749</v>
      </c>
      <c r="L1383" t="s">
        <v>8</v>
      </c>
      <c r="M1383" t="s">
        <v>8</v>
      </c>
      <c r="N1383" t="s">
        <v>9</v>
      </c>
    </row>
    <row r="1384" spans="2:14" x14ac:dyDescent="0.25">
      <c r="B1384" t="s">
        <v>0</v>
      </c>
      <c r="C1384" t="s">
        <v>1750</v>
      </c>
      <c r="D1384" t="s">
        <v>1380</v>
      </c>
      <c r="E1384" t="s">
        <v>3</v>
      </c>
      <c r="F1384" t="s">
        <v>4</v>
      </c>
      <c r="G1384" s="2" t="str">
        <f t="shared" si="21"/>
        <v>I_MELON_FCST/INFLOW</v>
      </c>
      <c r="H1384" t="s">
        <v>1381</v>
      </c>
      <c r="I1384" t="s">
        <v>1382</v>
      </c>
      <c r="J1384" t="s">
        <v>1751</v>
      </c>
      <c r="K1384" t="s">
        <v>1752</v>
      </c>
      <c r="L1384" t="s">
        <v>8</v>
      </c>
      <c r="M1384" t="s">
        <v>8</v>
      </c>
      <c r="N1384" t="s">
        <v>9</v>
      </c>
    </row>
    <row r="1385" spans="2:14" x14ac:dyDescent="0.25">
      <c r="B1385" t="s">
        <v>0</v>
      </c>
      <c r="C1385" t="s">
        <v>1753</v>
      </c>
      <c r="D1385" t="s">
        <v>1380</v>
      </c>
      <c r="E1385" t="s">
        <v>3</v>
      </c>
      <c r="F1385" t="s">
        <v>4</v>
      </c>
      <c r="G1385" s="2" t="str">
        <f t="shared" si="21"/>
        <v>I_FRDYC/INFLOW</v>
      </c>
      <c r="H1385" t="s">
        <v>1381</v>
      </c>
      <c r="I1385" t="s">
        <v>1382</v>
      </c>
      <c r="J1385" t="s">
        <v>1754</v>
      </c>
      <c r="L1385" t="s">
        <v>8</v>
      </c>
      <c r="M1385" t="s">
        <v>8</v>
      </c>
      <c r="N1385" t="s">
        <v>9</v>
      </c>
    </row>
    <row r="1386" spans="2:14" x14ac:dyDescent="0.25">
      <c r="B1386" t="s">
        <v>0</v>
      </c>
      <c r="C1386" t="s">
        <v>1755</v>
      </c>
      <c r="D1386" t="s">
        <v>1380</v>
      </c>
      <c r="E1386" t="s">
        <v>3</v>
      </c>
      <c r="F1386" t="s">
        <v>4</v>
      </c>
      <c r="G1386" s="2" t="str">
        <f t="shared" si="21"/>
        <v>I_CSM035/INFLOW</v>
      </c>
      <c r="H1386" t="s">
        <v>1381</v>
      </c>
      <c r="I1386" t="s">
        <v>1382</v>
      </c>
      <c r="J1386" t="s">
        <v>1756</v>
      </c>
      <c r="L1386" t="s">
        <v>8</v>
      </c>
      <c r="M1386" t="s">
        <v>8</v>
      </c>
      <c r="N1386" t="s">
        <v>9</v>
      </c>
    </row>
    <row r="1387" spans="2:14" x14ac:dyDescent="0.25">
      <c r="B1387" t="s">
        <v>0</v>
      </c>
      <c r="C1387" t="s">
        <v>1757</v>
      </c>
      <c r="D1387" t="s">
        <v>1380</v>
      </c>
      <c r="E1387" t="s">
        <v>3</v>
      </c>
      <c r="F1387" t="s">
        <v>4</v>
      </c>
      <c r="G1387" s="2" t="str">
        <f t="shared" si="21"/>
        <v>I_DSC035/INFLOW</v>
      </c>
      <c r="H1387" t="s">
        <v>1381</v>
      </c>
      <c r="I1387" t="s">
        <v>1382</v>
      </c>
      <c r="J1387" t="s">
        <v>1758</v>
      </c>
      <c r="L1387" t="s">
        <v>8</v>
      </c>
      <c r="M1387" t="s">
        <v>8</v>
      </c>
      <c r="N1387" t="s">
        <v>9</v>
      </c>
    </row>
    <row r="1388" spans="2:14" x14ac:dyDescent="0.25">
      <c r="B1388" t="s">
        <v>0</v>
      </c>
      <c r="C1388" t="s">
        <v>1759</v>
      </c>
      <c r="D1388" t="s">
        <v>1423</v>
      </c>
      <c r="E1388" t="s">
        <v>3</v>
      </c>
      <c r="F1388" t="s">
        <v>4</v>
      </c>
      <c r="G1388" s="2" t="str">
        <f t="shared" si="21"/>
        <v>I_MLRTN_FG/FLOW-INFLOW</v>
      </c>
      <c r="H1388" t="s">
        <v>1381</v>
      </c>
      <c r="I1388" t="s">
        <v>1382</v>
      </c>
      <c r="J1388" t="s">
        <v>1760</v>
      </c>
      <c r="K1388" t="s">
        <v>1425</v>
      </c>
      <c r="L1388" t="s">
        <v>8</v>
      </c>
      <c r="M1388" t="s">
        <v>8</v>
      </c>
      <c r="N1388" t="s">
        <v>9</v>
      </c>
    </row>
    <row r="1389" spans="2:14" x14ac:dyDescent="0.25">
      <c r="B1389" t="s">
        <v>0</v>
      </c>
      <c r="C1389" t="s">
        <v>1761</v>
      </c>
      <c r="D1389" t="s">
        <v>1380</v>
      </c>
      <c r="E1389" t="s">
        <v>3</v>
      </c>
      <c r="F1389" t="s">
        <v>4</v>
      </c>
      <c r="G1389" s="2" t="str">
        <f t="shared" si="21"/>
        <v>FOLSM_INFLOW/INFLOW</v>
      </c>
      <c r="H1389" t="s">
        <v>1381</v>
      </c>
      <c r="I1389" t="s">
        <v>1382</v>
      </c>
      <c r="J1389" t="s">
        <v>1762</v>
      </c>
      <c r="K1389" t="s">
        <v>1763</v>
      </c>
      <c r="L1389" t="s">
        <v>8</v>
      </c>
      <c r="M1389" t="s">
        <v>54</v>
      </c>
      <c r="N1389" t="s">
        <v>9</v>
      </c>
    </row>
    <row r="1390" spans="2:14" x14ac:dyDescent="0.25">
      <c r="B1390" t="s">
        <v>0</v>
      </c>
      <c r="C1390" t="s">
        <v>1764</v>
      </c>
      <c r="D1390" t="s">
        <v>1380</v>
      </c>
      <c r="E1390" t="s">
        <v>3</v>
      </c>
      <c r="F1390" t="s">
        <v>4</v>
      </c>
      <c r="G1390" s="2" t="str">
        <f t="shared" si="21"/>
        <v>I_ELD027/INFLOW</v>
      </c>
      <c r="H1390" t="s">
        <v>1381</v>
      </c>
      <c r="I1390" t="s">
        <v>1382</v>
      </c>
      <c r="J1390" t="s">
        <v>1765</v>
      </c>
      <c r="L1390" t="s">
        <v>8</v>
      </c>
      <c r="M1390" t="s">
        <v>8</v>
      </c>
      <c r="N1390" t="s">
        <v>9</v>
      </c>
    </row>
    <row r="1391" spans="2:14" x14ac:dyDescent="0.25">
      <c r="B1391" t="s">
        <v>0</v>
      </c>
      <c r="C1391" t="s">
        <v>1766</v>
      </c>
      <c r="D1391" t="s">
        <v>1380</v>
      </c>
      <c r="E1391" t="s">
        <v>3</v>
      </c>
      <c r="F1391" t="s">
        <v>4</v>
      </c>
      <c r="G1391" s="2" t="str">
        <f t="shared" si="21"/>
        <v>I_EBTML/INFLOW</v>
      </c>
      <c r="H1391" t="s">
        <v>1381</v>
      </c>
      <c r="I1391" t="s">
        <v>1382</v>
      </c>
      <c r="J1391" t="s">
        <v>1767</v>
      </c>
      <c r="L1391" t="s">
        <v>8</v>
      </c>
      <c r="M1391" t="s">
        <v>8</v>
      </c>
      <c r="N1391" t="s">
        <v>9</v>
      </c>
    </row>
    <row r="1392" spans="2:14" x14ac:dyDescent="0.25">
      <c r="B1392" t="s">
        <v>0</v>
      </c>
      <c r="C1392" t="s">
        <v>1768</v>
      </c>
      <c r="D1392" t="s">
        <v>1380</v>
      </c>
      <c r="E1392" t="s">
        <v>3</v>
      </c>
      <c r="F1392" t="s">
        <v>4</v>
      </c>
      <c r="G1392" s="2" t="str">
        <f t="shared" si="21"/>
        <v>I_DCC010/INFLOW</v>
      </c>
      <c r="H1392" t="s">
        <v>1381</v>
      </c>
      <c r="I1392" t="s">
        <v>1382</v>
      </c>
      <c r="J1392" t="s">
        <v>1769</v>
      </c>
      <c r="L1392" t="s">
        <v>8</v>
      </c>
      <c r="M1392" t="s">
        <v>8</v>
      </c>
      <c r="N1392" t="s">
        <v>9</v>
      </c>
    </row>
    <row r="1393" spans="2:14" x14ac:dyDescent="0.25">
      <c r="B1393" t="s">
        <v>0</v>
      </c>
      <c r="C1393" t="s">
        <v>1770</v>
      </c>
      <c r="D1393" t="s">
        <v>1380</v>
      </c>
      <c r="E1393" t="s">
        <v>3</v>
      </c>
      <c r="F1393" t="s">
        <v>4</v>
      </c>
      <c r="G1393" s="2" t="str">
        <f t="shared" si="21"/>
        <v>I_DCM027/INFLOW</v>
      </c>
      <c r="H1393" t="s">
        <v>1381</v>
      </c>
      <c r="I1393" t="s">
        <v>1382</v>
      </c>
      <c r="J1393" t="s">
        <v>1771</v>
      </c>
      <c r="L1393" t="s">
        <v>8</v>
      </c>
      <c r="M1393" t="s">
        <v>8</v>
      </c>
      <c r="N1393" t="s">
        <v>9</v>
      </c>
    </row>
    <row r="1394" spans="2:14" x14ac:dyDescent="0.25">
      <c r="B1394" t="s">
        <v>0</v>
      </c>
      <c r="C1394" t="s">
        <v>1772</v>
      </c>
      <c r="D1394" t="s">
        <v>1380</v>
      </c>
      <c r="E1394" t="s">
        <v>3</v>
      </c>
      <c r="F1394" t="s">
        <v>4</v>
      </c>
      <c r="G1394" s="2" t="str">
        <f t="shared" si="21"/>
        <v>I_DCT050/INFLOW</v>
      </c>
      <c r="H1394" t="s">
        <v>1381</v>
      </c>
      <c r="I1394" t="s">
        <v>1382</v>
      </c>
      <c r="J1394" t="s">
        <v>1773</v>
      </c>
      <c r="L1394" t="s">
        <v>8</v>
      </c>
      <c r="M1394" t="s">
        <v>8</v>
      </c>
      <c r="N1394" t="s">
        <v>9</v>
      </c>
    </row>
    <row r="1395" spans="2:14" x14ac:dyDescent="0.25">
      <c r="B1395" t="s">
        <v>0</v>
      </c>
      <c r="C1395" t="s">
        <v>1774</v>
      </c>
      <c r="D1395" t="s">
        <v>1380</v>
      </c>
      <c r="E1395" t="s">
        <v>3</v>
      </c>
      <c r="F1395" t="s">
        <v>4</v>
      </c>
      <c r="G1395" s="2" t="str">
        <f t="shared" si="21"/>
        <v>I_DHC021/INFLOW</v>
      </c>
      <c r="H1395" t="s">
        <v>1381</v>
      </c>
      <c r="I1395" t="s">
        <v>1382</v>
      </c>
      <c r="J1395" t="s">
        <v>1775</v>
      </c>
      <c r="L1395" t="s">
        <v>8</v>
      </c>
      <c r="M1395" t="s">
        <v>8</v>
      </c>
      <c r="N1395" t="s">
        <v>9</v>
      </c>
    </row>
    <row r="1396" spans="2:14" x14ac:dyDescent="0.25">
      <c r="B1396" t="s">
        <v>0</v>
      </c>
      <c r="C1396" t="s">
        <v>1776</v>
      </c>
      <c r="D1396" t="s">
        <v>1380</v>
      </c>
      <c r="E1396" t="s">
        <v>3</v>
      </c>
      <c r="F1396" t="s">
        <v>4</v>
      </c>
      <c r="G1396" s="2" t="str">
        <f t="shared" si="21"/>
        <v>I_DPC008/INFLOW</v>
      </c>
      <c r="H1396" t="s">
        <v>1381</v>
      </c>
      <c r="I1396" t="s">
        <v>1382</v>
      </c>
      <c r="J1396" t="s">
        <v>1777</v>
      </c>
      <c r="L1396" t="s">
        <v>8</v>
      </c>
      <c r="M1396" t="s">
        <v>8</v>
      </c>
      <c r="N1396" t="s">
        <v>9</v>
      </c>
    </row>
    <row r="1397" spans="2:14" x14ac:dyDescent="0.25">
      <c r="B1397" t="s">
        <v>0</v>
      </c>
      <c r="C1397" t="s">
        <v>1778</v>
      </c>
      <c r="D1397" t="s">
        <v>1380</v>
      </c>
      <c r="E1397" t="s">
        <v>3</v>
      </c>
      <c r="F1397" t="s">
        <v>4</v>
      </c>
      <c r="G1397" s="2" t="str">
        <f t="shared" si="21"/>
        <v>I_DEE023/INFLOW</v>
      </c>
      <c r="H1397" t="s">
        <v>1381</v>
      </c>
      <c r="I1397" t="s">
        <v>1382</v>
      </c>
      <c r="J1397" t="s">
        <v>1779</v>
      </c>
      <c r="L1397" t="s">
        <v>8</v>
      </c>
      <c r="M1397" t="s">
        <v>8</v>
      </c>
      <c r="N1397" t="s">
        <v>9</v>
      </c>
    </row>
    <row r="1398" spans="2:14" x14ac:dyDescent="0.25">
      <c r="B1398" t="s">
        <v>0</v>
      </c>
      <c r="C1398" t="s">
        <v>1780</v>
      </c>
      <c r="D1398" t="s">
        <v>1380</v>
      </c>
      <c r="E1398" t="s">
        <v>3</v>
      </c>
      <c r="F1398" t="s">
        <v>4</v>
      </c>
      <c r="G1398" s="2" t="str">
        <f t="shared" si="21"/>
        <v>I_DRC012/INFLOW</v>
      </c>
      <c r="H1398" t="s">
        <v>1381</v>
      </c>
      <c r="I1398" t="s">
        <v>1382</v>
      </c>
      <c r="J1398" t="s">
        <v>1779</v>
      </c>
      <c r="L1398" t="s">
        <v>8</v>
      </c>
      <c r="M1398" t="s">
        <v>8</v>
      </c>
      <c r="N1398" t="s">
        <v>9</v>
      </c>
    </row>
    <row r="1399" spans="2:14" x14ac:dyDescent="0.25">
      <c r="B1399" t="s">
        <v>0</v>
      </c>
      <c r="C1399" t="s">
        <v>1781</v>
      </c>
      <c r="D1399" t="s">
        <v>1380</v>
      </c>
      <c r="E1399" t="s">
        <v>3</v>
      </c>
      <c r="F1399" t="s">
        <v>4</v>
      </c>
      <c r="G1399" s="2" t="str">
        <f t="shared" si="21"/>
        <v>I_COW014/INFLOW</v>
      </c>
      <c r="H1399" t="s">
        <v>1381</v>
      </c>
      <c r="I1399" t="s">
        <v>1382</v>
      </c>
      <c r="J1399" t="s">
        <v>1782</v>
      </c>
      <c r="L1399" t="s">
        <v>8</v>
      </c>
      <c r="M1399" t="s">
        <v>8</v>
      </c>
      <c r="N1399" t="s">
        <v>9</v>
      </c>
    </row>
    <row r="1400" spans="2:14" x14ac:dyDescent="0.25">
      <c r="B1400" t="s">
        <v>0</v>
      </c>
      <c r="C1400" t="s">
        <v>1783</v>
      </c>
      <c r="D1400" t="s">
        <v>1380</v>
      </c>
      <c r="E1400" t="s">
        <v>3</v>
      </c>
      <c r="F1400" t="s">
        <v>4</v>
      </c>
      <c r="G1400" s="2" t="str">
        <f t="shared" si="21"/>
        <v>I_CWD018/INFLOW</v>
      </c>
      <c r="H1400" t="s">
        <v>1381</v>
      </c>
      <c r="I1400" t="s">
        <v>1382</v>
      </c>
      <c r="J1400" t="s">
        <v>1784</v>
      </c>
      <c r="L1400" t="s">
        <v>8</v>
      </c>
      <c r="M1400" t="s">
        <v>8</v>
      </c>
      <c r="N1400" t="s">
        <v>9</v>
      </c>
    </row>
    <row r="1401" spans="2:14" x14ac:dyDescent="0.25">
      <c r="B1401" t="s">
        <v>0</v>
      </c>
      <c r="C1401" t="s">
        <v>1785</v>
      </c>
      <c r="D1401" t="s">
        <v>1380</v>
      </c>
      <c r="E1401" t="s">
        <v>3</v>
      </c>
      <c r="F1401" t="s">
        <v>4</v>
      </c>
      <c r="G1401" s="2" t="str">
        <f t="shared" si="21"/>
        <v>I_COL003/INFLOW</v>
      </c>
      <c r="H1401" t="s">
        <v>1381</v>
      </c>
      <c r="I1401" t="s">
        <v>1382</v>
      </c>
      <c r="J1401" t="s">
        <v>1786</v>
      </c>
      <c r="L1401" t="s">
        <v>8</v>
      </c>
      <c r="M1401" t="s">
        <v>8</v>
      </c>
      <c r="N1401" t="s">
        <v>9</v>
      </c>
    </row>
    <row r="1402" spans="2:14" x14ac:dyDescent="0.25">
      <c r="B1402" t="s">
        <v>0</v>
      </c>
      <c r="C1402" t="s">
        <v>1787</v>
      </c>
      <c r="D1402" t="s">
        <v>1149</v>
      </c>
      <c r="E1402" t="s">
        <v>3</v>
      </c>
      <c r="F1402" t="s">
        <v>4</v>
      </c>
      <c r="G1402" s="2" t="str">
        <f t="shared" si="21"/>
        <v>CT_MELON_SV/CLOSURE-TERM</v>
      </c>
      <c r="H1402" t="s">
        <v>1381</v>
      </c>
      <c r="I1402" t="s">
        <v>1382</v>
      </c>
      <c r="J1402" t="s">
        <v>1788</v>
      </c>
      <c r="K1402" t="s">
        <v>1789</v>
      </c>
      <c r="L1402" t="s">
        <v>8</v>
      </c>
      <c r="N1402" t="s">
        <v>9</v>
      </c>
    </row>
    <row r="1403" spans="2:14" x14ac:dyDescent="0.25">
      <c r="B1403" t="s">
        <v>0</v>
      </c>
      <c r="C1403" t="s">
        <v>1790</v>
      </c>
      <c r="D1403" t="s">
        <v>1149</v>
      </c>
      <c r="E1403" t="s">
        <v>3</v>
      </c>
      <c r="F1403" t="s">
        <v>4</v>
      </c>
      <c r="G1403" s="2" t="str">
        <f t="shared" si="21"/>
        <v>CT_PEDRO_SV/CLOSURE-TERM</v>
      </c>
      <c r="H1403" t="s">
        <v>1381</v>
      </c>
      <c r="I1403" t="s">
        <v>1382</v>
      </c>
      <c r="J1403" t="s">
        <v>1791</v>
      </c>
      <c r="K1403" t="s">
        <v>1792</v>
      </c>
      <c r="L1403" t="s">
        <v>8</v>
      </c>
      <c r="N1403" t="s">
        <v>9</v>
      </c>
    </row>
    <row r="1404" spans="2:14" x14ac:dyDescent="0.25">
      <c r="B1404" t="s">
        <v>0</v>
      </c>
      <c r="C1404" t="s">
        <v>1793</v>
      </c>
      <c r="D1404" t="s">
        <v>1380</v>
      </c>
      <c r="E1404" t="s">
        <v>3</v>
      </c>
      <c r="F1404" t="s">
        <v>4</v>
      </c>
      <c r="G1404" s="2" t="str">
        <f t="shared" si="21"/>
        <v>I_CFS001/INFLOW</v>
      </c>
      <c r="H1404" t="s">
        <v>1381</v>
      </c>
      <c r="I1404" t="s">
        <v>1382</v>
      </c>
      <c r="J1404" t="s">
        <v>1794</v>
      </c>
      <c r="L1404" t="s">
        <v>8</v>
      </c>
      <c r="M1404" t="s">
        <v>8</v>
      </c>
      <c r="N1404" t="s">
        <v>9</v>
      </c>
    </row>
    <row r="1405" spans="2:14" x14ac:dyDescent="0.25">
      <c r="B1405" t="s">
        <v>0</v>
      </c>
      <c r="C1405" t="s">
        <v>1795</v>
      </c>
      <c r="D1405" t="s">
        <v>1380</v>
      </c>
      <c r="E1405" t="s">
        <v>3</v>
      </c>
      <c r="F1405" t="s">
        <v>4</v>
      </c>
      <c r="G1405" s="2" t="str">
        <f t="shared" si="21"/>
        <v>I_CAP000/INFLOW</v>
      </c>
      <c r="H1405" t="s">
        <v>1381</v>
      </c>
      <c r="I1405" t="s">
        <v>1382</v>
      </c>
      <c r="J1405" t="s">
        <v>1796</v>
      </c>
      <c r="L1405" t="s">
        <v>8</v>
      </c>
      <c r="M1405" t="s">
        <v>8</v>
      </c>
      <c r="N1405" t="s">
        <v>9</v>
      </c>
    </row>
    <row r="1406" spans="2:14" x14ac:dyDescent="0.25">
      <c r="B1406" t="s">
        <v>0</v>
      </c>
      <c r="C1406" t="s">
        <v>1797</v>
      </c>
      <c r="D1406" t="s">
        <v>1380</v>
      </c>
      <c r="E1406" t="s">
        <v>3</v>
      </c>
      <c r="F1406" t="s">
        <v>4</v>
      </c>
      <c r="G1406" s="2" t="str">
        <f t="shared" si="21"/>
        <v>I_CYN009/INFLOW</v>
      </c>
      <c r="H1406" t="s">
        <v>1381</v>
      </c>
      <c r="I1406" t="s">
        <v>1382</v>
      </c>
      <c r="J1406" t="s">
        <v>1798</v>
      </c>
      <c r="L1406" t="s">
        <v>8</v>
      </c>
      <c r="M1406" t="s">
        <v>8</v>
      </c>
      <c r="N1406" t="s">
        <v>9</v>
      </c>
    </row>
    <row r="1407" spans="2:14" x14ac:dyDescent="0.25">
      <c r="B1407" t="s">
        <v>0</v>
      </c>
      <c r="C1407" t="s">
        <v>1799</v>
      </c>
      <c r="D1407" t="s">
        <v>1380</v>
      </c>
      <c r="E1407" t="s">
        <v>3</v>
      </c>
      <c r="F1407" t="s">
        <v>4</v>
      </c>
      <c r="G1407" s="2" t="str">
        <f t="shared" si="21"/>
        <v>I_CMP001/INFLOW</v>
      </c>
      <c r="H1407" t="s">
        <v>1381</v>
      </c>
      <c r="I1407" t="s">
        <v>1382</v>
      </c>
      <c r="J1407" t="s">
        <v>1800</v>
      </c>
      <c r="L1407" t="s">
        <v>8</v>
      </c>
      <c r="M1407" t="s">
        <v>8</v>
      </c>
      <c r="N1407" t="s">
        <v>9</v>
      </c>
    </row>
    <row r="1408" spans="2:14" x14ac:dyDescent="0.25">
      <c r="B1408" t="s">
        <v>0</v>
      </c>
      <c r="C1408" t="s">
        <v>1801</v>
      </c>
      <c r="D1408" t="s">
        <v>1380</v>
      </c>
      <c r="E1408" t="s">
        <v>3</v>
      </c>
      <c r="F1408" t="s">
        <v>4</v>
      </c>
      <c r="G1408" s="2" t="str">
        <f t="shared" si="21"/>
        <v>I_CMP014/INFLOW</v>
      </c>
      <c r="H1408" t="s">
        <v>1381</v>
      </c>
      <c r="I1408" t="s">
        <v>1382</v>
      </c>
      <c r="J1408" t="s">
        <v>1802</v>
      </c>
      <c r="L1408" t="s">
        <v>8</v>
      </c>
      <c r="M1408" t="s">
        <v>8</v>
      </c>
      <c r="N1408" t="s">
        <v>9</v>
      </c>
    </row>
    <row r="1409" spans="2:14" x14ac:dyDescent="0.25">
      <c r="B1409" t="s">
        <v>0</v>
      </c>
      <c r="C1409" t="s">
        <v>1803</v>
      </c>
      <c r="D1409" t="s">
        <v>1380</v>
      </c>
      <c r="E1409" t="s">
        <v>3</v>
      </c>
      <c r="F1409" t="s">
        <v>4</v>
      </c>
      <c r="G1409" s="2" t="str">
        <f t="shared" si="21"/>
        <v>I_CCH053/INFLOW</v>
      </c>
      <c r="H1409" t="s">
        <v>1381</v>
      </c>
      <c r="I1409" t="s">
        <v>1382</v>
      </c>
      <c r="J1409" t="s">
        <v>1804</v>
      </c>
      <c r="L1409" t="s">
        <v>8</v>
      </c>
      <c r="M1409" t="s">
        <v>8</v>
      </c>
      <c r="N1409" t="s">
        <v>9</v>
      </c>
    </row>
    <row r="1410" spans="2:14" x14ac:dyDescent="0.25">
      <c r="B1410" t="s">
        <v>0</v>
      </c>
      <c r="C1410" t="s">
        <v>1805</v>
      </c>
      <c r="D1410" t="s">
        <v>1380</v>
      </c>
      <c r="E1410" t="s">
        <v>3</v>
      </c>
      <c r="F1410" t="s">
        <v>4</v>
      </c>
      <c r="G1410" s="2" t="str">
        <f t="shared" si="21"/>
        <v>I_BTC048/INFLOW</v>
      </c>
      <c r="H1410" t="s">
        <v>1381</v>
      </c>
      <c r="I1410" t="s">
        <v>1382</v>
      </c>
      <c r="J1410" t="s">
        <v>1806</v>
      </c>
      <c r="L1410" t="s">
        <v>8</v>
      </c>
      <c r="M1410" t="s">
        <v>8</v>
      </c>
      <c r="N1410" t="s">
        <v>9</v>
      </c>
    </row>
    <row r="1411" spans="2:14" x14ac:dyDescent="0.25">
      <c r="B1411" t="s">
        <v>0</v>
      </c>
      <c r="C1411" t="s">
        <v>1807</v>
      </c>
      <c r="D1411" t="s">
        <v>1380</v>
      </c>
      <c r="E1411" t="s">
        <v>3</v>
      </c>
      <c r="F1411" t="s">
        <v>4</v>
      </c>
      <c r="G1411" s="2" t="str">
        <f t="shared" ref="G1411:G1474" si="22">_xlfn.CONCAT(C1411,"/",D1411)</f>
        <v>I_BSH003/INFLOW</v>
      </c>
      <c r="H1411" t="s">
        <v>1381</v>
      </c>
      <c r="I1411" t="s">
        <v>1382</v>
      </c>
      <c r="J1411" t="s">
        <v>1808</v>
      </c>
      <c r="L1411" t="s">
        <v>8</v>
      </c>
      <c r="M1411" t="s">
        <v>8</v>
      </c>
      <c r="N1411" t="s">
        <v>9</v>
      </c>
    </row>
    <row r="1412" spans="2:14" x14ac:dyDescent="0.25">
      <c r="B1412" t="s">
        <v>0</v>
      </c>
      <c r="C1412" t="s">
        <v>1809</v>
      </c>
      <c r="D1412" t="s">
        <v>1380</v>
      </c>
      <c r="E1412" t="s">
        <v>3</v>
      </c>
      <c r="F1412" t="s">
        <v>4</v>
      </c>
      <c r="G1412" s="2" t="str">
        <f t="shared" si="22"/>
        <v>I_BCC014/INFLOW</v>
      </c>
      <c r="H1412" t="s">
        <v>1381</v>
      </c>
      <c r="I1412" t="s">
        <v>1382</v>
      </c>
      <c r="J1412" t="s">
        <v>1810</v>
      </c>
      <c r="L1412" t="s">
        <v>8</v>
      </c>
      <c r="M1412" t="s">
        <v>8</v>
      </c>
      <c r="N1412" t="s">
        <v>9</v>
      </c>
    </row>
    <row r="1413" spans="2:14" x14ac:dyDescent="0.25">
      <c r="B1413" t="s">
        <v>0</v>
      </c>
      <c r="C1413" t="s">
        <v>1811</v>
      </c>
      <c r="D1413" t="s">
        <v>1380</v>
      </c>
      <c r="E1413" t="s">
        <v>3</v>
      </c>
      <c r="F1413" t="s">
        <v>4</v>
      </c>
      <c r="G1413" s="2" t="str">
        <f t="shared" si="22"/>
        <v>I_BVC007/INFLOW</v>
      </c>
      <c r="H1413" t="s">
        <v>1381</v>
      </c>
      <c r="I1413" t="s">
        <v>1382</v>
      </c>
      <c r="J1413" t="s">
        <v>1812</v>
      </c>
      <c r="L1413" t="s">
        <v>8</v>
      </c>
      <c r="M1413" t="s">
        <v>8</v>
      </c>
      <c r="N1413" t="s">
        <v>9</v>
      </c>
    </row>
    <row r="1414" spans="2:14" x14ac:dyDescent="0.25">
      <c r="B1414" t="s">
        <v>0</v>
      </c>
      <c r="C1414" t="s">
        <v>1813</v>
      </c>
      <c r="D1414" t="s">
        <v>1380</v>
      </c>
      <c r="E1414" t="s">
        <v>3</v>
      </c>
      <c r="F1414" t="s">
        <v>4</v>
      </c>
      <c r="G1414" s="2" t="str">
        <f t="shared" si="22"/>
        <v>I_BRC003/INFLOW</v>
      </c>
      <c r="H1414" t="s">
        <v>1381</v>
      </c>
      <c r="I1414" t="s">
        <v>1382</v>
      </c>
      <c r="J1414" t="s">
        <v>1814</v>
      </c>
      <c r="L1414" t="s">
        <v>8</v>
      </c>
      <c r="M1414" t="s">
        <v>8</v>
      </c>
      <c r="N1414" t="s">
        <v>9</v>
      </c>
    </row>
    <row r="1415" spans="2:14" x14ac:dyDescent="0.25">
      <c r="B1415" t="s">
        <v>0</v>
      </c>
      <c r="C1415" t="s">
        <v>1815</v>
      </c>
      <c r="D1415" t="s">
        <v>1380</v>
      </c>
      <c r="E1415" t="s">
        <v>3</v>
      </c>
      <c r="F1415" t="s">
        <v>4</v>
      </c>
      <c r="G1415" s="2" t="str">
        <f t="shared" si="22"/>
        <v>I_BCN010/INFLOW</v>
      </c>
      <c r="H1415" t="s">
        <v>1381</v>
      </c>
      <c r="I1415" t="s">
        <v>1382</v>
      </c>
      <c r="J1415" t="s">
        <v>1816</v>
      </c>
      <c r="L1415" t="s">
        <v>8</v>
      </c>
      <c r="M1415" t="s">
        <v>8</v>
      </c>
      <c r="N1415" t="s">
        <v>9</v>
      </c>
    </row>
    <row r="1416" spans="2:14" x14ac:dyDescent="0.25">
      <c r="B1416" t="s">
        <v>0</v>
      </c>
      <c r="C1416" t="s">
        <v>1817</v>
      </c>
      <c r="D1416" t="s">
        <v>1380</v>
      </c>
      <c r="E1416" t="s">
        <v>3</v>
      </c>
      <c r="F1416" t="s">
        <v>4</v>
      </c>
      <c r="G1416" s="2" t="str">
        <f t="shared" si="22"/>
        <v>I_BTL006/INFLOW</v>
      </c>
      <c r="H1416" t="s">
        <v>1381</v>
      </c>
      <c r="I1416" t="s">
        <v>1382</v>
      </c>
      <c r="J1416" t="s">
        <v>1818</v>
      </c>
      <c r="L1416" t="s">
        <v>8</v>
      </c>
      <c r="M1416" t="s">
        <v>8</v>
      </c>
      <c r="N1416" t="s">
        <v>9</v>
      </c>
    </row>
    <row r="1417" spans="2:14" x14ac:dyDescent="0.25">
      <c r="B1417" t="s">
        <v>0</v>
      </c>
      <c r="C1417" t="s">
        <v>1819</v>
      </c>
      <c r="D1417" t="s">
        <v>1380</v>
      </c>
      <c r="E1417" t="s">
        <v>3</v>
      </c>
      <c r="F1417" t="s">
        <v>4</v>
      </c>
      <c r="G1417" s="2" t="str">
        <f t="shared" si="22"/>
        <v>I_ANT011/INFLOW</v>
      </c>
      <c r="H1417" t="s">
        <v>1381</v>
      </c>
      <c r="I1417" t="s">
        <v>1382</v>
      </c>
      <c r="J1417" t="s">
        <v>1820</v>
      </c>
      <c r="L1417" t="s">
        <v>8</v>
      </c>
      <c r="M1417" t="s">
        <v>8</v>
      </c>
      <c r="N1417" t="s">
        <v>9</v>
      </c>
    </row>
    <row r="1418" spans="2:14" x14ac:dyDescent="0.25">
      <c r="B1418" t="s">
        <v>0</v>
      </c>
      <c r="C1418" t="s">
        <v>1821</v>
      </c>
      <c r="D1418" t="s">
        <v>1380</v>
      </c>
      <c r="E1418" t="s">
        <v>3</v>
      </c>
      <c r="F1418" t="s">
        <v>4</v>
      </c>
      <c r="G1418" s="2" t="str">
        <f t="shared" si="22"/>
        <v>I_ANG017/INFLOW</v>
      </c>
      <c r="H1418" t="s">
        <v>1381</v>
      </c>
      <c r="I1418" t="s">
        <v>1382</v>
      </c>
      <c r="J1418" t="s">
        <v>1822</v>
      </c>
      <c r="L1418" t="s">
        <v>8</v>
      </c>
      <c r="M1418" t="s">
        <v>8</v>
      </c>
      <c r="N1418" t="s">
        <v>9</v>
      </c>
    </row>
    <row r="1419" spans="2:14" x14ac:dyDescent="0.25">
      <c r="B1419" t="s">
        <v>0</v>
      </c>
      <c r="C1419" t="s">
        <v>1823</v>
      </c>
      <c r="D1419" t="s">
        <v>1380</v>
      </c>
      <c r="E1419" t="s">
        <v>3</v>
      </c>
      <c r="F1419" t="s">
        <v>4</v>
      </c>
      <c r="G1419" s="2" t="str">
        <f t="shared" si="22"/>
        <v>I_ALD002/INFLOW</v>
      </c>
      <c r="H1419" t="s">
        <v>1381</v>
      </c>
      <c r="I1419" t="s">
        <v>1382</v>
      </c>
      <c r="J1419" t="s">
        <v>1824</v>
      </c>
      <c r="L1419" t="s">
        <v>8</v>
      </c>
      <c r="M1419" t="s">
        <v>8</v>
      </c>
      <c r="N1419" t="s">
        <v>9</v>
      </c>
    </row>
    <row r="1420" spans="2:14" x14ac:dyDescent="0.25">
      <c r="B1420" t="s">
        <v>0</v>
      </c>
      <c r="C1420" t="s">
        <v>1825</v>
      </c>
      <c r="D1420" t="s">
        <v>1380</v>
      </c>
      <c r="E1420" t="s">
        <v>3</v>
      </c>
      <c r="F1420" t="s">
        <v>4</v>
      </c>
      <c r="G1420" s="2" t="str">
        <f t="shared" si="22"/>
        <v>I_ALD004/INFLOW</v>
      </c>
      <c r="H1420" t="s">
        <v>1381</v>
      </c>
      <c r="I1420" t="s">
        <v>1382</v>
      </c>
      <c r="J1420" t="s">
        <v>1826</v>
      </c>
      <c r="L1420" t="s">
        <v>8</v>
      </c>
      <c r="M1420" t="s">
        <v>8</v>
      </c>
      <c r="N1420" t="s">
        <v>9</v>
      </c>
    </row>
    <row r="1421" spans="2:14" x14ac:dyDescent="0.25">
      <c r="B1421" t="s">
        <v>0</v>
      </c>
      <c r="C1421" t="s">
        <v>1827</v>
      </c>
      <c r="D1421" t="s">
        <v>1380</v>
      </c>
      <c r="E1421" t="s">
        <v>3</v>
      </c>
      <c r="F1421" t="s">
        <v>4</v>
      </c>
      <c r="G1421" s="2" t="str">
        <f t="shared" si="22"/>
        <v>I_WBF015/INFLOW</v>
      </c>
      <c r="H1421" t="s">
        <v>1381</v>
      </c>
      <c r="I1421" t="s">
        <v>1382</v>
      </c>
      <c r="J1421" t="s">
        <v>1828</v>
      </c>
      <c r="L1421" t="s">
        <v>8</v>
      </c>
      <c r="M1421" t="s">
        <v>8</v>
      </c>
      <c r="N1421" t="s">
        <v>9</v>
      </c>
    </row>
    <row r="1422" spans="2:14" x14ac:dyDescent="0.25">
      <c r="B1422" t="s">
        <v>0</v>
      </c>
      <c r="C1422" t="s">
        <v>1829</v>
      </c>
      <c r="D1422" t="s">
        <v>1380</v>
      </c>
      <c r="E1422" t="s">
        <v>3</v>
      </c>
      <c r="F1422" t="s">
        <v>4</v>
      </c>
      <c r="G1422" s="2" t="str">
        <f t="shared" si="22"/>
        <v>I_NNA013/INFLOW</v>
      </c>
      <c r="H1422" t="s">
        <v>1381</v>
      </c>
      <c r="I1422" t="s">
        <v>1382</v>
      </c>
      <c r="J1422" t="s">
        <v>1830</v>
      </c>
      <c r="L1422" t="s">
        <v>8</v>
      </c>
      <c r="M1422" t="s">
        <v>8</v>
      </c>
      <c r="N1422" t="s">
        <v>9</v>
      </c>
    </row>
    <row r="1423" spans="2:14" x14ac:dyDescent="0.25">
      <c r="B1423" t="s">
        <v>0</v>
      </c>
      <c r="C1423" t="s">
        <v>1831</v>
      </c>
      <c r="D1423" t="s">
        <v>62</v>
      </c>
      <c r="E1423" t="s">
        <v>3</v>
      </c>
      <c r="F1423" t="s">
        <v>4</v>
      </c>
      <c r="G1423" s="2" t="str">
        <f t="shared" si="22"/>
        <v>DP_DELTA_DCD/DP-FLOW</v>
      </c>
      <c r="H1423" t="s">
        <v>1832</v>
      </c>
      <c r="I1423" t="s">
        <v>1833</v>
      </c>
      <c r="L1423" t="s">
        <v>8</v>
      </c>
      <c r="M1423" t="s">
        <v>54</v>
      </c>
      <c r="N1423" t="s">
        <v>9</v>
      </c>
    </row>
    <row r="1424" spans="2:14" x14ac:dyDescent="0.25">
      <c r="B1424" t="s">
        <v>0</v>
      </c>
      <c r="C1424" t="s">
        <v>1834</v>
      </c>
      <c r="D1424" t="s">
        <v>1835</v>
      </c>
      <c r="E1424" t="s">
        <v>3</v>
      </c>
      <c r="F1424" t="s">
        <v>4</v>
      </c>
      <c r="G1424" s="2" t="str">
        <f t="shared" si="22"/>
        <v>DRN_50_PA2/DRN</v>
      </c>
      <c r="H1424" t="s">
        <v>1832</v>
      </c>
      <c r="I1424" t="s">
        <v>1833</v>
      </c>
      <c r="L1424" t="s">
        <v>8</v>
      </c>
      <c r="M1424" t="s">
        <v>8</v>
      </c>
      <c r="N1424" t="s">
        <v>9</v>
      </c>
    </row>
    <row r="1425" spans="2:14" x14ac:dyDescent="0.25">
      <c r="B1425" t="s">
        <v>0</v>
      </c>
      <c r="C1425" t="s">
        <v>1836</v>
      </c>
      <c r="D1425" t="s">
        <v>1835</v>
      </c>
      <c r="E1425" t="s">
        <v>3</v>
      </c>
      <c r="F1425" t="s">
        <v>4</v>
      </c>
      <c r="G1425" s="2" t="str">
        <f t="shared" si="22"/>
        <v>DRN_MOK/DRN</v>
      </c>
      <c r="H1425" t="s">
        <v>1832</v>
      </c>
      <c r="I1425" t="s">
        <v>1833</v>
      </c>
      <c r="L1425" t="s">
        <v>8</v>
      </c>
      <c r="M1425" t="s">
        <v>8</v>
      </c>
      <c r="N1425" t="s">
        <v>9</v>
      </c>
    </row>
    <row r="1426" spans="2:14" x14ac:dyDescent="0.25">
      <c r="B1426" t="s">
        <v>0</v>
      </c>
      <c r="C1426" t="s">
        <v>1837</v>
      </c>
      <c r="D1426" t="s">
        <v>1835</v>
      </c>
      <c r="E1426" t="s">
        <v>3</v>
      </c>
      <c r="F1426" t="s">
        <v>4</v>
      </c>
      <c r="G1426" s="2" t="str">
        <f t="shared" si="22"/>
        <v>DRN_OMR/DRN</v>
      </c>
      <c r="H1426" t="s">
        <v>1832</v>
      </c>
      <c r="I1426" t="s">
        <v>1833</v>
      </c>
      <c r="L1426" t="s">
        <v>8</v>
      </c>
      <c r="M1426" t="s">
        <v>8</v>
      </c>
      <c r="N1426" t="s">
        <v>9</v>
      </c>
    </row>
    <row r="1427" spans="2:14" x14ac:dyDescent="0.25">
      <c r="B1427" t="s">
        <v>0</v>
      </c>
      <c r="C1427" t="s">
        <v>1838</v>
      </c>
      <c r="D1427" t="s">
        <v>1835</v>
      </c>
      <c r="E1427" t="s">
        <v>3</v>
      </c>
      <c r="F1427" t="s">
        <v>4</v>
      </c>
      <c r="G1427" s="2" t="str">
        <f t="shared" si="22"/>
        <v>DRN_SAC_NORTH/DRN</v>
      </c>
      <c r="H1427" t="s">
        <v>1832</v>
      </c>
      <c r="I1427" t="s">
        <v>1833</v>
      </c>
      <c r="L1427" t="s">
        <v>8</v>
      </c>
      <c r="M1427" t="s">
        <v>8</v>
      </c>
      <c r="N1427" t="s">
        <v>9</v>
      </c>
    </row>
    <row r="1428" spans="2:14" x14ac:dyDescent="0.25">
      <c r="B1428" t="s">
        <v>0</v>
      </c>
      <c r="C1428" t="s">
        <v>1839</v>
      </c>
      <c r="D1428" t="s">
        <v>1835</v>
      </c>
      <c r="E1428" t="s">
        <v>3</v>
      </c>
      <c r="F1428" t="s">
        <v>4</v>
      </c>
      <c r="G1428" s="2" t="str">
        <f t="shared" si="22"/>
        <v>DRN_SAC_SOUTH/DRN</v>
      </c>
      <c r="H1428" t="s">
        <v>1832</v>
      </c>
      <c r="I1428" t="s">
        <v>1833</v>
      </c>
      <c r="L1428" t="s">
        <v>8</v>
      </c>
      <c r="M1428" t="s">
        <v>8</v>
      </c>
      <c r="N1428" t="s">
        <v>9</v>
      </c>
    </row>
    <row r="1429" spans="2:14" x14ac:dyDescent="0.25">
      <c r="B1429" t="s">
        <v>0</v>
      </c>
      <c r="C1429" t="s">
        <v>1840</v>
      </c>
      <c r="D1429" t="s">
        <v>1835</v>
      </c>
      <c r="E1429" t="s">
        <v>3</v>
      </c>
      <c r="F1429" t="s">
        <v>4</v>
      </c>
      <c r="G1429" s="2" t="str">
        <f t="shared" si="22"/>
        <v>DRN_SAC_WEST/DRN</v>
      </c>
      <c r="H1429" t="s">
        <v>1832</v>
      </c>
      <c r="I1429" t="s">
        <v>1833</v>
      </c>
      <c r="L1429" t="s">
        <v>8</v>
      </c>
      <c r="M1429" t="s">
        <v>8</v>
      </c>
      <c r="N1429" t="s">
        <v>9</v>
      </c>
    </row>
    <row r="1430" spans="2:14" x14ac:dyDescent="0.25">
      <c r="B1430" t="s">
        <v>0</v>
      </c>
      <c r="C1430" t="s">
        <v>1841</v>
      </c>
      <c r="D1430" t="s">
        <v>1835</v>
      </c>
      <c r="E1430" t="s">
        <v>3</v>
      </c>
      <c r="F1430" t="s">
        <v>4</v>
      </c>
      <c r="G1430" s="2" t="str">
        <f t="shared" si="22"/>
        <v>DRN_SJR_EAST/DRN</v>
      </c>
      <c r="H1430" t="s">
        <v>1832</v>
      </c>
      <c r="I1430" t="s">
        <v>1833</v>
      </c>
      <c r="L1430" t="s">
        <v>8</v>
      </c>
      <c r="M1430" t="s">
        <v>8</v>
      </c>
      <c r="N1430" t="s">
        <v>9</v>
      </c>
    </row>
    <row r="1431" spans="2:14" x14ac:dyDescent="0.25">
      <c r="B1431" t="s">
        <v>0</v>
      </c>
      <c r="C1431" t="s">
        <v>1842</v>
      </c>
      <c r="D1431" t="s">
        <v>1835</v>
      </c>
      <c r="E1431" t="s">
        <v>3</v>
      </c>
      <c r="F1431" t="s">
        <v>4</v>
      </c>
      <c r="G1431" s="2" t="str">
        <f t="shared" si="22"/>
        <v>DRN_SJR_WEST/DRN</v>
      </c>
      <c r="H1431" t="s">
        <v>1832</v>
      </c>
      <c r="I1431" t="s">
        <v>1833</v>
      </c>
      <c r="L1431" t="s">
        <v>8</v>
      </c>
      <c r="M1431" t="s">
        <v>8</v>
      </c>
      <c r="N1431" t="s">
        <v>9</v>
      </c>
    </row>
    <row r="1432" spans="2:14" x14ac:dyDescent="0.25">
      <c r="B1432" t="s">
        <v>0</v>
      </c>
      <c r="C1432" t="s">
        <v>1843</v>
      </c>
      <c r="D1432" t="s">
        <v>1844</v>
      </c>
      <c r="E1432" t="s">
        <v>3</v>
      </c>
      <c r="F1432" t="s">
        <v>4</v>
      </c>
      <c r="G1432" s="2" t="str">
        <f t="shared" si="22"/>
        <v>GW_DELTA_DCD/GW-FLOW</v>
      </c>
      <c r="H1432" t="s">
        <v>1832</v>
      </c>
      <c r="I1432" t="s">
        <v>1833</v>
      </c>
      <c r="L1432" t="s">
        <v>8</v>
      </c>
      <c r="M1432" t="s">
        <v>8</v>
      </c>
      <c r="N1432" t="s">
        <v>9</v>
      </c>
    </row>
    <row r="1433" spans="2:14" x14ac:dyDescent="0.25">
      <c r="B1433" t="s">
        <v>0</v>
      </c>
      <c r="C1433" t="s">
        <v>1845</v>
      </c>
      <c r="D1433" t="s">
        <v>1844</v>
      </c>
      <c r="E1433" t="s">
        <v>3</v>
      </c>
      <c r="F1433" t="s">
        <v>4</v>
      </c>
      <c r="G1433" s="2" t="str">
        <f t="shared" si="22"/>
        <v>GW_WBA50_DCD/GW-FLOW</v>
      </c>
      <c r="H1433" t="s">
        <v>1832</v>
      </c>
      <c r="I1433" t="s">
        <v>1833</v>
      </c>
      <c r="L1433" t="s">
        <v>8</v>
      </c>
      <c r="M1433" t="s">
        <v>8</v>
      </c>
      <c r="N1433" t="s">
        <v>9</v>
      </c>
    </row>
    <row r="1434" spans="2:14" x14ac:dyDescent="0.25">
      <c r="B1434" t="s">
        <v>0</v>
      </c>
      <c r="C1434" t="s">
        <v>1846</v>
      </c>
      <c r="D1434" t="s">
        <v>1847</v>
      </c>
      <c r="E1434" t="s">
        <v>3</v>
      </c>
      <c r="F1434" t="s">
        <v>4</v>
      </c>
      <c r="G1434" s="2" t="str">
        <f t="shared" si="22"/>
        <v>IRR_50_PA2/IRR</v>
      </c>
      <c r="H1434" t="s">
        <v>1832</v>
      </c>
      <c r="I1434" t="s">
        <v>1833</v>
      </c>
      <c r="L1434" t="s">
        <v>8</v>
      </c>
      <c r="M1434" t="s">
        <v>8</v>
      </c>
      <c r="N1434" t="s">
        <v>9</v>
      </c>
    </row>
    <row r="1435" spans="2:14" x14ac:dyDescent="0.25">
      <c r="B1435" t="s">
        <v>0</v>
      </c>
      <c r="C1435" t="s">
        <v>1848</v>
      </c>
      <c r="D1435" t="s">
        <v>1847</v>
      </c>
      <c r="E1435" t="s">
        <v>3</v>
      </c>
      <c r="F1435" t="s">
        <v>4</v>
      </c>
      <c r="G1435" s="2" t="str">
        <f t="shared" si="22"/>
        <v>IRR_MOK/IRR</v>
      </c>
      <c r="H1435" t="s">
        <v>1832</v>
      </c>
      <c r="I1435" t="s">
        <v>1833</v>
      </c>
      <c r="L1435" t="s">
        <v>8</v>
      </c>
      <c r="M1435" t="s">
        <v>8</v>
      </c>
      <c r="N1435" t="s">
        <v>9</v>
      </c>
    </row>
    <row r="1436" spans="2:14" x14ac:dyDescent="0.25">
      <c r="B1436" t="s">
        <v>0</v>
      </c>
      <c r="C1436" t="s">
        <v>1849</v>
      </c>
      <c r="D1436" t="s">
        <v>1847</v>
      </c>
      <c r="E1436" t="s">
        <v>3</v>
      </c>
      <c r="F1436" t="s">
        <v>4</v>
      </c>
      <c r="G1436" s="2" t="str">
        <f t="shared" si="22"/>
        <v>IRR_OMR/IRR</v>
      </c>
      <c r="H1436" t="s">
        <v>1832</v>
      </c>
      <c r="I1436" t="s">
        <v>1833</v>
      </c>
      <c r="L1436" t="s">
        <v>8</v>
      </c>
      <c r="M1436" t="s">
        <v>8</v>
      </c>
      <c r="N1436" t="s">
        <v>9</v>
      </c>
    </row>
    <row r="1437" spans="2:14" x14ac:dyDescent="0.25">
      <c r="B1437" t="s">
        <v>0</v>
      </c>
      <c r="C1437" t="s">
        <v>1850</v>
      </c>
      <c r="D1437" t="s">
        <v>1847</v>
      </c>
      <c r="E1437" t="s">
        <v>3</v>
      </c>
      <c r="F1437" t="s">
        <v>4</v>
      </c>
      <c r="G1437" s="2" t="str">
        <f t="shared" si="22"/>
        <v>IRR_SAC_NORTH/IRR</v>
      </c>
      <c r="H1437" t="s">
        <v>1832</v>
      </c>
      <c r="I1437" t="s">
        <v>1833</v>
      </c>
      <c r="L1437" t="s">
        <v>8</v>
      </c>
      <c r="M1437" t="s">
        <v>8</v>
      </c>
      <c r="N1437" t="s">
        <v>9</v>
      </c>
    </row>
    <row r="1438" spans="2:14" x14ac:dyDescent="0.25">
      <c r="B1438" t="s">
        <v>0</v>
      </c>
      <c r="C1438" t="s">
        <v>1851</v>
      </c>
      <c r="D1438" t="s">
        <v>1847</v>
      </c>
      <c r="E1438" t="s">
        <v>3</v>
      </c>
      <c r="F1438" t="s">
        <v>4</v>
      </c>
      <c r="G1438" s="2" t="str">
        <f t="shared" si="22"/>
        <v>IRR_SAC_SOUTH/IRR</v>
      </c>
      <c r="H1438" t="s">
        <v>1832</v>
      </c>
      <c r="I1438" t="s">
        <v>1833</v>
      </c>
      <c r="L1438" t="s">
        <v>8</v>
      </c>
      <c r="M1438" t="s">
        <v>8</v>
      </c>
      <c r="N1438" t="s">
        <v>9</v>
      </c>
    </row>
    <row r="1439" spans="2:14" x14ac:dyDescent="0.25">
      <c r="B1439" t="s">
        <v>0</v>
      </c>
      <c r="C1439" t="s">
        <v>1852</v>
      </c>
      <c r="D1439" t="s">
        <v>1847</v>
      </c>
      <c r="E1439" t="s">
        <v>3</v>
      </c>
      <c r="F1439" t="s">
        <v>4</v>
      </c>
      <c r="G1439" s="2" t="str">
        <f t="shared" si="22"/>
        <v>IRR_SAC_WEST/IRR</v>
      </c>
      <c r="H1439" t="s">
        <v>1832</v>
      </c>
      <c r="I1439" t="s">
        <v>1833</v>
      </c>
      <c r="L1439" t="s">
        <v>8</v>
      </c>
      <c r="M1439" t="s">
        <v>8</v>
      </c>
      <c r="N1439" t="s">
        <v>9</v>
      </c>
    </row>
    <row r="1440" spans="2:14" x14ac:dyDescent="0.25">
      <c r="B1440" t="s">
        <v>0</v>
      </c>
      <c r="C1440" t="s">
        <v>1853</v>
      </c>
      <c r="D1440" t="s">
        <v>1847</v>
      </c>
      <c r="E1440" t="s">
        <v>3</v>
      </c>
      <c r="F1440" t="s">
        <v>4</v>
      </c>
      <c r="G1440" s="2" t="str">
        <f t="shared" si="22"/>
        <v>IRR_SJR_EAST/IRR</v>
      </c>
      <c r="H1440" t="s">
        <v>1832</v>
      </c>
      <c r="I1440" t="s">
        <v>1833</v>
      </c>
      <c r="L1440" t="s">
        <v>8</v>
      </c>
      <c r="M1440" t="s">
        <v>8</v>
      </c>
      <c r="N1440" t="s">
        <v>9</v>
      </c>
    </row>
    <row r="1441" spans="2:14" x14ac:dyDescent="0.25">
      <c r="B1441" t="s">
        <v>0</v>
      </c>
      <c r="C1441" t="s">
        <v>1854</v>
      </c>
      <c r="D1441" t="s">
        <v>1847</v>
      </c>
      <c r="E1441" t="s">
        <v>3</v>
      </c>
      <c r="F1441" t="s">
        <v>4</v>
      </c>
      <c r="G1441" s="2" t="str">
        <f t="shared" si="22"/>
        <v>IRR_SJR_WEST/IRR</v>
      </c>
      <c r="H1441" t="s">
        <v>1832</v>
      </c>
      <c r="I1441" t="s">
        <v>1833</v>
      </c>
      <c r="L1441" t="s">
        <v>8</v>
      </c>
      <c r="M1441" t="s">
        <v>8</v>
      </c>
      <c r="N1441" t="s">
        <v>9</v>
      </c>
    </row>
    <row r="1442" spans="2:14" x14ac:dyDescent="0.25">
      <c r="B1442" t="s">
        <v>0</v>
      </c>
      <c r="C1442" t="s">
        <v>1855</v>
      </c>
      <c r="D1442" t="s">
        <v>1856</v>
      </c>
      <c r="E1442" t="s">
        <v>3</v>
      </c>
      <c r="F1442" t="s">
        <v>4</v>
      </c>
      <c r="G1442" s="2" t="str">
        <f t="shared" si="22"/>
        <v>SEEP_50_PA2/SEEP</v>
      </c>
      <c r="H1442" t="s">
        <v>1832</v>
      </c>
      <c r="I1442" t="s">
        <v>1833</v>
      </c>
      <c r="L1442" t="s">
        <v>8</v>
      </c>
      <c r="M1442" t="s">
        <v>8</v>
      </c>
      <c r="N1442" t="s">
        <v>9</v>
      </c>
    </row>
    <row r="1443" spans="2:14" x14ac:dyDescent="0.25">
      <c r="B1443" t="s">
        <v>0</v>
      </c>
      <c r="C1443" t="s">
        <v>1857</v>
      </c>
      <c r="D1443" t="s">
        <v>1856</v>
      </c>
      <c r="E1443" t="s">
        <v>3</v>
      </c>
      <c r="F1443" t="s">
        <v>4</v>
      </c>
      <c r="G1443" s="2" t="str">
        <f t="shared" si="22"/>
        <v>SEEP_MOK/SEEP</v>
      </c>
      <c r="H1443" t="s">
        <v>1832</v>
      </c>
      <c r="I1443" t="s">
        <v>1833</v>
      </c>
      <c r="L1443" t="s">
        <v>8</v>
      </c>
      <c r="M1443" t="s">
        <v>8</v>
      </c>
      <c r="N1443" t="s">
        <v>9</v>
      </c>
    </row>
    <row r="1444" spans="2:14" x14ac:dyDescent="0.25">
      <c r="B1444" t="s">
        <v>0</v>
      </c>
      <c r="C1444" t="s">
        <v>1858</v>
      </c>
      <c r="D1444" t="s">
        <v>1856</v>
      </c>
      <c r="E1444" t="s">
        <v>3</v>
      </c>
      <c r="F1444" t="s">
        <v>4</v>
      </c>
      <c r="G1444" s="2" t="str">
        <f t="shared" si="22"/>
        <v>SEEP_OMR/SEEP</v>
      </c>
      <c r="H1444" t="s">
        <v>1832</v>
      </c>
      <c r="I1444" t="s">
        <v>1833</v>
      </c>
      <c r="L1444" t="s">
        <v>8</v>
      </c>
      <c r="M1444" t="s">
        <v>8</v>
      </c>
      <c r="N1444" t="s">
        <v>9</v>
      </c>
    </row>
    <row r="1445" spans="2:14" x14ac:dyDescent="0.25">
      <c r="B1445" t="s">
        <v>0</v>
      </c>
      <c r="C1445" t="s">
        <v>1859</v>
      </c>
      <c r="D1445" t="s">
        <v>1856</v>
      </c>
      <c r="E1445" t="s">
        <v>3</v>
      </c>
      <c r="F1445" t="s">
        <v>4</v>
      </c>
      <c r="G1445" s="2" t="str">
        <f t="shared" si="22"/>
        <v>SEEP_SAC_NORTH/SEEP</v>
      </c>
      <c r="H1445" t="s">
        <v>1832</v>
      </c>
      <c r="I1445" t="s">
        <v>1833</v>
      </c>
      <c r="L1445" t="s">
        <v>8</v>
      </c>
      <c r="M1445" t="s">
        <v>8</v>
      </c>
      <c r="N1445" t="s">
        <v>9</v>
      </c>
    </row>
    <row r="1446" spans="2:14" x14ac:dyDescent="0.25">
      <c r="B1446" t="s">
        <v>0</v>
      </c>
      <c r="C1446" t="s">
        <v>1860</v>
      </c>
      <c r="D1446" t="s">
        <v>1856</v>
      </c>
      <c r="E1446" t="s">
        <v>3</v>
      </c>
      <c r="F1446" t="s">
        <v>4</v>
      </c>
      <c r="G1446" s="2" t="str">
        <f t="shared" si="22"/>
        <v>SEEP_SAC_SOUTH/SEEP</v>
      </c>
      <c r="H1446" t="s">
        <v>1832</v>
      </c>
      <c r="I1446" t="s">
        <v>1833</v>
      </c>
      <c r="L1446" t="s">
        <v>8</v>
      </c>
      <c r="M1446" t="s">
        <v>8</v>
      </c>
      <c r="N1446" t="s">
        <v>9</v>
      </c>
    </row>
    <row r="1447" spans="2:14" x14ac:dyDescent="0.25">
      <c r="B1447" t="s">
        <v>0</v>
      </c>
      <c r="C1447" t="s">
        <v>1861</v>
      </c>
      <c r="D1447" t="s">
        <v>1856</v>
      </c>
      <c r="E1447" t="s">
        <v>3</v>
      </c>
      <c r="F1447" t="s">
        <v>4</v>
      </c>
      <c r="G1447" s="2" t="str">
        <f t="shared" si="22"/>
        <v>SEEP_SAC_WEST/SEEP</v>
      </c>
      <c r="H1447" t="s">
        <v>1832</v>
      </c>
      <c r="I1447" t="s">
        <v>1833</v>
      </c>
      <c r="L1447" t="s">
        <v>8</v>
      </c>
      <c r="M1447" t="s">
        <v>8</v>
      </c>
      <c r="N1447" t="s">
        <v>9</v>
      </c>
    </row>
    <row r="1448" spans="2:14" x14ac:dyDescent="0.25">
      <c r="B1448" t="s">
        <v>0</v>
      </c>
      <c r="C1448" t="s">
        <v>1862</v>
      </c>
      <c r="D1448" t="s">
        <v>1856</v>
      </c>
      <c r="E1448" t="s">
        <v>3</v>
      </c>
      <c r="F1448" t="s">
        <v>4</v>
      </c>
      <c r="G1448" s="2" t="str">
        <f t="shared" si="22"/>
        <v>SEEP_SJR_EAST/SEEP</v>
      </c>
      <c r="H1448" t="s">
        <v>1832</v>
      </c>
      <c r="I1448" t="s">
        <v>1833</v>
      </c>
      <c r="L1448" t="s">
        <v>8</v>
      </c>
      <c r="M1448" t="s">
        <v>8</v>
      </c>
      <c r="N1448" t="s">
        <v>9</v>
      </c>
    </row>
    <row r="1449" spans="2:14" x14ac:dyDescent="0.25">
      <c r="B1449" t="s">
        <v>0</v>
      </c>
      <c r="C1449" t="s">
        <v>1863</v>
      </c>
      <c r="D1449" t="s">
        <v>1856</v>
      </c>
      <c r="E1449" t="s">
        <v>3</v>
      </c>
      <c r="F1449" t="s">
        <v>4</v>
      </c>
      <c r="G1449" s="2" t="str">
        <f t="shared" si="22"/>
        <v>SEEP_SJR_WEST/SEEP</v>
      </c>
      <c r="H1449" t="s">
        <v>1832</v>
      </c>
      <c r="I1449" t="s">
        <v>1833</v>
      </c>
      <c r="L1449" t="s">
        <v>8</v>
      </c>
      <c r="M1449" t="s">
        <v>8</v>
      </c>
      <c r="N1449" t="s">
        <v>9</v>
      </c>
    </row>
    <row r="1450" spans="2:14" x14ac:dyDescent="0.25">
      <c r="B1450" t="s">
        <v>0</v>
      </c>
      <c r="C1450" t="s">
        <v>1864</v>
      </c>
      <c r="D1450" t="s">
        <v>43</v>
      </c>
      <c r="E1450" t="s">
        <v>3</v>
      </c>
      <c r="F1450" t="s">
        <v>4</v>
      </c>
      <c r="G1450" s="2" t="str">
        <f t="shared" si="22"/>
        <v>DEM_D_CAA173_EMPIRE_PIN/DEMAND-SWP-IN</v>
      </c>
      <c r="H1450" t="s">
        <v>5</v>
      </c>
      <c r="I1450" t="s">
        <v>44</v>
      </c>
      <c r="K1450" t="s">
        <v>1865</v>
      </c>
      <c r="L1450" t="s">
        <v>8</v>
      </c>
      <c r="M1450" t="s">
        <v>40</v>
      </c>
      <c r="N1450" t="s">
        <v>9</v>
      </c>
    </row>
    <row r="1451" spans="2:14" x14ac:dyDescent="0.25">
      <c r="B1451" t="s">
        <v>0</v>
      </c>
      <c r="C1451" t="s">
        <v>1866</v>
      </c>
      <c r="D1451" t="s">
        <v>43</v>
      </c>
      <c r="E1451" t="s">
        <v>3</v>
      </c>
      <c r="F1451" t="s">
        <v>4</v>
      </c>
      <c r="G1451" s="2" t="str">
        <f t="shared" si="22"/>
        <v>DEM_D_CAA181_KINGS_PIN/DEMAND-SWP-IN</v>
      </c>
      <c r="H1451" t="s">
        <v>5</v>
      </c>
      <c r="I1451" t="s">
        <v>44</v>
      </c>
      <c r="K1451" t="s">
        <v>1865</v>
      </c>
      <c r="L1451" t="s">
        <v>8</v>
      </c>
      <c r="M1451" t="s">
        <v>40</v>
      </c>
      <c r="N1451" t="s">
        <v>9</v>
      </c>
    </row>
    <row r="1452" spans="2:14" x14ac:dyDescent="0.25">
      <c r="B1452" t="s">
        <v>0</v>
      </c>
      <c r="C1452" t="s">
        <v>1867</v>
      </c>
      <c r="D1452" t="s">
        <v>43</v>
      </c>
      <c r="E1452" t="s">
        <v>3</v>
      </c>
      <c r="F1452" t="s">
        <v>4</v>
      </c>
      <c r="G1452" s="2" t="str">
        <f t="shared" si="22"/>
        <v>DEM_D_CAA183_TULARE_PIN/DEMAND-SWP-IN</v>
      </c>
      <c r="H1452" t="s">
        <v>5</v>
      </c>
      <c r="I1452" t="s">
        <v>44</v>
      </c>
      <c r="K1452" t="s">
        <v>1865</v>
      </c>
      <c r="L1452" t="s">
        <v>8</v>
      </c>
      <c r="M1452" t="s">
        <v>40</v>
      </c>
      <c r="N1452" t="s">
        <v>9</v>
      </c>
    </row>
    <row r="1453" spans="2:14" x14ac:dyDescent="0.25">
      <c r="B1453" t="s">
        <v>0</v>
      </c>
      <c r="C1453" t="s">
        <v>1868</v>
      </c>
      <c r="D1453" t="s">
        <v>1869</v>
      </c>
      <c r="E1453" t="s">
        <v>3</v>
      </c>
      <c r="F1453" t="s">
        <v>4</v>
      </c>
      <c r="G1453" s="2" t="str">
        <f t="shared" si="22"/>
        <v>WQ406A_MS/SALINITY</v>
      </c>
      <c r="H1453" t="s">
        <v>1870</v>
      </c>
      <c r="I1453" t="s">
        <v>1871</v>
      </c>
      <c r="L1453" t="s">
        <v>8</v>
      </c>
      <c r="N1453" t="s">
        <v>1872</v>
      </c>
    </row>
    <row r="1454" spans="2:14" x14ac:dyDescent="0.25">
      <c r="B1454" t="s">
        <v>0</v>
      </c>
      <c r="C1454" t="s">
        <v>1873</v>
      </c>
      <c r="D1454" t="s">
        <v>1869</v>
      </c>
      <c r="E1454" t="s">
        <v>3</v>
      </c>
      <c r="F1454" t="s">
        <v>4</v>
      </c>
      <c r="G1454" s="2" t="str">
        <f t="shared" si="22"/>
        <v>WQ408_OR/SALINITY</v>
      </c>
      <c r="H1454" t="s">
        <v>1870</v>
      </c>
      <c r="I1454" t="s">
        <v>1871</v>
      </c>
      <c r="L1454" t="s">
        <v>8</v>
      </c>
      <c r="N1454" t="s">
        <v>1872</v>
      </c>
    </row>
    <row r="1455" spans="2:14" x14ac:dyDescent="0.25">
      <c r="B1455" t="s">
        <v>0</v>
      </c>
      <c r="C1455" t="s">
        <v>1874</v>
      </c>
      <c r="D1455" t="s">
        <v>1869</v>
      </c>
      <c r="E1455" t="s">
        <v>3</v>
      </c>
      <c r="F1455" t="s">
        <v>4</v>
      </c>
      <c r="G1455" s="2" t="str">
        <f t="shared" si="22"/>
        <v>WQ408_RS/SALINITY</v>
      </c>
      <c r="H1455" t="s">
        <v>1870</v>
      </c>
      <c r="I1455" t="s">
        <v>1871</v>
      </c>
      <c r="L1455" t="s">
        <v>8</v>
      </c>
      <c r="N1455" t="s">
        <v>1872</v>
      </c>
    </row>
    <row r="1456" spans="2:14" x14ac:dyDescent="0.25">
      <c r="B1456" t="s">
        <v>0</v>
      </c>
      <c r="C1456" t="s">
        <v>1875</v>
      </c>
      <c r="D1456" t="s">
        <v>1869</v>
      </c>
      <c r="E1456" t="s">
        <v>3</v>
      </c>
      <c r="F1456" t="s">
        <v>4</v>
      </c>
      <c r="G1456" s="2" t="str">
        <f t="shared" si="22"/>
        <v>WQ408_VC/SALINITY</v>
      </c>
      <c r="H1456" t="s">
        <v>1870</v>
      </c>
      <c r="I1456" t="s">
        <v>1871</v>
      </c>
      <c r="L1456" t="s">
        <v>8</v>
      </c>
      <c r="N1456" t="s">
        <v>1872</v>
      </c>
    </row>
    <row r="1457" spans="2:14" x14ac:dyDescent="0.25">
      <c r="B1457" t="s">
        <v>0</v>
      </c>
      <c r="C1457" t="s">
        <v>1876</v>
      </c>
      <c r="D1457" t="s">
        <v>1869</v>
      </c>
      <c r="E1457" t="s">
        <v>3</v>
      </c>
      <c r="F1457" t="s">
        <v>4</v>
      </c>
      <c r="G1457" s="2" t="str">
        <f t="shared" si="22"/>
        <v>WQ422_INFLOW/SALINITY</v>
      </c>
      <c r="H1457" t="s">
        <v>1870</v>
      </c>
      <c r="I1457" t="s">
        <v>1871</v>
      </c>
      <c r="L1457" t="s">
        <v>8</v>
      </c>
      <c r="N1457" t="s">
        <v>1872</v>
      </c>
    </row>
    <row r="1458" spans="2:14" x14ac:dyDescent="0.25">
      <c r="B1458" t="s">
        <v>0</v>
      </c>
      <c r="C1458" t="s">
        <v>1877</v>
      </c>
      <c r="D1458" t="s">
        <v>43</v>
      </c>
      <c r="E1458" t="s">
        <v>3</v>
      </c>
      <c r="F1458" t="s">
        <v>4</v>
      </c>
      <c r="G1458" s="2" t="str">
        <f t="shared" si="22"/>
        <v>DEM_D_CAA242_KERN_PIN/DEMAND-SWP-IN</v>
      </c>
      <c r="H1458" t="s">
        <v>5</v>
      </c>
      <c r="I1458" t="s">
        <v>44</v>
      </c>
      <c r="K1458" t="s">
        <v>1865</v>
      </c>
      <c r="L1458" t="s">
        <v>8</v>
      </c>
      <c r="M1458" t="s">
        <v>40</v>
      </c>
      <c r="N1458" t="s">
        <v>9</v>
      </c>
    </row>
    <row r="1459" spans="2:14" x14ac:dyDescent="0.25">
      <c r="B1459" t="s">
        <v>0</v>
      </c>
      <c r="C1459" t="s">
        <v>1878</v>
      </c>
      <c r="D1459" t="s">
        <v>43</v>
      </c>
      <c r="E1459" t="s">
        <v>3</v>
      </c>
      <c r="F1459" t="s">
        <v>4</v>
      </c>
      <c r="G1459" s="2" t="str">
        <f t="shared" si="22"/>
        <v>DEM_D_CSB009_CLRTA1_DDWD_PIN/DEMAND-SWP-IN</v>
      </c>
      <c r="H1459" t="s">
        <v>5</v>
      </c>
      <c r="I1459" t="s">
        <v>44</v>
      </c>
      <c r="K1459" t="s">
        <v>1865</v>
      </c>
      <c r="L1459" t="s">
        <v>8</v>
      </c>
      <c r="M1459" t="s">
        <v>40</v>
      </c>
      <c r="N1459" t="s">
        <v>9</v>
      </c>
    </row>
    <row r="1460" spans="2:14" x14ac:dyDescent="0.25">
      <c r="B1460" t="s">
        <v>0</v>
      </c>
      <c r="C1460" t="s">
        <v>1879</v>
      </c>
      <c r="D1460" t="s">
        <v>1880</v>
      </c>
      <c r="E1460" t="s">
        <v>3</v>
      </c>
      <c r="F1460" t="s">
        <v>4</v>
      </c>
      <c r="G1460" s="2" t="str">
        <f t="shared" si="22"/>
        <v>DEM_D816_PLS/DEMAND-SWP-LS</v>
      </c>
      <c r="H1460" t="s">
        <v>5</v>
      </c>
      <c r="I1460" t="s">
        <v>44</v>
      </c>
      <c r="K1460" t="s">
        <v>1881</v>
      </c>
      <c r="L1460" t="s">
        <v>8</v>
      </c>
      <c r="N1460" t="s">
        <v>9</v>
      </c>
    </row>
    <row r="1461" spans="2:14" x14ac:dyDescent="0.25">
      <c r="B1461" t="s">
        <v>0</v>
      </c>
      <c r="C1461" t="s">
        <v>1882</v>
      </c>
      <c r="D1461" t="s">
        <v>1880</v>
      </c>
      <c r="E1461" t="s">
        <v>3</v>
      </c>
      <c r="F1461" t="s">
        <v>4</v>
      </c>
      <c r="G1461" s="2" t="str">
        <f t="shared" si="22"/>
        <v>DEM_D_CAA220_CAALOS_PLS/DEMAND-SWP-LS</v>
      </c>
      <c r="H1461" t="s">
        <v>5</v>
      </c>
      <c r="I1461" t="s">
        <v>25</v>
      </c>
      <c r="K1461" t="s">
        <v>1116</v>
      </c>
      <c r="L1461" t="s">
        <v>8</v>
      </c>
      <c r="N1461" t="s">
        <v>9</v>
      </c>
    </row>
    <row r="1462" spans="2:14" x14ac:dyDescent="0.25">
      <c r="B1462" t="s">
        <v>0</v>
      </c>
      <c r="C1462" t="s">
        <v>1883</v>
      </c>
      <c r="D1462" t="s">
        <v>1880</v>
      </c>
      <c r="E1462" t="s">
        <v>3</v>
      </c>
      <c r="F1462" t="s">
        <v>4</v>
      </c>
      <c r="G1462" s="2" t="str">
        <f t="shared" si="22"/>
        <v>DEM_D_CAA278_CAALOS_PLS/DEMAND-SWP-LS</v>
      </c>
      <c r="H1462" t="s">
        <v>5</v>
      </c>
      <c r="I1462" t="s">
        <v>25</v>
      </c>
      <c r="K1462" t="s">
        <v>1116</v>
      </c>
      <c r="L1462" t="s">
        <v>8</v>
      </c>
      <c r="N1462" t="s">
        <v>9</v>
      </c>
    </row>
    <row r="1463" spans="2:14" x14ac:dyDescent="0.25">
      <c r="B1463" t="s">
        <v>0</v>
      </c>
      <c r="C1463" t="s">
        <v>1884</v>
      </c>
      <c r="D1463" t="s">
        <v>1880</v>
      </c>
      <c r="E1463" t="s">
        <v>3</v>
      </c>
      <c r="F1463" t="s">
        <v>4</v>
      </c>
      <c r="G1463" s="2" t="str">
        <f t="shared" si="22"/>
        <v>DEM_D_CAA280_CAALOS_PLS/DEMAND-SWP-LS</v>
      </c>
      <c r="H1463" t="s">
        <v>5</v>
      </c>
      <c r="I1463" t="s">
        <v>25</v>
      </c>
      <c r="K1463" t="s">
        <v>1116</v>
      </c>
      <c r="L1463" t="s">
        <v>8</v>
      </c>
      <c r="N1463" t="s">
        <v>9</v>
      </c>
    </row>
    <row r="1464" spans="2:14" x14ac:dyDescent="0.25">
      <c r="B1464" t="s">
        <v>0</v>
      </c>
      <c r="C1464" t="s">
        <v>1885</v>
      </c>
      <c r="D1464" t="s">
        <v>1880</v>
      </c>
      <c r="E1464" t="s">
        <v>3</v>
      </c>
      <c r="F1464" t="s">
        <v>4</v>
      </c>
      <c r="G1464" s="2" t="str">
        <f t="shared" si="22"/>
        <v>DEM_D_ESB361_ESBLOS_PLS/DEMAND-SWP-LS</v>
      </c>
      <c r="H1464" t="s">
        <v>5</v>
      </c>
      <c r="I1464" t="s">
        <v>25</v>
      </c>
      <c r="K1464" t="s">
        <v>1116</v>
      </c>
      <c r="L1464" t="s">
        <v>8</v>
      </c>
      <c r="N1464" t="s">
        <v>9</v>
      </c>
    </row>
    <row r="1465" spans="2:14" x14ac:dyDescent="0.25">
      <c r="B1465" t="s">
        <v>0</v>
      </c>
      <c r="C1465" t="s">
        <v>1886</v>
      </c>
      <c r="D1465" t="s">
        <v>1880</v>
      </c>
      <c r="E1465" t="s">
        <v>3</v>
      </c>
      <c r="F1465" t="s">
        <v>4</v>
      </c>
      <c r="G1465" s="2" t="str">
        <f t="shared" si="22"/>
        <v>DEM_D_ESB406_ESBLOS_PLS/DEMAND-SWP-LS</v>
      </c>
      <c r="H1465" t="s">
        <v>5</v>
      </c>
      <c r="I1465" t="s">
        <v>25</v>
      </c>
      <c r="K1465" t="s">
        <v>1116</v>
      </c>
      <c r="L1465" t="s">
        <v>8</v>
      </c>
      <c r="N1465" t="s">
        <v>9</v>
      </c>
    </row>
    <row r="1466" spans="2:14" x14ac:dyDescent="0.25">
      <c r="B1466" t="s">
        <v>0</v>
      </c>
      <c r="C1466" t="s">
        <v>1887</v>
      </c>
      <c r="D1466" t="s">
        <v>1880</v>
      </c>
      <c r="E1466" t="s">
        <v>3</v>
      </c>
      <c r="F1466" t="s">
        <v>4</v>
      </c>
      <c r="G1466" s="2" t="str">
        <f t="shared" si="22"/>
        <v>DEM_D_ESB425_ESBLOS_PLS/DEMAND-SWP-LS</v>
      </c>
      <c r="H1466" t="s">
        <v>5</v>
      </c>
      <c r="I1466" t="s">
        <v>25</v>
      </c>
      <c r="K1466" t="s">
        <v>1116</v>
      </c>
      <c r="L1466" t="s">
        <v>8</v>
      </c>
      <c r="N1466" t="s">
        <v>9</v>
      </c>
    </row>
    <row r="1467" spans="2:14" x14ac:dyDescent="0.25">
      <c r="B1467" t="s">
        <v>0</v>
      </c>
      <c r="C1467" t="s">
        <v>1888</v>
      </c>
      <c r="D1467" t="s">
        <v>1880</v>
      </c>
      <c r="E1467" t="s">
        <v>3</v>
      </c>
      <c r="F1467" t="s">
        <v>4</v>
      </c>
      <c r="G1467" s="2" t="str">
        <f t="shared" si="22"/>
        <v>DEM_D_SBA042_SBALOS_PLS/DEMAND-SWP-LS</v>
      </c>
      <c r="H1467" t="s">
        <v>5</v>
      </c>
      <c r="I1467" t="s">
        <v>25</v>
      </c>
      <c r="K1467" t="s">
        <v>1116</v>
      </c>
      <c r="L1467" t="s">
        <v>8</v>
      </c>
      <c r="N1467" t="s">
        <v>9</v>
      </c>
    </row>
    <row r="1468" spans="2:14" x14ac:dyDescent="0.25">
      <c r="B1468" t="s">
        <v>0</v>
      </c>
      <c r="C1468" t="s">
        <v>1889</v>
      </c>
      <c r="D1468" t="s">
        <v>1880</v>
      </c>
      <c r="E1468" t="s">
        <v>3</v>
      </c>
      <c r="F1468" t="s">
        <v>4</v>
      </c>
      <c r="G1468" s="2" t="str">
        <f t="shared" si="22"/>
        <v>DEM_D_WSB006_WSBLOS_PLS/DEMAND-SWP-LS</v>
      </c>
      <c r="H1468" t="s">
        <v>5</v>
      </c>
      <c r="I1468" t="s">
        <v>25</v>
      </c>
      <c r="K1468" t="s">
        <v>1116</v>
      </c>
      <c r="L1468" t="s">
        <v>8</v>
      </c>
      <c r="N1468" t="s">
        <v>9</v>
      </c>
    </row>
    <row r="1469" spans="2:14" x14ac:dyDescent="0.25">
      <c r="B1469" t="s">
        <v>0</v>
      </c>
      <c r="C1469" t="s">
        <v>1890</v>
      </c>
      <c r="D1469" t="s">
        <v>1880</v>
      </c>
      <c r="E1469" t="s">
        <v>3</v>
      </c>
      <c r="F1469" t="s">
        <v>4</v>
      </c>
      <c r="G1469" s="2" t="str">
        <f t="shared" si="22"/>
        <v>DEM_D_WSB026_WSBLOS_PLS/DEMAND-SWP-LS</v>
      </c>
      <c r="H1469" t="s">
        <v>5</v>
      </c>
      <c r="I1469" t="s">
        <v>25</v>
      </c>
      <c r="K1469" t="s">
        <v>1116</v>
      </c>
      <c r="L1469" t="s">
        <v>8</v>
      </c>
      <c r="N1469" t="s">
        <v>9</v>
      </c>
    </row>
    <row r="1470" spans="2:14" x14ac:dyDescent="0.25">
      <c r="B1470" t="s">
        <v>0</v>
      </c>
      <c r="C1470" t="s">
        <v>1891</v>
      </c>
      <c r="D1470" t="s">
        <v>1880</v>
      </c>
      <c r="E1470" t="s">
        <v>3</v>
      </c>
      <c r="F1470" t="s">
        <v>4</v>
      </c>
      <c r="G1470" s="2" t="str">
        <f t="shared" si="22"/>
        <v>DEM_D_WSB027_WSBLOS_PLS/DEMAND-SWP-LS</v>
      </c>
      <c r="H1470" t="s">
        <v>5</v>
      </c>
      <c r="I1470" t="s">
        <v>44</v>
      </c>
      <c r="K1470" t="s">
        <v>1116</v>
      </c>
      <c r="L1470" t="s">
        <v>8</v>
      </c>
      <c r="N1470" t="s">
        <v>9</v>
      </c>
    </row>
    <row r="1471" spans="2:14" x14ac:dyDescent="0.25">
      <c r="B1471" t="s">
        <v>0</v>
      </c>
      <c r="C1471" t="s">
        <v>1892</v>
      </c>
      <c r="D1471" t="s">
        <v>1893</v>
      </c>
      <c r="E1471" t="s">
        <v>3</v>
      </c>
      <c r="F1471" t="s">
        <v>4</v>
      </c>
      <c r="G1471" s="2" t="str">
        <f t="shared" si="22"/>
        <v>C_CBD001HIST/FLOW</v>
      </c>
      <c r="H1471" t="s">
        <v>5</v>
      </c>
      <c r="I1471" t="s">
        <v>1894</v>
      </c>
      <c r="J1471" t="s">
        <v>1895</v>
      </c>
      <c r="L1471" t="s">
        <v>8</v>
      </c>
      <c r="M1471" t="s">
        <v>40</v>
      </c>
      <c r="N1471" t="s">
        <v>9</v>
      </c>
    </row>
    <row r="1472" spans="2:14" x14ac:dyDescent="0.25">
      <c r="B1472" t="s">
        <v>0</v>
      </c>
      <c r="C1472" t="s">
        <v>1896</v>
      </c>
      <c r="D1472" t="s">
        <v>1893</v>
      </c>
      <c r="E1472" t="s">
        <v>3</v>
      </c>
      <c r="F1472" t="s">
        <v>4</v>
      </c>
      <c r="G1472" s="2" t="str">
        <f t="shared" si="22"/>
        <v>C_KLR005HIST/FLOW</v>
      </c>
      <c r="H1472" t="s">
        <v>5</v>
      </c>
      <c r="I1472" t="s">
        <v>1894</v>
      </c>
      <c r="J1472" t="s">
        <v>1897</v>
      </c>
      <c r="L1472" t="s">
        <v>8</v>
      </c>
      <c r="M1472" t="s">
        <v>40</v>
      </c>
      <c r="N1472" t="s">
        <v>9</v>
      </c>
    </row>
    <row r="1473" spans="2:14" x14ac:dyDescent="0.25">
      <c r="B1473" t="s">
        <v>0</v>
      </c>
      <c r="C1473" t="s">
        <v>1898</v>
      </c>
      <c r="D1473" t="s">
        <v>1182</v>
      </c>
      <c r="E1473" t="s">
        <v>3</v>
      </c>
      <c r="F1473" t="s">
        <v>4</v>
      </c>
      <c r="G1473" s="2" t="str">
        <f t="shared" si="22"/>
        <v>ER_CHRRY/EVAPORATION-RATE</v>
      </c>
      <c r="H1473" t="s">
        <v>1183</v>
      </c>
      <c r="I1473" t="s">
        <v>1184</v>
      </c>
      <c r="L1473" t="s">
        <v>8</v>
      </c>
      <c r="M1473" t="s">
        <v>8</v>
      </c>
      <c r="N1473" t="s">
        <v>1125</v>
      </c>
    </row>
    <row r="1474" spans="2:14" x14ac:dyDescent="0.25">
      <c r="B1474" t="s">
        <v>0</v>
      </c>
      <c r="C1474" t="s">
        <v>1899</v>
      </c>
      <c r="D1474" t="s">
        <v>1182</v>
      </c>
      <c r="E1474" t="s">
        <v>3</v>
      </c>
      <c r="F1474" t="s">
        <v>4</v>
      </c>
      <c r="G1474" s="2" t="str">
        <f t="shared" si="22"/>
        <v>ER_LLOYD/EVAPORATION-RATE</v>
      </c>
      <c r="H1474" t="s">
        <v>1183</v>
      </c>
      <c r="I1474" t="s">
        <v>1184</v>
      </c>
      <c r="L1474" t="s">
        <v>8</v>
      </c>
      <c r="M1474" t="s">
        <v>8</v>
      </c>
      <c r="N1474" t="s">
        <v>1125</v>
      </c>
    </row>
    <row r="1475" spans="2:14" x14ac:dyDescent="0.25">
      <c r="B1475" t="s">
        <v>0</v>
      </c>
      <c r="C1475" t="s">
        <v>1900</v>
      </c>
      <c r="D1475" t="s">
        <v>1893</v>
      </c>
      <c r="E1475" t="s">
        <v>3</v>
      </c>
      <c r="F1475" t="s">
        <v>4</v>
      </c>
      <c r="G1475" s="2" t="str">
        <f t="shared" ref="G1475:G1538" si="23">_xlfn.CONCAT(C1475,"/",D1475)</f>
        <v>DELTAACCRETIONFORNDOI/FLOW</v>
      </c>
      <c r="H1475" t="s">
        <v>5</v>
      </c>
      <c r="I1475" t="s">
        <v>1901</v>
      </c>
      <c r="L1475" t="s">
        <v>8</v>
      </c>
      <c r="M1475" t="s">
        <v>54</v>
      </c>
      <c r="N1475" t="s">
        <v>9</v>
      </c>
    </row>
    <row r="1476" spans="2:14" x14ac:dyDescent="0.25">
      <c r="B1476" t="s">
        <v>0</v>
      </c>
      <c r="C1476" t="s">
        <v>1902</v>
      </c>
      <c r="D1476" t="s">
        <v>1903</v>
      </c>
      <c r="E1476" t="s">
        <v>3</v>
      </c>
      <c r="F1476" t="s">
        <v>4</v>
      </c>
      <c r="G1476" s="2" t="str">
        <f t="shared" si="23"/>
        <v>UARPFORECASTRELEASE/STORAGE-FORECAST</v>
      </c>
      <c r="H1476" t="s">
        <v>1904</v>
      </c>
      <c r="I1476" t="s">
        <v>1905</v>
      </c>
      <c r="K1476" t="s">
        <v>1906</v>
      </c>
      <c r="L1476" t="s">
        <v>8</v>
      </c>
      <c r="N1476" t="s">
        <v>9</v>
      </c>
    </row>
    <row r="1477" spans="2:14" x14ac:dyDescent="0.25">
      <c r="B1477" t="s">
        <v>0</v>
      </c>
      <c r="C1477" t="s">
        <v>1907</v>
      </c>
      <c r="D1477" t="s">
        <v>1893</v>
      </c>
      <c r="E1477" t="s">
        <v>3</v>
      </c>
      <c r="F1477" t="s">
        <v>4</v>
      </c>
      <c r="G1477" s="2" t="str">
        <f t="shared" si="23"/>
        <v>DELTADEPLETIONFORNDOI/FLOW</v>
      </c>
      <c r="H1477" t="s">
        <v>5</v>
      </c>
      <c r="I1477" t="s">
        <v>1901</v>
      </c>
      <c r="L1477" t="s">
        <v>8</v>
      </c>
      <c r="M1477" t="s">
        <v>54</v>
      </c>
      <c r="N1477" t="s">
        <v>9</v>
      </c>
    </row>
    <row r="1478" spans="2:14" x14ac:dyDescent="0.25">
      <c r="B1478" t="s">
        <v>0</v>
      </c>
      <c r="C1478" t="s">
        <v>1908</v>
      </c>
      <c r="D1478" t="s">
        <v>1893</v>
      </c>
      <c r="E1478" t="s">
        <v>3</v>
      </c>
      <c r="F1478" t="s">
        <v>4</v>
      </c>
      <c r="G1478" s="2" t="str">
        <f t="shared" si="23"/>
        <v>APR_FORECAST_GOODYEAR_B120/FLOW</v>
      </c>
      <c r="H1478" t="s">
        <v>5</v>
      </c>
      <c r="I1478" t="s">
        <v>1909</v>
      </c>
      <c r="L1478" t="s">
        <v>8</v>
      </c>
      <c r="M1478" t="s">
        <v>54</v>
      </c>
      <c r="N1478" t="s">
        <v>9</v>
      </c>
    </row>
    <row r="1479" spans="2:14" x14ac:dyDescent="0.25">
      <c r="B1479" t="s">
        <v>0</v>
      </c>
      <c r="C1479" t="s">
        <v>1910</v>
      </c>
      <c r="D1479" t="s">
        <v>1893</v>
      </c>
      <c r="E1479" t="s">
        <v>3</v>
      </c>
      <c r="F1479" t="s">
        <v>4</v>
      </c>
      <c r="G1479" s="2" t="str">
        <f t="shared" si="23"/>
        <v>APR_FORECAST_SMARTVILLE_B120/FLOW</v>
      </c>
      <c r="H1479" t="s">
        <v>5</v>
      </c>
      <c r="I1479" t="s">
        <v>1909</v>
      </c>
      <c r="L1479" t="s">
        <v>8</v>
      </c>
      <c r="M1479" t="s">
        <v>54</v>
      </c>
      <c r="N1479" t="s">
        <v>9</v>
      </c>
    </row>
    <row r="1480" spans="2:14" x14ac:dyDescent="0.25">
      <c r="B1480" t="s">
        <v>0</v>
      </c>
      <c r="C1480" t="s">
        <v>1911</v>
      </c>
      <c r="D1480" t="s">
        <v>1893</v>
      </c>
      <c r="E1480" t="s">
        <v>3</v>
      </c>
      <c r="F1480" t="s">
        <v>4</v>
      </c>
      <c r="G1480" s="2" t="str">
        <f t="shared" si="23"/>
        <v>FEB_FORECAST_GOODYEAR_B120/FLOW</v>
      </c>
      <c r="H1480" t="s">
        <v>5</v>
      </c>
      <c r="I1480" t="s">
        <v>1909</v>
      </c>
      <c r="L1480" t="s">
        <v>8</v>
      </c>
      <c r="M1480" t="s">
        <v>54</v>
      </c>
      <c r="N1480" t="s">
        <v>9</v>
      </c>
    </row>
    <row r="1481" spans="2:14" x14ac:dyDescent="0.25">
      <c r="B1481" t="s">
        <v>0</v>
      </c>
      <c r="C1481" t="s">
        <v>1912</v>
      </c>
      <c r="D1481" t="s">
        <v>1893</v>
      </c>
      <c r="E1481" t="s">
        <v>3</v>
      </c>
      <c r="F1481" t="s">
        <v>4</v>
      </c>
      <c r="G1481" s="2" t="str">
        <f t="shared" si="23"/>
        <v>FEB_FORECAST_SMARTVILLE_B120/FLOW</v>
      </c>
      <c r="H1481" t="s">
        <v>5</v>
      </c>
      <c r="I1481" t="s">
        <v>1909</v>
      </c>
      <c r="L1481" t="s">
        <v>8</v>
      </c>
      <c r="M1481" t="s">
        <v>54</v>
      </c>
      <c r="N1481" t="s">
        <v>9</v>
      </c>
    </row>
    <row r="1482" spans="2:14" x14ac:dyDescent="0.25">
      <c r="B1482" t="s">
        <v>0</v>
      </c>
      <c r="C1482" t="s">
        <v>1913</v>
      </c>
      <c r="D1482" t="s">
        <v>1893</v>
      </c>
      <c r="E1482" t="s">
        <v>3</v>
      </c>
      <c r="F1482" t="s">
        <v>4</v>
      </c>
      <c r="G1482" s="2" t="str">
        <f t="shared" si="23"/>
        <v>MAR_FORECAST_GOODYEAR_B120/FLOW</v>
      </c>
      <c r="H1482" t="s">
        <v>5</v>
      </c>
      <c r="I1482" t="s">
        <v>1909</v>
      </c>
      <c r="L1482" t="s">
        <v>8</v>
      </c>
      <c r="M1482" t="s">
        <v>40</v>
      </c>
      <c r="N1482" t="s">
        <v>9</v>
      </c>
    </row>
    <row r="1483" spans="2:14" x14ac:dyDescent="0.25">
      <c r="B1483" t="s">
        <v>0</v>
      </c>
      <c r="C1483" t="s">
        <v>1914</v>
      </c>
      <c r="D1483" t="s">
        <v>1893</v>
      </c>
      <c r="E1483" t="s">
        <v>3</v>
      </c>
      <c r="F1483" t="s">
        <v>4</v>
      </c>
      <c r="G1483" s="2" t="str">
        <f t="shared" si="23"/>
        <v>MAR_FORECAST_SMARTVILLE_B120/FLOW</v>
      </c>
      <c r="H1483" t="s">
        <v>5</v>
      </c>
      <c r="I1483" t="s">
        <v>1909</v>
      </c>
      <c r="L1483" t="s">
        <v>8</v>
      </c>
      <c r="M1483" t="s">
        <v>40</v>
      </c>
      <c r="N1483" t="s">
        <v>9</v>
      </c>
    </row>
    <row r="1484" spans="2:14" x14ac:dyDescent="0.25">
      <c r="B1484" t="s">
        <v>0</v>
      </c>
      <c r="C1484" t="s">
        <v>1915</v>
      </c>
      <c r="D1484" t="s">
        <v>1893</v>
      </c>
      <c r="E1484" t="s">
        <v>3</v>
      </c>
      <c r="F1484" t="s">
        <v>4</v>
      </c>
      <c r="G1484" s="2" t="str">
        <f t="shared" si="23"/>
        <v>MAY_FORECAST_GOODYEAR_B120/FLOW</v>
      </c>
      <c r="H1484" t="s">
        <v>5</v>
      </c>
      <c r="I1484" t="s">
        <v>1909</v>
      </c>
      <c r="L1484" t="s">
        <v>8</v>
      </c>
      <c r="M1484" t="s">
        <v>40</v>
      </c>
      <c r="N1484" t="s">
        <v>9</v>
      </c>
    </row>
    <row r="1485" spans="2:14" x14ac:dyDescent="0.25">
      <c r="B1485" t="s">
        <v>0</v>
      </c>
      <c r="C1485" t="s">
        <v>1916</v>
      </c>
      <c r="D1485" t="s">
        <v>1893</v>
      </c>
      <c r="E1485" t="s">
        <v>3</v>
      </c>
      <c r="F1485" t="s">
        <v>4</v>
      </c>
      <c r="G1485" s="2" t="str">
        <f t="shared" si="23"/>
        <v>MAY_FORECAST_SMARTVILLE_B120/FLOW</v>
      </c>
      <c r="H1485" t="s">
        <v>5</v>
      </c>
      <c r="I1485" t="s">
        <v>1909</v>
      </c>
      <c r="K1485" t="s">
        <v>1917</v>
      </c>
      <c r="L1485" t="s">
        <v>8</v>
      </c>
      <c r="M1485" t="s">
        <v>40</v>
      </c>
      <c r="N1485" t="s">
        <v>9</v>
      </c>
    </row>
    <row r="1486" spans="2:14" x14ac:dyDescent="0.25">
      <c r="B1486" t="s">
        <v>0</v>
      </c>
      <c r="C1486" t="s">
        <v>1918</v>
      </c>
      <c r="D1486" t="s">
        <v>1919</v>
      </c>
      <c r="E1486" t="s">
        <v>3</v>
      </c>
      <c r="F1486" t="s">
        <v>4</v>
      </c>
      <c r="G1486" s="2" t="str">
        <f t="shared" si="23"/>
        <v>MF_KSWCK/FLOW-MIN-REQUIRED</v>
      </c>
      <c r="H1486" t="s">
        <v>5</v>
      </c>
      <c r="I1486" t="s">
        <v>39</v>
      </c>
      <c r="K1486" t="s">
        <v>1920</v>
      </c>
      <c r="L1486" t="s">
        <v>8</v>
      </c>
      <c r="N1486" t="s">
        <v>1921</v>
      </c>
    </row>
    <row r="1487" spans="2:14" x14ac:dyDescent="0.25">
      <c r="B1487" t="s">
        <v>0</v>
      </c>
      <c r="C1487" t="s">
        <v>1922</v>
      </c>
      <c r="D1487" t="s">
        <v>1923</v>
      </c>
      <c r="E1487" t="s">
        <v>3</v>
      </c>
      <c r="F1487" t="s">
        <v>4</v>
      </c>
      <c r="G1487" s="2" t="str">
        <f t="shared" si="23"/>
        <v>REST_REQ_NP/RELEASE-HYDROGRAPH</v>
      </c>
      <c r="H1487" t="s">
        <v>5</v>
      </c>
      <c r="I1487" t="s">
        <v>1924</v>
      </c>
      <c r="L1487" t="s">
        <v>8</v>
      </c>
      <c r="M1487" t="s">
        <v>40</v>
      </c>
      <c r="N1487" t="s">
        <v>9</v>
      </c>
    </row>
    <row r="1488" spans="2:14" x14ac:dyDescent="0.25">
      <c r="B1488" t="s">
        <v>0</v>
      </c>
      <c r="C1488" t="s">
        <v>1925</v>
      </c>
      <c r="D1488" t="s">
        <v>1923</v>
      </c>
      <c r="E1488" t="s">
        <v>3</v>
      </c>
      <c r="F1488" t="s">
        <v>4</v>
      </c>
      <c r="G1488" s="2" t="str">
        <f t="shared" si="23"/>
        <v>REST_REQ_P/RELEASE-HYDROGRAPH</v>
      </c>
      <c r="H1488" t="s">
        <v>5</v>
      </c>
      <c r="I1488" t="s">
        <v>1924</v>
      </c>
      <c r="L1488" t="s">
        <v>8</v>
      </c>
      <c r="M1488" t="s">
        <v>40</v>
      </c>
      <c r="N1488" t="s">
        <v>9</v>
      </c>
    </row>
    <row r="1489" spans="2:14" x14ac:dyDescent="0.25">
      <c r="B1489" t="s">
        <v>0</v>
      </c>
      <c r="C1489" t="s">
        <v>1926</v>
      </c>
      <c r="D1489" t="s">
        <v>1927</v>
      </c>
      <c r="E1489" t="s">
        <v>3</v>
      </c>
      <c r="F1489" t="s">
        <v>4</v>
      </c>
      <c r="G1489" s="2" t="str">
        <f t="shared" si="23"/>
        <v>RUFR1_TS/REUSE-FACTOR</v>
      </c>
      <c r="H1489" t="s">
        <v>5</v>
      </c>
      <c r="I1489" t="s">
        <v>1928</v>
      </c>
      <c r="K1489" t="s">
        <v>1929</v>
      </c>
      <c r="L1489" t="s">
        <v>8</v>
      </c>
      <c r="N1489" t="s">
        <v>1930</v>
      </c>
    </row>
    <row r="1490" spans="2:14" x14ac:dyDescent="0.25">
      <c r="B1490" t="s">
        <v>0</v>
      </c>
      <c r="C1490" t="s">
        <v>1931</v>
      </c>
      <c r="D1490" t="s">
        <v>1927</v>
      </c>
      <c r="E1490" t="s">
        <v>3</v>
      </c>
      <c r="F1490" t="s">
        <v>4</v>
      </c>
      <c r="G1490" s="2" t="str">
        <f t="shared" si="23"/>
        <v>RUFR2_TS/REUSE-FACTOR</v>
      </c>
      <c r="H1490" t="s">
        <v>5</v>
      </c>
      <c r="I1490" t="s">
        <v>1928</v>
      </c>
      <c r="K1490" t="s">
        <v>1932</v>
      </c>
      <c r="L1490" t="s">
        <v>8</v>
      </c>
      <c r="N1490" t="s">
        <v>1930</v>
      </c>
    </row>
    <row r="1491" spans="2:14" x14ac:dyDescent="0.25">
      <c r="B1491" t="s">
        <v>0</v>
      </c>
      <c r="C1491" t="s">
        <v>1933</v>
      </c>
      <c r="D1491" t="s">
        <v>1927</v>
      </c>
      <c r="E1491" t="s">
        <v>3</v>
      </c>
      <c r="F1491" t="s">
        <v>4</v>
      </c>
      <c r="G1491" s="2" t="str">
        <f t="shared" si="23"/>
        <v>RUFR3_TS/REUSE-FACTOR</v>
      </c>
      <c r="H1491" t="s">
        <v>5</v>
      </c>
      <c r="I1491" t="s">
        <v>1928</v>
      </c>
      <c r="K1491" t="s">
        <v>1934</v>
      </c>
      <c r="L1491" t="s">
        <v>8</v>
      </c>
      <c r="N1491" t="s">
        <v>1930</v>
      </c>
    </row>
    <row r="1492" spans="2:14" x14ac:dyDescent="0.25">
      <c r="B1492" t="s">
        <v>0</v>
      </c>
      <c r="C1492" t="s">
        <v>1935</v>
      </c>
      <c r="D1492" t="s">
        <v>1927</v>
      </c>
      <c r="E1492" t="s">
        <v>3</v>
      </c>
      <c r="F1492" t="s">
        <v>4</v>
      </c>
      <c r="G1492" s="2" t="str">
        <f t="shared" si="23"/>
        <v>RUFR4_TS/REUSE-FACTOR</v>
      </c>
      <c r="H1492" t="s">
        <v>5</v>
      </c>
      <c r="I1492" t="s">
        <v>1928</v>
      </c>
      <c r="K1492" t="s">
        <v>1936</v>
      </c>
      <c r="L1492" t="s">
        <v>8</v>
      </c>
      <c r="N1492" t="s">
        <v>1930</v>
      </c>
    </row>
    <row r="1493" spans="2:14" x14ac:dyDescent="0.25">
      <c r="B1493" t="s">
        <v>0</v>
      </c>
      <c r="C1493" t="s">
        <v>1937</v>
      </c>
      <c r="D1493" t="s">
        <v>1927</v>
      </c>
      <c r="E1493" t="s">
        <v>3</v>
      </c>
      <c r="F1493" t="s">
        <v>4</v>
      </c>
      <c r="G1493" s="2" t="str">
        <f t="shared" si="23"/>
        <v>RUFR5_TS/REUSE-FACTOR</v>
      </c>
      <c r="H1493" t="s">
        <v>5</v>
      </c>
      <c r="I1493" t="s">
        <v>1928</v>
      </c>
      <c r="K1493" t="s">
        <v>1938</v>
      </c>
      <c r="L1493" t="s">
        <v>8</v>
      </c>
      <c r="N1493" t="s">
        <v>1930</v>
      </c>
    </row>
    <row r="1494" spans="2:14" x14ac:dyDescent="0.25">
      <c r="B1494" t="s">
        <v>0</v>
      </c>
      <c r="C1494" t="s">
        <v>1939</v>
      </c>
      <c r="D1494" t="s">
        <v>1927</v>
      </c>
      <c r="E1494" t="s">
        <v>3</v>
      </c>
      <c r="F1494" t="s">
        <v>4</v>
      </c>
      <c r="G1494" s="2" t="str">
        <f t="shared" si="23"/>
        <v>RUFR6_TS/REUSE-FACTOR</v>
      </c>
      <c r="H1494" t="s">
        <v>5</v>
      </c>
      <c r="I1494" t="s">
        <v>1928</v>
      </c>
      <c r="K1494" t="s">
        <v>1940</v>
      </c>
      <c r="L1494" t="s">
        <v>8</v>
      </c>
      <c r="N1494" t="s">
        <v>1930</v>
      </c>
    </row>
    <row r="1495" spans="2:14" x14ac:dyDescent="0.25">
      <c r="B1495" t="s">
        <v>0</v>
      </c>
      <c r="C1495" t="s">
        <v>1941</v>
      </c>
      <c r="D1495" t="s">
        <v>1942</v>
      </c>
      <c r="E1495" t="s">
        <v>3</v>
      </c>
      <c r="F1495" t="s">
        <v>4</v>
      </c>
      <c r="G1495" s="2" t="str">
        <f t="shared" si="23"/>
        <v>S_OROVLLEVEL5/STORAGE-LEVEL</v>
      </c>
      <c r="H1495" t="s">
        <v>5</v>
      </c>
      <c r="I1495" t="s">
        <v>1943</v>
      </c>
      <c r="K1495" t="s">
        <v>1944</v>
      </c>
      <c r="L1495" t="s">
        <v>8</v>
      </c>
      <c r="M1495" t="s">
        <v>40</v>
      </c>
      <c r="N1495" t="s">
        <v>9</v>
      </c>
    </row>
    <row r="1496" spans="2:14" x14ac:dyDescent="0.25">
      <c r="B1496" t="s">
        <v>0</v>
      </c>
      <c r="C1496" t="s">
        <v>1945</v>
      </c>
      <c r="D1496" t="s">
        <v>1942</v>
      </c>
      <c r="E1496" t="s">
        <v>3</v>
      </c>
      <c r="F1496" t="s">
        <v>4</v>
      </c>
      <c r="G1496" s="2" t="str">
        <f t="shared" si="23"/>
        <v>S_PEDROLEVEL4/STORAGE-LEVEL</v>
      </c>
      <c r="H1496" t="s">
        <v>5</v>
      </c>
      <c r="I1496" t="s">
        <v>1943</v>
      </c>
      <c r="K1496" t="s">
        <v>1946</v>
      </c>
      <c r="L1496" t="s">
        <v>8</v>
      </c>
      <c r="N1496" t="s">
        <v>9</v>
      </c>
    </row>
    <row r="1497" spans="2:14" x14ac:dyDescent="0.25">
      <c r="B1497" t="s">
        <v>0</v>
      </c>
      <c r="C1497" t="s">
        <v>1947</v>
      </c>
      <c r="D1497" t="s">
        <v>1942</v>
      </c>
      <c r="E1497" t="s">
        <v>3</v>
      </c>
      <c r="F1497" t="s">
        <v>4</v>
      </c>
      <c r="G1497" s="2" t="str">
        <f t="shared" si="23"/>
        <v>S_FOLSMLEVEL2/STORAGE-LEVEL</v>
      </c>
      <c r="H1497" t="s">
        <v>5</v>
      </c>
      <c r="I1497" t="s">
        <v>1943</v>
      </c>
      <c r="K1497" t="s">
        <v>1948</v>
      </c>
      <c r="L1497" t="s">
        <v>8</v>
      </c>
      <c r="N1497" t="s">
        <v>9</v>
      </c>
    </row>
    <row r="1498" spans="2:14" x14ac:dyDescent="0.25">
      <c r="B1498" t="s">
        <v>0</v>
      </c>
      <c r="C1498" t="s">
        <v>1949</v>
      </c>
      <c r="D1498" t="s">
        <v>1942</v>
      </c>
      <c r="E1498" t="s">
        <v>3</v>
      </c>
      <c r="F1498" t="s">
        <v>4</v>
      </c>
      <c r="G1498" s="2" t="str">
        <f t="shared" si="23"/>
        <v>S_FOLSMLEVEL4/STORAGE-LEVEL</v>
      </c>
      <c r="H1498" t="s">
        <v>5</v>
      </c>
      <c r="I1498" t="s">
        <v>1943</v>
      </c>
      <c r="K1498" t="s">
        <v>1950</v>
      </c>
      <c r="L1498" t="s">
        <v>8</v>
      </c>
      <c r="N1498" t="s">
        <v>9</v>
      </c>
    </row>
    <row r="1499" spans="2:14" x14ac:dyDescent="0.25">
      <c r="B1499" t="s">
        <v>0</v>
      </c>
      <c r="C1499" t="s">
        <v>1951</v>
      </c>
      <c r="D1499" t="s">
        <v>1942</v>
      </c>
      <c r="E1499" t="s">
        <v>3</v>
      </c>
      <c r="F1499" t="s">
        <v>4</v>
      </c>
      <c r="G1499" s="2" t="str">
        <f t="shared" si="23"/>
        <v>S_FOLSMLEVEL5/STORAGE-LEVEL</v>
      </c>
      <c r="H1499" t="s">
        <v>5</v>
      </c>
      <c r="I1499" t="s">
        <v>1943</v>
      </c>
      <c r="K1499" t="s">
        <v>1952</v>
      </c>
      <c r="L1499" t="s">
        <v>8</v>
      </c>
      <c r="N1499" t="s">
        <v>9</v>
      </c>
    </row>
    <row r="1500" spans="2:14" x14ac:dyDescent="0.25">
      <c r="B1500" t="s">
        <v>0</v>
      </c>
      <c r="C1500" t="s">
        <v>1953</v>
      </c>
      <c r="D1500" t="s">
        <v>1942</v>
      </c>
      <c r="E1500" t="s">
        <v>3</v>
      </c>
      <c r="F1500" t="s">
        <v>4</v>
      </c>
      <c r="G1500" s="2" t="str">
        <f t="shared" si="23"/>
        <v>S_SHSTALEVEL2/STORAGE-LEVEL</v>
      </c>
      <c r="H1500" t="s">
        <v>5</v>
      </c>
      <c r="I1500" t="s">
        <v>1943</v>
      </c>
      <c r="K1500" t="s">
        <v>1954</v>
      </c>
      <c r="L1500" t="s">
        <v>8</v>
      </c>
      <c r="N1500" t="s">
        <v>9</v>
      </c>
    </row>
    <row r="1501" spans="2:14" x14ac:dyDescent="0.25">
      <c r="B1501" t="s">
        <v>0</v>
      </c>
      <c r="C1501" t="s">
        <v>1955</v>
      </c>
      <c r="D1501" t="s">
        <v>1942</v>
      </c>
      <c r="E1501" t="s">
        <v>3</v>
      </c>
      <c r="F1501" t="s">
        <v>4</v>
      </c>
      <c r="G1501" s="2" t="str">
        <f t="shared" si="23"/>
        <v>S_TRNTYLEVEL2/STORAGE-LEVEL</v>
      </c>
      <c r="H1501" t="s">
        <v>5</v>
      </c>
      <c r="I1501" t="s">
        <v>1943</v>
      </c>
      <c r="K1501" t="s">
        <v>1956</v>
      </c>
      <c r="L1501" t="s">
        <v>8</v>
      </c>
      <c r="N1501" t="s">
        <v>9</v>
      </c>
    </row>
    <row r="1502" spans="2:14" x14ac:dyDescent="0.25">
      <c r="B1502" t="s">
        <v>0</v>
      </c>
      <c r="C1502" t="s">
        <v>1957</v>
      </c>
      <c r="D1502" t="s">
        <v>1942</v>
      </c>
      <c r="E1502" t="s">
        <v>3</v>
      </c>
      <c r="F1502" t="s">
        <v>4</v>
      </c>
      <c r="G1502" s="2" t="str">
        <f t="shared" si="23"/>
        <v>S_TRNTYLEVEL3/STORAGE-LEVEL</v>
      </c>
      <c r="H1502" t="s">
        <v>5</v>
      </c>
      <c r="I1502" t="s">
        <v>1943</v>
      </c>
      <c r="K1502" t="s">
        <v>1958</v>
      </c>
      <c r="L1502" t="s">
        <v>8</v>
      </c>
      <c r="N1502" t="s">
        <v>9</v>
      </c>
    </row>
    <row r="1503" spans="2:14" x14ac:dyDescent="0.25">
      <c r="B1503" t="s">
        <v>0</v>
      </c>
      <c r="C1503" t="s">
        <v>1959</v>
      </c>
      <c r="D1503" t="s">
        <v>892</v>
      </c>
      <c r="E1503" t="s">
        <v>3</v>
      </c>
      <c r="F1503" t="s">
        <v>4</v>
      </c>
      <c r="G1503" s="2" t="str">
        <f t="shared" si="23"/>
        <v>UD_GDPUD_PU/URBAN-DEMAND</v>
      </c>
      <c r="H1503" t="s">
        <v>5</v>
      </c>
      <c r="I1503" t="s">
        <v>6</v>
      </c>
      <c r="N1503" t="s">
        <v>9</v>
      </c>
    </row>
    <row r="1504" spans="2:14" x14ac:dyDescent="0.25">
      <c r="B1504" t="s">
        <v>0</v>
      </c>
      <c r="C1504" t="s">
        <v>1960</v>
      </c>
      <c r="D1504" t="s">
        <v>1961</v>
      </c>
      <c r="E1504" t="s">
        <v>3</v>
      </c>
      <c r="F1504" t="s">
        <v>4</v>
      </c>
      <c r="G1504" s="2" t="str">
        <f t="shared" si="23"/>
        <v>DAY1/VOL-FRACTION</v>
      </c>
      <c r="H1504" t="s">
        <v>5</v>
      </c>
      <c r="I1504" t="s">
        <v>1962</v>
      </c>
      <c r="L1504" t="s">
        <v>40</v>
      </c>
      <c r="M1504" t="s">
        <v>40</v>
      </c>
      <c r="N1504" t="s">
        <v>1930</v>
      </c>
    </row>
    <row r="1505" spans="2:14" x14ac:dyDescent="0.25">
      <c r="B1505" t="s">
        <v>0</v>
      </c>
      <c r="C1505" t="s">
        <v>1963</v>
      </c>
      <c r="D1505" t="s">
        <v>1961</v>
      </c>
      <c r="E1505" t="s">
        <v>3</v>
      </c>
      <c r="F1505" t="s">
        <v>4</v>
      </c>
      <c r="G1505" s="2" t="str">
        <f t="shared" si="23"/>
        <v>DAY10/VOL-FRACTION</v>
      </c>
      <c r="H1505" t="s">
        <v>5</v>
      </c>
      <c r="I1505" t="s">
        <v>1962</v>
      </c>
      <c r="L1505" t="s">
        <v>40</v>
      </c>
      <c r="M1505" t="s">
        <v>40</v>
      </c>
      <c r="N1505" t="s">
        <v>1930</v>
      </c>
    </row>
    <row r="1506" spans="2:14" x14ac:dyDescent="0.25">
      <c r="B1506" t="s">
        <v>0</v>
      </c>
      <c r="C1506" t="s">
        <v>1964</v>
      </c>
      <c r="D1506" t="s">
        <v>1961</v>
      </c>
      <c r="E1506" t="s">
        <v>3</v>
      </c>
      <c r="F1506" t="s">
        <v>4</v>
      </c>
      <c r="G1506" s="2" t="str">
        <f t="shared" si="23"/>
        <v>DAY11/VOL-FRACTION</v>
      </c>
      <c r="H1506" t="s">
        <v>5</v>
      </c>
      <c r="I1506" t="s">
        <v>1962</v>
      </c>
      <c r="L1506" t="s">
        <v>40</v>
      </c>
      <c r="M1506" t="s">
        <v>40</v>
      </c>
      <c r="N1506" t="s">
        <v>1930</v>
      </c>
    </row>
    <row r="1507" spans="2:14" x14ac:dyDescent="0.25">
      <c r="B1507" t="s">
        <v>0</v>
      </c>
      <c r="C1507" t="s">
        <v>1965</v>
      </c>
      <c r="D1507" t="s">
        <v>1961</v>
      </c>
      <c r="E1507" t="s">
        <v>3</v>
      </c>
      <c r="F1507" t="s">
        <v>4</v>
      </c>
      <c r="G1507" s="2" t="str">
        <f t="shared" si="23"/>
        <v>DAY12/VOL-FRACTION</v>
      </c>
      <c r="H1507" t="s">
        <v>5</v>
      </c>
      <c r="I1507" t="s">
        <v>1962</v>
      </c>
      <c r="L1507" t="s">
        <v>40</v>
      </c>
      <c r="M1507" t="s">
        <v>40</v>
      </c>
      <c r="N1507" t="s">
        <v>1930</v>
      </c>
    </row>
    <row r="1508" spans="2:14" x14ac:dyDescent="0.25">
      <c r="B1508" t="s">
        <v>0</v>
      </c>
      <c r="C1508" t="s">
        <v>1966</v>
      </c>
      <c r="D1508" t="s">
        <v>1380</v>
      </c>
      <c r="E1508" t="s">
        <v>3</v>
      </c>
      <c r="F1508" t="s">
        <v>4</v>
      </c>
      <c r="G1508" s="2" t="str">
        <f t="shared" si="23"/>
        <v>I_MLRTN_UNIMP/INFLOW</v>
      </c>
      <c r="H1508" t="s">
        <v>1381</v>
      </c>
      <c r="I1508" t="s">
        <v>1382</v>
      </c>
      <c r="L1508" t="s">
        <v>8</v>
      </c>
      <c r="M1508" t="s">
        <v>8</v>
      </c>
      <c r="N1508" t="s">
        <v>9</v>
      </c>
    </row>
    <row r="1509" spans="2:14" x14ac:dyDescent="0.25">
      <c r="B1509" t="s">
        <v>0</v>
      </c>
      <c r="C1509" t="s">
        <v>1967</v>
      </c>
      <c r="D1509" t="s">
        <v>1961</v>
      </c>
      <c r="E1509" t="s">
        <v>3</v>
      </c>
      <c r="F1509" t="s">
        <v>4</v>
      </c>
      <c r="G1509" s="2" t="str">
        <f t="shared" si="23"/>
        <v>DAY13/VOL-FRACTION</v>
      </c>
      <c r="H1509" t="s">
        <v>5</v>
      </c>
      <c r="I1509" t="s">
        <v>1962</v>
      </c>
      <c r="L1509" t="s">
        <v>40</v>
      </c>
      <c r="M1509" t="s">
        <v>40</v>
      </c>
      <c r="N1509" t="s">
        <v>1930</v>
      </c>
    </row>
    <row r="1510" spans="2:14" x14ac:dyDescent="0.25">
      <c r="B1510" t="s">
        <v>0</v>
      </c>
      <c r="C1510" t="s">
        <v>1968</v>
      </c>
      <c r="D1510" t="s">
        <v>1961</v>
      </c>
      <c r="E1510" t="s">
        <v>3</v>
      </c>
      <c r="F1510" t="s">
        <v>4</v>
      </c>
      <c r="G1510" s="2" t="str">
        <f t="shared" si="23"/>
        <v>DAY14/VOL-FRACTION</v>
      </c>
      <c r="H1510" t="s">
        <v>5</v>
      </c>
      <c r="I1510" t="s">
        <v>1962</v>
      </c>
      <c r="L1510" t="s">
        <v>40</v>
      </c>
      <c r="M1510" t="s">
        <v>40</v>
      </c>
      <c r="N1510" t="s">
        <v>1930</v>
      </c>
    </row>
    <row r="1511" spans="2:14" x14ac:dyDescent="0.25">
      <c r="B1511" t="s">
        <v>0</v>
      </c>
      <c r="C1511" t="s">
        <v>1969</v>
      </c>
      <c r="D1511" t="s">
        <v>1961</v>
      </c>
      <c r="E1511" t="s">
        <v>3</v>
      </c>
      <c r="F1511" t="s">
        <v>4</v>
      </c>
      <c r="G1511" s="2" t="str">
        <f t="shared" si="23"/>
        <v>DAY15/VOL-FRACTION</v>
      </c>
      <c r="H1511" t="s">
        <v>5</v>
      </c>
      <c r="I1511" t="s">
        <v>1962</v>
      </c>
      <c r="L1511" t="s">
        <v>40</v>
      </c>
      <c r="M1511" t="s">
        <v>40</v>
      </c>
      <c r="N1511" t="s">
        <v>1930</v>
      </c>
    </row>
    <row r="1512" spans="2:14" x14ac:dyDescent="0.25">
      <c r="B1512" t="s">
        <v>0</v>
      </c>
      <c r="C1512" t="s">
        <v>1970</v>
      </c>
      <c r="D1512" t="s">
        <v>1961</v>
      </c>
      <c r="E1512" t="s">
        <v>3</v>
      </c>
      <c r="F1512" t="s">
        <v>4</v>
      </c>
      <c r="G1512" s="2" t="str">
        <f t="shared" si="23"/>
        <v>DAY16/VOL-FRACTION</v>
      </c>
      <c r="H1512" t="s">
        <v>5</v>
      </c>
      <c r="I1512" t="s">
        <v>1962</v>
      </c>
      <c r="L1512" t="s">
        <v>40</v>
      </c>
      <c r="M1512" t="s">
        <v>40</v>
      </c>
      <c r="N1512" t="s">
        <v>1930</v>
      </c>
    </row>
    <row r="1513" spans="2:14" x14ac:dyDescent="0.25">
      <c r="B1513" t="s">
        <v>0</v>
      </c>
      <c r="C1513" t="s">
        <v>1971</v>
      </c>
      <c r="D1513" t="s">
        <v>1961</v>
      </c>
      <c r="E1513" t="s">
        <v>3</v>
      </c>
      <c r="F1513" t="s">
        <v>4</v>
      </c>
      <c r="G1513" s="2" t="str">
        <f t="shared" si="23"/>
        <v>DAY17/VOL-FRACTION</v>
      </c>
      <c r="H1513" t="s">
        <v>5</v>
      </c>
      <c r="I1513" t="s">
        <v>1962</v>
      </c>
      <c r="L1513" t="s">
        <v>40</v>
      </c>
      <c r="M1513" t="s">
        <v>40</v>
      </c>
      <c r="N1513" t="s">
        <v>1930</v>
      </c>
    </row>
    <row r="1514" spans="2:14" x14ac:dyDescent="0.25">
      <c r="B1514" t="s">
        <v>0</v>
      </c>
      <c r="C1514" t="s">
        <v>1972</v>
      </c>
      <c r="D1514" t="s">
        <v>1961</v>
      </c>
      <c r="E1514" t="s">
        <v>3</v>
      </c>
      <c r="F1514" t="s">
        <v>4</v>
      </c>
      <c r="G1514" s="2" t="str">
        <f t="shared" si="23"/>
        <v>DAY18/VOL-FRACTION</v>
      </c>
      <c r="H1514" t="s">
        <v>5</v>
      </c>
      <c r="I1514" t="s">
        <v>1962</v>
      </c>
      <c r="L1514" t="s">
        <v>40</v>
      </c>
      <c r="M1514" t="s">
        <v>40</v>
      </c>
      <c r="N1514" t="s">
        <v>1930</v>
      </c>
    </row>
    <row r="1515" spans="2:14" x14ac:dyDescent="0.25">
      <c r="B1515" t="s">
        <v>0</v>
      </c>
      <c r="C1515" t="s">
        <v>1973</v>
      </c>
      <c r="D1515" t="s">
        <v>1961</v>
      </c>
      <c r="E1515" t="s">
        <v>3</v>
      </c>
      <c r="F1515" t="s">
        <v>4</v>
      </c>
      <c r="G1515" s="2" t="str">
        <f t="shared" si="23"/>
        <v>DAY19/VOL-FRACTION</v>
      </c>
      <c r="H1515" t="s">
        <v>5</v>
      </c>
      <c r="I1515" t="s">
        <v>1962</v>
      </c>
      <c r="L1515" t="s">
        <v>40</v>
      </c>
      <c r="M1515" t="s">
        <v>40</v>
      </c>
      <c r="N1515" t="s">
        <v>1930</v>
      </c>
    </row>
    <row r="1516" spans="2:14" x14ac:dyDescent="0.25">
      <c r="B1516" t="s">
        <v>0</v>
      </c>
      <c r="C1516" t="s">
        <v>1974</v>
      </c>
      <c r="D1516" t="s">
        <v>1961</v>
      </c>
      <c r="E1516" t="s">
        <v>3</v>
      </c>
      <c r="F1516" t="s">
        <v>4</v>
      </c>
      <c r="G1516" s="2" t="str">
        <f t="shared" si="23"/>
        <v>DAY2/VOL-FRACTION</v>
      </c>
      <c r="H1516" t="s">
        <v>5</v>
      </c>
      <c r="I1516" t="s">
        <v>1962</v>
      </c>
      <c r="L1516" t="s">
        <v>40</v>
      </c>
      <c r="M1516" t="s">
        <v>40</v>
      </c>
      <c r="N1516" t="s">
        <v>1930</v>
      </c>
    </row>
    <row r="1517" spans="2:14" x14ac:dyDescent="0.25">
      <c r="B1517" t="s">
        <v>0</v>
      </c>
      <c r="C1517" t="s">
        <v>1975</v>
      </c>
      <c r="D1517" t="s">
        <v>1961</v>
      </c>
      <c r="E1517" t="s">
        <v>3</v>
      </c>
      <c r="F1517" t="s">
        <v>4</v>
      </c>
      <c r="G1517" s="2" t="str">
        <f t="shared" si="23"/>
        <v>DAY20/VOL-FRACTION</v>
      </c>
      <c r="H1517" t="s">
        <v>5</v>
      </c>
      <c r="I1517" t="s">
        <v>1962</v>
      </c>
      <c r="L1517" t="s">
        <v>40</v>
      </c>
      <c r="M1517" t="s">
        <v>40</v>
      </c>
      <c r="N1517" t="s">
        <v>1930</v>
      </c>
    </row>
    <row r="1518" spans="2:14" x14ac:dyDescent="0.25">
      <c r="B1518" t="s">
        <v>0</v>
      </c>
      <c r="C1518" t="s">
        <v>1976</v>
      </c>
      <c r="D1518" t="s">
        <v>1961</v>
      </c>
      <c r="E1518" t="s">
        <v>3</v>
      </c>
      <c r="F1518" t="s">
        <v>4</v>
      </c>
      <c r="G1518" s="2" t="str">
        <f t="shared" si="23"/>
        <v>DAY21/VOL-FRACTION</v>
      </c>
      <c r="H1518" t="s">
        <v>5</v>
      </c>
      <c r="I1518" t="s">
        <v>1962</v>
      </c>
      <c r="L1518" t="s">
        <v>40</v>
      </c>
      <c r="M1518" t="s">
        <v>40</v>
      </c>
      <c r="N1518" t="s">
        <v>1930</v>
      </c>
    </row>
    <row r="1519" spans="2:14" x14ac:dyDescent="0.25">
      <c r="B1519" t="s">
        <v>0</v>
      </c>
      <c r="C1519" t="s">
        <v>1977</v>
      </c>
      <c r="D1519" t="s">
        <v>1961</v>
      </c>
      <c r="E1519" t="s">
        <v>3</v>
      </c>
      <c r="F1519" t="s">
        <v>4</v>
      </c>
      <c r="G1519" s="2" t="str">
        <f t="shared" si="23"/>
        <v>DAY22/VOL-FRACTION</v>
      </c>
      <c r="H1519" t="s">
        <v>5</v>
      </c>
      <c r="I1519" t="s">
        <v>1962</v>
      </c>
      <c r="L1519" t="s">
        <v>40</v>
      </c>
      <c r="M1519" t="s">
        <v>40</v>
      </c>
      <c r="N1519" t="s">
        <v>1930</v>
      </c>
    </row>
    <row r="1520" spans="2:14" x14ac:dyDescent="0.25">
      <c r="B1520" t="s">
        <v>0</v>
      </c>
      <c r="C1520" t="s">
        <v>1978</v>
      </c>
      <c r="D1520" t="s">
        <v>1979</v>
      </c>
      <c r="E1520" t="s">
        <v>3</v>
      </c>
      <c r="F1520" t="s">
        <v>4</v>
      </c>
      <c r="G1520" s="2" t="str">
        <f t="shared" si="23"/>
        <v>CAP_C_CAA238_CVC_F/CAPACITY</v>
      </c>
      <c r="H1520" t="s">
        <v>1980</v>
      </c>
      <c r="I1520" t="s">
        <v>1981</v>
      </c>
      <c r="K1520" t="s">
        <v>1982</v>
      </c>
      <c r="L1520" t="s">
        <v>8</v>
      </c>
      <c r="N1520" t="s">
        <v>9</v>
      </c>
    </row>
    <row r="1521" spans="2:14" x14ac:dyDescent="0.25">
      <c r="B1521" t="s">
        <v>0</v>
      </c>
      <c r="C1521" t="s">
        <v>1983</v>
      </c>
      <c r="D1521" t="s">
        <v>1979</v>
      </c>
      <c r="E1521" t="s">
        <v>3</v>
      </c>
      <c r="F1521" t="s">
        <v>4</v>
      </c>
      <c r="G1521" s="2" t="str">
        <f t="shared" si="23"/>
        <v>CAP_C_CAA238_CVC_R/CAPACITY</v>
      </c>
      <c r="H1521" t="s">
        <v>1980</v>
      </c>
      <c r="I1521" t="s">
        <v>1981</v>
      </c>
      <c r="K1521" t="s">
        <v>1984</v>
      </c>
      <c r="L1521" t="s">
        <v>8</v>
      </c>
      <c r="N1521" t="s">
        <v>9</v>
      </c>
    </row>
    <row r="1522" spans="2:14" x14ac:dyDescent="0.25">
      <c r="B1522" t="s">
        <v>0</v>
      </c>
      <c r="C1522" t="s">
        <v>1985</v>
      </c>
      <c r="D1522" t="s">
        <v>1986</v>
      </c>
      <c r="E1522" t="s">
        <v>3</v>
      </c>
      <c r="F1522" t="s">
        <v>4</v>
      </c>
      <c r="G1522" s="2" t="str">
        <f t="shared" si="23"/>
        <v>DEM_D_CAA239_CVPRF_PRF/DEMAND-CVP-RF</v>
      </c>
      <c r="H1522" t="s">
        <v>1980</v>
      </c>
      <c r="I1522" t="s">
        <v>1981</v>
      </c>
      <c r="K1522" t="s">
        <v>1116</v>
      </c>
      <c r="L1522" t="s">
        <v>8</v>
      </c>
      <c r="N1522" t="s">
        <v>9</v>
      </c>
    </row>
    <row r="1523" spans="2:14" x14ac:dyDescent="0.25">
      <c r="B1523" t="s">
        <v>0</v>
      </c>
      <c r="C1523" t="s">
        <v>1987</v>
      </c>
      <c r="D1523" t="s">
        <v>1988</v>
      </c>
      <c r="E1523" t="s">
        <v>3</v>
      </c>
      <c r="F1523" t="s">
        <v>4</v>
      </c>
      <c r="G1523" s="2" t="str">
        <f t="shared" si="23"/>
        <v>DMD_CBC001_24_NA1_NID/DEMAND</v>
      </c>
      <c r="H1523" t="s">
        <v>1980</v>
      </c>
      <c r="I1523" t="s">
        <v>1981</v>
      </c>
      <c r="K1523" t="s">
        <v>1989</v>
      </c>
      <c r="L1523" t="s">
        <v>8</v>
      </c>
      <c r="N1523" t="s">
        <v>9</v>
      </c>
    </row>
    <row r="1524" spans="2:14" x14ac:dyDescent="0.25">
      <c r="B1524" t="s">
        <v>0</v>
      </c>
      <c r="C1524" t="s">
        <v>1990</v>
      </c>
      <c r="D1524" t="s">
        <v>1988</v>
      </c>
      <c r="E1524" t="s">
        <v>3</v>
      </c>
      <c r="F1524" t="s">
        <v>4</v>
      </c>
      <c r="G1524" s="2" t="str">
        <f t="shared" si="23"/>
        <v>DMD_CBC001_CCK036_NID/DEMAND</v>
      </c>
      <c r="H1524" t="s">
        <v>1980</v>
      </c>
      <c r="I1524" t="s">
        <v>1981</v>
      </c>
      <c r="K1524" t="s">
        <v>1989</v>
      </c>
      <c r="L1524" t="s">
        <v>8</v>
      </c>
      <c r="N1524" t="s">
        <v>9</v>
      </c>
    </row>
    <row r="1525" spans="2:14" x14ac:dyDescent="0.25">
      <c r="B1525" t="s">
        <v>0</v>
      </c>
      <c r="C1525" t="s">
        <v>1991</v>
      </c>
      <c r="D1525" t="s">
        <v>1992</v>
      </c>
      <c r="E1525" t="s">
        <v>3</v>
      </c>
      <c r="F1525" t="s">
        <v>4</v>
      </c>
      <c r="G1525" s="2" t="str">
        <f t="shared" si="23"/>
        <v>D_LYONS_TCN000_DEM/FLOW-HISTORICAL</v>
      </c>
      <c r="H1525" t="s">
        <v>1980</v>
      </c>
      <c r="I1525" t="s">
        <v>1981</v>
      </c>
      <c r="K1525" t="s">
        <v>1993</v>
      </c>
      <c r="L1525" t="s">
        <v>8</v>
      </c>
      <c r="N1525" t="s">
        <v>1921</v>
      </c>
    </row>
    <row r="1526" spans="2:14" x14ac:dyDescent="0.25">
      <c r="B1526" t="s">
        <v>0</v>
      </c>
      <c r="C1526" t="s">
        <v>1994</v>
      </c>
      <c r="D1526" t="s">
        <v>1992</v>
      </c>
      <c r="E1526" t="s">
        <v>3</v>
      </c>
      <c r="F1526" t="s">
        <v>4</v>
      </c>
      <c r="G1526" s="2" t="str">
        <f t="shared" si="23"/>
        <v>D_UTC000_CACWD_DEM/FLOW-HISTORICAL</v>
      </c>
      <c r="H1526" t="s">
        <v>1980</v>
      </c>
      <c r="I1526" t="s">
        <v>1981</v>
      </c>
      <c r="K1526" t="s">
        <v>1995</v>
      </c>
      <c r="L1526" t="s">
        <v>8</v>
      </c>
      <c r="N1526" t="s">
        <v>1921</v>
      </c>
    </row>
    <row r="1527" spans="2:14" x14ac:dyDescent="0.25">
      <c r="B1527" t="s">
        <v>0</v>
      </c>
      <c r="C1527" t="s">
        <v>1996</v>
      </c>
      <c r="D1527" t="s">
        <v>1182</v>
      </c>
      <c r="E1527" t="s">
        <v>3</v>
      </c>
      <c r="F1527" t="s">
        <v>4</v>
      </c>
      <c r="G1527" s="2" t="str">
        <f t="shared" si="23"/>
        <v>ER_S30/EVAPORATION-RATE</v>
      </c>
      <c r="H1527" t="s">
        <v>1980</v>
      </c>
      <c r="I1527" t="s">
        <v>1981</v>
      </c>
      <c r="K1527" t="s">
        <v>1997</v>
      </c>
      <c r="L1527" t="s">
        <v>8</v>
      </c>
      <c r="M1527" t="s">
        <v>8</v>
      </c>
      <c r="N1527" t="s">
        <v>1125</v>
      </c>
    </row>
    <row r="1528" spans="2:14" x14ac:dyDescent="0.25">
      <c r="B1528" t="s">
        <v>0</v>
      </c>
      <c r="C1528" t="s">
        <v>1998</v>
      </c>
      <c r="D1528" t="s">
        <v>1114</v>
      </c>
      <c r="E1528" t="s">
        <v>3</v>
      </c>
      <c r="F1528" t="s">
        <v>4</v>
      </c>
      <c r="G1528" s="2" t="str">
        <f t="shared" si="23"/>
        <v>FSC_LOSSES/SEEPAGE</v>
      </c>
      <c r="H1528" t="s">
        <v>1980</v>
      </c>
      <c r="I1528" t="s">
        <v>1981</v>
      </c>
      <c r="K1528" t="s">
        <v>1999</v>
      </c>
      <c r="L1528" t="s">
        <v>8</v>
      </c>
      <c r="N1528" t="s">
        <v>9</v>
      </c>
    </row>
    <row r="1529" spans="2:14" x14ac:dyDescent="0.25">
      <c r="B1529" t="s">
        <v>0</v>
      </c>
      <c r="C1529" t="s">
        <v>2000</v>
      </c>
      <c r="D1529" t="s">
        <v>1423</v>
      </c>
      <c r="E1529" t="s">
        <v>3</v>
      </c>
      <c r="F1529" t="s">
        <v>4</v>
      </c>
      <c r="G1529" s="2" t="str">
        <f t="shared" si="23"/>
        <v>I_CAA245/FLOW-INFLOW</v>
      </c>
      <c r="H1529" t="s">
        <v>1980</v>
      </c>
      <c r="I1529" t="s">
        <v>1981</v>
      </c>
      <c r="J1529">
        <v>0</v>
      </c>
      <c r="K1529" t="s">
        <v>2001</v>
      </c>
      <c r="L1529" t="s">
        <v>8</v>
      </c>
      <c r="M1529" t="s">
        <v>8</v>
      </c>
      <c r="N1529" t="s">
        <v>9</v>
      </c>
    </row>
    <row r="1530" spans="2:14" x14ac:dyDescent="0.25">
      <c r="B1530" t="s">
        <v>0</v>
      </c>
      <c r="C1530" t="s">
        <v>2002</v>
      </c>
      <c r="D1530" t="s">
        <v>1919</v>
      </c>
      <c r="E1530" t="s">
        <v>3</v>
      </c>
      <c r="F1530" t="s">
        <v>4</v>
      </c>
      <c r="G1530" s="2" t="str">
        <f t="shared" si="23"/>
        <v>MINFLOWFEATHER/FLOW-MIN-REQUIRED</v>
      </c>
      <c r="H1530" t="s">
        <v>1980</v>
      </c>
      <c r="I1530" t="s">
        <v>1981</v>
      </c>
      <c r="K1530" t="s">
        <v>2003</v>
      </c>
      <c r="L1530" t="s">
        <v>8</v>
      </c>
      <c r="N1530" t="s">
        <v>1921</v>
      </c>
    </row>
    <row r="1531" spans="2:14" x14ac:dyDescent="0.25">
      <c r="B1531" t="s">
        <v>0</v>
      </c>
      <c r="C1531" t="s">
        <v>2004</v>
      </c>
      <c r="D1531" t="s">
        <v>2005</v>
      </c>
      <c r="E1531" t="s">
        <v>3</v>
      </c>
      <c r="F1531" t="s">
        <v>4</v>
      </c>
      <c r="G1531" s="2" t="str">
        <f t="shared" si="23"/>
        <v>REST_RCH_NP/REST_FLOW</v>
      </c>
      <c r="H1531" t="s">
        <v>1980</v>
      </c>
      <c r="I1531" t="s">
        <v>1981</v>
      </c>
      <c r="K1531" t="s">
        <v>2006</v>
      </c>
      <c r="L1531" t="s">
        <v>8</v>
      </c>
      <c r="N1531" t="s">
        <v>1921</v>
      </c>
    </row>
    <row r="1532" spans="2:14" x14ac:dyDescent="0.25">
      <c r="B1532" t="s">
        <v>0</v>
      </c>
      <c r="C1532" t="s">
        <v>2007</v>
      </c>
      <c r="D1532" t="s">
        <v>2005</v>
      </c>
      <c r="E1532" t="s">
        <v>3</v>
      </c>
      <c r="F1532" t="s">
        <v>4</v>
      </c>
      <c r="G1532" s="2" t="str">
        <f t="shared" si="23"/>
        <v>REST_RCH_P/REST_FLOW</v>
      </c>
      <c r="H1532" t="s">
        <v>1980</v>
      </c>
      <c r="I1532" t="s">
        <v>1981</v>
      </c>
      <c r="K1532" t="s">
        <v>2006</v>
      </c>
      <c r="L1532" t="s">
        <v>8</v>
      </c>
      <c r="N1532" t="s">
        <v>1921</v>
      </c>
    </row>
    <row r="1533" spans="2:14" x14ac:dyDescent="0.25">
      <c r="B1533" t="s">
        <v>0</v>
      </c>
      <c r="C1533" t="s">
        <v>2008</v>
      </c>
      <c r="D1533" t="s">
        <v>1927</v>
      </c>
      <c r="E1533" t="s">
        <v>3</v>
      </c>
      <c r="F1533" t="s">
        <v>4</v>
      </c>
      <c r="G1533" s="2" t="str">
        <f t="shared" si="23"/>
        <v>RUFW1_TS/REUSE-FACTOR</v>
      </c>
      <c r="H1533" t="s">
        <v>1980</v>
      </c>
      <c r="I1533" t="s">
        <v>1981</v>
      </c>
      <c r="K1533" t="s">
        <v>2009</v>
      </c>
      <c r="L1533" t="s">
        <v>8</v>
      </c>
      <c r="N1533" t="s">
        <v>1930</v>
      </c>
    </row>
    <row r="1534" spans="2:14" x14ac:dyDescent="0.25">
      <c r="B1534" t="s">
        <v>0</v>
      </c>
      <c r="C1534" t="s">
        <v>2010</v>
      </c>
      <c r="D1534" t="s">
        <v>690</v>
      </c>
      <c r="E1534" t="s">
        <v>3</v>
      </c>
      <c r="F1534" t="s">
        <v>4</v>
      </c>
      <c r="G1534" s="2" t="str">
        <f t="shared" si="23"/>
        <v>R_60N_NA4_SJR022_SV/RETURN-FLOW</v>
      </c>
      <c r="H1534" t="s">
        <v>1980</v>
      </c>
      <c r="I1534" t="s">
        <v>1981</v>
      </c>
      <c r="K1534" t="s">
        <v>2011</v>
      </c>
      <c r="L1534" t="s">
        <v>8</v>
      </c>
      <c r="N1534" t="s">
        <v>9</v>
      </c>
    </row>
    <row r="1535" spans="2:14" x14ac:dyDescent="0.25">
      <c r="B1535" t="s">
        <v>0</v>
      </c>
      <c r="C1535" t="s">
        <v>2012</v>
      </c>
      <c r="D1535" t="s">
        <v>690</v>
      </c>
      <c r="E1535" t="s">
        <v>3</v>
      </c>
      <c r="F1535" t="s">
        <v>4</v>
      </c>
      <c r="G1535" s="2" t="str">
        <f t="shared" si="23"/>
        <v>R_RFS71A_OMR039_SV/RETURN-FLOW</v>
      </c>
      <c r="H1535" t="s">
        <v>1980</v>
      </c>
      <c r="I1535" t="s">
        <v>1981</v>
      </c>
      <c r="K1535" t="s">
        <v>2013</v>
      </c>
      <c r="L1535" t="s">
        <v>8</v>
      </c>
      <c r="N1535" t="s">
        <v>9</v>
      </c>
    </row>
    <row r="1536" spans="2:14" x14ac:dyDescent="0.25">
      <c r="B1536" t="s">
        <v>0</v>
      </c>
      <c r="C1536" t="s">
        <v>2014</v>
      </c>
      <c r="D1536" t="s">
        <v>2015</v>
      </c>
      <c r="E1536" t="s">
        <v>3</v>
      </c>
      <c r="F1536" t="s">
        <v>4</v>
      </c>
      <c r="G1536" s="2" t="str">
        <f t="shared" si="23"/>
        <v>SB_DEMAND/LV-PARTNER-DEMAND</v>
      </c>
      <c r="H1536" t="s">
        <v>1980</v>
      </c>
      <c r="I1536" t="s">
        <v>1981</v>
      </c>
      <c r="K1536" t="s">
        <v>2016</v>
      </c>
      <c r="L1536" t="s">
        <v>8</v>
      </c>
      <c r="N1536" t="s">
        <v>1921</v>
      </c>
    </row>
    <row r="1537" spans="2:14" x14ac:dyDescent="0.25">
      <c r="B1537" t="s">
        <v>0</v>
      </c>
      <c r="C1537" t="s">
        <v>2017</v>
      </c>
      <c r="D1537" t="s">
        <v>2015</v>
      </c>
      <c r="E1537" t="s">
        <v>3</v>
      </c>
      <c r="F1537" t="s">
        <v>4</v>
      </c>
      <c r="G1537" s="2" t="str">
        <f t="shared" si="23"/>
        <v>SF_DEMAND/LV-PARTNER-DEMAND</v>
      </c>
      <c r="H1537" t="s">
        <v>1980</v>
      </c>
      <c r="I1537" t="s">
        <v>1981</v>
      </c>
      <c r="K1537" t="s">
        <v>2016</v>
      </c>
      <c r="L1537" t="s">
        <v>8</v>
      </c>
      <c r="N1537" t="s">
        <v>1921</v>
      </c>
    </row>
    <row r="1538" spans="2:14" x14ac:dyDescent="0.25">
      <c r="B1538" t="s">
        <v>0</v>
      </c>
      <c r="C1538" t="s">
        <v>2018</v>
      </c>
      <c r="D1538" t="s">
        <v>24</v>
      </c>
      <c r="E1538" t="s">
        <v>3</v>
      </c>
      <c r="F1538" t="s">
        <v>4</v>
      </c>
      <c r="G1538" s="2" t="str">
        <f t="shared" si="23"/>
        <v>SG_DMC_LOWER/CANAL-LOSS</v>
      </c>
      <c r="H1538" t="s">
        <v>1980</v>
      </c>
      <c r="I1538" t="s">
        <v>1981</v>
      </c>
      <c r="K1538" t="s">
        <v>26</v>
      </c>
      <c r="L1538" t="s">
        <v>8</v>
      </c>
      <c r="N1538" t="s">
        <v>9</v>
      </c>
    </row>
    <row r="1539" spans="2:14" x14ac:dyDescent="0.25">
      <c r="B1539" t="s">
        <v>0</v>
      </c>
      <c r="C1539" t="s">
        <v>2019</v>
      </c>
      <c r="D1539" t="s">
        <v>24</v>
      </c>
      <c r="E1539" t="s">
        <v>3</v>
      </c>
      <c r="F1539" t="s">
        <v>4</v>
      </c>
      <c r="G1539" s="2" t="str">
        <f t="shared" ref="G1539:G1602" si="24">_xlfn.CONCAT(C1539,"/",D1539)</f>
        <v>SG_DMC_UPPER/CANAL-LOSS</v>
      </c>
      <c r="H1539" t="s">
        <v>1980</v>
      </c>
      <c r="I1539" t="s">
        <v>1981</v>
      </c>
      <c r="K1539" t="s">
        <v>26</v>
      </c>
      <c r="L1539" t="s">
        <v>8</v>
      </c>
      <c r="N1539" t="s">
        <v>9</v>
      </c>
    </row>
    <row r="1540" spans="2:14" x14ac:dyDescent="0.25">
      <c r="B1540" t="s">
        <v>0</v>
      </c>
      <c r="C1540" t="s">
        <v>2020</v>
      </c>
      <c r="D1540" t="s">
        <v>2021</v>
      </c>
      <c r="E1540" t="s">
        <v>3</v>
      </c>
      <c r="F1540" t="s">
        <v>4</v>
      </c>
      <c r="G1540" s="2" t="str">
        <f t="shared" si="24"/>
        <v>SG_SJR_MDOTA/RIVER-LOSS</v>
      </c>
      <c r="H1540" t="s">
        <v>1980</v>
      </c>
      <c r="I1540" t="s">
        <v>1981</v>
      </c>
      <c r="K1540" t="s">
        <v>2022</v>
      </c>
      <c r="L1540" t="s">
        <v>8</v>
      </c>
      <c r="N1540" t="s">
        <v>1921</v>
      </c>
    </row>
    <row r="1541" spans="2:14" x14ac:dyDescent="0.25">
      <c r="B1541" t="s">
        <v>0</v>
      </c>
      <c r="C1541" t="s">
        <v>2023</v>
      </c>
      <c r="D1541" t="s">
        <v>1114</v>
      </c>
      <c r="E1541" t="s">
        <v>3</v>
      </c>
      <c r="F1541" t="s">
        <v>4</v>
      </c>
      <c r="G1541" s="2" t="str">
        <f t="shared" si="24"/>
        <v>SG_WDWRD_SEEP/SEEPAGE</v>
      </c>
      <c r="H1541" t="s">
        <v>1980</v>
      </c>
      <c r="I1541" t="s">
        <v>1981</v>
      </c>
      <c r="K1541" t="s">
        <v>2024</v>
      </c>
      <c r="L1541" t="s">
        <v>8</v>
      </c>
      <c r="N1541" t="s">
        <v>9</v>
      </c>
    </row>
    <row r="1542" spans="2:14" x14ac:dyDescent="0.25">
      <c r="B1542" t="s">
        <v>0</v>
      </c>
      <c r="C1542" t="s">
        <v>2025</v>
      </c>
      <c r="D1542" t="s">
        <v>2026</v>
      </c>
      <c r="E1542" t="s">
        <v>3</v>
      </c>
      <c r="F1542" t="s">
        <v>4</v>
      </c>
      <c r="G1542" s="2" t="str">
        <f t="shared" si="24"/>
        <v>TULE_WET_INDX/FRIANT-INDX</v>
      </c>
      <c r="H1542" t="s">
        <v>1980</v>
      </c>
      <c r="I1542" t="s">
        <v>1981</v>
      </c>
      <c r="K1542" t="s">
        <v>2027</v>
      </c>
      <c r="L1542" t="s">
        <v>8</v>
      </c>
      <c r="N1542" t="s">
        <v>9</v>
      </c>
    </row>
    <row r="1543" spans="2:14" x14ac:dyDescent="0.25">
      <c r="B1543" t="s">
        <v>0</v>
      </c>
      <c r="C1543" t="s">
        <v>2028</v>
      </c>
      <c r="D1543" t="s">
        <v>2029</v>
      </c>
      <c r="E1543" t="s">
        <v>3</v>
      </c>
      <c r="F1543" t="s">
        <v>4</v>
      </c>
      <c r="G1543" s="2" t="str">
        <f t="shared" si="24"/>
        <v>MONTH_DAYS/DAY</v>
      </c>
      <c r="H1543" t="s">
        <v>1904</v>
      </c>
      <c r="I1543" t="s">
        <v>2030</v>
      </c>
      <c r="K1543" t="s">
        <v>2031</v>
      </c>
      <c r="L1543" t="s">
        <v>40</v>
      </c>
      <c r="N1543" t="s">
        <v>2032</v>
      </c>
    </row>
    <row r="1544" spans="2:14" x14ac:dyDescent="0.25">
      <c r="B1544" t="s">
        <v>0</v>
      </c>
      <c r="C1544" t="s">
        <v>2033</v>
      </c>
      <c r="D1544" t="s">
        <v>1961</v>
      </c>
      <c r="E1544" t="s">
        <v>3</v>
      </c>
      <c r="F1544" t="s">
        <v>4</v>
      </c>
      <c r="G1544" s="2" t="str">
        <f t="shared" si="24"/>
        <v>DAY23/VOL-FRACTION</v>
      </c>
      <c r="H1544" t="s">
        <v>5</v>
      </c>
      <c r="I1544" t="s">
        <v>1962</v>
      </c>
      <c r="L1544" t="s">
        <v>40</v>
      </c>
      <c r="M1544" t="s">
        <v>40</v>
      </c>
      <c r="N1544" t="s">
        <v>1930</v>
      </c>
    </row>
    <row r="1545" spans="2:14" x14ac:dyDescent="0.25">
      <c r="B1545" t="s">
        <v>0</v>
      </c>
      <c r="C1545" t="s">
        <v>2034</v>
      </c>
      <c r="D1545" t="s">
        <v>1961</v>
      </c>
      <c r="E1545" t="s">
        <v>3</v>
      </c>
      <c r="F1545" t="s">
        <v>4</v>
      </c>
      <c r="G1545" s="2" t="str">
        <f t="shared" si="24"/>
        <v>DAY24/VOL-FRACTION</v>
      </c>
      <c r="H1545" t="s">
        <v>5</v>
      </c>
      <c r="I1545" t="s">
        <v>1962</v>
      </c>
      <c r="L1545" t="s">
        <v>40</v>
      </c>
      <c r="M1545" t="s">
        <v>40</v>
      </c>
      <c r="N1545" t="s">
        <v>1930</v>
      </c>
    </row>
    <row r="1546" spans="2:14" x14ac:dyDescent="0.25">
      <c r="B1546" t="s">
        <v>0</v>
      </c>
      <c r="C1546" t="s">
        <v>2035</v>
      </c>
      <c r="D1546" t="s">
        <v>1961</v>
      </c>
      <c r="E1546" t="s">
        <v>3</v>
      </c>
      <c r="F1546" t="s">
        <v>4</v>
      </c>
      <c r="G1546" s="2" t="str">
        <f t="shared" si="24"/>
        <v>DAY25/VOL-FRACTION</v>
      </c>
      <c r="H1546" t="s">
        <v>5</v>
      </c>
      <c r="I1546" t="s">
        <v>1962</v>
      </c>
      <c r="L1546" t="s">
        <v>40</v>
      </c>
      <c r="M1546" t="s">
        <v>40</v>
      </c>
      <c r="N1546" t="s">
        <v>1930</v>
      </c>
    </row>
    <row r="1547" spans="2:14" x14ac:dyDescent="0.25">
      <c r="B1547" t="s">
        <v>0</v>
      </c>
      <c r="C1547" t="s">
        <v>2036</v>
      </c>
      <c r="D1547" t="s">
        <v>1961</v>
      </c>
      <c r="E1547" t="s">
        <v>3</v>
      </c>
      <c r="F1547" t="s">
        <v>4</v>
      </c>
      <c r="G1547" s="2" t="str">
        <f t="shared" si="24"/>
        <v>DAY26/VOL-FRACTION</v>
      </c>
      <c r="H1547" t="s">
        <v>5</v>
      </c>
      <c r="I1547" t="s">
        <v>1962</v>
      </c>
      <c r="L1547" t="s">
        <v>40</v>
      </c>
      <c r="M1547" t="s">
        <v>40</v>
      </c>
      <c r="N1547" t="s">
        <v>1930</v>
      </c>
    </row>
    <row r="1548" spans="2:14" x14ac:dyDescent="0.25">
      <c r="B1548" t="s">
        <v>0</v>
      </c>
      <c r="C1548" t="s">
        <v>2037</v>
      </c>
      <c r="D1548" t="s">
        <v>1961</v>
      </c>
      <c r="E1548" t="s">
        <v>3</v>
      </c>
      <c r="F1548" t="s">
        <v>4</v>
      </c>
      <c r="G1548" s="2" t="str">
        <f t="shared" si="24"/>
        <v>DAY27/VOL-FRACTION</v>
      </c>
      <c r="H1548" t="s">
        <v>5</v>
      </c>
      <c r="I1548" t="s">
        <v>1962</v>
      </c>
      <c r="L1548" t="s">
        <v>40</v>
      </c>
      <c r="M1548" t="s">
        <v>40</v>
      </c>
      <c r="N1548" t="s">
        <v>1930</v>
      </c>
    </row>
    <row r="1549" spans="2:14" x14ac:dyDescent="0.25">
      <c r="B1549" t="s">
        <v>0</v>
      </c>
      <c r="C1549" t="s">
        <v>2038</v>
      </c>
      <c r="D1549" t="s">
        <v>2039</v>
      </c>
      <c r="E1549" t="s">
        <v>3</v>
      </c>
      <c r="F1549" t="s">
        <v>4</v>
      </c>
      <c r="G1549" s="2" t="str">
        <f t="shared" si="24"/>
        <v>D_EPARK_SCKWD_SV/DIVERSION</v>
      </c>
      <c r="H1549" t="s">
        <v>1904</v>
      </c>
      <c r="I1549" t="s">
        <v>2040</v>
      </c>
      <c r="K1549" t="s">
        <v>2041</v>
      </c>
      <c r="L1549" t="s">
        <v>8</v>
      </c>
      <c r="N1549" t="s">
        <v>9</v>
      </c>
    </row>
    <row r="1550" spans="2:14" x14ac:dyDescent="0.25">
      <c r="B1550" t="s">
        <v>0</v>
      </c>
      <c r="C1550" t="s">
        <v>2042</v>
      </c>
      <c r="D1550" t="s">
        <v>2043</v>
      </c>
      <c r="E1550" t="s">
        <v>3</v>
      </c>
      <c r="F1550" t="s">
        <v>4</v>
      </c>
      <c r="G1550" s="2" t="str">
        <f t="shared" si="24"/>
        <v>C_DER001_SV/CHANNEL</v>
      </c>
      <c r="H1550" t="s">
        <v>1904</v>
      </c>
      <c r="I1550" t="s">
        <v>2040</v>
      </c>
      <c r="K1550" t="s">
        <v>2044</v>
      </c>
      <c r="L1550" t="s">
        <v>8</v>
      </c>
      <c r="N1550" t="s">
        <v>9</v>
      </c>
    </row>
    <row r="1551" spans="2:14" x14ac:dyDescent="0.25">
      <c r="B1551" t="s">
        <v>0</v>
      </c>
      <c r="C1551" t="s">
        <v>2045</v>
      </c>
      <c r="D1551" t="s">
        <v>2043</v>
      </c>
      <c r="E1551" t="s">
        <v>3</v>
      </c>
      <c r="F1551" t="s">
        <v>4</v>
      </c>
      <c r="G1551" s="2" t="str">
        <f t="shared" si="24"/>
        <v>C_MERLC_SV/CHANNEL</v>
      </c>
      <c r="H1551" t="s">
        <v>1904</v>
      </c>
      <c r="I1551" t="s">
        <v>2040</v>
      </c>
      <c r="K1551" t="s">
        <v>2044</v>
      </c>
      <c r="L1551" t="s">
        <v>8</v>
      </c>
      <c r="N1551" t="s">
        <v>9</v>
      </c>
    </row>
    <row r="1552" spans="2:14" x14ac:dyDescent="0.25">
      <c r="B1552" t="s">
        <v>0</v>
      </c>
      <c r="C1552" t="s">
        <v>2046</v>
      </c>
      <c r="D1552" t="s">
        <v>2043</v>
      </c>
      <c r="E1552" t="s">
        <v>3</v>
      </c>
      <c r="F1552" t="s">
        <v>4</v>
      </c>
      <c r="G1552" s="2" t="str">
        <f t="shared" si="24"/>
        <v>C_YUB022_SV/CHANNEL</v>
      </c>
      <c r="H1552" t="s">
        <v>1904</v>
      </c>
      <c r="I1552" t="s">
        <v>2040</v>
      </c>
      <c r="K1552" t="s">
        <v>2044</v>
      </c>
      <c r="L1552" t="s">
        <v>8</v>
      </c>
      <c r="N1552" t="s">
        <v>9</v>
      </c>
    </row>
    <row r="1553" spans="2:14" x14ac:dyDescent="0.25">
      <c r="B1553" t="s">
        <v>0</v>
      </c>
      <c r="C1553" t="s">
        <v>2047</v>
      </c>
      <c r="D1553" t="s">
        <v>2039</v>
      </c>
      <c r="E1553" t="s">
        <v>3</v>
      </c>
      <c r="F1553" t="s">
        <v>4</v>
      </c>
      <c r="G1553" s="2" t="str">
        <f t="shared" si="24"/>
        <v>D_FDC006_14_NA_SV/DIVERSION</v>
      </c>
      <c r="H1553" t="s">
        <v>1904</v>
      </c>
      <c r="I1553" t="s">
        <v>2040</v>
      </c>
      <c r="K1553" t="s">
        <v>2044</v>
      </c>
      <c r="L1553" t="s">
        <v>8</v>
      </c>
      <c r="N1553" t="s">
        <v>9</v>
      </c>
    </row>
    <row r="1554" spans="2:14" x14ac:dyDescent="0.25">
      <c r="B1554" t="s">
        <v>0</v>
      </c>
      <c r="C1554" t="s">
        <v>2048</v>
      </c>
      <c r="D1554" t="s">
        <v>2039</v>
      </c>
      <c r="E1554" t="s">
        <v>3</v>
      </c>
      <c r="F1554" t="s">
        <v>4</v>
      </c>
      <c r="G1554" s="2" t="str">
        <f t="shared" si="24"/>
        <v>D_YUB003_15N_NU_SV/DIVERSION</v>
      </c>
      <c r="H1554" t="s">
        <v>1904</v>
      </c>
      <c r="I1554" t="s">
        <v>2040</v>
      </c>
      <c r="K1554" t="s">
        <v>2044</v>
      </c>
      <c r="L1554" t="s">
        <v>8</v>
      </c>
      <c r="N1554" t="s">
        <v>9</v>
      </c>
    </row>
    <row r="1555" spans="2:14" x14ac:dyDescent="0.25">
      <c r="B1555" t="s">
        <v>0</v>
      </c>
      <c r="C1555" t="s">
        <v>2049</v>
      </c>
      <c r="D1555" t="s">
        <v>2039</v>
      </c>
      <c r="E1555" t="s">
        <v>3</v>
      </c>
      <c r="F1555" t="s">
        <v>4</v>
      </c>
      <c r="G1555" s="2" t="str">
        <f t="shared" si="24"/>
        <v>D_YUB011_15N_NA2_SV/DIVERSION</v>
      </c>
      <c r="H1555" t="s">
        <v>1904</v>
      </c>
      <c r="I1555" t="s">
        <v>2040</v>
      </c>
      <c r="K1555" t="s">
        <v>2044</v>
      </c>
      <c r="L1555" t="s">
        <v>8</v>
      </c>
      <c r="N1555" t="s">
        <v>9</v>
      </c>
    </row>
    <row r="1556" spans="2:14" x14ac:dyDescent="0.25">
      <c r="B1556" t="s">
        <v>0</v>
      </c>
      <c r="C1556" t="s">
        <v>2050</v>
      </c>
      <c r="D1556" t="s">
        <v>2039</v>
      </c>
      <c r="E1556" t="s">
        <v>3</v>
      </c>
      <c r="F1556" t="s">
        <v>4</v>
      </c>
      <c r="G1556" s="2" t="str">
        <f t="shared" si="24"/>
        <v>D_YUB011_15S_NA2_SV/DIVERSION</v>
      </c>
      <c r="H1556" t="s">
        <v>1904</v>
      </c>
      <c r="I1556" t="s">
        <v>2040</v>
      </c>
      <c r="K1556" t="s">
        <v>2044</v>
      </c>
      <c r="L1556" t="s">
        <v>8</v>
      </c>
      <c r="N1556" t="s">
        <v>9</v>
      </c>
    </row>
    <row r="1557" spans="2:14" x14ac:dyDescent="0.25">
      <c r="B1557" t="s">
        <v>0</v>
      </c>
      <c r="C1557" t="s">
        <v>2051</v>
      </c>
      <c r="D1557" t="s">
        <v>2039</v>
      </c>
      <c r="E1557" t="s">
        <v>3</v>
      </c>
      <c r="F1557" t="s">
        <v>4</v>
      </c>
      <c r="G1557" s="2" t="str">
        <f t="shared" si="24"/>
        <v>D_YUB013_14_NA_SV/DIVERSION</v>
      </c>
      <c r="H1557" t="s">
        <v>1904</v>
      </c>
      <c r="I1557" t="s">
        <v>2040</v>
      </c>
      <c r="K1557" t="s">
        <v>2044</v>
      </c>
      <c r="L1557" t="s">
        <v>8</v>
      </c>
      <c r="N1557" t="s">
        <v>9</v>
      </c>
    </row>
    <row r="1558" spans="2:14" x14ac:dyDescent="0.25">
      <c r="B1558" t="s">
        <v>0</v>
      </c>
      <c r="C1558" t="s">
        <v>2052</v>
      </c>
      <c r="D1558" t="s">
        <v>2053</v>
      </c>
      <c r="E1558" t="s">
        <v>3</v>
      </c>
      <c r="F1558" t="s">
        <v>4</v>
      </c>
      <c r="G1558" s="2" t="str">
        <f t="shared" si="24"/>
        <v>MF_YUB006DV_SV/FLOW-MIN-INSTREAM</v>
      </c>
      <c r="H1558" t="s">
        <v>1904</v>
      </c>
      <c r="I1558" t="s">
        <v>2040</v>
      </c>
      <c r="K1558" t="s">
        <v>2044</v>
      </c>
      <c r="L1558" t="s">
        <v>8</v>
      </c>
      <c r="N1558" t="s">
        <v>9</v>
      </c>
    </row>
    <row r="1559" spans="2:14" x14ac:dyDescent="0.25">
      <c r="B1559" t="s">
        <v>0</v>
      </c>
      <c r="C1559" t="s">
        <v>2054</v>
      </c>
      <c r="D1559" t="s">
        <v>2053</v>
      </c>
      <c r="E1559" t="s">
        <v>3</v>
      </c>
      <c r="F1559" t="s">
        <v>4</v>
      </c>
      <c r="G1559" s="2" t="str">
        <f t="shared" si="24"/>
        <v>MF_YUB006_SV/FLOW-MIN-INSTREAM</v>
      </c>
      <c r="H1559" t="s">
        <v>1904</v>
      </c>
      <c r="I1559" t="s">
        <v>2040</v>
      </c>
      <c r="K1559" t="s">
        <v>2044</v>
      </c>
      <c r="L1559" t="s">
        <v>8</v>
      </c>
      <c r="N1559" t="s">
        <v>9</v>
      </c>
    </row>
    <row r="1560" spans="2:14" x14ac:dyDescent="0.25">
      <c r="B1560" t="s">
        <v>0</v>
      </c>
      <c r="C1560" t="s">
        <v>2055</v>
      </c>
      <c r="D1560" t="s">
        <v>2056</v>
      </c>
      <c r="E1560" t="s">
        <v>3</v>
      </c>
      <c r="F1560" t="s">
        <v>4</v>
      </c>
      <c r="G1560" s="2" t="str">
        <f t="shared" si="24"/>
        <v>OROVILLEFNF_WY_SV/FNFWY</v>
      </c>
      <c r="H1560" t="s">
        <v>1904</v>
      </c>
      <c r="I1560" t="s">
        <v>2040</v>
      </c>
      <c r="K1560" t="s">
        <v>2044</v>
      </c>
      <c r="L1560" t="s">
        <v>8</v>
      </c>
      <c r="N1560" t="s">
        <v>9</v>
      </c>
    </row>
    <row r="1561" spans="2:14" x14ac:dyDescent="0.25">
      <c r="B1561" t="s">
        <v>0</v>
      </c>
      <c r="C1561" t="s">
        <v>2057</v>
      </c>
      <c r="D1561" t="s">
        <v>2058</v>
      </c>
      <c r="E1561" t="s">
        <v>3</v>
      </c>
      <c r="F1561" t="s">
        <v>4</v>
      </c>
      <c r="G1561" s="2" t="str">
        <f t="shared" si="24"/>
        <v>YCWA_ALLOC_SV/FRACTION</v>
      </c>
      <c r="H1561" t="s">
        <v>1904</v>
      </c>
      <c r="I1561" t="s">
        <v>2040</v>
      </c>
      <c r="K1561" t="s">
        <v>2044</v>
      </c>
      <c r="L1561" t="s">
        <v>8</v>
      </c>
      <c r="N1561" t="s">
        <v>1930</v>
      </c>
    </row>
    <row r="1562" spans="2:14" x14ac:dyDescent="0.25">
      <c r="B1562" t="s">
        <v>0</v>
      </c>
      <c r="C1562" t="s">
        <v>2059</v>
      </c>
      <c r="D1562" t="s">
        <v>2043</v>
      </c>
      <c r="E1562" t="s">
        <v>3</v>
      </c>
      <c r="F1562" t="s">
        <v>4</v>
      </c>
      <c r="G1562" s="2" t="str">
        <f t="shared" si="24"/>
        <v>C_CMP014_SV/CHANNEL</v>
      </c>
      <c r="H1562" t="s">
        <v>1904</v>
      </c>
      <c r="I1562" t="s">
        <v>2040</v>
      </c>
      <c r="K1562" t="s">
        <v>2060</v>
      </c>
      <c r="L1562" t="s">
        <v>8</v>
      </c>
      <c r="N1562" t="s">
        <v>9</v>
      </c>
    </row>
    <row r="1563" spans="2:14" x14ac:dyDescent="0.25">
      <c r="B1563" t="s">
        <v>0</v>
      </c>
      <c r="C1563" t="s">
        <v>2061</v>
      </c>
      <c r="D1563" t="s">
        <v>2043</v>
      </c>
      <c r="E1563" t="s">
        <v>3</v>
      </c>
      <c r="F1563" t="s">
        <v>4</v>
      </c>
      <c r="G1563" s="2" t="str">
        <f t="shared" si="24"/>
        <v>C_JNKSN_SV/CHANNEL</v>
      </c>
      <c r="H1563" t="s">
        <v>1904</v>
      </c>
      <c r="I1563" t="s">
        <v>2040</v>
      </c>
      <c r="K1563" t="s">
        <v>2060</v>
      </c>
      <c r="L1563" t="s">
        <v>8</v>
      </c>
      <c r="N1563" t="s">
        <v>9</v>
      </c>
    </row>
    <row r="1564" spans="2:14" x14ac:dyDescent="0.25">
      <c r="B1564" t="s">
        <v>0</v>
      </c>
      <c r="C1564" t="s">
        <v>2062</v>
      </c>
      <c r="D1564" t="s">
        <v>2043</v>
      </c>
      <c r="E1564" t="s">
        <v>3</v>
      </c>
      <c r="F1564" t="s">
        <v>4</v>
      </c>
      <c r="G1564" s="2" t="str">
        <f t="shared" si="24"/>
        <v>C_NFA016_SV/CHANNEL</v>
      </c>
      <c r="H1564" t="s">
        <v>1904</v>
      </c>
      <c r="I1564" t="s">
        <v>2040</v>
      </c>
      <c r="K1564" t="s">
        <v>2060</v>
      </c>
      <c r="L1564" t="s">
        <v>8</v>
      </c>
      <c r="N1564" t="s">
        <v>9</v>
      </c>
    </row>
    <row r="1565" spans="2:14" x14ac:dyDescent="0.25">
      <c r="B1565" t="s">
        <v>0</v>
      </c>
      <c r="C1565" t="s">
        <v>2063</v>
      </c>
      <c r="D1565" t="s">
        <v>2043</v>
      </c>
      <c r="E1565" t="s">
        <v>3</v>
      </c>
      <c r="F1565" t="s">
        <v>4</v>
      </c>
      <c r="G1565" s="2" t="str">
        <f t="shared" si="24"/>
        <v>C_SFA011_SV/CHANNEL</v>
      </c>
      <c r="H1565" t="s">
        <v>1904</v>
      </c>
      <c r="I1565" t="s">
        <v>2040</v>
      </c>
      <c r="K1565" t="s">
        <v>2060</v>
      </c>
      <c r="L1565" t="s">
        <v>8</v>
      </c>
      <c r="N1565" t="s">
        <v>9</v>
      </c>
    </row>
    <row r="1566" spans="2:14" x14ac:dyDescent="0.25">
      <c r="B1566" t="s">
        <v>0</v>
      </c>
      <c r="C1566" t="s">
        <v>2064</v>
      </c>
      <c r="D1566" t="s">
        <v>2039</v>
      </c>
      <c r="E1566" t="s">
        <v>3</v>
      </c>
      <c r="F1566" t="s">
        <v>4</v>
      </c>
      <c r="G1566" s="2" t="str">
        <f t="shared" si="24"/>
        <v>D_FOLSM_EDCOCA_NA1_SV/DIVERSION</v>
      </c>
      <c r="H1566" t="s">
        <v>1904</v>
      </c>
      <c r="I1566" t="s">
        <v>2040</v>
      </c>
      <c r="K1566" t="s">
        <v>2060</v>
      </c>
      <c r="L1566" t="s">
        <v>8</v>
      </c>
      <c r="N1566" t="s">
        <v>9</v>
      </c>
    </row>
    <row r="1567" spans="2:14" x14ac:dyDescent="0.25">
      <c r="B1567" t="s">
        <v>0</v>
      </c>
      <c r="C1567" t="s">
        <v>2065</v>
      </c>
      <c r="D1567" t="s">
        <v>2039</v>
      </c>
      <c r="E1567" t="s">
        <v>3</v>
      </c>
      <c r="F1567" t="s">
        <v>4</v>
      </c>
      <c r="G1567" s="2" t="str">
        <f t="shared" si="24"/>
        <v>D_FOLSM_EDCOCA_NU1_SV/DIVERSION</v>
      </c>
      <c r="H1567" t="s">
        <v>1904</v>
      </c>
      <c r="I1567" t="s">
        <v>2040</v>
      </c>
      <c r="K1567" t="s">
        <v>2060</v>
      </c>
      <c r="L1567" t="s">
        <v>8</v>
      </c>
      <c r="N1567" t="s">
        <v>9</v>
      </c>
    </row>
    <row r="1568" spans="2:14" x14ac:dyDescent="0.25">
      <c r="B1568" t="s">
        <v>0</v>
      </c>
      <c r="C1568" t="s">
        <v>2066</v>
      </c>
      <c r="D1568" t="s">
        <v>2039</v>
      </c>
      <c r="E1568" t="s">
        <v>3</v>
      </c>
      <c r="F1568" t="s">
        <v>4</v>
      </c>
      <c r="G1568" s="2" t="str">
        <f t="shared" si="24"/>
        <v>D_FOLSM_WTPEDH_WR_SV/DIVERSION</v>
      </c>
      <c r="H1568" t="s">
        <v>1904</v>
      </c>
      <c r="I1568" t="s">
        <v>2040</v>
      </c>
      <c r="K1568" t="s">
        <v>2060</v>
      </c>
      <c r="L1568" t="s">
        <v>8</v>
      </c>
      <c r="N1568" t="s">
        <v>9</v>
      </c>
    </row>
    <row r="1569" spans="2:14" x14ac:dyDescent="0.25">
      <c r="B1569" t="s">
        <v>0</v>
      </c>
      <c r="C1569" t="s">
        <v>2067</v>
      </c>
      <c r="D1569" t="s">
        <v>2039</v>
      </c>
      <c r="E1569" t="s">
        <v>3</v>
      </c>
      <c r="F1569" t="s">
        <v>4</v>
      </c>
      <c r="G1569" s="2" t="str">
        <f t="shared" si="24"/>
        <v>D_NFA016_ABT002_SV/DIVERSION</v>
      </c>
      <c r="H1569" t="s">
        <v>1904</v>
      </c>
      <c r="I1569" t="s">
        <v>2040</v>
      </c>
      <c r="K1569" t="s">
        <v>2060</v>
      </c>
      <c r="L1569" t="s">
        <v>8</v>
      </c>
      <c r="N1569" t="s">
        <v>9</v>
      </c>
    </row>
    <row r="1570" spans="2:14" x14ac:dyDescent="0.25">
      <c r="B1570" t="s">
        <v>0</v>
      </c>
      <c r="C1570" t="s">
        <v>2068</v>
      </c>
      <c r="D1570" t="s">
        <v>1903</v>
      </c>
      <c r="E1570" t="s">
        <v>3</v>
      </c>
      <c r="F1570" t="s">
        <v>4</v>
      </c>
      <c r="G1570" s="2" t="str">
        <f t="shared" si="24"/>
        <v>MFPFORECASTRELEASE/STORAGE-FORECAST</v>
      </c>
      <c r="H1570" t="s">
        <v>1904</v>
      </c>
      <c r="I1570" t="s">
        <v>2040</v>
      </c>
      <c r="K1570" t="s">
        <v>2069</v>
      </c>
      <c r="L1570" t="s">
        <v>8</v>
      </c>
      <c r="M1570" t="s">
        <v>40</v>
      </c>
      <c r="N1570" t="s">
        <v>9</v>
      </c>
    </row>
    <row r="1571" spans="2:14" x14ac:dyDescent="0.25">
      <c r="B1571" t="s">
        <v>0</v>
      </c>
      <c r="C1571" t="s">
        <v>2070</v>
      </c>
      <c r="D1571" t="s">
        <v>1903</v>
      </c>
      <c r="E1571" t="s">
        <v>3</v>
      </c>
      <c r="F1571" t="s">
        <v>4</v>
      </c>
      <c r="G1571" s="2" t="str">
        <f t="shared" si="24"/>
        <v>P184FORECASTRELEASE/STORAGE-FORECAST</v>
      </c>
      <c r="H1571" t="s">
        <v>1904</v>
      </c>
      <c r="I1571" t="s">
        <v>2040</v>
      </c>
      <c r="K1571" t="s">
        <v>2071</v>
      </c>
      <c r="L1571" t="s">
        <v>8</v>
      </c>
      <c r="M1571" t="s">
        <v>40</v>
      </c>
      <c r="N1571" t="s">
        <v>9</v>
      </c>
    </row>
    <row r="1572" spans="2:14" x14ac:dyDescent="0.25">
      <c r="B1572" t="s">
        <v>0</v>
      </c>
      <c r="C1572" t="s">
        <v>2072</v>
      </c>
      <c r="D1572" t="s">
        <v>2073</v>
      </c>
      <c r="E1572" t="s">
        <v>3</v>
      </c>
      <c r="F1572" t="s">
        <v>4</v>
      </c>
      <c r="G1572" s="2" t="str">
        <f t="shared" si="24"/>
        <v>PERDV_CVPMI_SYS_SV/PERCENT-DELIVERY</v>
      </c>
      <c r="H1572" t="s">
        <v>1904</v>
      </c>
      <c r="I1572" t="s">
        <v>2040</v>
      </c>
      <c r="K1572" t="s">
        <v>2060</v>
      </c>
      <c r="L1572" t="s">
        <v>8</v>
      </c>
      <c r="N1572" t="s">
        <v>1930</v>
      </c>
    </row>
    <row r="1573" spans="2:14" x14ac:dyDescent="0.25">
      <c r="B1573" t="s">
        <v>0</v>
      </c>
      <c r="C1573" t="s">
        <v>2074</v>
      </c>
      <c r="D1573" t="s">
        <v>690</v>
      </c>
      <c r="E1573" t="s">
        <v>3</v>
      </c>
      <c r="F1573" t="s">
        <v>4</v>
      </c>
      <c r="G1573" s="2" t="str">
        <f t="shared" si="24"/>
        <v>R_GDPUD_NA_NFA011_SV/RETURN-FLOW</v>
      </c>
      <c r="H1573" t="s">
        <v>1904</v>
      </c>
      <c r="I1573" t="s">
        <v>2040</v>
      </c>
      <c r="K1573" t="s">
        <v>2060</v>
      </c>
      <c r="L1573" t="s">
        <v>8</v>
      </c>
      <c r="N1573" t="s">
        <v>9</v>
      </c>
    </row>
    <row r="1574" spans="2:14" x14ac:dyDescent="0.25">
      <c r="B1574" t="s">
        <v>0</v>
      </c>
      <c r="C1574" t="s">
        <v>2075</v>
      </c>
      <c r="D1574" t="s">
        <v>1118</v>
      </c>
      <c r="E1574" t="s">
        <v>3</v>
      </c>
      <c r="F1574" t="s">
        <v>4</v>
      </c>
      <c r="G1574" s="2" t="str">
        <f t="shared" si="24"/>
        <v>S_FRMDW_SV/STORAGE</v>
      </c>
      <c r="H1574" t="s">
        <v>1904</v>
      </c>
      <c r="I1574" t="s">
        <v>2040</v>
      </c>
      <c r="K1574" t="s">
        <v>2060</v>
      </c>
      <c r="L1574" t="s">
        <v>8</v>
      </c>
      <c r="N1574" t="s">
        <v>9</v>
      </c>
    </row>
    <row r="1575" spans="2:14" x14ac:dyDescent="0.25">
      <c r="B1575" t="s">
        <v>0</v>
      </c>
      <c r="C1575" t="s">
        <v>2076</v>
      </c>
      <c r="D1575" t="s">
        <v>2043</v>
      </c>
      <c r="E1575" t="s">
        <v>3</v>
      </c>
      <c r="F1575" t="s">
        <v>4</v>
      </c>
      <c r="G1575" s="2" t="str">
        <f t="shared" si="24"/>
        <v>C_MRM001_SV/CHANNEL</v>
      </c>
      <c r="H1575" t="s">
        <v>1904</v>
      </c>
      <c r="I1575" t="s">
        <v>2040</v>
      </c>
      <c r="K1575" t="s">
        <v>2077</v>
      </c>
      <c r="L1575" t="s">
        <v>8</v>
      </c>
      <c r="N1575" t="s">
        <v>9</v>
      </c>
    </row>
    <row r="1576" spans="2:14" x14ac:dyDescent="0.25">
      <c r="B1576" t="s">
        <v>0</v>
      </c>
      <c r="C1576" t="s">
        <v>2078</v>
      </c>
      <c r="D1576" t="s">
        <v>2043</v>
      </c>
      <c r="E1576" t="s">
        <v>3</v>
      </c>
      <c r="F1576" t="s">
        <v>4</v>
      </c>
      <c r="G1576" s="2" t="str">
        <f t="shared" si="24"/>
        <v>C_NFA048_SV/CHANNEL</v>
      </c>
      <c r="H1576" t="s">
        <v>1904</v>
      </c>
      <c r="I1576" t="s">
        <v>2040</v>
      </c>
      <c r="K1576" t="s">
        <v>2077</v>
      </c>
      <c r="L1576" t="s">
        <v>8</v>
      </c>
      <c r="N1576" t="s">
        <v>9</v>
      </c>
    </row>
    <row r="1577" spans="2:14" x14ac:dyDescent="0.25">
      <c r="B1577" t="s">
        <v>0</v>
      </c>
      <c r="C1577" t="s">
        <v>2079</v>
      </c>
      <c r="D1577" t="s">
        <v>2039</v>
      </c>
      <c r="E1577" t="s">
        <v>3</v>
      </c>
      <c r="F1577" t="s">
        <v>4</v>
      </c>
      <c r="G1577" s="2" t="str">
        <f t="shared" si="24"/>
        <v>D_FOLSM_EDCOCA_CVP_SV/DIVERSION</v>
      </c>
      <c r="H1577" t="s">
        <v>1904</v>
      </c>
      <c r="I1577" t="s">
        <v>2040</v>
      </c>
      <c r="K1577" t="s">
        <v>2077</v>
      </c>
      <c r="L1577" t="s">
        <v>8</v>
      </c>
      <c r="N1577" t="s">
        <v>9</v>
      </c>
    </row>
    <row r="1578" spans="2:14" x14ac:dyDescent="0.25">
      <c r="B1578" t="s">
        <v>0</v>
      </c>
      <c r="C1578" t="s">
        <v>2080</v>
      </c>
      <c r="D1578" t="s">
        <v>2039</v>
      </c>
      <c r="E1578" t="s">
        <v>3</v>
      </c>
      <c r="F1578" t="s">
        <v>4</v>
      </c>
      <c r="G1578" s="2" t="str">
        <f t="shared" si="24"/>
        <v>D_FOLSM_EDCOCA_NA2_SV/DIVERSION</v>
      </c>
      <c r="H1578" t="s">
        <v>1904</v>
      </c>
      <c r="I1578" t="s">
        <v>2040</v>
      </c>
      <c r="K1578" t="s">
        <v>2077</v>
      </c>
      <c r="L1578" t="s">
        <v>8</v>
      </c>
      <c r="N1578" t="s">
        <v>9</v>
      </c>
    </row>
    <row r="1579" spans="2:14" x14ac:dyDescent="0.25">
      <c r="B1579" t="s">
        <v>0</v>
      </c>
      <c r="C1579" t="s">
        <v>2081</v>
      </c>
      <c r="D1579" t="s">
        <v>2039</v>
      </c>
      <c r="E1579" t="s">
        <v>3</v>
      </c>
      <c r="F1579" t="s">
        <v>4</v>
      </c>
      <c r="G1579" s="2" t="str">
        <f t="shared" si="24"/>
        <v>D_FOLSM_EDCOCA_NU2_SV/DIVERSION</v>
      </c>
      <c r="H1579" t="s">
        <v>1904</v>
      </c>
      <c r="I1579" t="s">
        <v>2040</v>
      </c>
      <c r="K1579" t="s">
        <v>2077</v>
      </c>
      <c r="L1579" t="s">
        <v>8</v>
      </c>
      <c r="N1579" t="s">
        <v>9</v>
      </c>
    </row>
    <row r="1580" spans="2:14" x14ac:dyDescent="0.25">
      <c r="B1580" t="s">
        <v>0</v>
      </c>
      <c r="C1580" t="s">
        <v>2082</v>
      </c>
      <c r="D1580" t="s">
        <v>2039</v>
      </c>
      <c r="E1580" t="s">
        <v>3</v>
      </c>
      <c r="F1580" t="s">
        <v>4</v>
      </c>
      <c r="G1580" s="2" t="str">
        <f t="shared" si="24"/>
        <v>D_FOLSM_EDCOCA_SV/DIVERSION</v>
      </c>
      <c r="H1580" t="s">
        <v>1904</v>
      </c>
      <c r="I1580" t="s">
        <v>2040</v>
      </c>
      <c r="K1580" t="s">
        <v>2077</v>
      </c>
      <c r="L1580" t="s">
        <v>8</v>
      </c>
      <c r="N1580" t="s">
        <v>9</v>
      </c>
    </row>
    <row r="1581" spans="2:14" x14ac:dyDescent="0.25">
      <c r="B1581" t="s">
        <v>0</v>
      </c>
      <c r="C1581" t="s">
        <v>2083</v>
      </c>
      <c r="D1581" t="s">
        <v>2039</v>
      </c>
      <c r="E1581" t="s">
        <v>3</v>
      </c>
      <c r="F1581" t="s">
        <v>4</v>
      </c>
      <c r="G1581" s="2" t="str">
        <f t="shared" si="24"/>
        <v>D_NNA013_LVC001_SV/DIVERSION</v>
      </c>
      <c r="H1581" t="s">
        <v>1904</v>
      </c>
      <c r="I1581" t="s">
        <v>2040</v>
      </c>
      <c r="K1581" t="s">
        <v>2077</v>
      </c>
      <c r="L1581" t="s">
        <v>8</v>
      </c>
      <c r="N1581" t="s">
        <v>9</v>
      </c>
    </row>
    <row r="1582" spans="2:14" x14ac:dyDescent="0.25">
      <c r="B1582" t="s">
        <v>0</v>
      </c>
      <c r="C1582" t="s">
        <v>2084</v>
      </c>
      <c r="D1582" t="s">
        <v>2039</v>
      </c>
      <c r="E1582" t="s">
        <v>3</v>
      </c>
      <c r="F1582" t="s">
        <v>4</v>
      </c>
      <c r="G1582" s="2" t="str">
        <f t="shared" si="24"/>
        <v>D_WTPRS1_ELDID_NU3_SV/DIVERSION</v>
      </c>
      <c r="H1582" t="s">
        <v>1904</v>
      </c>
      <c r="I1582" t="s">
        <v>2040</v>
      </c>
      <c r="K1582" t="s">
        <v>2077</v>
      </c>
      <c r="L1582" t="s">
        <v>8</v>
      </c>
      <c r="N1582" t="s">
        <v>9</v>
      </c>
    </row>
    <row r="1583" spans="2:14" x14ac:dyDescent="0.25">
      <c r="B1583" t="s">
        <v>0</v>
      </c>
      <c r="C1583" t="s">
        <v>2085</v>
      </c>
      <c r="D1583" t="s">
        <v>2039</v>
      </c>
      <c r="E1583" t="s">
        <v>3</v>
      </c>
      <c r="F1583" t="s">
        <v>4</v>
      </c>
      <c r="G1583" s="2" t="str">
        <f t="shared" si="24"/>
        <v>D_WTPRSA_ELDID_NU3_SV/DIVERSION</v>
      </c>
      <c r="H1583" t="s">
        <v>1904</v>
      </c>
      <c r="I1583" t="s">
        <v>2040</v>
      </c>
      <c r="K1583" t="s">
        <v>2077</v>
      </c>
      <c r="L1583" t="s">
        <v>8</v>
      </c>
      <c r="N1583" t="s">
        <v>9</v>
      </c>
    </row>
    <row r="1584" spans="2:14" x14ac:dyDescent="0.25">
      <c r="B1584" t="s">
        <v>0</v>
      </c>
      <c r="C1584" t="s">
        <v>2086</v>
      </c>
      <c r="D1584" t="s">
        <v>2087</v>
      </c>
      <c r="E1584" t="s">
        <v>3</v>
      </c>
      <c r="F1584" t="s">
        <v>4</v>
      </c>
      <c r="G1584" s="2" t="str">
        <f t="shared" si="24"/>
        <v>FOLSOMINFLOWESTSUM_SV/INFLOW-FORECAST</v>
      </c>
      <c r="H1584" t="s">
        <v>1904</v>
      </c>
      <c r="I1584" t="s">
        <v>2040</v>
      </c>
      <c r="K1584" t="s">
        <v>2077</v>
      </c>
      <c r="L1584" t="s">
        <v>8</v>
      </c>
      <c r="N1584" t="s">
        <v>9</v>
      </c>
    </row>
    <row r="1585" spans="2:14" x14ac:dyDescent="0.25">
      <c r="B1585" t="s">
        <v>0</v>
      </c>
      <c r="C1585" t="s">
        <v>2088</v>
      </c>
      <c r="D1585" t="s">
        <v>2087</v>
      </c>
      <c r="E1585" t="s">
        <v>3</v>
      </c>
      <c r="F1585" t="s">
        <v>4</v>
      </c>
      <c r="G1585" s="2" t="str">
        <f t="shared" si="24"/>
        <v>FOLSOMINFLOWEST_SV/INFLOW-FORECAST</v>
      </c>
      <c r="H1585" t="s">
        <v>1904</v>
      </c>
      <c r="I1585" t="s">
        <v>2040</v>
      </c>
      <c r="K1585" t="s">
        <v>2077</v>
      </c>
      <c r="L1585" t="s">
        <v>8</v>
      </c>
      <c r="N1585" t="s">
        <v>9</v>
      </c>
    </row>
    <row r="1586" spans="2:14" x14ac:dyDescent="0.25">
      <c r="B1586" t="s">
        <v>0</v>
      </c>
      <c r="C1586" t="s">
        <v>2089</v>
      </c>
      <c r="D1586" t="s">
        <v>1942</v>
      </c>
      <c r="E1586" t="s">
        <v>3</v>
      </c>
      <c r="F1586" t="s">
        <v>4</v>
      </c>
      <c r="G1586" s="2" t="str">
        <f t="shared" si="24"/>
        <v>S_FOLSMLEVEL3ADJ_SV/STORAGE-LEVEL</v>
      </c>
      <c r="H1586" t="s">
        <v>1904</v>
      </c>
      <c r="I1586" t="s">
        <v>2040</v>
      </c>
      <c r="K1586" t="s">
        <v>2077</v>
      </c>
      <c r="L1586" t="s">
        <v>8</v>
      </c>
      <c r="N1586" t="s">
        <v>9</v>
      </c>
    </row>
    <row r="1587" spans="2:14" x14ac:dyDescent="0.25">
      <c r="B1587" t="s">
        <v>0</v>
      </c>
      <c r="C1587" t="s">
        <v>2090</v>
      </c>
      <c r="D1587" t="s">
        <v>1118</v>
      </c>
      <c r="E1587" t="s">
        <v>3</v>
      </c>
      <c r="F1587" t="s">
        <v>4</v>
      </c>
      <c r="G1587" s="2" t="str">
        <f t="shared" si="24"/>
        <v>S_HHOLE_SV/STORAGE</v>
      </c>
      <c r="H1587" t="s">
        <v>1904</v>
      </c>
      <c r="I1587" t="s">
        <v>2040</v>
      </c>
      <c r="K1587" t="s">
        <v>2077</v>
      </c>
      <c r="L1587" t="s">
        <v>8</v>
      </c>
      <c r="N1587" t="s">
        <v>9</v>
      </c>
    </row>
    <row r="1588" spans="2:14" x14ac:dyDescent="0.25">
      <c r="B1588" t="s">
        <v>0</v>
      </c>
      <c r="C1588" t="s">
        <v>2091</v>
      </c>
      <c r="D1588" t="s">
        <v>1118</v>
      </c>
      <c r="E1588" t="s">
        <v>3</v>
      </c>
      <c r="F1588" t="s">
        <v>4</v>
      </c>
      <c r="G1588" s="2" t="str">
        <f t="shared" si="24"/>
        <v>S_ICEHS_SV/STORAGE</v>
      </c>
      <c r="H1588" t="s">
        <v>1904</v>
      </c>
      <c r="I1588" t="s">
        <v>2040</v>
      </c>
      <c r="K1588" t="s">
        <v>2077</v>
      </c>
      <c r="L1588" t="s">
        <v>8</v>
      </c>
      <c r="N1588" t="s">
        <v>9</v>
      </c>
    </row>
    <row r="1589" spans="2:14" x14ac:dyDescent="0.25">
      <c r="B1589" t="s">
        <v>0</v>
      </c>
      <c r="C1589" t="s">
        <v>2092</v>
      </c>
      <c r="D1589" t="s">
        <v>1118</v>
      </c>
      <c r="E1589" t="s">
        <v>3</v>
      </c>
      <c r="F1589" t="s">
        <v>4</v>
      </c>
      <c r="G1589" s="2" t="str">
        <f t="shared" si="24"/>
        <v>S_LOONL_SV/STORAGE</v>
      </c>
      <c r="H1589" t="s">
        <v>1904</v>
      </c>
      <c r="I1589" t="s">
        <v>2040</v>
      </c>
      <c r="K1589" t="s">
        <v>2077</v>
      </c>
      <c r="L1589" t="s">
        <v>8</v>
      </c>
      <c r="N1589" t="s">
        <v>9</v>
      </c>
    </row>
    <row r="1590" spans="2:14" x14ac:dyDescent="0.25">
      <c r="B1590" t="s">
        <v>0</v>
      </c>
      <c r="C1590" t="s">
        <v>2093</v>
      </c>
      <c r="D1590" t="s">
        <v>1118</v>
      </c>
      <c r="E1590" t="s">
        <v>3</v>
      </c>
      <c r="F1590" t="s">
        <v>4</v>
      </c>
      <c r="G1590" s="2" t="str">
        <f t="shared" si="24"/>
        <v>S_UNVLY_SV/STORAGE</v>
      </c>
      <c r="H1590" t="s">
        <v>1904</v>
      </c>
      <c r="I1590" t="s">
        <v>2040</v>
      </c>
      <c r="K1590" t="s">
        <v>2077</v>
      </c>
      <c r="L1590" t="s">
        <v>8</v>
      </c>
      <c r="N1590" t="s">
        <v>9</v>
      </c>
    </row>
    <row r="1591" spans="2:14" x14ac:dyDescent="0.25">
      <c r="B1591" t="s">
        <v>0</v>
      </c>
      <c r="C1591" t="s">
        <v>2094</v>
      </c>
      <c r="D1591" t="s">
        <v>1893</v>
      </c>
      <c r="E1591" t="s">
        <v>3</v>
      </c>
      <c r="F1591" t="s">
        <v>4</v>
      </c>
      <c r="G1591" s="2" t="str">
        <f t="shared" si="24"/>
        <v>WFMITREL_SV/FLOW</v>
      </c>
      <c r="H1591" t="s">
        <v>1904</v>
      </c>
      <c r="I1591" t="s">
        <v>2040</v>
      </c>
      <c r="K1591" t="s">
        <v>2077</v>
      </c>
      <c r="L1591" t="s">
        <v>8</v>
      </c>
      <c r="N1591" t="s">
        <v>1921</v>
      </c>
    </row>
    <row r="1592" spans="2:14" x14ac:dyDescent="0.25">
      <c r="B1592" t="s">
        <v>0</v>
      </c>
      <c r="C1592" t="s">
        <v>2095</v>
      </c>
      <c r="D1592" t="s">
        <v>1893</v>
      </c>
      <c r="E1592" t="s">
        <v>3</v>
      </c>
      <c r="F1592" t="s">
        <v>4</v>
      </c>
      <c r="G1592" s="2" t="str">
        <f t="shared" si="24"/>
        <v>D_HHOLE_MFT003_MIT_SV/FLOW</v>
      </c>
      <c r="H1592" t="s">
        <v>1904</v>
      </c>
      <c r="I1592" t="s">
        <v>2040</v>
      </c>
      <c r="K1592" t="s">
        <v>2096</v>
      </c>
      <c r="L1592" t="s">
        <v>8</v>
      </c>
      <c r="N1592" t="s">
        <v>9</v>
      </c>
    </row>
    <row r="1593" spans="2:14" x14ac:dyDescent="0.25">
      <c r="B1593" t="s">
        <v>0</v>
      </c>
      <c r="C1593" t="s">
        <v>2097</v>
      </c>
      <c r="D1593" t="s">
        <v>2043</v>
      </c>
      <c r="E1593" t="s">
        <v>3</v>
      </c>
      <c r="F1593" t="s">
        <v>4</v>
      </c>
      <c r="G1593" s="2" t="str">
        <f t="shared" si="24"/>
        <v>C_FTR074_SV/CHANNEL</v>
      </c>
      <c r="H1593" t="s">
        <v>1904</v>
      </c>
      <c r="I1593" t="s">
        <v>2040</v>
      </c>
      <c r="K1593" t="s">
        <v>2098</v>
      </c>
      <c r="L1593" t="s">
        <v>8</v>
      </c>
      <c r="N1593" t="s">
        <v>9</v>
      </c>
    </row>
    <row r="1594" spans="2:14" x14ac:dyDescent="0.25">
      <c r="B1594" t="s">
        <v>0</v>
      </c>
      <c r="C1594" t="s">
        <v>2099</v>
      </c>
      <c r="D1594" t="s">
        <v>2043</v>
      </c>
      <c r="E1594" t="s">
        <v>3</v>
      </c>
      <c r="F1594" t="s">
        <v>4</v>
      </c>
      <c r="G1594" s="2" t="str">
        <f t="shared" si="24"/>
        <v>C_KRT000_SV/CHANNEL</v>
      </c>
      <c r="H1594" t="s">
        <v>1904</v>
      </c>
      <c r="I1594" t="s">
        <v>2040</v>
      </c>
      <c r="K1594" t="s">
        <v>2098</v>
      </c>
      <c r="L1594" t="s">
        <v>8</v>
      </c>
      <c r="N1594" t="s">
        <v>9</v>
      </c>
    </row>
    <row r="1595" spans="2:14" x14ac:dyDescent="0.25">
      <c r="B1595" t="s">
        <v>0</v>
      </c>
      <c r="C1595" t="s">
        <v>2100</v>
      </c>
      <c r="D1595" t="s">
        <v>2043</v>
      </c>
      <c r="E1595" t="s">
        <v>3</v>
      </c>
      <c r="F1595" t="s">
        <v>4</v>
      </c>
      <c r="G1595" s="2" t="str">
        <f t="shared" si="24"/>
        <v>C_TTC002_SV/CHANNEL</v>
      </c>
      <c r="H1595" t="s">
        <v>1904</v>
      </c>
      <c r="I1595" t="s">
        <v>2040</v>
      </c>
      <c r="K1595" t="s">
        <v>2098</v>
      </c>
      <c r="L1595" t="s">
        <v>8</v>
      </c>
      <c r="N1595" t="s">
        <v>9</v>
      </c>
    </row>
    <row r="1596" spans="2:14" x14ac:dyDescent="0.25">
      <c r="B1596" t="s">
        <v>0</v>
      </c>
      <c r="C1596" t="s">
        <v>2101</v>
      </c>
      <c r="D1596" t="s">
        <v>2039</v>
      </c>
      <c r="E1596" t="s">
        <v>3</v>
      </c>
      <c r="F1596" t="s">
        <v>4</v>
      </c>
      <c r="G1596" s="2" t="str">
        <f t="shared" si="24"/>
        <v>D_MIO023_10_NA_SV/DIVERSION</v>
      </c>
      <c r="H1596" t="s">
        <v>1904</v>
      </c>
      <c r="I1596" t="s">
        <v>2040</v>
      </c>
      <c r="K1596" t="s">
        <v>2098</v>
      </c>
      <c r="L1596" t="s">
        <v>8</v>
      </c>
      <c r="N1596" t="s">
        <v>9</v>
      </c>
    </row>
    <row r="1597" spans="2:14" x14ac:dyDescent="0.25">
      <c r="B1597" t="s">
        <v>0</v>
      </c>
      <c r="C1597" t="s">
        <v>2102</v>
      </c>
      <c r="D1597" t="s">
        <v>2039</v>
      </c>
      <c r="E1597" t="s">
        <v>3</v>
      </c>
      <c r="F1597" t="s">
        <v>4</v>
      </c>
      <c r="G1597" s="2" t="str">
        <f t="shared" si="24"/>
        <v>D_MIO023_12_NU1_SV/DIVERSION</v>
      </c>
      <c r="H1597" t="s">
        <v>1904</v>
      </c>
      <c r="I1597" t="s">
        <v>2040</v>
      </c>
      <c r="K1597" t="s">
        <v>2098</v>
      </c>
      <c r="L1597" t="s">
        <v>8</v>
      </c>
      <c r="N1597" t="s">
        <v>9</v>
      </c>
    </row>
    <row r="1598" spans="2:14" x14ac:dyDescent="0.25">
      <c r="B1598" t="s">
        <v>0</v>
      </c>
      <c r="C1598" t="s">
        <v>2103</v>
      </c>
      <c r="D1598" t="s">
        <v>2039</v>
      </c>
      <c r="E1598" t="s">
        <v>3</v>
      </c>
      <c r="F1598" t="s">
        <v>4</v>
      </c>
      <c r="G1598" s="2" t="str">
        <f t="shared" si="24"/>
        <v>D_MNRRH_13_NA_SV/DIVERSION</v>
      </c>
      <c r="H1598" t="s">
        <v>1904</v>
      </c>
      <c r="I1598" t="s">
        <v>2040</v>
      </c>
      <c r="K1598" t="s">
        <v>2098</v>
      </c>
      <c r="L1598" t="s">
        <v>8</v>
      </c>
      <c r="N1598" t="s">
        <v>9</v>
      </c>
    </row>
    <row r="1599" spans="2:14" x14ac:dyDescent="0.25">
      <c r="B1599" t="s">
        <v>0</v>
      </c>
      <c r="C1599" t="s">
        <v>2104</v>
      </c>
      <c r="D1599" t="s">
        <v>2039</v>
      </c>
      <c r="E1599" t="s">
        <v>3</v>
      </c>
      <c r="F1599" t="s">
        <v>4</v>
      </c>
      <c r="G1599" s="2" t="str">
        <f t="shared" si="24"/>
        <v>D_MNRRH_13_NU2_SV/DIVERSION</v>
      </c>
      <c r="H1599" t="s">
        <v>1904</v>
      </c>
      <c r="I1599" t="s">
        <v>2040</v>
      </c>
      <c r="K1599" t="s">
        <v>2098</v>
      </c>
      <c r="L1599" t="s">
        <v>8</v>
      </c>
      <c r="N1599" t="s">
        <v>9</v>
      </c>
    </row>
    <row r="1600" spans="2:14" x14ac:dyDescent="0.25">
      <c r="B1600" t="s">
        <v>0</v>
      </c>
      <c r="C1600" t="s">
        <v>2105</v>
      </c>
      <c r="D1600" t="s">
        <v>2039</v>
      </c>
      <c r="E1600" t="s">
        <v>3</v>
      </c>
      <c r="F1600" t="s">
        <v>4</v>
      </c>
      <c r="G1600" s="2" t="str">
        <f t="shared" si="24"/>
        <v>D_OWC000_13_NA_SV/DIVERSION</v>
      </c>
      <c r="H1600" t="s">
        <v>1904</v>
      </c>
      <c r="I1600" t="s">
        <v>2040</v>
      </c>
      <c r="K1600" t="s">
        <v>2098</v>
      </c>
      <c r="L1600" t="s">
        <v>8</v>
      </c>
      <c r="N1600" t="s">
        <v>9</v>
      </c>
    </row>
    <row r="1601" spans="2:14" x14ac:dyDescent="0.25">
      <c r="B1601" t="s">
        <v>0</v>
      </c>
      <c r="C1601" t="s">
        <v>2106</v>
      </c>
      <c r="D1601" t="s">
        <v>2039</v>
      </c>
      <c r="E1601" t="s">
        <v>3</v>
      </c>
      <c r="F1601" t="s">
        <v>4</v>
      </c>
      <c r="G1601" s="2" t="str">
        <f t="shared" si="24"/>
        <v>D_SFF011_MNRRH_SV/DIVERSION</v>
      </c>
      <c r="H1601" t="s">
        <v>1904</v>
      </c>
      <c r="I1601" t="s">
        <v>2040</v>
      </c>
      <c r="K1601" t="s">
        <v>2098</v>
      </c>
      <c r="L1601" t="s">
        <v>8</v>
      </c>
      <c r="N1601" t="s">
        <v>9</v>
      </c>
    </row>
    <row r="1602" spans="2:14" x14ac:dyDescent="0.25">
      <c r="B1602" t="s">
        <v>0</v>
      </c>
      <c r="C1602" t="s">
        <v>2107</v>
      </c>
      <c r="D1602" t="s">
        <v>2039</v>
      </c>
      <c r="E1602" t="s">
        <v>3</v>
      </c>
      <c r="F1602" t="s">
        <v>4</v>
      </c>
      <c r="G1602" s="2" t="str">
        <f t="shared" si="24"/>
        <v>D_SLT009_SCT000_SV/DIVERSION</v>
      </c>
      <c r="H1602" t="s">
        <v>1904</v>
      </c>
      <c r="I1602" t="s">
        <v>2040</v>
      </c>
      <c r="K1602" t="s">
        <v>2098</v>
      </c>
      <c r="L1602" t="s">
        <v>8</v>
      </c>
      <c r="N1602" t="s">
        <v>9</v>
      </c>
    </row>
    <row r="1603" spans="2:14" x14ac:dyDescent="0.25">
      <c r="B1603" t="s">
        <v>0</v>
      </c>
      <c r="C1603" t="s">
        <v>2108</v>
      </c>
      <c r="D1603" t="s">
        <v>2039</v>
      </c>
      <c r="E1603" t="s">
        <v>3</v>
      </c>
      <c r="F1603" t="s">
        <v>4</v>
      </c>
      <c r="G1603" s="2" t="str">
        <f t="shared" ref="G1603:G1666" si="25">_xlfn.CONCAT(C1603,"/",D1603)</f>
        <v>D_WBF030_HKC002_SV/DIVERSION</v>
      </c>
      <c r="H1603" t="s">
        <v>1904</v>
      </c>
      <c r="I1603" t="s">
        <v>2040</v>
      </c>
      <c r="K1603" t="s">
        <v>2098</v>
      </c>
      <c r="L1603" t="s">
        <v>8</v>
      </c>
      <c r="N1603" t="s">
        <v>9</v>
      </c>
    </row>
    <row r="1604" spans="2:14" x14ac:dyDescent="0.25">
      <c r="B1604" t="s">
        <v>0</v>
      </c>
      <c r="C1604" t="s">
        <v>2109</v>
      </c>
      <c r="D1604" t="s">
        <v>2039</v>
      </c>
      <c r="E1604" t="s">
        <v>3</v>
      </c>
      <c r="F1604" t="s">
        <v>4</v>
      </c>
      <c r="G1604" s="2" t="str">
        <f t="shared" si="25"/>
        <v>D_WTPMNR_13_NU1_SV/DIVERSION</v>
      </c>
      <c r="H1604" t="s">
        <v>1904</v>
      </c>
      <c r="I1604" t="s">
        <v>2040</v>
      </c>
      <c r="K1604" t="s">
        <v>2098</v>
      </c>
      <c r="L1604" t="s">
        <v>8</v>
      </c>
      <c r="N1604" t="s">
        <v>9</v>
      </c>
    </row>
    <row r="1605" spans="2:14" x14ac:dyDescent="0.25">
      <c r="B1605" t="s">
        <v>0</v>
      </c>
      <c r="C1605" t="s">
        <v>2110</v>
      </c>
      <c r="D1605" t="s">
        <v>1374</v>
      </c>
      <c r="E1605" t="s">
        <v>3</v>
      </c>
      <c r="F1605" t="s">
        <v>4</v>
      </c>
      <c r="G1605" s="2" t="str">
        <f t="shared" si="25"/>
        <v>E_UPPERFEATHER_SV/EVAPORATION</v>
      </c>
      <c r="H1605" t="s">
        <v>1904</v>
      </c>
      <c r="I1605" t="s">
        <v>2040</v>
      </c>
      <c r="K1605" t="s">
        <v>2098</v>
      </c>
      <c r="L1605" t="s">
        <v>8</v>
      </c>
      <c r="N1605" t="s">
        <v>9</v>
      </c>
    </row>
    <row r="1606" spans="2:14" x14ac:dyDescent="0.25">
      <c r="B1606" t="s">
        <v>0</v>
      </c>
      <c r="C1606" t="s">
        <v>2111</v>
      </c>
      <c r="D1606" t="s">
        <v>1118</v>
      </c>
      <c r="E1606" t="s">
        <v>3</v>
      </c>
      <c r="F1606" t="s">
        <v>4</v>
      </c>
      <c r="G1606" s="2" t="str">
        <f t="shared" si="25"/>
        <v>S_LGRSV_SV/STORAGE</v>
      </c>
      <c r="H1606" t="s">
        <v>1904</v>
      </c>
      <c r="I1606" t="s">
        <v>2040</v>
      </c>
      <c r="K1606" t="s">
        <v>2098</v>
      </c>
      <c r="L1606" t="s">
        <v>8</v>
      </c>
      <c r="N1606" t="s">
        <v>9</v>
      </c>
    </row>
    <row r="1607" spans="2:14" x14ac:dyDescent="0.25">
      <c r="B1607" t="s">
        <v>0</v>
      </c>
      <c r="C1607" t="s">
        <v>2112</v>
      </c>
      <c r="D1607" t="s">
        <v>1118</v>
      </c>
      <c r="E1607" t="s">
        <v>3</v>
      </c>
      <c r="F1607" t="s">
        <v>4</v>
      </c>
      <c r="G1607" s="2" t="str">
        <f t="shared" si="25"/>
        <v>S_SLYCK_SV/STORAGE</v>
      </c>
      <c r="H1607" t="s">
        <v>1904</v>
      </c>
      <c r="I1607" t="s">
        <v>2040</v>
      </c>
      <c r="K1607" t="s">
        <v>2098</v>
      </c>
      <c r="L1607" t="s">
        <v>8</v>
      </c>
      <c r="N1607" t="s">
        <v>9</v>
      </c>
    </row>
    <row r="1608" spans="2:14" x14ac:dyDescent="0.25">
      <c r="B1608" t="s">
        <v>0</v>
      </c>
      <c r="C1608" t="s">
        <v>2113</v>
      </c>
      <c r="D1608" t="s">
        <v>1118</v>
      </c>
      <c r="E1608" t="s">
        <v>3</v>
      </c>
      <c r="F1608" t="s">
        <v>4</v>
      </c>
      <c r="G1608" s="2" t="str">
        <f t="shared" si="25"/>
        <v>S_UPPERFEATHER_SV/STORAGE</v>
      </c>
      <c r="H1608" t="s">
        <v>1904</v>
      </c>
      <c r="I1608" t="s">
        <v>2040</v>
      </c>
      <c r="K1608" t="s">
        <v>2098</v>
      </c>
      <c r="L1608" t="s">
        <v>8</v>
      </c>
      <c r="N1608" t="s">
        <v>9</v>
      </c>
    </row>
    <row r="1609" spans="2:14" x14ac:dyDescent="0.25">
      <c r="B1609" t="s">
        <v>0</v>
      </c>
      <c r="C1609" t="s">
        <v>2114</v>
      </c>
      <c r="D1609" t="s">
        <v>2043</v>
      </c>
      <c r="E1609" t="s">
        <v>3</v>
      </c>
      <c r="F1609" t="s">
        <v>4</v>
      </c>
      <c r="G1609" s="2" t="str">
        <f t="shared" si="25"/>
        <v>C_MOK079_SV/CHANNEL</v>
      </c>
      <c r="H1609" t="s">
        <v>1904</v>
      </c>
      <c r="I1609" t="s">
        <v>2040</v>
      </c>
      <c r="K1609" t="s">
        <v>2115</v>
      </c>
      <c r="L1609" t="s">
        <v>8</v>
      </c>
      <c r="N1609" t="s">
        <v>9</v>
      </c>
    </row>
    <row r="1610" spans="2:14" x14ac:dyDescent="0.25">
      <c r="B1610" t="s">
        <v>0</v>
      </c>
      <c r="C1610" t="s">
        <v>2116</v>
      </c>
      <c r="D1610" t="s">
        <v>1374</v>
      </c>
      <c r="E1610" t="s">
        <v>3</v>
      </c>
      <c r="F1610" t="s">
        <v>4</v>
      </c>
      <c r="G1610" s="2" t="str">
        <f t="shared" si="25"/>
        <v>E_LBEAR_SV/EVAPORATION</v>
      </c>
      <c r="H1610" t="s">
        <v>1904</v>
      </c>
      <c r="I1610" t="s">
        <v>2040</v>
      </c>
      <c r="K1610" t="s">
        <v>2115</v>
      </c>
      <c r="L1610" t="s">
        <v>8</v>
      </c>
      <c r="N1610" t="s">
        <v>9</v>
      </c>
    </row>
    <row r="1611" spans="2:14" x14ac:dyDescent="0.25">
      <c r="B1611" t="s">
        <v>0</v>
      </c>
      <c r="C1611" t="s">
        <v>2117</v>
      </c>
      <c r="D1611" t="s">
        <v>1374</v>
      </c>
      <c r="E1611" t="s">
        <v>3</v>
      </c>
      <c r="F1611" t="s">
        <v>4</v>
      </c>
      <c r="G1611" s="2" t="str">
        <f t="shared" si="25"/>
        <v>E_SLTSP_SV/EVAPORATION</v>
      </c>
      <c r="H1611" t="s">
        <v>1904</v>
      </c>
      <c r="I1611" t="s">
        <v>2040</v>
      </c>
      <c r="K1611" t="s">
        <v>2115</v>
      </c>
      <c r="L1611" t="s">
        <v>8</v>
      </c>
      <c r="N1611" t="s">
        <v>9</v>
      </c>
    </row>
    <row r="1612" spans="2:14" x14ac:dyDescent="0.25">
      <c r="B1612" t="s">
        <v>0</v>
      </c>
      <c r="C1612" t="s">
        <v>2118</v>
      </c>
      <c r="D1612" t="s">
        <v>1118</v>
      </c>
      <c r="E1612" t="s">
        <v>3</v>
      </c>
      <c r="F1612" t="s">
        <v>4</v>
      </c>
      <c r="G1612" s="2" t="str">
        <f t="shared" si="25"/>
        <v>S_LBEAR_SV/STORAGE</v>
      </c>
      <c r="H1612" t="s">
        <v>1904</v>
      </c>
      <c r="I1612" t="s">
        <v>2040</v>
      </c>
      <c r="K1612" t="s">
        <v>2115</v>
      </c>
      <c r="L1612" t="s">
        <v>8</v>
      </c>
      <c r="N1612" t="s">
        <v>9</v>
      </c>
    </row>
    <row r="1613" spans="2:14" x14ac:dyDescent="0.25">
      <c r="B1613" t="s">
        <v>0</v>
      </c>
      <c r="C1613" t="s">
        <v>2119</v>
      </c>
      <c r="D1613" t="s">
        <v>1118</v>
      </c>
      <c r="E1613" t="s">
        <v>3</v>
      </c>
      <c r="F1613" t="s">
        <v>4</v>
      </c>
      <c r="G1613" s="2" t="str">
        <f t="shared" si="25"/>
        <v>S_SLTSP_SV/STORAGE</v>
      </c>
      <c r="H1613" t="s">
        <v>1904</v>
      </c>
      <c r="I1613" t="s">
        <v>2040</v>
      </c>
      <c r="K1613" t="s">
        <v>2115</v>
      </c>
      <c r="L1613" t="s">
        <v>8</v>
      </c>
      <c r="N1613" t="s">
        <v>9</v>
      </c>
    </row>
    <row r="1614" spans="2:14" x14ac:dyDescent="0.25">
      <c r="B1614" t="s">
        <v>0</v>
      </c>
      <c r="C1614" t="s">
        <v>2120</v>
      </c>
      <c r="D1614" t="s">
        <v>2043</v>
      </c>
      <c r="E1614" t="s">
        <v>3</v>
      </c>
      <c r="F1614" t="s">
        <v>4</v>
      </c>
      <c r="G1614" s="2" t="str">
        <f t="shared" si="25"/>
        <v>C_STS072_SV/CHANNEL</v>
      </c>
      <c r="H1614" t="s">
        <v>1904</v>
      </c>
      <c r="I1614" t="s">
        <v>2040</v>
      </c>
      <c r="K1614" t="s">
        <v>2121</v>
      </c>
      <c r="L1614" t="s">
        <v>8</v>
      </c>
      <c r="N1614" t="s">
        <v>9</v>
      </c>
    </row>
    <row r="1615" spans="2:14" x14ac:dyDescent="0.25">
      <c r="B1615" t="s">
        <v>0</v>
      </c>
      <c r="C1615" t="s">
        <v>2122</v>
      </c>
      <c r="D1615" t="s">
        <v>2043</v>
      </c>
      <c r="E1615" t="s">
        <v>3</v>
      </c>
      <c r="F1615" t="s">
        <v>4</v>
      </c>
      <c r="G1615" s="2" t="str">
        <f t="shared" si="25"/>
        <v>C_TUO073_SV/CHANNEL</v>
      </c>
      <c r="H1615" t="s">
        <v>1904</v>
      </c>
      <c r="I1615" t="s">
        <v>2040</v>
      </c>
      <c r="K1615" t="s">
        <v>2123</v>
      </c>
      <c r="L1615" t="s">
        <v>8</v>
      </c>
      <c r="N1615" t="s">
        <v>9</v>
      </c>
    </row>
    <row r="1616" spans="2:14" x14ac:dyDescent="0.25">
      <c r="B1616" t="s">
        <v>0</v>
      </c>
      <c r="C1616" t="s">
        <v>2124</v>
      </c>
      <c r="D1616" t="s">
        <v>1118</v>
      </c>
      <c r="E1616" t="s">
        <v>3</v>
      </c>
      <c r="F1616" t="s">
        <v>4</v>
      </c>
      <c r="G1616" s="2" t="str">
        <f t="shared" si="25"/>
        <v>S_PEDRO_SV/STORAGE</v>
      </c>
      <c r="H1616" t="s">
        <v>1904</v>
      </c>
      <c r="I1616" t="s">
        <v>2040</v>
      </c>
      <c r="K1616" t="s">
        <v>2125</v>
      </c>
      <c r="L1616" t="s">
        <v>8</v>
      </c>
      <c r="N1616" t="s">
        <v>9</v>
      </c>
    </row>
    <row r="1617" spans="2:14" x14ac:dyDescent="0.25">
      <c r="B1617" t="s">
        <v>0</v>
      </c>
      <c r="C1617" t="s">
        <v>2126</v>
      </c>
      <c r="D1617" t="s">
        <v>2043</v>
      </c>
      <c r="E1617" t="s">
        <v>3</v>
      </c>
      <c r="F1617" t="s">
        <v>4</v>
      </c>
      <c r="G1617" s="2" t="str">
        <f t="shared" si="25"/>
        <v>C_BRR050_NID_SV/CHANNEL</v>
      </c>
      <c r="H1617" t="s">
        <v>1904</v>
      </c>
      <c r="I1617" t="s">
        <v>2040</v>
      </c>
      <c r="K1617" t="s">
        <v>2127</v>
      </c>
      <c r="L1617" t="s">
        <v>8</v>
      </c>
      <c r="N1617" t="s">
        <v>9</v>
      </c>
    </row>
    <row r="1618" spans="2:14" x14ac:dyDescent="0.25">
      <c r="B1618" t="s">
        <v>0</v>
      </c>
      <c r="C1618" t="s">
        <v>2128</v>
      </c>
      <c r="D1618" t="s">
        <v>2043</v>
      </c>
      <c r="E1618" t="s">
        <v>3</v>
      </c>
      <c r="F1618" t="s">
        <v>4</v>
      </c>
      <c r="G1618" s="2" t="str">
        <f t="shared" si="25"/>
        <v>C_BRR050_PGE_SV/CHANNEL</v>
      </c>
      <c r="H1618" t="s">
        <v>1904</v>
      </c>
      <c r="I1618" t="s">
        <v>2040</v>
      </c>
      <c r="K1618" t="s">
        <v>2127</v>
      </c>
      <c r="L1618" t="s">
        <v>8</v>
      </c>
      <c r="N1618" t="s">
        <v>9</v>
      </c>
    </row>
    <row r="1619" spans="2:14" x14ac:dyDescent="0.25">
      <c r="B1619" t="s">
        <v>0</v>
      </c>
      <c r="C1619" t="s">
        <v>2129</v>
      </c>
      <c r="D1619" t="s">
        <v>2043</v>
      </c>
      <c r="E1619" t="s">
        <v>3</v>
      </c>
      <c r="F1619" t="s">
        <v>4</v>
      </c>
      <c r="G1619" s="2" t="str">
        <f t="shared" si="25"/>
        <v>C_BRR050_SV/CHANNEL</v>
      </c>
      <c r="H1619" t="s">
        <v>1904</v>
      </c>
      <c r="I1619" t="s">
        <v>2040</v>
      </c>
      <c r="K1619" t="s">
        <v>2127</v>
      </c>
      <c r="L1619" t="s">
        <v>8</v>
      </c>
      <c r="N1619" t="s">
        <v>9</v>
      </c>
    </row>
    <row r="1620" spans="2:14" x14ac:dyDescent="0.25">
      <c r="B1620" t="s">
        <v>0</v>
      </c>
      <c r="C1620" t="s">
        <v>2130</v>
      </c>
      <c r="D1620" t="s">
        <v>2043</v>
      </c>
      <c r="E1620" t="s">
        <v>3</v>
      </c>
      <c r="F1620" t="s">
        <v>4</v>
      </c>
      <c r="G1620" s="2" t="str">
        <f t="shared" si="25"/>
        <v>C_CBC000_SV/CHANNEL</v>
      </c>
      <c r="H1620" t="s">
        <v>1904</v>
      </c>
      <c r="I1620" t="s">
        <v>2040</v>
      </c>
      <c r="K1620" t="s">
        <v>2127</v>
      </c>
      <c r="L1620" t="s">
        <v>8</v>
      </c>
      <c r="M1620" t="s">
        <v>40</v>
      </c>
      <c r="N1620" t="s">
        <v>9</v>
      </c>
    </row>
    <row r="1621" spans="2:14" x14ac:dyDescent="0.25">
      <c r="B1621" t="s">
        <v>0</v>
      </c>
      <c r="C1621" t="s">
        <v>2131</v>
      </c>
      <c r="D1621" t="s">
        <v>2043</v>
      </c>
      <c r="E1621" t="s">
        <v>3</v>
      </c>
      <c r="F1621" t="s">
        <v>4</v>
      </c>
      <c r="G1621" s="2" t="str">
        <f t="shared" si="25"/>
        <v>C_CMBIE_SV/CHANNEL</v>
      </c>
      <c r="H1621" t="s">
        <v>1904</v>
      </c>
      <c r="I1621" t="s">
        <v>2040</v>
      </c>
      <c r="K1621" t="s">
        <v>2127</v>
      </c>
      <c r="L1621" t="s">
        <v>8</v>
      </c>
      <c r="N1621" t="s">
        <v>9</v>
      </c>
    </row>
    <row r="1622" spans="2:14" x14ac:dyDescent="0.25">
      <c r="B1622" t="s">
        <v>0</v>
      </c>
      <c r="C1622" t="s">
        <v>2132</v>
      </c>
      <c r="D1622" t="s">
        <v>2043</v>
      </c>
      <c r="E1622" t="s">
        <v>3</v>
      </c>
      <c r="F1622" t="s">
        <v>4</v>
      </c>
      <c r="G1622" s="2" t="str">
        <f t="shared" si="25"/>
        <v>C_LBC010_SV/CHANNEL</v>
      </c>
      <c r="H1622" t="s">
        <v>1904</v>
      </c>
      <c r="I1622" t="s">
        <v>2040</v>
      </c>
      <c r="K1622" t="s">
        <v>2127</v>
      </c>
      <c r="L1622" t="s">
        <v>8</v>
      </c>
      <c r="N1622" t="s">
        <v>9</v>
      </c>
    </row>
    <row r="1623" spans="2:14" x14ac:dyDescent="0.25">
      <c r="B1623" t="s">
        <v>0</v>
      </c>
      <c r="C1623" t="s">
        <v>2133</v>
      </c>
      <c r="D1623" t="s">
        <v>2043</v>
      </c>
      <c r="E1623" t="s">
        <v>3</v>
      </c>
      <c r="F1623" t="s">
        <v>4</v>
      </c>
      <c r="G1623" s="2" t="str">
        <f t="shared" si="25"/>
        <v>C_MFY044_SV/CHANNEL</v>
      </c>
      <c r="H1623" t="s">
        <v>1904</v>
      </c>
      <c r="I1623" t="s">
        <v>2040</v>
      </c>
      <c r="K1623" t="s">
        <v>2127</v>
      </c>
      <c r="L1623" t="s">
        <v>8</v>
      </c>
      <c r="N1623" t="s">
        <v>9</v>
      </c>
    </row>
    <row r="1624" spans="2:14" x14ac:dyDescent="0.25">
      <c r="B1624" t="s">
        <v>0</v>
      </c>
      <c r="C1624" t="s">
        <v>2134</v>
      </c>
      <c r="D1624" t="s">
        <v>2043</v>
      </c>
      <c r="E1624" t="s">
        <v>3</v>
      </c>
      <c r="F1624" t="s">
        <v>4</v>
      </c>
      <c r="G1624" s="2" t="str">
        <f t="shared" si="25"/>
        <v>C_SFY007_SV/CHANNEL</v>
      </c>
      <c r="H1624" t="s">
        <v>1904</v>
      </c>
      <c r="I1624" t="s">
        <v>2040</v>
      </c>
      <c r="K1624" t="s">
        <v>2127</v>
      </c>
      <c r="L1624" t="s">
        <v>8</v>
      </c>
      <c r="N1624" t="s">
        <v>9</v>
      </c>
    </row>
    <row r="1625" spans="2:14" x14ac:dyDescent="0.25">
      <c r="B1625" t="s">
        <v>0</v>
      </c>
      <c r="C1625" t="s">
        <v>2135</v>
      </c>
      <c r="D1625" t="s">
        <v>2043</v>
      </c>
      <c r="E1625" t="s">
        <v>3</v>
      </c>
      <c r="F1625" t="s">
        <v>4</v>
      </c>
      <c r="G1625" s="2" t="str">
        <f t="shared" si="25"/>
        <v>C_STH007_SV/CHANNEL</v>
      </c>
      <c r="H1625" t="s">
        <v>1904</v>
      </c>
      <c r="I1625" t="s">
        <v>2040</v>
      </c>
      <c r="K1625" t="s">
        <v>2127</v>
      </c>
      <c r="L1625" t="s">
        <v>8</v>
      </c>
      <c r="N1625" t="s">
        <v>9</v>
      </c>
    </row>
    <row r="1626" spans="2:14" x14ac:dyDescent="0.25">
      <c r="B1626" t="s">
        <v>0</v>
      </c>
      <c r="C1626" t="s">
        <v>2136</v>
      </c>
      <c r="D1626" t="s">
        <v>2043</v>
      </c>
      <c r="E1626" t="s">
        <v>3</v>
      </c>
      <c r="F1626" t="s">
        <v>4</v>
      </c>
      <c r="G1626" s="2" t="str">
        <f t="shared" si="25"/>
        <v>C_WLF013_SV/CHANNEL</v>
      </c>
      <c r="H1626" t="s">
        <v>1904</v>
      </c>
      <c r="I1626" t="s">
        <v>2040</v>
      </c>
      <c r="K1626" t="s">
        <v>2127</v>
      </c>
      <c r="L1626" t="s">
        <v>8</v>
      </c>
      <c r="N1626" t="s">
        <v>9</v>
      </c>
    </row>
    <row r="1627" spans="2:14" x14ac:dyDescent="0.25">
      <c r="B1627" t="s">
        <v>0</v>
      </c>
      <c r="C1627" t="s">
        <v>2137</v>
      </c>
      <c r="D1627" t="s">
        <v>2043</v>
      </c>
      <c r="E1627" t="s">
        <v>3</v>
      </c>
      <c r="F1627" t="s">
        <v>4</v>
      </c>
      <c r="G1627" s="2" t="str">
        <f t="shared" si="25"/>
        <v>C_YUB003_SV/CHANNEL</v>
      </c>
      <c r="H1627" t="s">
        <v>1904</v>
      </c>
      <c r="I1627" t="s">
        <v>2040</v>
      </c>
      <c r="K1627" t="s">
        <v>2127</v>
      </c>
      <c r="L1627" t="s">
        <v>8</v>
      </c>
      <c r="N1627" t="s">
        <v>9</v>
      </c>
    </row>
    <row r="1628" spans="2:14" x14ac:dyDescent="0.25">
      <c r="B1628" t="s">
        <v>0</v>
      </c>
      <c r="C1628" t="s">
        <v>2138</v>
      </c>
      <c r="D1628" t="s">
        <v>2043</v>
      </c>
      <c r="E1628" t="s">
        <v>3</v>
      </c>
      <c r="F1628" t="s">
        <v>4</v>
      </c>
      <c r="G1628" s="2" t="str">
        <f t="shared" si="25"/>
        <v>C_YUB006_SV/CHANNEL</v>
      </c>
      <c r="H1628" t="s">
        <v>1904</v>
      </c>
      <c r="I1628" t="s">
        <v>2040</v>
      </c>
      <c r="K1628" t="s">
        <v>2127</v>
      </c>
      <c r="L1628" t="s">
        <v>8</v>
      </c>
      <c r="N1628" t="s">
        <v>9</v>
      </c>
    </row>
    <row r="1629" spans="2:14" x14ac:dyDescent="0.25">
      <c r="B1629" t="s">
        <v>0</v>
      </c>
      <c r="C1629" t="s">
        <v>2139</v>
      </c>
      <c r="D1629" t="s">
        <v>2043</v>
      </c>
      <c r="E1629" t="s">
        <v>3</v>
      </c>
      <c r="F1629" t="s">
        <v>4</v>
      </c>
      <c r="G1629" s="2" t="str">
        <f t="shared" si="25"/>
        <v>C_YUB011_SV/CHANNEL</v>
      </c>
      <c r="H1629" t="s">
        <v>1904</v>
      </c>
      <c r="I1629" t="s">
        <v>2040</v>
      </c>
      <c r="K1629" t="s">
        <v>2127</v>
      </c>
      <c r="L1629" t="s">
        <v>8</v>
      </c>
      <c r="N1629" t="s">
        <v>9</v>
      </c>
    </row>
    <row r="1630" spans="2:14" x14ac:dyDescent="0.25">
      <c r="B1630" t="s">
        <v>0</v>
      </c>
      <c r="C1630" t="s">
        <v>2140</v>
      </c>
      <c r="D1630" t="s">
        <v>2043</v>
      </c>
      <c r="E1630" t="s">
        <v>3</v>
      </c>
      <c r="F1630" t="s">
        <v>4</v>
      </c>
      <c r="G1630" s="2" t="str">
        <f t="shared" si="25"/>
        <v>C_YUB013_SV/CHANNEL</v>
      </c>
      <c r="H1630" t="s">
        <v>1904</v>
      </c>
      <c r="I1630" t="s">
        <v>2040</v>
      </c>
      <c r="K1630" t="s">
        <v>2127</v>
      </c>
      <c r="L1630" t="s">
        <v>8</v>
      </c>
      <c r="N1630" t="s">
        <v>9</v>
      </c>
    </row>
    <row r="1631" spans="2:14" x14ac:dyDescent="0.25">
      <c r="B1631" t="s">
        <v>0</v>
      </c>
      <c r="C1631" t="s">
        <v>2141</v>
      </c>
      <c r="D1631" t="s">
        <v>2039</v>
      </c>
      <c r="E1631" t="s">
        <v>3</v>
      </c>
      <c r="F1631" t="s">
        <v>4</v>
      </c>
      <c r="G1631" s="2" t="str">
        <f t="shared" si="25"/>
        <v>D_BRR050_BEC000_NID_SV/DIVERSION</v>
      </c>
      <c r="H1631" t="s">
        <v>1904</v>
      </c>
      <c r="I1631" t="s">
        <v>2040</v>
      </c>
      <c r="K1631" t="s">
        <v>2127</v>
      </c>
      <c r="L1631" t="s">
        <v>8</v>
      </c>
      <c r="N1631" t="s">
        <v>9</v>
      </c>
    </row>
    <row r="1632" spans="2:14" x14ac:dyDescent="0.25">
      <c r="B1632" t="s">
        <v>0</v>
      </c>
      <c r="C1632" t="s">
        <v>2142</v>
      </c>
      <c r="D1632" t="s">
        <v>2039</v>
      </c>
      <c r="E1632" t="s">
        <v>3</v>
      </c>
      <c r="F1632" t="s">
        <v>4</v>
      </c>
      <c r="G1632" s="2" t="str">
        <f t="shared" si="25"/>
        <v>D_BRR050_BEC000_PGE_SV/DIVERSION</v>
      </c>
      <c r="H1632" t="s">
        <v>1904</v>
      </c>
      <c r="I1632" t="s">
        <v>2040</v>
      </c>
      <c r="K1632" t="s">
        <v>2127</v>
      </c>
      <c r="L1632" t="s">
        <v>8</v>
      </c>
      <c r="N1632" t="s">
        <v>9</v>
      </c>
    </row>
    <row r="1633" spans="2:14" x14ac:dyDescent="0.25">
      <c r="B1633" t="s">
        <v>0</v>
      </c>
      <c r="C1633" t="s">
        <v>2143</v>
      </c>
      <c r="D1633" t="s">
        <v>2039</v>
      </c>
      <c r="E1633" t="s">
        <v>3</v>
      </c>
      <c r="F1633" t="s">
        <v>4</v>
      </c>
      <c r="G1633" s="2" t="str">
        <f t="shared" si="25"/>
        <v>D_BRR050_BEC000_SV/DIVERSION</v>
      </c>
      <c r="H1633" t="s">
        <v>1904</v>
      </c>
      <c r="I1633" t="s">
        <v>2040</v>
      </c>
      <c r="K1633" t="s">
        <v>2127</v>
      </c>
      <c r="L1633" t="s">
        <v>8</v>
      </c>
      <c r="N1633" t="s">
        <v>9</v>
      </c>
    </row>
    <row r="1634" spans="2:14" x14ac:dyDescent="0.25">
      <c r="B1634" t="s">
        <v>0</v>
      </c>
      <c r="C1634" t="s">
        <v>2144</v>
      </c>
      <c r="D1634" t="s">
        <v>2039</v>
      </c>
      <c r="E1634" t="s">
        <v>3</v>
      </c>
      <c r="F1634" t="s">
        <v>4</v>
      </c>
      <c r="G1634" s="2" t="str">
        <f t="shared" si="25"/>
        <v>D_CMBIE_CBC000_SV/DIVERSION</v>
      </c>
      <c r="H1634" t="s">
        <v>1904</v>
      </c>
      <c r="I1634" t="s">
        <v>2040</v>
      </c>
      <c r="K1634" t="s">
        <v>2127</v>
      </c>
      <c r="L1634" t="s">
        <v>8</v>
      </c>
      <c r="N1634" t="s">
        <v>9</v>
      </c>
    </row>
    <row r="1635" spans="2:14" x14ac:dyDescent="0.25">
      <c r="B1635" t="s">
        <v>0</v>
      </c>
      <c r="C1635" t="s">
        <v>2145</v>
      </c>
      <c r="D1635" t="s">
        <v>2039</v>
      </c>
      <c r="E1635" t="s">
        <v>3</v>
      </c>
      <c r="F1635" t="s">
        <v>4</v>
      </c>
      <c r="G1635" s="2" t="str">
        <f t="shared" si="25"/>
        <v>D_CYN009_LBC001_SV/DIVERSION</v>
      </c>
      <c r="H1635" t="s">
        <v>1904</v>
      </c>
      <c r="I1635" t="s">
        <v>2040</v>
      </c>
      <c r="K1635" t="s">
        <v>2127</v>
      </c>
      <c r="L1635" t="s">
        <v>8</v>
      </c>
      <c r="N1635" t="s">
        <v>9</v>
      </c>
    </row>
    <row r="1636" spans="2:14" x14ac:dyDescent="0.25">
      <c r="B1636" t="s">
        <v>0</v>
      </c>
      <c r="C1636" t="s">
        <v>2146</v>
      </c>
      <c r="D1636" t="s">
        <v>2039</v>
      </c>
      <c r="E1636" t="s">
        <v>3</v>
      </c>
      <c r="F1636" t="s">
        <v>4</v>
      </c>
      <c r="G1636" s="2" t="str">
        <f t="shared" si="25"/>
        <v>D_LBR002_LBC001_SV/DIVERSION</v>
      </c>
      <c r="H1636" t="s">
        <v>1904</v>
      </c>
      <c r="I1636" t="s">
        <v>2040</v>
      </c>
      <c r="K1636" t="s">
        <v>2127</v>
      </c>
      <c r="L1636" t="s">
        <v>8</v>
      </c>
      <c r="N1636" t="s">
        <v>9</v>
      </c>
    </row>
    <row r="1637" spans="2:14" x14ac:dyDescent="0.25">
      <c r="B1637" t="s">
        <v>0</v>
      </c>
      <c r="C1637" t="s">
        <v>2147</v>
      </c>
      <c r="D1637" t="s">
        <v>2039</v>
      </c>
      <c r="E1637" t="s">
        <v>3</v>
      </c>
      <c r="F1637" t="s">
        <v>4</v>
      </c>
      <c r="G1637" s="2" t="str">
        <f t="shared" si="25"/>
        <v>D_SPLDG_DRM000_SV/DIVERSION</v>
      </c>
      <c r="H1637" t="s">
        <v>1904</v>
      </c>
      <c r="I1637" t="s">
        <v>2040</v>
      </c>
      <c r="K1637" t="s">
        <v>2127</v>
      </c>
      <c r="L1637" t="s">
        <v>8</v>
      </c>
      <c r="N1637" t="s">
        <v>9</v>
      </c>
    </row>
    <row r="1638" spans="2:14" x14ac:dyDescent="0.25">
      <c r="B1638" t="s">
        <v>0</v>
      </c>
      <c r="C1638" t="s">
        <v>2148</v>
      </c>
      <c r="D1638" t="s">
        <v>2039</v>
      </c>
      <c r="E1638" t="s">
        <v>3</v>
      </c>
      <c r="F1638" t="s">
        <v>4</v>
      </c>
      <c r="G1638" s="2" t="str">
        <f t="shared" si="25"/>
        <v>D_STH000_ABN027_NID_SV/DIVERSION</v>
      </c>
      <c r="H1638" t="s">
        <v>1904</v>
      </c>
      <c r="I1638" t="s">
        <v>2040</v>
      </c>
      <c r="K1638" t="s">
        <v>2127</v>
      </c>
      <c r="L1638" t="s">
        <v>8</v>
      </c>
      <c r="N1638" t="s">
        <v>9</v>
      </c>
    </row>
    <row r="1639" spans="2:14" x14ac:dyDescent="0.25">
      <c r="B1639" t="s">
        <v>0</v>
      </c>
      <c r="C1639" t="s">
        <v>2149</v>
      </c>
      <c r="D1639" t="s">
        <v>2039</v>
      </c>
      <c r="E1639" t="s">
        <v>3</v>
      </c>
      <c r="F1639" t="s">
        <v>4</v>
      </c>
      <c r="G1639" s="2" t="str">
        <f t="shared" si="25"/>
        <v>D_STH000_ABN027_PCWA_SV/DIVERSION</v>
      </c>
      <c r="H1639" t="s">
        <v>1904</v>
      </c>
      <c r="I1639" t="s">
        <v>2040</v>
      </c>
      <c r="K1639" t="s">
        <v>2127</v>
      </c>
      <c r="L1639" t="s">
        <v>8</v>
      </c>
      <c r="N1639" t="s">
        <v>9</v>
      </c>
    </row>
    <row r="1640" spans="2:14" x14ac:dyDescent="0.25">
      <c r="B1640" t="s">
        <v>0</v>
      </c>
      <c r="C1640" t="s">
        <v>2150</v>
      </c>
      <c r="D1640" t="s">
        <v>2039</v>
      </c>
      <c r="E1640" t="s">
        <v>3</v>
      </c>
      <c r="F1640" t="s">
        <v>4</v>
      </c>
      <c r="G1640" s="2" t="str">
        <f t="shared" si="25"/>
        <v>D_SYC002_BRR074_SV/DIVERSION</v>
      </c>
      <c r="H1640" t="s">
        <v>1904</v>
      </c>
      <c r="I1640" t="s">
        <v>2040</v>
      </c>
      <c r="K1640" t="s">
        <v>2127</v>
      </c>
      <c r="L1640" t="s">
        <v>8</v>
      </c>
      <c r="N1640" t="s">
        <v>9</v>
      </c>
    </row>
    <row r="1641" spans="2:14" x14ac:dyDescent="0.25">
      <c r="B1641" t="s">
        <v>0</v>
      </c>
      <c r="C1641" t="s">
        <v>2151</v>
      </c>
      <c r="D1641" t="s">
        <v>2152</v>
      </c>
      <c r="E1641" t="s">
        <v>3</v>
      </c>
      <c r="F1641" t="s">
        <v>4</v>
      </c>
      <c r="G1641" s="2" t="str">
        <f t="shared" si="25"/>
        <v>PGE_WY_ALLOCATION_SV/RATIO</v>
      </c>
      <c r="H1641" t="s">
        <v>1904</v>
      </c>
      <c r="I1641" t="s">
        <v>2040</v>
      </c>
      <c r="K1641" t="s">
        <v>2127</v>
      </c>
      <c r="L1641" t="s">
        <v>8</v>
      </c>
      <c r="N1641" t="s">
        <v>1930</v>
      </c>
    </row>
    <row r="1642" spans="2:14" x14ac:dyDescent="0.25">
      <c r="B1642" t="s">
        <v>0</v>
      </c>
      <c r="C1642" t="s">
        <v>2153</v>
      </c>
      <c r="D1642" t="s">
        <v>1380</v>
      </c>
      <c r="E1642" t="s">
        <v>3</v>
      </c>
      <c r="F1642" t="s">
        <v>4</v>
      </c>
      <c r="G1642" s="2" t="str">
        <f t="shared" si="25"/>
        <v>SPAULDING_ACCUMULATED_INFLOW_SV/INFLOW</v>
      </c>
      <c r="H1642" t="s">
        <v>1904</v>
      </c>
      <c r="I1642" t="s">
        <v>2040</v>
      </c>
      <c r="K1642" t="s">
        <v>2127</v>
      </c>
      <c r="L1642" t="s">
        <v>8</v>
      </c>
      <c r="N1642" t="s">
        <v>9</v>
      </c>
    </row>
    <row r="1643" spans="2:14" x14ac:dyDescent="0.25">
      <c r="B1643" t="s">
        <v>0</v>
      </c>
      <c r="C1643" t="s">
        <v>2154</v>
      </c>
      <c r="D1643" t="s">
        <v>1118</v>
      </c>
      <c r="E1643" t="s">
        <v>3</v>
      </c>
      <c r="F1643" t="s">
        <v>4</v>
      </c>
      <c r="G1643" s="2" t="str">
        <f t="shared" si="25"/>
        <v>S_CMBIE_SV/STORAGE</v>
      </c>
      <c r="H1643" t="s">
        <v>1904</v>
      </c>
      <c r="I1643" t="s">
        <v>2040</v>
      </c>
      <c r="K1643" t="s">
        <v>2127</v>
      </c>
      <c r="L1643" t="s">
        <v>8</v>
      </c>
      <c r="N1643" t="s">
        <v>9</v>
      </c>
    </row>
    <row r="1644" spans="2:14" x14ac:dyDescent="0.25">
      <c r="B1644" t="s">
        <v>0</v>
      </c>
      <c r="C1644" t="s">
        <v>2155</v>
      </c>
      <c r="D1644" t="s">
        <v>1118</v>
      </c>
      <c r="E1644" t="s">
        <v>3</v>
      </c>
      <c r="F1644" t="s">
        <v>4</v>
      </c>
      <c r="G1644" s="2" t="str">
        <f t="shared" si="25"/>
        <v>S_LKVLY_SV/STORAGE</v>
      </c>
      <c r="H1644" t="s">
        <v>1904</v>
      </c>
      <c r="I1644" t="s">
        <v>2040</v>
      </c>
      <c r="K1644" t="s">
        <v>2127</v>
      </c>
      <c r="L1644" t="s">
        <v>8</v>
      </c>
      <c r="N1644" t="s">
        <v>9</v>
      </c>
    </row>
    <row r="1645" spans="2:14" x14ac:dyDescent="0.25">
      <c r="B1645" t="s">
        <v>0</v>
      </c>
      <c r="C1645" t="s">
        <v>2156</v>
      </c>
      <c r="D1645" t="s">
        <v>1118</v>
      </c>
      <c r="E1645" t="s">
        <v>3</v>
      </c>
      <c r="F1645" t="s">
        <v>4</v>
      </c>
      <c r="G1645" s="2" t="str">
        <f t="shared" si="25"/>
        <v>S_RLLNS_NID_SV/STORAGE</v>
      </c>
      <c r="H1645" t="s">
        <v>1904</v>
      </c>
      <c r="I1645" t="s">
        <v>2040</v>
      </c>
      <c r="K1645" t="s">
        <v>2127</v>
      </c>
      <c r="L1645" t="s">
        <v>8</v>
      </c>
      <c r="N1645" t="s">
        <v>9</v>
      </c>
    </row>
    <row r="1646" spans="2:14" x14ac:dyDescent="0.25">
      <c r="B1646" t="s">
        <v>0</v>
      </c>
      <c r="C1646" t="s">
        <v>2157</v>
      </c>
      <c r="D1646" t="s">
        <v>1118</v>
      </c>
      <c r="E1646" t="s">
        <v>3</v>
      </c>
      <c r="F1646" t="s">
        <v>4</v>
      </c>
      <c r="G1646" s="2" t="str">
        <f t="shared" si="25"/>
        <v>S_RLLNS_PGE_SV/STORAGE</v>
      </c>
      <c r="H1646" t="s">
        <v>1904</v>
      </c>
      <c r="I1646" t="s">
        <v>2040</v>
      </c>
      <c r="K1646" t="s">
        <v>2127</v>
      </c>
      <c r="L1646" t="s">
        <v>8</v>
      </c>
      <c r="N1646" t="s">
        <v>9</v>
      </c>
    </row>
    <row r="1647" spans="2:14" x14ac:dyDescent="0.25">
      <c r="B1647" t="s">
        <v>0</v>
      </c>
      <c r="C1647" t="s">
        <v>2158</v>
      </c>
      <c r="D1647" t="s">
        <v>1118</v>
      </c>
      <c r="E1647" t="s">
        <v>3</v>
      </c>
      <c r="F1647" t="s">
        <v>4</v>
      </c>
      <c r="G1647" s="2" t="str">
        <f t="shared" si="25"/>
        <v>S_RLLNS_SV/STORAGE</v>
      </c>
      <c r="H1647" t="s">
        <v>1904</v>
      </c>
      <c r="I1647" t="s">
        <v>2040</v>
      </c>
      <c r="K1647" t="s">
        <v>2127</v>
      </c>
      <c r="L1647" t="s">
        <v>8</v>
      </c>
      <c r="N1647" t="s">
        <v>9</v>
      </c>
    </row>
    <row r="1648" spans="2:14" x14ac:dyDescent="0.25">
      <c r="B1648" t="s">
        <v>0</v>
      </c>
      <c r="C1648" t="s">
        <v>2159</v>
      </c>
      <c r="D1648" t="s">
        <v>2152</v>
      </c>
      <c r="E1648" t="s">
        <v>3</v>
      </c>
      <c r="F1648" t="s">
        <v>4</v>
      </c>
      <c r="G1648" s="2" t="str">
        <f t="shared" si="25"/>
        <v>USAGE_REDUCTION_NID_SV/RATIO</v>
      </c>
      <c r="H1648" t="s">
        <v>1904</v>
      </c>
      <c r="I1648" t="s">
        <v>2040</v>
      </c>
      <c r="K1648" t="s">
        <v>2127</v>
      </c>
      <c r="L1648" t="s">
        <v>8</v>
      </c>
      <c r="N1648" t="s">
        <v>1930</v>
      </c>
    </row>
    <row r="1649" spans="2:14" x14ac:dyDescent="0.25">
      <c r="B1649" t="s">
        <v>0</v>
      </c>
      <c r="C1649" t="s">
        <v>2160</v>
      </c>
      <c r="D1649" t="s">
        <v>2161</v>
      </c>
      <c r="E1649" t="s">
        <v>3</v>
      </c>
      <c r="F1649" t="s">
        <v>4</v>
      </c>
      <c r="G1649" s="2" t="str">
        <f t="shared" si="25"/>
        <v>WATERYEARCONDITIONS_NID_PGE_SV/WY-TYPE</v>
      </c>
      <c r="H1649" t="s">
        <v>1904</v>
      </c>
      <c r="I1649" t="s">
        <v>2040</v>
      </c>
      <c r="K1649" t="s">
        <v>2127</v>
      </c>
      <c r="L1649" t="s">
        <v>8</v>
      </c>
      <c r="N1649" t="s">
        <v>1930</v>
      </c>
    </row>
    <row r="1650" spans="2:14" x14ac:dyDescent="0.25">
      <c r="B1650" t="s">
        <v>0</v>
      </c>
      <c r="C1650" t="s">
        <v>2162</v>
      </c>
      <c r="D1650" t="s">
        <v>1123</v>
      </c>
      <c r="E1650" t="s">
        <v>3</v>
      </c>
      <c r="F1650" t="s">
        <v>4</v>
      </c>
      <c r="G1650" s="2" t="str">
        <f t="shared" si="25"/>
        <v>PP_ADS/PRECIP</v>
      </c>
      <c r="H1650" t="s">
        <v>2163</v>
      </c>
      <c r="I1650" t="s">
        <v>2164</v>
      </c>
      <c r="L1650" t="s">
        <v>54</v>
      </c>
      <c r="M1650" t="s">
        <v>54</v>
      </c>
      <c r="N1650" t="s">
        <v>1125</v>
      </c>
    </row>
    <row r="1651" spans="2:14" x14ac:dyDescent="0.25">
      <c r="B1651" t="s">
        <v>0</v>
      </c>
      <c r="C1651" t="s">
        <v>2165</v>
      </c>
      <c r="D1651" t="s">
        <v>1123</v>
      </c>
      <c r="E1651" t="s">
        <v>3</v>
      </c>
      <c r="F1651" t="s">
        <v>4</v>
      </c>
      <c r="G1651" s="2" t="str">
        <f t="shared" si="25"/>
        <v>PP_BLB/PRECIP</v>
      </c>
      <c r="H1651" t="s">
        <v>2163</v>
      </c>
      <c r="I1651" t="s">
        <v>2164</v>
      </c>
      <c r="L1651" t="s">
        <v>54</v>
      </c>
      <c r="M1651" t="s">
        <v>54</v>
      </c>
      <c r="N1651" t="s">
        <v>1125</v>
      </c>
    </row>
    <row r="1652" spans="2:14" x14ac:dyDescent="0.25">
      <c r="B1652" t="s">
        <v>0</v>
      </c>
      <c r="C1652" t="s">
        <v>2166</v>
      </c>
      <c r="D1652" t="s">
        <v>1123</v>
      </c>
      <c r="E1652" t="s">
        <v>3</v>
      </c>
      <c r="F1652" t="s">
        <v>4</v>
      </c>
      <c r="G1652" s="2" t="str">
        <f t="shared" si="25"/>
        <v>PP_BNR/PRECIP</v>
      </c>
      <c r="H1652" t="s">
        <v>2163</v>
      </c>
      <c r="I1652" t="s">
        <v>2164</v>
      </c>
      <c r="L1652" t="s">
        <v>54</v>
      </c>
      <c r="M1652" t="s">
        <v>54</v>
      </c>
      <c r="N1652" t="s">
        <v>1125</v>
      </c>
    </row>
    <row r="1653" spans="2:14" x14ac:dyDescent="0.25">
      <c r="B1653" t="s">
        <v>0</v>
      </c>
      <c r="C1653" t="s">
        <v>2167</v>
      </c>
      <c r="D1653" t="s">
        <v>1123</v>
      </c>
      <c r="E1653" t="s">
        <v>3</v>
      </c>
      <c r="F1653" t="s">
        <v>4</v>
      </c>
      <c r="G1653" s="2" t="str">
        <f t="shared" si="25"/>
        <v>PP_BRS/PRECIP</v>
      </c>
      <c r="H1653" t="s">
        <v>2163</v>
      </c>
      <c r="I1653" t="s">
        <v>2164</v>
      </c>
      <c r="L1653" t="s">
        <v>54</v>
      </c>
      <c r="M1653" t="s">
        <v>54</v>
      </c>
      <c r="N1653" t="s">
        <v>1125</v>
      </c>
    </row>
    <row r="1654" spans="2:14" x14ac:dyDescent="0.25">
      <c r="B1654" t="s">
        <v>0</v>
      </c>
      <c r="C1654" t="s">
        <v>2168</v>
      </c>
      <c r="D1654" t="s">
        <v>1123</v>
      </c>
      <c r="E1654" t="s">
        <v>3</v>
      </c>
      <c r="F1654" t="s">
        <v>4</v>
      </c>
      <c r="G1654" s="2" t="str">
        <f t="shared" si="25"/>
        <v>PP_BUC/PRECIP</v>
      </c>
      <c r="H1654" t="s">
        <v>2163</v>
      </c>
      <c r="I1654" t="s">
        <v>2164</v>
      </c>
      <c r="L1654" t="s">
        <v>54</v>
      </c>
      <c r="M1654" t="s">
        <v>54</v>
      </c>
      <c r="N1654" t="s">
        <v>1125</v>
      </c>
    </row>
    <row r="1655" spans="2:14" x14ac:dyDescent="0.25">
      <c r="B1655" t="s">
        <v>0</v>
      </c>
      <c r="C1655" t="s">
        <v>2169</v>
      </c>
      <c r="D1655" t="s">
        <v>1123</v>
      </c>
      <c r="E1655" t="s">
        <v>3</v>
      </c>
      <c r="F1655" t="s">
        <v>4</v>
      </c>
      <c r="G1655" s="2" t="str">
        <f t="shared" si="25"/>
        <v>PP_CAM/PRECIP</v>
      </c>
      <c r="H1655" t="s">
        <v>2163</v>
      </c>
      <c r="I1655" t="s">
        <v>2164</v>
      </c>
      <c r="L1655" t="s">
        <v>54</v>
      </c>
      <c r="M1655" t="s">
        <v>54</v>
      </c>
      <c r="N1655" t="s">
        <v>1125</v>
      </c>
    </row>
    <row r="1656" spans="2:14" x14ac:dyDescent="0.25">
      <c r="B1656" t="s">
        <v>0</v>
      </c>
      <c r="C1656" t="s">
        <v>2170</v>
      </c>
      <c r="D1656" t="s">
        <v>1123</v>
      </c>
      <c r="E1656" t="s">
        <v>3</v>
      </c>
      <c r="F1656" t="s">
        <v>4</v>
      </c>
      <c r="G1656" s="2" t="str">
        <f t="shared" si="25"/>
        <v>PP_CNY/PRECIP</v>
      </c>
      <c r="H1656" t="s">
        <v>2163</v>
      </c>
      <c r="I1656" t="s">
        <v>2164</v>
      </c>
      <c r="L1656" t="s">
        <v>54</v>
      </c>
      <c r="M1656" t="s">
        <v>54</v>
      </c>
      <c r="N1656" t="s">
        <v>1125</v>
      </c>
    </row>
    <row r="1657" spans="2:14" x14ac:dyDescent="0.25">
      <c r="B1657" t="s">
        <v>0</v>
      </c>
      <c r="C1657" t="s">
        <v>2171</v>
      </c>
      <c r="D1657" t="s">
        <v>1123</v>
      </c>
      <c r="E1657" t="s">
        <v>3</v>
      </c>
      <c r="F1657" t="s">
        <v>4</v>
      </c>
      <c r="G1657" s="2" t="str">
        <f t="shared" si="25"/>
        <v>PP_DES/PRECIP</v>
      </c>
      <c r="H1657" t="s">
        <v>2163</v>
      </c>
      <c r="I1657" t="s">
        <v>2164</v>
      </c>
      <c r="L1657" t="s">
        <v>54</v>
      </c>
      <c r="M1657" t="s">
        <v>54</v>
      </c>
      <c r="N1657" t="s">
        <v>1125</v>
      </c>
    </row>
    <row r="1658" spans="2:14" x14ac:dyDescent="0.25">
      <c r="B1658" t="s">
        <v>0</v>
      </c>
      <c r="C1658" t="s">
        <v>2172</v>
      </c>
      <c r="D1658" t="s">
        <v>1123</v>
      </c>
      <c r="E1658" t="s">
        <v>3</v>
      </c>
      <c r="F1658" t="s">
        <v>4</v>
      </c>
      <c r="G1658" s="2" t="str">
        <f t="shared" si="25"/>
        <v>PP_HID/PRECIP</v>
      </c>
      <c r="H1658" t="s">
        <v>2163</v>
      </c>
      <c r="I1658" t="s">
        <v>2164</v>
      </c>
      <c r="L1658" t="s">
        <v>54</v>
      </c>
      <c r="M1658" t="s">
        <v>54</v>
      </c>
      <c r="N1658" t="s">
        <v>1125</v>
      </c>
    </row>
    <row r="1659" spans="2:14" x14ac:dyDescent="0.25">
      <c r="B1659" t="s">
        <v>0</v>
      </c>
      <c r="C1659" t="s">
        <v>2173</v>
      </c>
      <c r="D1659" t="s">
        <v>1123</v>
      </c>
      <c r="E1659" t="s">
        <v>3</v>
      </c>
      <c r="F1659" t="s">
        <v>4</v>
      </c>
      <c r="G1659" s="2" t="str">
        <f t="shared" si="25"/>
        <v>PP_LGS/PRECIP</v>
      </c>
      <c r="H1659" t="s">
        <v>2163</v>
      </c>
      <c r="I1659" t="s">
        <v>2164</v>
      </c>
      <c r="L1659" t="s">
        <v>54</v>
      </c>
      <c r="M1659" t="s">
        <v>54</v>
      </c>
      <c r="N1659" t="s">
        <v>1125</v>
      </c>
    </row>
    <row r="1660" spans="2:14" x14ac:dyDescent="0.25">
      <c r="B1660" t="s">
        <v>0</v>
      </c>
      <c r="C1660" t="s">
        <v>2174</v>
      </c>
      <c r="D1660" t="s">
        <v>1123</v>
      </c>
      <c r="E1660" t="s">
        <v>3</v>
      </c>
      <c r="F1660" t="s">
        <v>4</v>
      </c>
      <c r="G1660" s="2" t="str">
        <f t="shared" si="25"/>
        <v>PP_MGN/PRECIP</v>
      </c>
      <c r="H1660" t="s">
        <v>2163</v>
      </c>
      <c r="I1660" t="s">
        <v>2164</v>
      </c>
      <c r="L1660" t="s">
        <v>54</v>
      </c>
      <c r="M1660" t="s">
        <v>54</v>
      </c>
      <c r="N1660" t="s">
        <v>1125</v>
      </c>
    </row>
    <row r="1661" spans="2:14" x14ac:dyDescent="0.25">
      <c r="B1661" t="s">
        <v>0</v>
      </c>
      <c r="C1661" t="s">
        <v>2175</v>
      </c>
      <c r="D1661" t="s">
        <v>1123</v>
      </c>
      <c r="E1661" t="s">
        <v>3</v>
      </c>
      <c r="F1661" t="s">
        <v>4</v>
      </c>
      <c r="G1661" s="2" t="str">
        <f t="shared" si="25"/>
        <v>PP_NHG/PRECIP</v>
      </c>
      <c r="H1661" t="s">
        <v>2163</v>
      </c>
      <c r="I1661" t="s">
        <v>2164</v>
      </c>
      <c r="L1661" t="s">
        <v>54</v>
      </c>
      <c r="M1661" t="s">
        <v>54</v>
      </c>
      <c r="N1661" t="s">
        <v>1125</v>
      </c>
    </row>
    <row r="1662" spans="2:14" x14ac:dyDescent="0.25">
      <c r="B1662" t="s">
        <v>0</v>
      </c>
      <c r="C1662" t="s">
        <v>2176</v>
      </c>
      <c r="D1662" t="s">
        <v>1123</v>
      </c>
      <c r="E1662" t="s">
        <v>3</v>
      </c>
      <c r="F1662" t="s">
        <v>4</v>
      </c>
      <c r="G1662" s="2" t="str">
        <f t="shared" si="25"/>
        <v>PP_NLS/PRECIP</v>
      </c>
      <c r="H1662" t="s">
        <v>2163</v>
      </c>
      <c r="I1662" t="s">
        <v>2164</v>
      </c>
      <c r="L1662" t="s">
        <v>54</v>
      </c>
      <c r="M1662" t="s">
        <v>54</v>
      </c>
      <c r="N1662" t="s">
        <v>1125</v>
      </c>
    </row>
    <row r="1663" spans="2:14" x14ac:dyDescent="0.25">
      <c r="B1663" t="s">
        <v>0</v>
      </c>
      <c r="C1663" t="s">
        <v>2177</v>
      </c>
      <c r="D1663" t="s">
        <v>1123</v>
      </c>
      <c r="E1663" t="s">
        <v>3</v>
      </c>
      <c r="F1663" t="s">
        <v>4</v>
      </c>
      <c r="G1663" s="2" t="str">
        <f t="shared" si="25"/>
        <v>PP_OKH/PRECIP</v>
      </c>
      <c r="H1663" t="s">
        <v>2163</v>
      </c>
      <c r="I1663" t="s">
        <v>2164</v>
      </c>
      <c r="L1663" t="s">
        <v>54</v>
      </c>
      <c r="M1663" t="s">
        <v>54</v>
      </c>
      <c r="N1663" t="s">
        <v>1125</v>
      </c>
    </row>
    <row r="1664" spans="2:14" x14ac:dyDescent="0.25">
      <c r="B1664" t="s">
        <v>0</v>
      </c>
      <c r="C1664" t="s">
        <v>2178</v>
      </c>
      <c r="D1664" t="s">
        <v>1123</v>
      </c>
      <c r="E1664" t="s">
        <v>3</v>
      </c>
      <c r="F1664" t="s">
        <v>4</v>
      </c>
      <c r="G1664" s="2" t="str">
        <f t="shared" si="25"/>
        <v>PP_ORO/PRECIP</v>
      </c>
      <c r="H1664" t="s">
        <v>2163</v>
      </c>
      <c r="I1664" t="s">
        <v>2164</v>
      </c>
      <c r="L1664" t="s">
        <v>54</v>
      </c>
      <c r="M1664" t="s">
        <v>54</v>
      </c>
      <c r="N1664" t="s">
        <v>1125</v>
      </c>
    </row>
    <row r="1665" spans="2:14" x14ac:dyDescent="0.25">
      <c r="B1665" t="s">
        <v>0</v>
      </c>
      <c r="C1665" t="s">
        <v>2179</v>
      </c>
      <c r="D1665" t="s">
        <v>1123</v>
      </c>
      <c r="E1665" t="s">
        <v>3</v>
      </c>
      <c r="F1665" t="s">
        <v>4</v>
      </c>
      <c r="G1665" s="2" t="str">
        <f t="shared" si="25"/>
        <v>PP_PRY/PRECIP</v>
      </c>
      <c r="H1665" t="s">
        <v>2163</v>
      </c>
      <c r="I1665" t="s">
        <v>2164</v>
      </c>
      <c r="L1665" t="s">
        <v>54</v>
      </c>
      <c r="M1665" t="s">
        <v>54</v>
      </c>
      <c r="N1665" t="s">
        <v>1125</v>
      </c>
    </row>
    <row r="1666" spans="2:14" x14ac:dyDescent="0.25">
      <c r="B1666" t="s">
        <v>0</v>
      </c>
      <c r="C1666" t="s">
        <v>2180</v>
      </c>
      <c r="D1666" t="s">
        <v>1123</v>
      </c>
      <c r="E1666" t="s">
        <v>3</v>
      </c>
      <c r="F1666" t="s">
        <v>4</v>
      </c>
      <c r="G1666" s="2" t="str">
        <f t="shared" si="25"/>
        <v>PP_QCY/PRECIP</v>
      </c>
      <c r="H1666" t="s">
        <v>2163</v>
      </c>
      <c r="I1666" t="s">
        <v>2164</v>
      </c>
      <c r="L1666" t="s">
        <v>54</v>
      </c>
      <c r="M1666" t="s">
        <v>54</v>
      </c>
      <c r="N1666" t="s">
        <v>1125</v>
      </c>
    </row>
    <row r="1667" spans="2:14" x14ac:dyDescent="0.25">
      <c r="B1667" t="s">
        <v>0</v>
      </c>
      <c r="C1667" t="s">
        <v>2181</v>
      </c>
      <c r="D1667" t="s">
        <v>1123</v>
      </c>
      <c r="E1667" t="s">
        <v>3</v>
      </c>
      <c r="F1667" t="s">
        <v>4</v>
      </c>
      <c r="G1667" s="2" t="str">
        <f t="shared" ref="G1667:G1689" si="26">_xlfn.CONCAT(C1667,"/",D1667)</f>
        <v>PP_RRF/PRECIP</v>
      </c>
      <c r="H1667" t="s">
        <v>2163</v>
      </c>
      <c r="I1667" t="s">
        <v>2164</v>
      </c>
      <c r="L1667" t="s">
        <v>54</v>
      </c>
      <c r="M1667" t="s">
        <v>54</v>
      </c>
      <c r="N1667" t="s">
        <v>1125</v>
      </c>
    </row>
    <row r="1668" spans="2:14" x14ac:dyDescent="0.25">
      <c r="B1668" t="s">
        <v>0</v>
      </c>
      <c r="C1668" t="s">
        <v>2182</v>
      </c>
      <c r="D1668" t="s">
        <v>1123</v>
      </c>
      <c r="E1668" t="s">
        <v>3</v>
      </c>
      <c r="F1668" t="s">
        <v>4</v>
      </c>
      <c r="G1668" s="2" t="str">
        <f t="shared" si="26"/>
        <v>PP_SBY/PRECIP</v>
      </c>
      <c r="H1668" t="s">
        <v>2163</v>
      </c>
      <c r="I1668" t="s">
        <v>2164</v>
      </c>
      <c r="L1668" t="s">
        <v>54</v>
      </c>
      <c r="M1668" t="s">
        <v>54</v>
      </c>
      <c r="N1668" t="s">
        <v>1125</v>
      </c>
    </row>
    <row r="1669" spans="2:14" x14ac:dyDescent="0.25">
      <c r="B1669" t="s">
        <v>0</v>
      </c>
      <c r="C1669" t="s">
        <v>2183</v>
      </c>
      <c r="D1669" t="s">
        <v>1123</v>
      </c>
      <c r="E1669" t="s">
        <v>3</v>
      </c>
      <c r="F1669" t="s">
        <v>4</v>
      </c>
      <c r="G1669" s="2" t="str">
        <f t="shared" si="26"/>
        <v>PP_SHR/PRECIP</v>
      </c>
      <c r="H1669" t="s">
        <v>2163</v>
      </c>
      <c r="I1669" t="s">
        <v>2164</v>
      </c>
      <c r="L1669" t="s">
        <v>54</v>
      </c>
      <c r="M1669" t="s">
        <v>54</v>
      </c>
      <c r="N1669" t="s">
        <v>1125</v>
      </c>
    </row>
    <row r="1670" spans="2:14" x14ac:dyDescent="0.25">
      <c r="B1670" t="s">
        <v>0</v>
      </c>
      <c r="C1670" t="s">
        <v>2184</v>
      </c>
      <c r="D1670" t="s">
        <v>1123</v>
      </c>
      <c r="E1670" t="s">
        <v>3</v>
      </c>
      <c r="F1670" t="s">
        <v>4</v>
      </c>
      <c r="G1670" s="2" t="str">
        <f t="shared" si="26"/>
        <v>PP_SVL/PRECIP</v>
      </c>
      <c r="H1670" t="s">
        <v>2163</v>
      </c>
      <c r="I1670" t="s">
        <v>2164</v>
      </c>
      <c r="L1670" t="s">
        <v>54</v>
      </c>
      <c r="M1670" t="s">
        <v>54</v>
      </c>
      <c r="N1670" t="s">
        <v>1125</v>
      </c>
    </row>
    <row r="1671" spans="2:14" x14ac:dyDescent="0.25">
      <c r="B1671" t="s">
        <v>0</v>
      </c>
      <c r="C1671" t="s">
        <v>2185</v>
      </c>
      <c r="D1671" t="s">
        <v>1123</v>
      </c>
      <c r="E1671" t="s">
        <v>3</v>
      </c>
      <c r="F1671" t="s">
        <v>4</v>
      </c>
      <c r="G1671" s="2" t="str">
        <f t="shared" si="26"/>
        <v>PP_TRS/PRECIP</v>
      </c>
      <c r="H1671" t="s">
        <v>2163</v>
      </c>
      <c r="I1671" t="s">
        <v>2164</v>
      </c>
      <c r="L1671" t="s">
        <v>54</v>
      </c>
      <c r="M1671" t="s">
        <v>54</v>
      </c>
      <c r="N1671" t="s">
        <v>1125</v>
      </c>
    </row>
    <row r="1672" spans="2:14" x14ac:dyDescent="0.25">
      <c r="B1672" t="s">
        <v>0</v>
      </c>
      <c r="C1672" t="s">
        <v>2186</v>
      </c>
      <c r="D1672" t="s">
        <v>1123</v>
      </c>
      <c r="E1672" t="s">
        <v>3</v>
      </c>
      <c r="F1672" t="s">
        <v>4</v>
      </c>
      <c r="G1672" s="2" t="str">
        <f t="shared" si="26"/>
        <v>PP_WST/PRECIP</v>
      </c>
      <c r="H1672" t="s">
        <v>2163</v>
      </c>
      <c r="I1672" t="s">
        <v>2164</v>
      </c>
      <c r="L1672" t="s">
        <v>54</v>
      </c>
      <c r="M1672" t="s">
        <v>54</v>
      </c>
      <c r="N1672" t="s">
        <v>1125</v>
      </c>
    </row>
    <row r="1673" spans="2:14" x14ac:dyDescent="0.25">
      <c r="B1673" t="s">
        <v>0</v>
      </c>
      <c r="C1673" t="s">
        <v>2187</v>
      </c>
      <c r="D1673" t="s">
        <v>1123</v>
      </c>
      <c r="E1673" t="s">
        <v>3</v>
      </c>
      <c r="F1673" t="s">
        <v>4</v>
      </c>
      <c r="G1673" s="2" t="str">
        <f t="shared" si="26"/>
        <v>P_HTCHY/PRECIP</v>
      </c>
      <c r="H1673" t="s">
        <v>2163</v>
      </c>
      <c r="I1673" t="s">
        <v>2164</v>
      </c>
      <c r="L1673" t="s">
        <v>54</v>
      </c>
      <c r="M1673" t="s">
        <v>54</v>
      </c>
      <c r="N1673" t="s">
        <v>1125</v>
      </c>
    </row>
    <row r="1674" spans="2:14" x14ac:dyDescent="0.25">
      <c r="B1674" t="s">
        <v>0</v>
      </c>
      <c r="C1674" t="s">
        <v>2188</v>
      </c>
      <c r="D1674" t="s">
        <v>1123</v>
      </c>
      <c r="E1674" t="s">
        <v>3</v>
      </c>
      <c r="F1674" t="s">
        <v>4</v>
      </c>
      <c r="G1674" s="2" t="str">
        <f t="shared" si="26"/>
        <v>P_LODI/PRECIP</v>
      </c>
      <c r="H1674" t="s">
        <v>2163</v>
      </c>
      <c r="I1674" t="s">
        <v>2164</v>
      </c>
      <c r="L1674" t="s">
        <v>54</v>
      </c>
      <c r="M1674" t="s">
        <v>54</v>
      </c>
      <c r="N1674" t="s">
        <v>1125</v>
      </c>
    </row>
    <row r="1675" spans="2:14" x14ac:dyDescent="0.25">
      <c r="B1675" t="s">
        <v>0</v>
      </c>
      <c r="C1675" t="s">
        <v>2189</v>
      </c>
      <c r="D1675" t="s">
        <v>2190</v>
      </c>
      <c r="E1675" t="s">
        <v>3</v>
      </c>
      <c r="F1675" t="s">
        <v>4</v>
      </c>
      <c r="G1675" s="2" t="str">
        <f t="shared" si="26"/>
        <v>RUFR_24_NA2_TS/REUSE-FRACTION</v>
      </c>
      <c r="H1675" t="s">
        <v>2163</v>
      </c>
      <c r="I1675" t="s">
        <v>2164</v>
      </c>
      <c r="L1675" t="s">
        <v>54</v>
      </c>
      <c r="M1675" t="s">
        <v>54</v>
      </c>
      <c r="N1675" t="s">
        <v>1125</v>
      </c>
    </row>
    <row r="1676" spans="2:14" x14ac:dyDescent="0.25">
      <c r="B1676" t="s">
        <v>0</v>
      </c>
      <c r="C1676" t="s">
        <v>2191</v>
      </c>
      <c r="D1676" t="s">
        <v>2190</v>
      </c>
      <c r="E1676" t="s">
        <v>3</v>
      </c>
      <c r="F1676" t="s">
        <v>4</v>
      </c>
      <c r="G1676" s="2" t="str">
        <f t="shared" si="26"/>
        <v>RUFR_24_NA3_TS/REUSE-FRACTION</v>
      </c>
      <c r="H1676" t="s">
        <v>2163</v>
      </c>
      <c r="I1676" t="s">
        <v>2164</v>
      </c>
      <c r="L1676" t="s">
        <v>54</v>
      </c>
      <c r="M1676" t="s">
        <v>54</v>
      </c>
      <c r="N1676" t="s">
        <v>1125</v>
      </c>
    </row>
    <row r="1677" spans="2:14" x14ac:dyDescent="0.25">
      <c r="B1677" t="s">
        <v>0</v>
      </c>
      <c r="C1677" t="s">
        <v>2192</v>
      </c>
      <c r="D1677" t="s">
        <v>1123</v>
      </c>
      <c r="E1677" t="s">
        <v>3</v>
      </c>
      <c r="F1677" t="s">
        <v>4</v>
      </c>
      <c r="G1677" s="2" t="str">
        <f t="shared" si="26"/>
        <v>SPAULDING_PRECIP/PRECIP</v>
      </c>
      <c r="H1677" t="s">
        <v>2163</v>
      </c>
      <c r="I1677" t="s">
        <v>2164</v>
      </c>
      <c r="L1677" t="s">
        <v>54</v>
      </c>
      <c r="M1677" t="s">
        <v>54</v>
      </c>
      <c r="N1677" t="s">
        <v>1125</v>
      </c>
    </row>
    <row r="1678" spans="2:14" x14ac:dyDescent="0.25">
      <c r="B1678" t="s">
        <v>0</v>
      </c>
      <c r="C1678" t="s">
        <v>2193</v>
      </c>
      <c r="D1678" t="s">
        <v>1961</v>
      </c>
      <c r="E1678" t="s">
        <v>3</v>
      </c>
      <c r="F1678" t="s">
        <v>4</v>
      </c>
      <c r="G1678" s="2" t="str">
        <f t="shared" si="26"/>
        <v>DAY28/VOL-FRACTION</v>
      </c>
      <c r="H1678" t="s">
        <v>5</v>
      </c>
      <c r="I1678" t="s">
        <v>1962</v>
      </c>
      <c r="L1678" t="s">
        <v>40</v>
      </c>
      <c r="M1678" t="s">
        <v>40</v>
      </c>
      <c r="N1678" t="s">
        <v>1930</v>
      </c>
    </row>
    <row r="1679" spans="2:14" x14ac:dyDescent="0.25">
      <c r="B1679" t="s">
        <v>0</v>
      </c>
      <c r="C1679" t="s">
        <v>2194</v>
      </c>
      <c r="D1679" t="s">
        <v>1961</v>
      </c>
      <c r="E1679" t="s">
        <v>3</v>
      </c>
      <c r="F1679" t="s">
        <v>4</v>
      </c>
      <c r="G1679" s="2" t="str">
        <f t="shared" si="26"/>
        <v>DAY29/VOL-FRACTION</v>
      </c>
      <c r="H1679" t="s">
        <v>5</v>
      </c>
      <c r="I1679" t="s">
        <v>1962</v>
      </c>
      <c r="L1679" t="s">
        <v>40</v>
      </c>
      <c r="M1679" t="s">
        <v>40</v>
      </c>
      <c r="N1679" t="s">
        <v>1930</v>
      </c>
    </row>
    <row r="1680" spans="2:14" x14ac:dyDescent="0.25">
      <c r="B1680" t="s">
        <v>0</v>
      </c>
      <c r="C1680" t="s">
        <v>2195</v>
      </c>
      <c r="D1680" t="s">
        <v>1961</v>
      </c>
      <c r="E1680" t="s">
        <v>3</v>
      </c>
      <c r="F1680" t="s">
        <v>4</v>
      </c>
      <c r="G1680" s="2" t="str">
        <f t="shared" si="26"/>
        <v>DAY3/VOL-FRACTION</v>
      </c>
      <c r="H1680" t="s">
        <v>5</v>
      </c>
      <c r="I1680" t="s">
        <v>1962</v>
      </c>
      <c r="L1680" t="s">
        <v>40</v>
      </c>
      <c r="M1680" t="s">
        <v>40</v>
      </c>
      <c r="N1680" t="s">
        <v>1930</v>
      </c>
    </row>
    <row r="1681" spans="2:14" x14ac:dyDescent="0.25">
      <c r="B1681" t="s">
        <v>0</v>
      </c>
      <c r="C1681" t="s">
        <v>2196</v>
      </c>
      <c r="D1681" t="s">
        <v>1961</v>
      </c>
      <c r="E1681" t="s">
        <v>3</v>
      </c>
      <c r="F1681" t="s">
        <v>4</v>
      </c>
      <c r="G1681" s="2" t="str">
        <f t="shared" si="26"/>
        <v>DAY30/VOL-FRACTION</v>
      </c>
      <c r="H1681" t="s">
        <v>5</v>
      </c>
      <c r="I1681" t="s">
        <v>1962</v>
      </c>
      <c r="L1681" t="s">
        <v>40</v>
      </c>
      <c r="M1681" t="s">
        <v>40</v>
      </c>
      <c r="N1681" t="s">
        <v>1930</v>
      </c>
    </row>
    <row r="1682" spans="2:14" x14ac:dyDescent="0.25">
      <c r="B1682" t="s">
        <v>0</v>
      </c>
      <c r="C1682" t="s">
        <v>2197</v>
      </c>
      <c r="D1682" t="s">
        <v>1961</v>
      </c>
      <c r="E1682" t="s">
        <v>3</v>
      </c>
      <c r="F1682" t="s">
        <v>4</v>
      </c>
      <c r="G1682" s="2" t="str">
        <f t="shared" si="26"/>
        <v>DAY31/VOL-FRACTION</v>
      </c>
      <c r="H1682" t="s">
        <v>5</v>
      </c>
      <c r="I1682" t="s">
        <v>1962</v>
      </c>
      <c r="L1682" t="s">
        <v>40</v>
      </c>
      <c r="M1682" t="s">
        <v>40</v>
      </c>
      <c r="N1682" t="s">
        <v>1930</v>
      </c>
    </row>
    <row r="1683" spans="2:14" x14ac:dyDescent="0.25">
      <c r="B1683" t="s">
        <v>0</v>
      </c>
      <c r="C1683" t="s">
        <v>2198</v>
      </c>
      <c r="D1683" t="s">
        <v>1961</v>
      </c>
      <c r="E1683" t="s">
        <v>3</v>
      </c>
      <c r="F1683" t="s">
        <v>4</v>
      </c>
      <c r="G1683" s="2" t="str">
        <f t="shared" si="26"/>
        <v>DAY4/VOL-FRACTION</v>
      </c>
      <c r="H1683" t="s">
        <v>5</v>
      </c>
      <c r="I1683" t="s">
        <v>1962</v>
      </c>
      <c r="L1683" t="s">
        <v>40</v>
      </c>
      <c r="M1683" t="s">
        <v>40</v>
      </c>
      <c r="N1683" t="s">
        <v>1930</v>
      </c>
    </row>
    <row r="1684" spans="2:14" x14ac:dyDescent="0.25">
      <c r="B1684" t="s">
        <v>0</v>
      </c>
      <c r="C1684" t="s">
        <v>2199</v>
      </c>
      <c r="D1684" t="s">
        <v>1961</v>
      </c>
      <c r="E1684" t="s">
        <v>3</v>
      </c>
      <c r="F1684" t="s">
        <v>4</v>
      </c>
      <c r="G1684" s="2" t="str">
        <f t="shared" si="26"/>
        <v>DAY5/VOL-FRACTION</v>
      </c>
      <c r="H1684" t="s">
        <v>5</v>
      </c>
      <c r="I1684" t="s">
        <v>1962</v>
      </c>
      <c r="L1684" t="s">
        <v>40</v>
      </c>
      <c r="M1684" t="s">
        <v>40</v>
      </c>
      <c r="N1684" t="s">
        <v>1930</v>
      </c>
    </row>
    <row r="1685" spans="2:14" x14ac:dyDescent="0.25">
      <c r="B1685" t="s">
        <v>0</v>
      </c>
      <c r="C1685" t="s">
        <v>2200</v>
      </c>
      <c r="D1685" t="s">
        <v>1961</v>
      </c>
      <c r="E1685" t="s">
        <v>3</v>
      </c>
      <c r="F1685" t="s">
        <v>4</v>
      </c>
      <c r="G1685" s="2" t="str">
        <f t="shared" si="26"/>
        <v>DAY6/VOL-FRACTION</v>
      </c>
      <c r="H1685" t="s">
        <v>5</v>
      </c>
      <c r="I1685" t="s">
        <v>1962</v>
      </c>
      <c r="L1685" t="s">
        <v>40</v>
      </c>
      <c r="M1685" t="s">
        <v>40</v>
      </c>
      <c r="N1685" t="s">
        <v>1930</v>
      </c>
    </row>
    <row r="1686" spans="2:14" x14ac:dyDescent="0.25">
      <c r="B1686" t="s">
        <v>0</v>
      </c>
      <c r="C1686" t="s">
        <v>2201</v>
      </c>
      <c r="D1686" t="s">
        <v>1961</v>
      </c>
      <c r="E1686" t="s">
        <v>3</v>
      </c>
      <c r="F1686" t="s">
        <v>4</v>
      </c>
      <c r="G1686" s="2" t="str">
        <f t="shared" si="26"/>
        <v>DAY7/VOL-FRACTION</v>
      </c>
      <c r="H1686" t="s">
        <v>5</v>
      </c>
      <c r="I1686" t="s">
        <v>1962</v>
      </c>
      <c r="L1686" t="s">
        <v>40</v>
      </c>
      <c r="M1686" t="s">
        <v>40</v>
      </c>
      <c r="N1686" t="s">
        <v>1930</v>
      </c>
    </row>
    <row r="1687" spans="2:14" x14ac:dyDescent="0.25">
      <c r="B1687" t="s">
        <v>0</v>
      </c>
      <c r="C1687" t="s">
        <v>2202</v>
      </c>
      <c r="D1687" t="s">
        <v>1961</v>
      </c>
      <c r="E1687" t="s">
        <v>3</v>
      </c>
      <c r="F1687" t="s">
        <v>4</v>
      </c>
      <c r="G1687" s="2" t="str">
        <f t="shared" si="26"/>
        <v>DAY8/VOL-FRACTION</v>
      </c>
      <c r="H1687" t="s">
        <v>5</v>
      </c>
      <c r="I1687" t="s">
        <v>1962</v>
      </c>
      <c r="L1687" t="s">
        <v>40</v>
      </c>
      <c r="M1687" t="s">
        <v>40</v>
      </c>
      <c r="N1687" t="s">
        <v>1930</v>
      </c>
    </row>
    <row r="1688" spans="2:14" x14ac:dyDescent="0.25">
      <c r="B1688" t="s">
        <v>0</v>
      </c>
      <c r="C1688" t="s">
        <v>2203</v>
      </c>
      <c r="D1688" t="s">
        <v>1961</v>
      </c>
      <c r="E1688" t="s">
        <v>3</v>
      </c>
      <c r="F1688" t="s">
        <v>4</v>
      </c>
      <c r="G1688" s="2" t="str">
        <f t="shared" si="26"/>
        <v>DAY9/VOL-FRACTION</v>
      </c>
      <c r="H1688" t="s">
        <v>5</v>
      </c>
      <c r="I1688" t="s">
        <v>1962</v>
      </c>
      <c r="L1688" t="s">
        <v>40</v>
      </c>
      <c r="M1688" t="s">
        <v>40</v>
      </c>
      <c r="N1688" t="s">
        <v>1930</v>
      </c>
    </row>
    <row r="1689" spans="2:14" x14ac:dyDescent="0.25">
      <c r="B1689" t="s">
        <v>0</v>
      </c>
      <c r="C1689" t="s">
        <v>2204</v>
      </c>
      <c r="D1689" t="s">
        <v>2205</v>
      </c>
      <c r="E1689" t="s">
        <v>3</v>
      </c>
      <c r="F1689" t="s">
        <v>4</v>
      </c>
      <c r="G1689" s="2" t="str">
        <f t="shared" si="26"/>
        <v>WR_DGR/WATER-RIGHT</v>
      </c>
      <c r="H1689" t="s">
        <v>5</v>
      </c>
      <c r="I1689" t="s">
        <v>39</v>
      </c>
      <c r="K1689" t="s">
        <v>2206</v>
      </c>
      <c r="L1689" t="s">
        <v>40</v>
      </c>
      <c r="M1689" t="s">
        <v>41</v>
      </c>
      <c r="N1689"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1"/>
  </sheetPr>
  <dimension ref="B2:U1736"/>
  <sheetViews>
    <sheetView showGridLines="0" tabSelected="1" zoomScale="85" zoomScaleNormal="85" workbookViewId="0">
      <pane xSplit="4" ySplit="2" topLeftCell="E3" activePane="bottomRight" state="frozen"/>
      <selection pane="topRight" activeCell="E1" sqref="E1"/>
      <selection pane="bottomLeft" activeCell="A3" sqref="A3"/>
      <selection pane="bottomRight" activeCell="V14" sqref="V14"/>
    </sheetView>
  </sheetViews>
  <sheetFormatPr defaultColWidth="8.7109375" defaultRowHeight="18" customHeight="1" x14ac:dyDescent="0.25"/>
  <cols>
    <col min="1" max="1" width="3.28515625" customWidth="1"/>
    <col min="2" max="2" width="8.28515625" customWidth="1"/>
    <col min="3" max="3" width="38.5703125" bestFit="1" customWidth="1"/>
    <col min="4" max="4" width="23.28515625" bestFit="1" customWidth="1"/>
    <col min="5" max="5" width="3" customWidth="1"/>
    <col min="6" max="6" width="6.42578125" bestFit="1" customWidth="1"/>
    <col min="7" max="7" width="7" bestFit="1" customWidth="1"/>
    <col min="8" max="8" width="48.7109375" bestFit="1" customWidth="1"/>
    <col min="9" max="9" width="25.28515625" style="4" customWidth="1"/>
    <col min="10" max="10" width="55" style="4" bestFit="1" customWidth="1"/>
    <col min="11" max="11" width="9.28515625" style="4" bestFit="1" customWidth="1"/>
    <col min="12" max="12" width="11.140625" style="5" bestFit="1" customWidth="1"/>
    <col min="13" max="13" width="9.28515625" style="5" bestFit="1" customWidth="1"/>
    <col min="14" max="14" width="19.28515625" style="3" bestFit="1" customWidth="1"/>
    <col min="15" max="15" width="23.42578125" style="3" bestFit="1" customWidth="1"/>
    <col min="16" max="16" width="8.42578125" style="3" bestFit="1" customWidth="1"/>
  </cols>
  <sheetData>
    <row r="2" spans="2:16" ht="72" customHeight="1" x14ac:dyDescent="0.25">
      <c r="B2" s="6" t="s">
        <v>2207</v>
      </c>
      <c r="C2" s="7" t="s">
        <v>2208</v>
      </c>
      <c r="D2" s="7" t="s">
        <v>2209</v>
      </c>
      <c r="E2" s="7" t="s">
        <v>2210</v>
      </c>
      <c r="F2" s="7" t="s">
        <v>2211</v>
      </c>
      <c r="G2" s="7" t="s">
        <v>2212</v>
      </c>
      <c r="H2" s="7" t="s">
        <v>2213</v>
      </c>
      <c r="I2" s="8" t="s">
        <v>2214</v>
      </c>
      <c r="J2" s="8" t="s">
        <v>2215</v>
      </c>
      <c r="K2" s="37" t="s">
        <v>2216</v>
      </c>
      <c r="L2" s="38" t="s">
        <v>2217</v>
      </c>
      <c r="M2" s="38" t="s">
        <v>2218</v>
      </c>
      <c r="N2" s="9" t="s">
        <v>2219</v>
      </c>
      <c r="O2" s="9" t="s">
        <v>2220</v>
      </c>
      <c r="P2" s="9" t="s">
        <v>2221</v>
      </c>
    </row>
    <row r="3" spans="2:16" ht="18" customHeight="1" x14ac:dyDescent="0.25">
      <c r="B3" s="21" t="s">
        <v>0</v>
      </c>
      <c r="C3" s="22" t="s">
        <v>304</v>
      </c>
      <c r="D3" s="22" t="s">
        <v>18</v>
      </c>
      <c r="E3" s="21" t="s">
        <v>2222</v>
      </c>
      <c r="F3" s="23" t="s">
        <v>3</v>
      </c>
      <c r="G3" s="23" t="s">
        <v>4</v>
      </c>
      <c r="H3" s="21" t="str">
        <f t="shared" ref="H3:H66" si="0">_xlfn.CONCAT(C3,"/",D3)</f>
        <v>AWO_02_NA/APPLIED-WATER</v>
      </c>
      <c r="I3" s="24" t="s">
        <v>2223</v>
      </c>
      <c r="J3" s="10" t="str">
        <f>VLOOKUP(Table1[[#This Row],[UID]],CS3SVComposerConfig!$B$3:$D$1808,3,FALSE)</f>
        <v>CS3L2015V0Hydro_SV.dss</v>
      </c>
      <c r="K3" s="10" t="s">
        <v>2212</v>
      </c>
      <c r="L3" s="10" t="s">
        <v>2212</v>
      </c>
      <c r="M3" s="10" t="s">
        <v>2224</v>
      </c>
      <c r="N3" s="10" t="s">
        <v>2225</v>
      </c>
      <c r="O3" s="10" t="s">
        <v>2226</v>
      </c>
      <c r="P3" s="39" t="s">
        <v>2227</v>
      </c>
    </row>
    <row r="4" spans="2:16" ht="18" customHeight="1" x14ac:dyDescent="0.25">
      <c r="B4" s="21" t="s">
        <v>0</v>
      </c>
      <c r="C4" s="22" t="s">
        <v>307</v>
      </c>
      <c r="D4" s="22" t="s">
        <v>18</v>
      </c>
      <c r="E4" s="21" t="s">
        <v>2222</v>
      </c>
      <c r="F4" s="23" t="s">
        <v>3</v>
      </c>
      <c r="G4" s="23" t="s">
        <v>4</v>
      </c>
      <c r="H4" s="21" t="str">
        <f t="shared" si="0"/>
        <v>AWO_02_PA/APPLIED-WATER</v>
      </c>
      <c r="I4" s="24" t="s">
        <v>2223</v>
      </c>
      <c r="J4" s="10" t="str">
        <f>VLOOKUP(Table1[[#This Row],[UID]],CS3SVComposerConfig!$B$3:$D$1808,3,FALSE)</f>
        <v>CS3L2015V0Hydro_SV.dss</v>
      </c>
      <c r="K4" s="10" t="s">
        <v>2212</v>
      </c>
      <c r="L4" s="10" t="s">
        <v>2212</v>
      </c>
      <c r="M4" s="10" t="s">
        <v>2224</v>
      </c>
      <c r="N4" s="10" t="s">
        <v>2225</v>
      </c>
      <c r="O4" s="10" t="s">
        <v>2226</v>
      </c>
      <c r="P4" s="39" t="s">
        <v>2227</v>
      </c>
    </row>
    <row r="5" spans="2:16" ht="18" customHeight="1" x14ac:dyDescent="0.25">
      <c r="B5" s="21" t="s">
        <v>0</v>
      </c>
      <c r="C5" s="22" t="s">
        <v>308</v>
      </c>
      <c r="D5" s="22" t="s">
        <v>18</v>
      </c>
      <c r="E5" s="21" t="s">
        <v>2222</v>
      </c>
      <c r="F5" s="23" t="s">
        <v>3</v>
      </c>
      <c r="G5" s="23" t="s">
        <v>4</v>
      </c>
      <c r="H5" s="21" t="str">
        <f t="shared" si="0"/>
        <v>AWO_02_SA/APPLIED-WATER</v>
      </c>
      <c r="I5" s="24" t="s">
        <v>2223</v>
      </c>
      <c r="J5" s="10" t="str">
        <f>VLOOKUP(Table1[[#This Row],[UID]],CS3SVComposerConfig!$B$3:$D$1808,3,FALSE)</f>
        <v>CS3L2015V0Hydro_SV.dss</v>
      </c>
      <c r="K5" s="10" t="s">
        <v>2212</v>
      </c>
      <c r="L5" s="10" t="s">
        <v>2212</v>
      </c>
      <c r="M5" s="10" t="s">
        <v>2224</v>
      </c>
      <c r="N5" s="10" t="s">
        <v>2225</v>
      </c>
      <c r="O5" s="10" t="s">
        <v>2226</v>
      </c>
      <c r="P5" s="39" t="s">
        <v>2227</v>
      </c>
    </row>
    <row r="6" spans="2:16" ht="18" customHeight="1" x14ac:dyDescent="0.25">
      <c r="B6" s="21" t="s">
        <v>0</v>
      </c>
      <c r="C6" s="22" t="s">
        <v>309</v>
      </c>
      <c r="D6" s="22" t="s">
        <v>18</v>
      </c>
      <c r="E6" s="21" t="s">
        <v>2222</v>
      </c>
      <c r="F6" s="23" t="s">
        <v>3</v>
      </c>
      <c r="G6" s="23" t="s">
        <v>4</v>
      </c>
      <c r="H6" s="21" t="str">
        <f t="shared" si="0"/>
        <v>AWO_03_NA/APPLIED-WATER</v>
      </c>
      <c r="I6" s="24" t="s">
        <v>2223</v>
      </c>
      <c r="J6" s="10" t="str">
        <f>VLOOKUP(Table1[[#This Row],[UID]],CS3SVComposerConfig!$B$3:$D$1808,3,FALSE)</f>
        <v>CS3L2015V0Hydro_SV.dss</v>
      </c>
      <c r="K6" s="10" t="s">
        <v>2212</v>
      </c>
      <c r="L6" s="10" t="s">
        <v>2212</v>
      </c>
      <c r="M6" s="10" t="s">
        <v>2224</v>
      </c>
      <c r="N6" s="10" t="s">
        <v>2225</v>
      </c>
      <c r="O6" s="10" t="s">
        <v>2226</v>
      </c>
      <c r="P6" s="39" t="s">
        <v>2227</v>
      </c>
    </row>
    <row r="7" spans="2:16" ht="18" customHeight="1" x14ac:dyDescent="0.25">
      <c r="B7" s="21" t="s">
        <v>0</v>
      </c>
      <c r="C7" s="22" t="s">
        <v>310</v>
      </c>
      <c r="D7" s="22" t="s">
        <v>18</v>
      </c>
      <c r="E7" s="21" t="s">
        <v>2222</v>
      </c>
      <c r="F7" s="23" t="s">
        <v>3</v>
      </c>
      <c r="G7" s="23" t="s">
        <v>4</v>
      </c>
      <c r="H7" s="21" t="str">
        <f t="shared" si="0"/>
        <v>AWO_03_PA/APPLIED-WATER</v>
      </c>
      <c r="I7" s="24" t="s">
        <v>2223</v>
      </c>
      <c r="J7" s="10" t="str">
        <f>VLOOKUP(Table1[[#This Row],[UID]],CS3SVComposerConfig!$B$3:$D$1808,3,FALSE)</f>
        <v>CS3L2015V0Hydro_SV.dss</v>
      </c>
      <c r="K7" s="10" t="s">
        <v>2212</v>
      </c>
      <c r="L7" s="10" t="s">
        <v>2212</v>
      </c>
      <c r="M7" s="10" t="s">
        <v>2224</v>
      </c>
      <c r="N7" s="10" t="s">
        <v>2225</v>
      </c>
      <c r="O7" s="10" t="s">
        <v>2226</v>
      </c>
      <c r="P7" s="39" t="s">
        <v>2227</v>
      </c>
    </row>
    <row r="8" spans="2:16" ht="18" customHeight="1" x14ac:dyDescent="0.25">
      <c r="B8" s="21" t="s">
        <v>0</v>
      </c>
      <c r="C8" s="22" t="s">
        <v>311</v>
      </c>
      <c r="D8" s="22" t="s">
        <v>18</v>
      </c>
      <c r="E8" s="21" t="s">
        <v>2222</v>
      </c>
      <c r="F8" s="23" t="s">
        <v>3</v>
      </c>
      <c r="G8" s="23" t="s">
        <v>4</v>
      </c>
      <c r="H8" s="21" t="str">
        <f t="shared" si="0"/>
        <v>AWO_03_SA/APPLIED-WATER</v>
      </c>
      <c r="I8" s="24" t="s">
        <v>2223</v>
      </c>
      <c r="J8" s="10" t="str">
        <f>VLOOKUP(Table1[[#This Row],[UID]],CS3SVComposerConfig!$B$3:$D$1808,3,FALSE)</f>
        <v>CS3L2015V0Hydro_SV.dss</v>
      </c>
      <c r="K8" s="10" t="s">
        <v>2212</v>
      </c>
      <c r="L8" s="10" t="s">
        <v>2212</v>
      </c>
      <c r="M8" s="10" t="s">
        <v>2224</v>
      </c>
      <c r="N8" s="10" t="s">
        <v>2225</v>
      </c>
      <c r="O8" s="10" t="s">
        <v>2226</v>
      </c>
      <c r="P8" s="39" t="s">
        <v>2227</v>
      </c>
    </row>
    <row r="9" spans="2:16" ht="18" customHeight="1" x14ac:dyDescent="0.25">
      <c r="B9" s="21" t="s">
        <v>0</v>
      </c>
      <c r="C9" s="22" t="s">
        <v>312</v>
      </c>
      <c r="D9" s="22" t="s">
        <v>18</v>
      </c>
      <c r="E9" s="21" t="s">
        <v>2222</v>
      </c>
      <c r="F9" s="23" t="s">
        <v>3</v>
      </c>
      <c r="G9" s="23" t="s">
        <v>4</v>
      </c>
      <c r="H9" s="21" t="str">
        <f t="shared" si="0"/>
        <v>AWO_04_NA/APPLIED-WATER</v>
      </c>
      <c r="I9" s="24" t="s">
        <v>2223</v>
      </c>
      <c r="J9" s="10" t="str">
        <f>VLOOKUP(Table1[[#This Row],[UID]],CS3SVComposerConfig!$B$3:$D$1808,3,FALSE)</f>
        <v>CS3L2015V0Hydro_SV.dss</v>
      </c>
      <c r="K9" s="10" t="s">
        <v>2212</v>
      </c>
      <c r="L9" s="10" t="s">
        <v>2212</v>
      </c>
      <c r="M9" s="10" t="s">
        <v>2224</v>
      </c>
      <c r="N9" s="10" t="s">
        <v>2225</v>
      </c>
      <c r="O9" s="10" t="s">
        <v>2226</v>
      </c>
      <c r="P9" s="39" t="s">
        <v>2227</v>
      </c>
    </row>
    <row r="10" spans="2:16" ht="18" customHeight="1" x14ac:dyDescent="0.25">
      <c r="B10" s="21" t="s">
        <v>0</v>
      </c>
      <c r="C10" s="22" t="s">
        <v>313</v>
      </c>
      <c r="D10" s="22" t="s">
        <v>18</v>
      </c>
      <c r="E10" s="21" t="s">
        <v>2222</v>
      </c>
      <c r="F10" s="23" t="s">
        <v>3</v>
      </c>
      <c r="G10" s="23" t="s">
        <v>4</v>
      </c>
      <c r="H10" s="21" t="str">
        <f t="shared" si="0"/>
        <v>AWO_04_PA1/APPLIED-WATER</v>
      </c>
      <c r="I10" s="24" t="s">
        <v>2223</v>
      </c>
      <c r="J10" s="10" t="str">
        <f>VLOOKUP(Table1[[#This Row],[UID]],CS3SVComposerConfig!$B$3:$D$1808,3,FALSE)</f>
        <v>CS3L2015V0Hydro_SV.dss</v>
      </c>
      <c r="K10" s="10" t="s">
        <v>2212</v>
      </c>
      <c r="L10" s="10" t="s">
        <v>2212</v>
      </c>
      <c r="M10" s="10" t="s">
        <v>2224</v>
      </c>
      <c r="N10" s="10" t="s">
        <v>2225</v>
      </c>
      <c r="O10" s="10" t="s">
        <v>2226</v>
      </c>
      <c r="P10" s="39" t="s">
        <v>2227</v>
      </c>
    </row>
    <row r="11" spans="2:16" ht="18" customHeight="1" x14ac:dyDescent="0.25">
      <c r="B11" s="21" t="s">
        <v>0</v>
      </c>
      <c r="C11" s="22" t="s">
        <v>314</v>
      </c>
      <c r="D11" s="22" t="s">
        <v>18</v>
      </c>
      <c r="E11" s="21" t="s">
        <v>2222</v>
      </c>
      <c r="F11" s="23" t="s">
        <v>3</v>
      </c>
      <c r="G11" s="23" t="s">
        <v>4</v>
      </c>
      <c r="H11" s="21" t="str">
        <f t="shared" si="0"/>
        <v>AWO_04_PA2/APPLIED-WATER</v>
      </c>
      <c r="I11" s="24" t="s">
        <v>2223</v>
      </c>
      <c r="J11" s="10" t="str">
        <f>VLOOKUP(Table1[[#This Row],[UID]],CS3SVComposerConfig!$B$3:$D$1808,3,FALSE)</f>
        <v>CS3L2015V0Hydro_SV.dss</v>
      </c>
      <c r="K11" s="10" t="s">
        <v>2212</v>
      </c>
      <c r="L11" s="10" t="s">
        <v>2212</v>
      </c>
      <c r="M11" s="10" t="s">
        <v>2224</v>
      </c>
      <c r="N11" s="10" t="s">
        <v>2225</v>
      </c>
      <c r="O11" s="10" t="s">
        <v>2226</v>
      </c>
      <c r="P11" s="39" t="s">
        <v>2227</v>
      </c>
    </row>
    <row r="12" spans="2:16" ht="18" customHeight="1" x14ac:dyDescent="0.25">
      <c r="B12" s="21" t="s">
        <v>0</v>
      </c>
      <c r="C12" s="22" t="s">
        <v>315</v>
      </c>
      <c r="D12" s="22" t="s">
        <v>18</v>
      </c>
      <c r="E12" s="21" t="s">
        <v>2222</v>
      </c>
      <c r="F12" s="23" t="s">
        <v>3</v>
      </c>
      <c r="G12" s="23" t="s">
        <v>4</v>
      </c>
      <c r="H12" s="21" t="str">
        <f t="shared" si="0"/>
        <v>AWO_05_NA/APPLIED-WATER</v>
      </c>
      <c r="I12" s="24" t="s">
        <v>2223</v>
      </c>
      <c r="J12" s="10" t="str">
        <f>VLOOKUP(Table1[[#This Row],[UID]],CS3SVComposerConfig!$B$3:$D$1808,3,FALSE)</f>
        <v>CS3L2015V0Hydro_SV.dss</v>
      </c>
      <c r="K12" s="10" t="s">
        <v>2212</v>
      </c>
      <c r="L12" s="10" t="s">
        <v>2212</v>
      </c>
      <c r="M12" s="10" t="s">
        <v>2224</v>
      </c>
      <c r="N12" s="10" t="s">
        <v>2225</v>
      </c>
      <c r="O12" s="10" t="s">
        <v>2226</v>
      </c>
      <c r="P12" s="39" t="s">
        <v>2227</v>
      </c>
    </row>
    <row r="13" spans="2:16" ht="18" customHeight="1" x14ac:dyDescent="0.25">
      <c r="B13" s="21" t="s">
        <v>0</v>
      </c>
      <c r="C13" s="22" t="s">
        <v>316</v>
      </c>
      <c r="D13" s="22" t="s">
        <v>18</v>
      </c>
      <c r="E13" s="21" t="s">
        <v>2222</v>
      </c>
      <c r="F13" s="23" t="s">
        <v>3</v>
      </c>
      <c r="G13" s="23" t="s">
        <v>4</v>
      </c>
      <c r="H13" s="21" t="str">
        <f t="shared" si="0"/>
        <v>AWO_06_NA/APPLIED-WATER</v>
      </c>
      <c r="I13" s="24" t="s">
        <v>2223</v>
      </c>
      <c r="J13" s="10" t="str">
        <f>VLOOKUP(Table1[[#This Row],[UID]],CS3SVComposerConfig!$B$3:$D$1808,3,FALSE)</f>
        <v>CS3L2015V0Hydro_SV.dss</v>
      </c>
      <c r="K13" s="10" t="s">
        <v>2212</v>
      </c>
      <c r="L13" s="10" t="s">
        <v>2212</v>
      </c>
      <c r="M13" s="10" t="s">
        <v>2224</v>
      </c>
      <c r="N13" s="10" t="s">
        <v>2225</v>
      </c>
      <c r="O13" s="10" t="s">
        <v>2226</v>
      </c>
      <c r="P13" s="39" t="s">
        <v>2227</v>
      </c>
    </row>
    <row r="14" spans="2:16" ht="18" customHeight="1" x14ac:dyDescent="0.25">
      <c r="B14" s="21" t="s">
        <v>0</v>
      </c>
      <c r="C14" s="22" t="s">
        <v>317</v>
      </c>
      <c r="D14" s="22" t="s">
        <v>18</v>
      </c>
      <c r="E14" s="21" t="s">
        <v>2222</v>
      </c>
      <c r="F14" s="23" t="s">
        <v>3</v>
      </c>
      <c r="G14" s="23" t="s">
        <v>4</v>
      </c>
      <c r="H14" s="21" t="str">
        <f t="shared" si="0"/>
        <v>AWO_06_PA/APPLIED-WATER</v>
      </c>
      <c r="I14" s="24" t="s">
        <v>2223</v>
      </c>
      <c r="J14" s="10" t="str">
        <f>VLOOKUP(Table1[[#This Row],[UID]],CS3SVComposerConfig!$B$3:$D$1808,3,FALSE)</f>
        <v>CS3L2015V0Hydro_SV.dss</v>
      </c>
      <c r="K14" s="10" t="s">
        <v>2212</v>
      </c>
      <c r="L14" s="10" t="s">
        <v>2212</v>
      </c>
      <c r="M14" s="10" t="s">
        <v>2224</v>
      </c>
      <c r="N14" s="10" t="s">
        <v>2225</v>
      </c>
      <c r="O14" s="10" t="s">
        <v>2226</v>
      </c>
      <c r="P14" s="39" t="s">
        <v>2227</v>
      </c>
    </row>
    <row r="15" spans="2:16" ht="18" customHeight="1" x14ac:dyDescent="0.25">
      <c r="B15" s="21" t="s">
        <v>0</v>
      </c>
      <c r="C15" s="22" t="s">
        <v>318</v>
      </c>
      <c r="D15" s="22" t="s">
        <v>18</v>
      </c>
      <c r="E15" s="21" t="s">
        <v>2222</v>
      </c>
      <c r="F15" s="23" t="s">
        <v>3</v>
      </c>
      <c r="G15" s="23" t="s">
        <v>4</v>
      </c>
      <c r="H15" s="21" t="str">
        <f t="shared" si="0"/>
        <v>AWO_07N_NA/APPLIED-WATER</v>
      </c>
      <c r="I15" s="24" t="s">
        <v>2223</v>
      </c>
      <c r="J15" s="10" t="str">
        <f>VLOOKUP(Table1[[#This Row],[UID]],CS3SVComposerConfig!$B$3:$D$1808,3,FALSE)</f>
        <v>CS3L2015V0Hydro_SV.dss</v>
      </c>
      <c r="K15" s="10" t="s">
        <v>2212</v>
      </c>
      <c r="L15" s="10" t="s">
        <v>2212</v>
      </c>
      <c r="M15" s="10" t="s">
        <v>2224</v>
      </c>
      <c r="N15" s="10" t="s">
        <v>2225</v>
      </c>
      <c r="O15" s="10" t="s">
        <v>2226</v>
      </c>
      <c r="P15" s="39" t="s">
        <v>2227</v>
      </c>
    </row>
    <row r="16" spans="2:16" ht="18" customHeight="1" x14ac:dyDescent="0.25">
      <c r="B16" s="21" t="s">
        <v>0</v>
      </c>
      <c r="C16" s="22" t="s">
        <v>319</v>
      </c>
      <c r="D16" s="22" t="s">
        <v>18</v>
      </c>
      <c r="E16" s="21" t="s">
        <v>2222</v>
      </c>
      <c r="F16" s="23" t="s">
        <v>3</v>
      </c>
      <c r="G16" s="23" t="s">
        <v>4</v>
      </c>
      <c r="H16" s="21" t="str">
        <f t="shared" si="0"/>
        <v>AWO_07N_PA/APPLIED-WATER</v>
      </c>
      <c r="I16" s="24" t="s">
        <v>2223</v>
      </c>
      <c r="J16" s="10" t="str">
        <f>VLOOKUP(Table1[[#This Row],[UID]],CS3SVComposerConfig!$B$3:$D$1808,3,FALSE)</f>
        <v>CS3L2015V0Hydro_SV.dss</v>
      </c>
      <c r="K16" s="10" t="s">
        <v>2212</v>
      </c>
      <c r="L16" s="10" t="s">
        <v>2212</v>
      </c>
      <c r="M16" s="10" t="s">
        <v>2224</v>
      </c>
      <c r="N16" s="10" t="s">
        <v>2225</v>
      </c>
      <c r="O16" s="10" t="s">
        <v>2226</v>
      </c>
      <c r="P16" s="39" t="s">
        <v>2227</v>
      </c>
    </row>
    <row r="17" spans="2:16" ht="18" customHeight="1" x14ac:dyDescent="0.25">
      <c r="B17" s="21" t="s">
        <v>0</v>
      </c>
      <c r="C17" s="22" t="s">
        <v>320</v>
      </c>
      <c r="D17" s="22" t="s">
        <v>18</v>
      </c>
      <c r="E17" s="21" t="s">
        <v>2222</v>
      </c>
      <c r="F17" s="23" t="s">
        <v>3</v>
      </c>
      <c r="G17" s="23" t="s">
        <v>4</v>
      </c>
      <c r="H17" s="21" t="str">
        <f t="shared" si="0"/>
        <v>AWO_07S_NA/APPLIED-WATER</v>
      </c>
      <c r="I17" s="24" t="s">
        <v>2223</v>
      </c>
      <c r="J17" s="10" t="str">
        <f>VLOOKUP(Table1[[#This Row],[UID]],CS3SVComposerConfig!$B$3:$D$1808,3,FALSE)</f>
        <v>CS3L2015V0Hydro_SV.dss</v>
      </c>
      <c r="K17" s="10" t="s">
        <v>2212</v>
      </c>
      <c r="L17" s="10" t="s">
        <v>2212</v>
      </c>
      <c r="M17" s="10" t="s">
        <v>2224</v>
      </c>
      <c r="N17" s="10" t="s">
        <v>2225</v>
      </c>
      <c r="O17" s="10" t="s">
        <v>2226</v>
      </c>
      <c r="P17" s="39" t="s">
        <v>2227</v>
      </c>
    </row>
    <row r="18" spans="2:16" ht="18" customHeight="1" x14ac:dyDescent="0.25">
      <c r="B18" s="21" t="s">
        <v>0</v>
      </c>
      <c r="C18" s="22" t="s">
        <v>321</v>
      </c>
      <c r="D18" s="22" t="s">
        <v>18</v>
      </c>
      <c r="E18" s="21" t="s">
        <v>2222</v>
      </c>
      <c r="F18" s="23" t="s">
        <v>3</v>
      </c>
      <c r="G18" s="23" t="s">
        <v>4</v>
      </c>
      <c r="H18" s="21" t="str">
        <f t="shared" si="0"/>
        <v>AWO_07S_PA/APPLIED-WATER</v>
      </c>
      <c r="I18" s="24" t="s">
        <v>2223</v>
      </c>
      <c r="J18" s="10" t="str">
        <f>VLOOKUP(Table1[[#This Row],[UID]],CS3SVComposerConfig!$B$3:$D$1808,3,FALSE)</f>
        <v>CS3L2015V0Hydro_SV.dss</v>
      </c>
      <c r="K18" s="10" t="s">
        <v>2212</v>
      </c>
      <c r="L18" s="10" t="s">
        <v>2212</v>
      </c>
      <c r="M18" s="10" t="s">
        <v>2224</v>
      </c>
      <c r="N18" s="10" t="s">
        <v>2225</v>
      </c>
      <c r="O18" s="10" t="s">
        <v>2226</v>
      </c>
      <c r="P18" s="39" t="s">
        <v>2227</v>
      </c>
    </row>
    <row r="19" spans="2:16" ht="18" customHeight="1" x14ac:dyDescent="0.25">
      <c r="B19" s="21" t="s">
        <v>0</v>
      </c>
      <c r="C19" s="22" t="s">
        <v>322</v>
      </c>
      <c r="D19" s="22" t="s">
        <v>18</v>
      </c>
      <c r="E19" s="21" t="s">
        <v>2222</v>
      </c>
      <c r="F19" s="23" t="s">
        <v>3</v>
      </c>
      <c r="G19" s="23" t="s">
        <v>4</v>
      </c>
      <c r="H19" s="21" t="str">
        <f t="shared" si="0"/>
        <v>AWO_08N_NA/APPLIED-WATER</v>
      </c>
      <c r="I19" s="24" t="s">
        <v>2223</v>
      </c>
      <c r="J19" s="10" t="str">
        <f>VLOOKUP(Table1[[#This Row],[UID]],CS3SVComposerConfig!$B$3:$D$1808,3,FALSE)</f>
        <v>CS3L2015V0Hydro_SV.dss</v>
      </c>
      <c r="K19" s="10" t="s">
        <v>2212</v>
      </c>
      <c r="L19" s="10" t="s">
        <v>2212</v>
      </c>
      <c r="M19" s="10" t="s">
        <v>2224</v>
      </c>
      <c r="N19" s="10" t="s">
        <v>2225</v>
      </c>
      <c r="O19" s="10" t="s">
        <v>2226</v>
      </c>
      <c r="P19" s="39" t="s">
        <v>2227</v>
      </c>
    </row>
    <row r="20" spans="2:16" ht="18" customHeight="1" x14ac:dyDescent="0.25">
      <c r="B20" s="21" t="s">
        <v>0</v>
      </c>
      <c r="C20" s="22" t="s">
        <v>323</v>
      </c>
      <c r="D20" s="22" t="s">
        <v>18</v>
      </c>
      <c r="E20" s="21" t="s">
        <v>2222</v>
      </c>
      <c r="F20" s="23" t="s">
        <v>3</v>
      </c>
      <c r="G20" s="23" t="s">
        <v>4</v>
      </c>
      <c r="H20" s="21" t="str">
        <f t="shared" si="0"/>
        <v>AWO_08N_PA/APPLIED-WATER</v>
      </c>
      <c r="I20" s="24" t="s">
        <v>2223</v>
      </c>
      <c r="J20" s="10" t="str">
        <f>VLOOKUP(Table1[[#This Row],[UID]],CS3SVComposerConfig!$B$3:$D$1808,3,FALSE)</f>
        <v>CS3L2015V0Hydro_SV.dss</v>
      </c>
      <c r="K20" s="10" t="s">
        <v>2212</v>
      </c>
      <c r="L20" s="10" t="s">
        <v>2212</v>
      </c>
      <c r="M20" s="10" t="s">
        <v>2224</v>
      </c>
      <c r="N20" s="10" t="s">
        <v>2225</v>
      </c>
      <c r="O20" s="10" t="s">
        <v>2226</v>
      </c>
      <c r="P20" s="39" t="s">
        <v>2227</v>
      </c>
    </row>
    <row r="21" spans="2:16" ht="18" customHeight="1" x14ac:dyDescent="0.25">
      <c r="B21" s="21" t="s">
        <v>0</v>
      </c>
      <c r="C21" s="22" t="s">
        <v>324</v>
      </c>
      <c r="D21" s="22" t="s">
        <v>18</v>
      </c>
      <c r="E21" s="21" t="s">
        <v>2222</v>
      </c>
      <c r="F21" s="23" t="s">
        <v>3</v>
      </c>
      <c r="G21" s="23" t="s">
        <v>4</v>
      </c>
      <c r="H21" s="21" t="str">
        <f t="shared" si="0"/>
        <v>AWO_08N_PR1/APPLIED-WATER</v>
      </c>
      <c r="I21" s="24" t="s">
        <v>2223</v>
      </c>
      <c r="J21" s="10" t="str">
        <f>VLOOKUP(Table1[[#This Row],[UID]],CS3SVComposerConfig!$B$3:$D$1808,3,FALSE)</f>
        <v>CS3L2015V0Hydro_SV.dss</v>
      </c>
      <c r="K21" s="10" t="s">
        <v>2212</v>
      </c>
      <c r="L21" s="10" t="s">
        <v>2212</v>
      </c>
      <c r="M21" s="10" t="s">
        <v>2224</v>
      </c>
      <c r="N21" s="10" t="s">
        <v>2225</v>
      </c>
      <c r="O21" s="10" t="s">
        <v>2226</v>
      </c>
      <c r="P21" s="39" t="s">
        <v>2227</v>
      </c>
    </row>
    <row r="22" spans="2:16" ht="18" customHeight="1" x14ac:dyDescent="0.25">
      <c r="B22" s="21" t="s">
        <v>0</v>
      </c>
      <c r="C22" s="22" t="s">
        <v>325</v>
      </c>
      <c r="D22" s="22" t="s">
        <v>18</v>
      </c>
      <c r="E22" s="21" t="s">
        <v>2222</v>
      </c>
      <c r="F22" s="23" t="s">
        <v>3</v>
      </c>
      <c r="G22" s="23" t="s">
        <v>4</v>
      </c>
      <c r="H22" s="21" t="str">
        <f t="shared" si="0"/>
        <v>AWO_08N_PR2/APPLIED-WATER</v>
      </c>
      <c r="I22" s="24" t="s">
        <v>2223</v>
      </c>
      <c r="J22" s="10" t="str">
        <f>VLOOKUP(Table1[[#This Row],[UID]],CS3SVComposerConfig!$B$3:$D$1808,3,FALSE)</f>
        <v>CS3L2015V0Hydro_SV.dss</v>
      </c>
      <c r="K22" s="10" t="s">
        <v>2212</v>
      </c>
      <c r="L22" s="10" t="s">
        <v>2212</v>
      </c>
      <c r="M22" s="10" t="s">
        <v>2224</v>
      </c>
      <c r="N22" s="10" t="s">
        <v>2225</v>
      </c>
      <c r="O22" s="10" t="s">
        <v>2226</v>
      </c>
      <c r="P22" s="39" t="s">
        <v>2227</v>
      </c>
    </row>
    <row r="23" spans="2:16" ht="18" customHeight="1" x14ac:dyDescent="0.25">
      <c r="B23" s="21" t="s">
        <v>0</v>
      </c>
      <c r="C23" s="22" t="s">
        <v>326</v>
      </c>
      <c r="D23" s="22" t="s">
        <v>18</v>
      </c>
      <c r="E23" s="21" t="s">
        <v>2222</v>
      </c>
      <c r="F23" s="23" t="s">
        <v>3</v>
      </c>
      <c r="G23" s="23" t="s">
        <v>4</v>
      </c>
      <c r="H23" s="21" t="str">
        <f t="shared" si="0"/>
        <v>AWO_08N_SA1/APPLIED-WATER</v>
      </c>
      <c r="I23" s="24" t="s">
        <v>2223</v>
      </c>
      <c r="J23" s="10" t="str">
        <f>VLOOKUP(Table1[[#This Row],[UID]],CS3SVComposerConfig!$B$3:$D$1808,3,FALSE)</f>
        <v>CS3L2015V0Hydro_SV.dss</v>
      </c>
      <c r="K23" s="10" t="s">
        <v>2212</v>
      </c>
      <c r="L23" s="10" t="s">
        <v>2212</v>
      </c>
      <c r="M23" s="10" t="s">
        <v>2224</v>
      </c>
      <c r="N23" s="10" t="s">
        <v>2225</v>
      </c>
      <c r="O23" s="10" t="s">
        <v>2226</v>
      </c>
      <c r="P23" s="39" t="s">
        <v>2227</v>
      </c>
    </row>
    <row r="24" spans="2:16" ht="18" customHeight="1" x14ac:dyDescent="0.25">
      <c r="B24" s="21" t="s">
        <v>0</v>
      </c>
      <c r="C24" s="22" t="s">
        <v>327</v>
      </c>
      <c r="D24" s="22" t="s">
        <v>18</v>
      </c>
      <c r="E24" s="21" t="s">
        <v>2222</v>
      </c>
      <c r="F24" s="23" t="s">
        <v>3</v>
      </c>
      <c r="G24" s="23" t="s">
        <v>4</v>
      </c>
      <c r="H24" s="21" t="str">
        <f t="shared" si="0"/>
        <v>AWO_08N_SA2/APPLIED-WATER</v>
      </c>
      <c r="I24" s="24" t="s">
        <v>2223</v>
      </c>
      <c r="J24" s="10" t="str">
        <f>VLOOKUP(Table1[[#This Row],[UID]],CS3SVComposerConfig!$B$3:$D$1808,3,FALSE)</f>
        <v>CS3L2015V0Hydro_SV.dss</v>
      </c>
      <c r="K24" s="10" t="s">
        <v>2212</v>
      </c>
      <c r="L24" s="10" t="s">
        <v>2212</v>
      </c>
      <c r="M24" s="10" t="s">
        <v>2224</v>
      </c>
      <c r="N24" s="10" t="s">
        <v>2225</v>
      </c>
      <c r="O24" s="10" t="s">
        <v>2226</v>
      </c>
      <c r="P24" s="39" t="s">
        <v>2227</v>
      </c>
    </row>
    <row r="25" spans="2:16" ht="18" customHeight="1" x14ac:dyDescent="0.25">
      <c r="B25" s="21" t="s">
        <v>0</v>
      </c>
      <c r="C25" s="22" t="s">
        <v>328</v>
      </c>
      <c r="D25" s="22" t="s">
        <v>18</v>
      </c>
      <c r="E25" s="21" t="s">
        <v>2222</v>
      </c>
      <c r="F25" s="23" t="s">
        <v>3</v>
      </c>
      <c r="G25" s="23" t="s">
        <v>4</v>
      </c>
      <c r="H25" s="21" t="str">
        <f t="shared" si="0"/>
        <v>AWO_08S_NA1/APPLIED-WATER</v>
      </c>
      <c r="I25" s="24" t="s">
        <v>2223</v>
      </c>
      <c r="J25" s="10" t="str">
        <f>VLOOKUP(Table1[[#This Row],[UID]],CS3SVComposerConfig!$B$3:$D$1808,3,FALSE)</f>
        <v>CS3L2015V0Hydro_SV.dss</v>
      </c>
      <c r="K25" s="10" t="s">
        <v>2212</v>
      </c>
      <c r="L25" s="10" t="s">
        <v>2212</v>
      </c>
      <c r="M25" s="10" t="s">
        <v>2224</v>
      </c>
      <c r="N25" s="10" t="s">
        <v>2225</v>
      </c>
      <c r="O25" s="10" t="s">
        <v>2226</v>
      </c>
      <c r="P25" s="39" t="s">
        <v>2227</v>
      </c>
    </row>
    <row r="26" spans="2:16" ht="18" customHeight="1" x14ac:dyDescent="0.25">
      <c r="B26" s="21" t="s">
        <v>0</v>
      </c>
      <c r="C26" s="22" t="s">
        <v>329</v>
      </c>
      <c r="D26" s="22" t="s">
        <v>18</v>
      </c>
      <c r="E26" s="21" t="s">
        <v>2222</v>
      </c>
      <c r="F26" s="23" t="s">
        <v>3</v>
      </c>
      <c r="G26" s="23" t="s">
        <v>4</v>
      </c>
      <c r="H26" s="21" t="str">
        <f t="shared" si="0"/>
        <v>AWO_08S_NA2/APPLIED-WATER</v>
      </c>
      <c r="I26" s="24" t="s">
        <v>2223</v>
      </c>
      <c r="J26" s="10" t="str">
        <f>VLOOKUP(Table1[[#This Row],[UID]],CS3SVComposerConfig!$B$3:$D$1808,3,FALSE)</f>
        <v>CS3L2015V0Hydro_SV.dss</v>
      </c>
      <c r="K26" s="10" t="s">
        <v>2212</v>
      </c>
      <c r="L26" s="10" t="s">
        <v>2212</v>
      </c>
      <c r="M26" s="10" t="s">
        <v>2224</v>
      </c>
      <c r="N26" s="10" t="s">
        <v>2225</v>
      </c>
      <c r="O26" s="10" t="s">
        <v>2226</v>
      </c>
      <c r="P26" s="39" t="s">
        <v>2227</v>
      </c>
    </row>
    <row r="27" spans="2:16" ht="18" customHeight="1" x14ac:dyDescent="0.25">
      <c r="B27" s="21" t="s">
        <v>0</v>
      </c>
      <c r="C27" s="22" t="s">
        <v>330</v>
      </c>
      <c r="D27" s="22" t="s">
        <v>18</v>
      </c>
      <c r="E27" s="21" t="s">
        <v>2222</v>
      </c>
      <c r="F27" s="23" t="s">
        <v>3</v>
      </c>
      <c r="G27" s="23" t="s">
        <v>4</v>
      </c>
      <c r="H27" s="21" t="str">
        <f t="shared" si="0"/>
        <v>AWO_08S_PA/APPLIED-WATER</v>
      </c>
      <c r="I27" s="24" t="s">
        <v>2223</v>
      </c>
      <c r="J27" s="10" t="str">
        <f>VLOOKUP(Table1[[#This Row],[UID]],CS3SVComposerConfig!$B$3:$D$1808,3,FALSE)</f>
        <v>CS3L2015V0Hydro_SV.dss</v>
      </c>
      <c r="K27" s="10" t="s">
        <v>2212</v>
      </c>
      <c r="L27" s="10" t="s">
        <v>2212</v>
      </c>
      <c r="M27" s="10" t="s">
        <v>2224</v>
      </c>
      <c r="N27" s="10" t="s">
        <v>2225</v>
      </c>
      <c r="O27" s="10" t="s">
        <v>2226</v>
      </c>
      <c r="P27" s="39" t="s">
        <v>2227</v>
      </c>
    </row>
    <row r="28" spans="2:16" ht="18" customHeight="1" x14ac:dyDescent="0.25">
      <c r="B28" s="21" t="s">
        <v>0</v>
      </c>
      <c r="C28" s="22" t="s">
        <v>331</v>
      </c>
      <c r="D28" s="22" t="s">
        <v>18</v>
      </c>
      <c r="E28" s="21" t="s">
        <v>2222</v>
      </c>
      <c r="F28" s="23" t="s">
        <v>3</v>
      </c>
      <c r="G28" s="23" t="s">
        <v>4</v>
      </c>
      <c r="H28" s="21" t="str">
        <f t="shared" si="0"/>
        <v>AWO_08S_PR/APPLIED-WATER</v>
      </c>
      <c r="I28" s="24" t="s">
        <v>2223</v>
      </c>
      <c r="J28" s="10" t="str">
        <f>VLOOKUP(Table1[[#This Row],[UID]],CS3SVComposerConfig!$B$3:$D$1808,3,FALSE)</f>
        <v>CS3L2015V0Hydro_SV.dss</v>
      </c>
      <c r="K28" s="10" t="s">
        <v>2212</v>
      </c>
      <c r="L28" s="10" t="s">
        <v>2212</v>
      </c>
      <c r="M28" s="10" t="s">
        <v>2224</v>
      </c>
      <c r="N28" s="10" t="s">
        <v>2225</v>
      </c>
      <c r="O28" s="10" t="s">
        <v>2226</v>
      </c>
      <c r="P28" s="39" t="s">
        <v>2227</v>
      </c>
    </row>
    <row r="29" spans="2:16" ht="18" customHeight="1" x14ac:dyDescent="0.25">
      <c r="B29" s="21" t="s">
        <v>0</v>
      </c>
      <c r="C29" s="22" t="s">
        <v>332</v>
      </c>
      <c r="D29" s="22" t="s">
        <v>18</v>
      </c>
      <c r="E29" s="21" t="s">
        <v>2222</v>
      </c>
      <c r="F29" s="23" t="s">
        <v>3</v>
      </c>
      <c r="G29" s="23" t="s">
        <v>4</v>
      </c>
      <c r="H29" s="21" t="str">
        <f t="shared" si="0"/>
        <v>AWO_08S_SA1/APPLIED-WATER</v>
      </c>
      <c r="I29" s="24" t="s">
        <v>2223</v>
      </c>
      <c r="J29" s="10" t="str">
        <f>VLOOKUP(Table1[[#This Row],[UID]],CS3SVComposerConfig!$B$3:$D$1808,3,FALSE)</f>
        <v>CS3L2015V0Hydro_SV.dss</v>
      </c>
      <c r="K29" s="10" t="s">
        <v>2212</v>
      </c>
      <c r="L29" s="10" t="s">
        <v>2212</v>
      </c>
      <c r="M29" s="10" t="s">
        <v>2224</v>
      </c>
      <c r="N29" s="10" t="s">
        <v>2225</v>
      </c>
      <c r="O29" s="10" t="s">
        <v>2226</v>
      </c>
      <c r="P29" s="39" t="s">
        <v>2227</v>
      </c>
    </row>
    <row r="30" spans="2:16" ht="18" customHeight="1" x14ac:dyDescent="0.25">
      <c r="B30" s="21" t="s">
        <v>0</v>
      </c>
      <c r="C30" s="22" t="s">
        <v>333</v>
      </c>
      <c r="D30" s="22" t="s">
        <v>18</v>
      </c>
      <c r="E30" s="21" t="s">
        <v>2222</v>
      </c>
      <c r="F30" s="23" t="s">
        <v>3</v>
      </c>
      <c r="G30" s="23" t="s">
        <v>4</v>
      </c>
      <c r="H30" s="21" t="str">
        <f t="shared" si="0"/>
        <v>AWO_08S_SA2/APPLIED-WATER</v>
      </c>
      <c r="I30" s="24" t="s">
        <v>2223</v>
      </c>
      <c r="J30" s="10" t="str">
        <f>VLOOKUP(Table1[[#This Row],[UID]],CS3SVComposerConfig!$B$3:$D$1808,3,FALSE)</f>
        <v>CS3L2015V0Hydro_SV.dss</v>
      </c>
      <c r="K30" s="10" t="s">
        <v>2212</v>
      </c>
      <c r="L30" s="10" t="s">
        <v>2212</v>
      </c>
      <c r="M30" s="10" t="s">
        <v>2224</v>
      </c>
      <c r="N30" s="10" t="s">
        <v>2225</v>
      </c>
      <c r="O30" s="10" t="s">
        <v>2226</v>
      </c>
      <c r="P30" s="39" t="s">
        <v>2227</v>
      </c>
    </row>
    <row r="31" spans="2:16" ht="18" customHeight="1" x14ac:dyDescent="0.25">
      <c r="B31" s="21" t="s">
        <v>0</v>
      </c>
      <c r="C31" s="22" t="s">
        <v>334</v>
      </c>
      <c r="D31" s="22" t="s">
        <v>18</v>
      </c>
      <c r="E31" s="21" t="s">
        <v>2222</v>
      </c>
      <c r="F31" s="23" t="s">
        <v>3</v>
      </c>
      <c r="G31" s="23" t="s">
        <v>4</v>
      </c>
      <c r="H31" s="21" t="str">
        <f t="shared" si="0"/>
        <v>AWO_08S_SA3/APPLIED-WATER</v>
      </c>
      <c r="I31" s="24" t="s">
        <v>2223</v>
      </c>
      <c r="J31" s="10" t="str">
        <f>VLOOKUP(Table1[[#This Row],[UID]],CS3SVComposerConfig!$B$3:$D$1808,3,FALSE)</f>
        <v>CS3L2015V0Hydro_SV.dss</v>
      </c>
      <c r="K31" s="10" t="s">
        <v>2212</v>
      </c>
      <c r="L31" s="10" t="s">
        <v>2212</v>
      </c>
      <c r="M31" s="10" t="s">
        <v>2224</v>
      </c>
      <c r="N31" s="10" t="s">
        <v>2225</v>
      </c>
      <c r="O31" s="10" t="s">
        <v>2226</v>
      </c>
      <c r="P31" s="39" t="s">
        <v>2227</v>
      </c>
    </row>
    <row r="32" spans="2:16" ht="18" customHeight="1" x14ac:dyDescent="0.25">
      <c r="B32" s="21" t="s">
        <v>0</v>
      </c>
      <c r="C32" s="22" t="s">
        <v>335</v>
      </c>
      <c r="D32" s="22" t="s">
        <v>18</v>
      </c>
      <c r="E32" s="21" t="s">
        <v>2222</v>
      </c>
      <c r="F32" s="23" t="s">
        <v>3</v>
      </c>
      <c r="G32" s="23" t="s">
        <v>4</v>
      </c>
      <c r="H32" s="21" t="str">
        <f t="shared" si="0"/>
        <v>AWO_09_NA/APPLIED-WATER</v>
      </c>
      <c r="I32" s="24" t="s">
        <v>2223</v>
      </c>
      <c r="J32" s="10" t="str">
        <f>VLOOKUP(Table1[[#This Row],[UID]],CS3SVComposerConfig!$B$3:$D$1808,3,FALSE)</f>
        <v>CS3L2015V0Hydro_SV.dss</v>
      </c>
      <c r="K32" s="10" t="s">
        <v>2212</v>
      </c>
      <c r="L32" s="10" t="s">
        <v>2212</v>
      </c>
      <c r="M32" s="10" t="s">
        <v>2224</v>
      </c>
      <c r="N32" s="10" t="s">
        <v>2225</v>
      </c>
      <c r="O32" s="10" t="s">
        <v>2226</v>
      </c>
      <c r="P32" s="39" t="s">
        <v>2227</v>
      </c>
    </row>
    <row r="33" spans="2:16" ht="18" customHeight="1" x14ac:dyDescent="0.25">
      <c r="B33" s="21" t="s">
        <v>0</v>
      </c>
      <c r="C33" s="22" t="s">
        <v>336</v>
      </c>
      <c r="D33" s="22" t="s">
        <v>18</v>
      </c>
      <c r="E33" s="21" t="s">
        <v>2222</v>
      </c>
      <c r="F33" s="23" t="s">
        <v>3</v>
      </c>
      <c r="G33" s="23" t="s">
        <v>4</v>
      </c>
      <c r="H33" s="21" t="str">
        <f t="shared" si="0"/>
        <v>AWO_09_PR/APPLIED-WATER</v>
      </c>
      <c r="I33" s="24" t="s">
        <v>2223</v>
      </c>
      <c r="J33" s="10" t="str">
        <f>VLOOKUP(Table1[[#This Row],[UID]],CS3SVComposerConfig!$B$3:$D$1808,3,FALSE)</f>
        <v>CS3L2015V0Hydro_SV.dss</v>
      </c>
      <c r="K33" s="10" t="s">
        <v>2212</v>
      </c>
      <c r="L33" s="10" t="s">
        <v>2212</v>
      </c>
      <c r="M33" s="10" t="s">
        <v>2224</v>
      </c>
      <c r="N33" s="10" t="s">
        <v>2225</v>
      </c>
      <c r="O33" s="10" t="s">
        <v>2226</v>
      </c>
      <c r="P33" s="39" t="s">
        <v>2227</v>
      </c>
    </row>
    <row r="34" spans="2:16" ht="18" customHeight="1" x14ac:dyDescent="0.25">
      <c r="B34" s="21" t="s">
        <v>0</v>
      </c>
      <c r="C34" s="22" t="s">
        <v>337</v>
      </c>
      <c r="D34" s="22" t="s">
        <v>18</v>
      </c>
      <c r="E34" s="21" t="s">
        <v>2222</v>
      </c>
      <c r="F34" s="23" t="s">
        <v>3</v>
      </c>
      <c r="G34" s="23" t="s">
        <v>4</v>
      </c>
      <c r="H34" s="21" t="str">
        <f t="shared" si="0"/>
        <v>AWO_09_SA1/APPLIED-WATER</v>
      </c>
      <c r="I34" s="24" t="s">
        <v>2223</v>
      </c>
      <c r="J34" s="10" t="str">
        <f>VLOOKUP(Table1[[#This Row],[UID]],CS3SVComposerConfig!$B$3:$D$1808,3,FALSE)</f>
        <v>CS3L2015V0Hydro_SV.dss</v>
      </c>
      <c r="K34" s="10" t="s">
        <v>2212</v>
      </c>
      <c r="L34" s="10" t="s">
        <v>2212</v>
      </c>
      <c r="M34" s="10" t="s">
        <v>2224</v>
      </c>
      <c r="N34" s="10" t="s">
        <v>2225</v>
      </c>
      <c r="O34" s="10" t="s">
        <v>2226</v>
      </c>
      <c r="P34" s="39" t="s">
        <v>2227</v>
      </c>
    </row>
    <row r="35" spans="2:16" ht="18" customHeight="1" x14ac:dyDescent="0.25">
      <c r="B35" s="21" t="s">
        <v>0</v>
      </c>
      <c r="C35" s="22" t="s">
        <v>338</v>
      </c>
      <c r="D35" s="22" t="s">
        <v>18</v>
      </c>
      <c r="E35" s="21" t="s">
        <v>2222</v>
      </c>
      <c r="F35" s="23" t="s">
        <v>3</v>
      </c>
      <c r="G35" s="23" t="s">
        <v>4</v>
      </c>
      <c r="H35" s="21" t="str">
        <f t="shared" si="0"/>
        <v>AWO_09_SA2/APPLIED-WATER</v>
      </c>
      <c r="I35" s="24" t="s">
        <v>2223</v>
      </c>
      <c r="J35" s="10" t="str">
        <f>VLOOKUP(Table1[[#This Row],[UID]],CS3SVComposerConfig!$B$3:$D$1808,3,FALSE)</f>
        <v>CS3L2015V0Hydro_SV.dss</v>
      </c>
      <c r="K35" s="10" t="s">
        <v>2212</v>
      </c>
      <c r="L35" s="10" t="s">
        <v>2212</v>
      </c>
      <c r="M35" s="10" t="s">
        <v>2224</v>
      </c>
      <c r="N35" s="10" t="s">
        <v>2225</v>
      </c>
      <c r="O35" s="10" t="s">
        <v>2226</v>
      </c>
      <c r="P35" s="39" t="s">
        <v>2227</v>
      </c>
    </row>
    <row r="36" spans="2:16" ht="18" customHeight="1" x14ac:dyDescent="0.25">
      <c r="B36" s="21" t="s">
        <v>0</v>
      </c>
      <c r="C36" s="22" t="s">
        <v>339</v>
      </c>
      <c r="D36" s="22" t="s">
        <v>18</v>
      </c>
      <c r="E36" s="21" t="s">
        <v>2222</v>
      </c>
      <c r="F36" s="23" t="s">
        <v>3</v>
      </c>
      <c r="G36" s="23" t="s">
        <v>4</v>
      </c>
      <c r="H36" s="21" t="str">
        <f t="shared" si="0"/>
        <v>AWO_10_NA/APPLIED-WATER</v>
      </c>
      <c r="I36" s="24" t="s">
        <v>2223</v>
      </c>
      <c r="J36" s="10" t="str">
        <f>VLOOKUP(Table1[[#This Row],[UID]],CS3SVComposerConfig!$B$3:$D$1808,3,FALSE)</f>
        <v>CS3L2015V0Hydro_SV.dss</v>
      </c>
      <c r="K36" s="10" t="s">
        <v>2212</v>
      </c>
      <c r="L36" s="10" t="s">
        <v>2212</v>
      </c>
      <c r="M36" s="10" t="s">
        <v>2224</v>
      </c>
      <c r="N36" s="10" t="s">
        <v>2225</v>
      </c>
      <c r="O36" s="10" t="s">
        <v>2226</v>
      </c>
      <c r="P36" s="39" t="s">
        <v>2227</v>
      </c>
    </row>
    <row r="37" spans="2:16" ht="18" customHeight="1" x14ac:dyDescent="0.25">
      <c r="B37" s="21" t="s">
        <v>0</v>
      </c>
      <c r="C37" s="22" t="s">
        <v>340</v>
      </c>
      <c r="D37" s="22" t="s">
        <v>18</v>
      </c>
      <c r="E37" s="21" t="s">
        <v>2222</v>
      </c>
      <c r="F37" s="23" t="s">
        <v>3</v>
      </c>
      <c r="G37" s="23" t="s">
        <v>4</v>
      </c>
      <c r="H37" s="21" t="str">
        <f t="shared" si="0"/>
        <v>AWO_11_NA/APPLIED-WATER</v>
      </c>
      <c r="I37" s="24" t="s">
        <v>2223</v>
      </c>
      <c r="J37" s="10" t="str">
        <f>VLOOKUP(Table1[[#This Row],[UID]],CS3SVComposerConfig!$B$3:$D$1808,3,FALSE)</f>
        <v>CS3L2015V0Hydro_SV.dss</v>
      </c>
      <c r="K37" s="10" t="s">
        <v>2212</v>
      </c>
      <c r="L37" s="10" t="s">
        <v>2212</v>
      </c>
      <c r="M37" s="10" t="s">
        <v>2224</v>
      </c>
      <c r="N37" s="10" t="s">
        <v>2225</v>
      </c>
      <c r="O37" s="10" t="s">
        <v>2226</v>
      </c>
      <c r="P37" s="39" t="s">
        <v>2227</v>
      </c>
    </row>
    <row r="38" spans="2:16" ht="18" customHeight="1" x14ac:dyDescent="0.25">
      <c r="B38" s="21" t="s">
        <v>0</v>
      </c>
      <c r="C38" s="22" t="s">
        <v>341</v>
      </c>
      <c r="D38" s="22" t="s">
        <v>18</v>
      </c>
      <c r="E38" s="21" t="s">
        <v>2222</v>
      </c>
      <c r="F38" s="23" t="s">
        <v>3</v>
      </c>
      <c r="G38" s="23" t="s">
        <v>4</v>
      </c>
      <c r="H38" s="21" t="str">
        <f t="shared" si="0"/>
        <v>AWO_11_PR/APPLIED-WATER</v>
      </c>
      <c r="I38" s="24" t="s">
        <v>2223</v>
      </c>
      <c r="J38" s="10" t="str">
        <f>VLOOKUP(Table1[[#This Row],[UID]],CS3SVComposerConfig!$B$3:$D$1808,3,FALSE)</f>
        <v>CS3L2015V0Hydro_SV.dss</v>
      </c>
      <c r="K38" s="10" t="s">
        <v>2212</v>
      </c>
      <c r="L38" s="10" t="s">
        <v>2212</v>
      </c>
      <c r="M38" s="10" t="s">
        <v>2224</v>
      </c>
      <c r="N38" s="10" t="s">
        <v>2225</v>
      </c>
      <c r="O38" s="10" t="s">
        <v>2226</v>
      </c>
      <c r="P38" s="39" t="s">
        <v>2227</v>
      </c>
    </row>
    <row r="39" spans="2:16" ht="18" customHeight="1" x14ac:dyDescent="0.25">
      <c r="B39" s="21" t="s">
        <v>0</v>
      </c>
      <c r="C39" s="22" t="s">
        <v>342</v>
      </c>
      <c r="D39" s="22" t="s">
        <v>18</v>
      </c>
      <c r="E39" s="21" t="s">
        <v>2222</v>
      </c>
      <c r="F39" s="23" t="s">
        <v>3</v>
      </c>
      <c r="G39" s="23" t="s">
        <v>4</v>
      </c>
      <c r="H39" s="21" t="str">
        <f t="shared" si="0"/>
        <v>AWO_11_SA1/APPLIED-WATER</v>
      </c>
      <c r="I39" s="24" t="s">
        <v>2223</v>
      </c>
      <c r="J39" s="10" t="str">
        <f>VLOOKUP(Table1[[#This Row],[UID]],CS3SVComposerConfig!$B$3:$D$1808,3,FALSE)</f>
        <v>CS3L2015V0Hydro_SV.dss</v>
      </c>
      <c r="K39" s="10" t="s">
        <v>2212</v>
      </c>
      <c r="L39" s="10" t="s">
        <v>2212</v>
      </c>
      <c r="M39" s="10" t="s">
        <v>2224</v>
      </c>
      <c r="N39" s="10" t="s">
        <v>2225</v>
      </c>
      <c r="O39" s="10" t="s">
        <v>2226</v>
      </c>
      <c r="P39" s="39" t="s">
        <v>2227</v>
      </c>
    </row>
    <row r="40" spans="2:16" ht="18" customHeight="1" x14ac:dyDescent="0.25">
      <c r="B40" s="21" t="s">
        <v>0</v>
      </c>
      <c r="C40" s="22" t="s">
        <v>343</v>
      </c>
      <c r="D40" s="22" t="s">
        <v>18</v>
      </c>
      <c r="E40" s="21" t="s">
        <v>2222</v>
      </c>
      <c r="F40" s="23" t="s">
        <v>3</v>
      </c>
      <c r="G40" s="23" t="s">
        <v>4</v>
      </c>
      <c r="H40" s="21" t="str">
        <f t="shared" si="0"/>
        <v>AWO_11_SA2/APPLIED-WATER</v>
      </c>
      <c r="I40" s="24" t="s">
        <v>2223</v>
      </c>
      <c r="J40" s="10" t="str">
        <f>VLOOKUP(Table1[[#This Row],[UID]],CS3SVComposerConfig!$B$3:$D$1808,3,FALSE)</f>
        <v>CS3L2015V0Hydro_SV.dss</v>
      </c>
      <c r="K40" s="10" t="s">
        <v>2212</v>
      </c>
      <c r="L40" s="10" t="s">
        <v>2212</v>
      </c>
      <c r="M40" s="10" t="s">
        <v>2224</v>
      </c>
      <c r="N40" s="10" t="s">
        <v>2225</v>
      </c>
      <c r="O40" s="10" t="s">
        <v>2226</v>
      </c>
      <c r="P40" s="39" t="s">
        <v>2227</v>
      </c>
    </row>
    <row r="41" spans="2:16" ht="18" customHeight="1" x14ac:dyDescent="0.25">
      <c r="B41" s="21" t="s">
        <v>0</v>
      </c>
      <c r="C41" s="22" t="s">
        <v>344</v>
      </c>
      <c r="D41" s="22" t="s">
        <v>18</v>
      </c>
      <c r="E41" s="21" t="s">
        <v>2222</v>
      </c>
      <c r="F41" s="23" t="s">
        <v>3</v>
      </c>
      <c r="G41" s="23" t="s">
        <v>4</v>
      </c>
      <c r="H41" s="21" t="str">
        <f t="shared" si="0"/>
        <v>AWO_11_SA3/APPLIED-WATER</v>
      </c>
      <c r="I41" s="24" t="s">
        <v>2223</v>
      </c>
      <c r="J41" s="10" t="str">
        <f>VLOOKUP(Table1[[#This Row],[UID]],CS3SVComposerConfig!$B$3:$D$1808,3,FALSE)</f>
        <v>CS3L2015V0Hydro_SV.dss</v>
      </c>
      <c r="K41" s="10" t="s">
        <v>2212</v>
      </c>
      <c r="L41" s="10" t="s">
        <v>2212</v>
      </c>
      <c r="M41" s="10" t="s">
        <v>2224</v>
      </c>
      <c r="N41" s="10" t="s">
        <v>2225</v>
      </c>
      <c r="O41" s="10" t="s">
        <v>2226</v>
      </c>
      <c r="P41" s="39" t="s">
        <v>2227</v>
      </c>
    </row>
    <row r="42" spans="2:16" ht="18" customHeight="1" x14ac:dyDescent="0.25">
      <c r="B42" s="21" t="s">
        <v>0</v>
      </c>
      <c r="C42" s="22" t="s">
        <v>345</v>
      </c>
      <c r="D42" s="22" t="s">
        <v>18</v>
      </c>
      <c r="E42" s="21" t="s">
        <v>2222</v>
      </c>
      <c r="F42" s="23" t="s">
        <v>3</v>
      </c>
      <c r="G42" s="23" t="s">
        <v>4</v>
      </c>
      <c r="H42" s="21" t="str">
        <f t="shared" si="0"/>
        <v>AWO_11_SA4/APPLIED-WATER</v>
      </c>
      <c r="I42" s="24" t="s">
        <v>2223</v>
      </c>
      <c r="J42" s="10" t="str">
        <f>VLOOKUP(Table1[[#This Row],[UID]],CS3SVComposerConfig!$B$3:$D$1808,3,FALSE)</f>
        <v>CS3L2015V0Hydro_SV.dss</v>
      </c>
      <c r="K42" s="10" t="s">
        <v>2212</v>
      </c>
      <c r="L42" s="10" t="s">
        <v>2212</v>
      </c>
      <c r="M42" s="10" t="s">
        <v>2224</v>
      </c>
      <c r="N42" s="10" t="s">
        <v>2225</v>
      </c>
      <c r="O42" s="10" t="s">
        <v>2226</v>
      </c>
      <c r="P42" s="39" t="s">
        <v>2227</v>
      </c>
    </row>
    <row r="43" spans="2:16" ht="18" customHeight="1" x14ac:dyDescent="0.25">
      <c r="B43" s="21" t="s">
        <v>0</v>
      </c>
      <c r="C43" s="22" t="s">
        <v>346</v>
      </c>
      <c r="D43" s="22" t="s">
        <v>18</v>
      </c>
      <c r="E43" s="21" t="s">
        <v>2222</v>
      </c>
      <c r="F43" s="23" t="s">
        <v>3</v>
      </c>
      <c r="G43" s="23" t="s">
        <v>4</v>
      </c>
      <c r="H43" s="21" t="str">
        <f t="shared" si="0"/>
        <v>AWO_12_NA/APPLIED-WATER</v>
      </c>
      <c r="I43" s="24" t="s">
        <v>2223</v>
      </c>
      <c r="J43" s="10" t="str">
        <f>VLOOKUP(Table1[[#This Row],[UID]],CS3SVComposerConfig!$B$3:$D$1808,3,FALSE)</f>
        <v>CS3L2015V0Hydro_SV.dss</v>
      </c>
      <c r="K43" s="10" t="s">
        <v>2212</v>
      </c>
      <c r="L43" s="10" t="s">
        <v>2212</v>
      </c>
      <c r="M43" s="10" t="s">
        <v>2224</v>
      </c>
      <c r="N43" s="10" t="s">
        <v>2225</v>
      </c>
      <c r="O43" s="10" t="s">
        <v>2226</v>
      </c>
      <c r="P43" s="39" t="s">
        <v>2227</v>
      </c>
    </row>
    <row r="44" spans="2:16" ht="18" customHeight="1" x14ac:dyDescent="0.25">
      <c r="B44" s="21" t="s">
        <v>0</v>
      </c>
      <c r="C44" s="22" t="s">
        <v>347</v>
      </c>
      <c r="D44" s="22" t="s">
        <v>18</v>
      </c>
      <c r="E44" s="21" t="s">
        <v>2222</v>
      </c>
      <c r="F44" s="23" t="s">
        <v>3</v>
      </c>
      <c r="G44" s="23" t="s">
        <v>4</v>
      </c>
      <c r="H44" s="21" t="str">
        <f t="shared" si="0"/>
        <v>AWO_12_SA/APPLIED-WATER</v>
      </c>
      <c r="I44" s="24" t="s">
        <v>2223</v>
      </c>
      <c r="J44" s="10" t="str">
        <f>VLOOKUP(Table1[[#This Row],[UID]],CS3SVComposerConfig!$B$3:$D$1808,3,FALSE)</f>
        <v>CS3L2015V0Hydro_SV.dss</v>
      </c>
      <c r="K44" s="10" t="s">
        <v>2212</v>
      </c>
      <c r="L44" s="10" t="s">
        <v>2212</v>
      </c>
      <c r="M44" s="10" t="s">
        <v>2224</v>
      </c>
      <c r="N44" s="10" t="s">
        <v>2225</v>
      </c>
      <c r="O44" s="10" t="s">
        <v>2226</v>
      </c>
      <c r="P44" s="39" t="s">
        <v>2227</v>
      </c>
    </row>
    <row r="45" spans="2:16" ht="18" customHeight="1" x14ac:dyDescent="0.25">
      <c r="B45" s="21" t="s">
        <v>0</v>
      </c>
      <c r="C45" s="22" t="s">
        <v>348</v>
      </c>
      <c r="D45" s="22" t="s">
        <v>18</v>
      </c>
      <c r="E45" s="21" t="s">
        <v>2222</v>
      </c>
      <c r="F45" s="23" t="s">
        <v>3</v>
      </c>
      <c r="G45" s="23" t="s">
        <v>4</v>
      </c>
      <c r="H45" s="21" t="str">
        <f t="shared" si="0"/>
        <v>AWO_13_NA/APPLIED-WATER</v>
      </c>
      <c r="I45" s="24" t="s">
        <v>2223</v>
      </c>
      <c r="J45" s="10" t="str">
        <f>VLOOKUP(Table1[[#This Row],[UID]],CS3SVComposerConfig!$B$3:$D$1808,3,FALSE)</f>
        <v>CS3L2015V0Hydro_SV.dss</v>
      </c>
      <c r="K45" s="10" t="s">
        <v>2212</v>
      </c>
      <c r="L45" s="10" t="s">
        <v>2212</v>
      </c>
      <c r="M45" s="10" t="s">
        <v>2224</v>
      </c>
      <c r="N45" s="10" t="s">
        <v>2225</v>
      </c>
      <c r="O45" s="10" t="s">
        <v>2226</v>
      </c>
      <c r="P45" s="39" t="s">
        <v>2227</v>
      </c>
    </row>
    <row r="46" spans="2:16" ht="18" customHeight="1" x14ac:dyDescent="0.25">
      <c r="B46" s="21" t="s">
        <v>0</v>
      </c>
      <c r="C46" s="22" t="s">
        <v>349</v>
      </c>
      <c r="D46" s="22" t="s">
        <v>18</v>
      </c>
      <c r="E46" s="21" t="s">
        <v>2222</v>
      </c>
      <c r="F46" s="23" t="s">
        <v>3</v>
      </c>
      <c r="G46" s="23" t="s">
        <v>4</v>
      </c>
      <c r="H46" s="21" t="str">
        <f t="shared" si="0"/>
        <v>AWO_14_NA/APPLIED-WATER</v>
      </c>
      <c r="I46" s="24" t="s">
        <v>2223</v>
      </c>
      <c r="J46" s="10" t="str">
        <f>VLOOKUP(Table1[[#This Row],[UID]],CS3SVComposerConfig!$B$3:$D$1808,3,FALSE)</f>
        <v>CS3L2015V0Hydro_SV.dss</v>
      </c>
      <c r="K46" s="10" t="s">
        <v>2212</v>
      </c>
      <c r="L46" s="10" t="s">
        <v>2212</v>
      </c>
      <c r="M46" s="10" t="s">
        <v>2224</v>
      </c>
      <c r="N46" s="10" t="s">
        <v>2225</v>
      </c>
      <c r="O46" s="10" t="s">
        <v>2226</v>
      </c>
      <c r="P46" s="39" t="s">
        <v>2227</v>
      </c>
    </row>
    <row r="47" spans="2:16" ht="18" customHeight="1" x14ac:dyDescent="0.25">
      <c r="B47" s="21" t="s">
        <v>0</v>
      </c>
      <c r="C47" s="22" t="s">
        <v>350</v>
      </c>
      <c r="D47" s="22" t="s">
        <v>18</v>
      </c>
      <c r="E47" s="21" t="s">
        <v>2222</v>
      </c>
      <c r="F47" s="23" t="s">
        <v>3</v>
      </c>
      <c r="G47" s="23" t="s">
        <v>4</v>
      </c>
      <c r="H47" s="21" t="str">
        <f t="shared" si="0"/>
        <v>AWO_15N_NA1/APPLIED-WATER</v>
      </c>
      <c r="I47" s="24" t="s">
        <v>2223</v>
      </c>
      <c r="J47" s="10" t="str">
        <f>VLOOKUP(Table1[[#This Row],[UID]],CS3SVComposerConfig!$B$3:$D$1808,3,FALSE)</f>
        <v>CS3L2015V0Hydro_SV.dss</v>
      </c>
      <c r="K47" s="10" t="s">
        <v>2212</v>
      </c>
      <c r="L47" s="10" t="s">
        <v>2212</v>
      </c>
      <c r="M47" s="10" t="s">
        <v>2224</v>
      </c>
      <c r="N47" s="10" t="s">
        <v>2225</v>
      </c>
      <c r="O47" s="10" t="s">
        <v>2226</v>
      </c>
      <c r="P47" s="39" t="s">
        <v>2227</v>
      </c>
    </row>
    <row r="48" spans="2:16" ht="18" customHeight="1" x14ac:dyDescent="0.25">
      <c r="B48" s="21" t="s">
        <v>0</v>
      </c>
      <c r="C48" s="22" t="s">
        <v>351</v>
      </c>
      <c r="D48" s="22" t="s">
        <v>18</v>
      </c>
      <c r="E48" s="21" t="s">
        <v>2222</v>
      </c>
      <c r="F48" s="23" t="s">
        <v>3</v>
      </c>
      <c r="G48" s="23" t="s">
        <v>4</v>
      </c>
      <c r="H48" s="21" t="str">
        <f t="shared" si="0"/>
        <v>AWO_15N_NA2/APPLIED-WATER</v>
      </c>
      <c r="I48" s="24" t="s">
        <v>2223</v>
      </c>
      <c r="J48" s="10" t="str">
        <f>VLOOKUP(Table1[[#This Row],[UID]],CS3SVComposerConfig!$B$3:$D$1808,3,FALSE)</f>
        <v>CS3L2015V0Hydro_SV.dss</v>
      </c>
      <c r="K48" s="10" t="s">
        <v>2212</v>
      </c>
      <c r="L48" s="10" t="s">
        <v>2212</v>
      </c>
      <c r="M48" s="10" t="s">
        <v>2224</v>
      </c>
      <c r="N48" s="10" t="s">
        <v>2225</v>
      </c>
      <c r="O48" s="10" t="s">
        <v>2226</v>
      </c>
      <c r="P48" s="39" t="s">
        <v>2227</v>
      </c>
    </row>
    <row r="49" spans="2:16" ht="18" customHeight="1" x14ac:dyDescent="0.25">
      <c r="B49" s="21" t="s">
        <v>0</v>
      </c>
      <c r="C49" s="22" t="s">
        <v>352</v>
      </c>
      <c r="D49" s="22" t="s">
        <v>18</v>
      </c>
      <c r="E49" s="21" t="s">
        <v>2222</v>
      </c>
      <c r="F49" s="23" t="s">
        <v>3</v>
      </c>
      <c r="G49" s="23" t="s">
        <v>4</v>
      </c>
      <c r="H49" s="21" t="str">
        <f t="shared" si="0"/>
        <v>AWO_15N_SA/APPLIED-WATER</v>
      </c>
      <c r="I49" s="24" t="s">
        <v>2223</v>
      </c>
      <c r="J49" s="10" t="str">
        <f>VLOOKUP(Table1[[#This Row],[UID]],CS3SVComposerConfig!$B$3:$D$1808,3,FALSE)</f>
        <v>CS3L2015V0Hydro_SV.dss</v>
      </c>
      <c r="K49" s="10" t="s">
        <v>2212</v>
      </c>
      <c r="L49" s="10" t="s">
        <v>2212</v>
      </c>
      <c r="M49" s="10" t="s">
        <v>2224</v>
      </c>
      <c r="N49" s="10" t="s">
        <v>2225</v>
      </c>
      <c r="O49" s="10" t="s">
        <v>2226</v>
      </c>
      <c r="P49" s="39" t="s">
        <v>2227</v>
      </c>
    </row>
    <row r="50" spans="2:16" ht="18" customHeight="1" x14ac:dyDescent="0.25">
      <c r="B50" s="21" t="s">
        <v>0</v>
      </c>
      <c r="C50" s="22" t="s">
        <v>353</v>
      </c>
      <c r="D50" s="22" t="s">
        <v>18</v>
      </c>
      <c r="E50" s="21" t="s">
        <v>2222</v>
      </c>
      <c r="F50" s="23" t="s">
        <v>3</v>
      </c>
      <c r="G50" s="23" t="s">
        <v>4</v>
      </c>
      <c r="H50" s="21" t="str">
        <f t="shared" si="0"/>
        <v>AWO_15S_NA1/APPLIED-WATER</v>
      </c>
      <c r="I50" s="24" t="s">
        <v>2223</v>
      </c>
      <c r="J50" s="10" t="str">
        <f>VLOOKUP(Table1[[#This Row],[UID]],CS3SVComposerConfig!$B$3:$D$1808,3,FALSE)</f>
        <v>CS3L2015V0Hydro_SV.dss</v>
      </c>
      <c r="K50" s="10" t="s">
        <v>2212</v>
      </c>
      <c r="L50" s="10" t="s">
        <v>2212</v>
      </c>
      <c r="M50" s="10" t="s">
        <v>2224</v>
      </c>
      <c r="N50" s="10" t="s">
        <v>2225</v>
      </c>
      <c r="O50" s="10" t="s">
        <v>2226</v>
      </c>
      <c r="P50" s="39" t="s">
        <v>2227</v>
      </c>
    </row>
    <row r="51" spans="2:16" ht="18" customHeight="1" x14ac:dyDescent="0.25">
      <c r="B51" s="21" t="s">
        <v>0</v>
      </c>
      <c r="C51" s="22" t="s">
        <v>354</v>
      </c>
      <c r="D51" s="22" t="s">
        <v>18</v>
      </c>
      <c r="E51" s="21" t="s">
        <v>2222</v>
      </c>
      <c r="F51" s="23" t="s">
        <v>3</v>
      </c>
      <c r="G51" s="23" t="s">
        <v>4</v>
      </c>
      <c r="H51" s="21" t="str">
        <f t="shared" si="0"/>
        <v>AWO_15S_NA2/APPLIED-WATER</v>
      </c>
      <c r="I51" s="24" t="s">
        <v>2223</v>
      </c>
      <c r="J51" s="10" t="str">
        <f>VLOOKUP(Table1[[#This Row],[UID]],CS3SVComposerConfig!$B$3:$D$1808,3,FALSE)</f>
        <v>CS3L2015V0Hydro_SV.dss</v>
      </c>
      <c r="K51" s="10" t="s">
        <v>2212</v>
      </c>
      <c r="L51" s="10" t="s">
        <v>2212</v>
      </c>
      <c r="M51" s="10" t="s">
        <v>2224</v>
      </c>
      <c r="N51" s="10" t="s">
        <v>2225</v>
      </c>
      <c r="O51" s="10" t="s">
        <v>2226</v>
      </c>
      <c r="P51" s="39" t="s">
        <v>2227</v>
      </c>
    </row>
    <row r="52" spans="2:16" ht="18" customHeight="1" x14ac:dyDescent="0.25">
      <c r="B52" s="21" t="s">
        <v>0</v>
      </c>
      <c r="C52" s="22" t="s">
        <v>355</v>
      </c>
      <c r="D52" s="22" t="s">
        <v>18</v>
      </c>
      <c r="E52" s="21" t="s">
        <v>2222</v>
      </c>
      <c r="F52" s="23" t="s">
        <v>3</v>
      </c>
      <c r="G52" s="23" t="s">
        <v>4</v>
      </c>
      <c r="H52" s="21" t="str">
        <f t="shared" si="0"/>
        <v>AWO_15S_SA/APPLIED-WATER</v>
      </c>
      <c r="I52" s="24" t="s">
        <v>2223</v>
      </c>
      <c r="J52" s="10" t="str">
        <f>VLOOKUP(Table1[[#This Row],[UID]],CS3SVComposerConfig!$B$3:$D$1808,3,FALSE)</f>
        <v>CS3L2015V0Hydro_SV.dss</v>
      </c>
      <c r="K52" s="10" t="s">
        <v>2212</v>
      </c>
      <c r="L52" s="10" t="s">
        <v>2212</v>
      </c>
      <c r="M52" s="10" t="s">
        <v>2224</v>
      </c>
      <c r="N52" s="10" t="s">
        <v>2225</v>
      </c>
      <c r="O52" s="10" t="s">
        <v>2226</v>
      </c>
      <c r="P52" s="39" t="s">
        <v>2227</v>
      </c>
    </row>
    <row r="53" spans="2:16" ht="18" customHeight="1" x14ac:dyDescent="0.25">
      <c r="B53" s="21" t="s">
        <v>0</v>
      </c>
      <c r="C53" s="22" t="s">
        <v>356</v>
      </c>
      <c r="D53" s="22" t="s">
        <v>18</v>
      </c>
      <c r="E53" s="21" t="s">
        <v>2222</v>
      </c>
      <c r="F53" s="23" t="s">
        <v>3</v>
      </c>
      <c r="G53" s="23" t="s">
        <v>4</v>
      </c>
      <c r="H53" s="21" t="str">
        <f t="shared" si="0"/>
        <v>AWO_16_NA1/APPLIED-WATER</v>
      </c>
      <c r="I53" s="24" t="s">
        <v>2223</v>
      </c>
      <c r="J53" s="10" t="str">
        <f>VLOOKUP(Table1[[#This Row],[UID]],CS3SVComposerConfig!$B$3:$D$1808,3,FALSE)</f>
        <v>CS3L2015V0Hydro_SV.dss</v>
      </c>
      <c r="K53" s="10" t="s">
        <v>2212</v>
      </c>
      <c r="L53" s="10" t="s">
        <v>2212</v>
      </c>
      <c r="M53" s="10" t="s">
        <v>2224</v>
      </c>
      <c r="N53" s="10" t="s">
        <v>2225</v>
      </c>
      <c r="O53" s="10" t="s">
        <v>2226</v>
      </c>
      <c r="P53" s="39" t="s">
        <v>2227</v>
      </c>
    </row>
    <row r="54" spans="2:16" ht="18" customHeight="1" x14ac:dyDescent="0.25">
      <c r="B54" s="21" t="s">
        <v>0</v>
      </c>
      <c r="C54" s="22" t="s">
        <v>357</v>
      </c>
      <c r="D54" s="22" t="s">
        <v>18</v>
      </c>
      <c r="E54" s="21" t="s">
        <v>2222</v>
      </c>
      <c r="F54" s="23" t="s">
        <v>3</v>
      </c>
      <c r="G54" s="23" t="s">
        <v>4</v>
      </c>
      <c r="H54" s="21" t="str">
        <f t="shared" si="0"/>
        <v>AWO_16_NA2/APPLIED-WATER</v>
      </c>
      <c r="I54" s="24" t="s">
        <v>2223</v>
      </c>
      <c r="J54" s="10" t="str">
        <f>VLOOKUP(Table1[[#This Row],[UID]],CS3SVComposerConfig!$B$3:$D$1808,3,FALSE)</f>
        <v>CS3L2015V0Hydro_SV.dss</v>
      </c>
      <c r="K54" s="10" t="s">
        <v>2212</v>
      </c>
      <c r="L54" s="10" t="s">
        <v>2212</v>
      </c>
      <c r="M54" s="10" t="s">
        <v>2224</v>
      </c>
      <c r="N54" s="10" t="s">
        <v>2225</v>
      </c>
      <c r="O54" s="10" t="s">
        <v>2226</v>
      </c>
      <c r="P54" s="39" t="s">
        <v>2227</v>
      </c>
    </row>
    <row r="55" spans="2:16" ht="18" customHeight="1" x14ac:dyDescent="0.25">
      <c r="B55" s="21" t="s">
        <v>0</v>
      </c>
      <c r="C55" s="22" t="s">
        <v>358</v>
      </c>
      <c r="D55" s="22" t="s">
        <v>18</v>
      </c>
      <c r="E55" s="21" t="s">
        <v>2222</v>
      </c>
      <c r="F55" s="23" t="s">
        <v>3</v>
      </c>
      <c r="G55" s="23" t="s">
        <v>4</v>
      </c>
      <c r="H55" s="21" t="str">
        <f t="shared" si="0"/>
        <v>AWO_16_PA/APPLIED-WATER</v>
      </c>
      <c r="I55" s="24" t="s">
        <v>2223</v>
      </c>
      <c r="J55" s="10" t="str">
        <f>VLOOKUP(Table1[[#This Row],[UID]],CS3SVComposerConfig!$B$3:$D$1808,3,FALSE)</f>
        <v>CS3L2015V0Hydro_SV.dss</v>
      </c>
      <c r="K55" s="10" t="s">
        <v>2212</v>
      </c>
      <c r="L55" s="10" t="s">
        <v>2212</v>
      </c>
      <c r="M55" s="10" t="s">
        <v>2224</v>
      </c>
      <c r="N55" s="10" t="s">
        <v>2225</v>
      </c>
      <c r="O55" s="10" t="s">
        <v>2226</v>
      </c>
      <c r="P55" s="39" t="s">
        <v>2227</v>
      </c>
    </row>
    <row r="56" spans="2:16" ht="18" customHeight="1" x14ac:dyDescent="0.25">
      <c r="B56" s="21" t="s">
        <v>0</v>
      </c>
      <c r="C56" s="22" t="s">
        <v>359</v>
      </c>
      <c r="D56" s="22" t="s">
        <v>18</v>
      </c>
      <c r="E56" s="21" t="s">
        <v>2222</v>
      </c>
      <c r="F56" s="23" t="s">
        <v>3</v>
      </c>
      <c r="G56" s="23" t="s">
        <v>4</v>
      </c>
      <c r="H56" s="21" t="str">
        <f t="shared" si="0"/>
        <v>AWO_16_SA/APPLIED-WATER</v>
      </c>
      <c r="I56" s="24" t="s">
        <v>2223</v>
      </c>
      <c r="J56" s="10" t="str">
        <f>VLOOKUP(Table1[[#This Row],[UID]],CS3SVComposerConfig!$B$3:$D$1808,3,FALSE)</f>
        <v>CS3L2015V0Hydro_SV.dss</v>
      </c>
      <c r="K56" s="10" t="s">
        <v>2212</v>
      </c>
      <c r="L56" s="10" t="s">
        <v>2212</v>
      </c>
      <c r="M56" s="10" t="s">
        <v>2224</v>
      </c>
      <c r="N56" s="10" t="s">
        <v>2225</v>
      </c>
      <c r="O56" s="10" t="s">
        <v>2226</v>
      </c>
      <c r="P56" s="39" t="s">
        <v>2227</v>
      </c>
    </row>
    <row r="57" spans="2:16" ht="18" customHeight="1" x14ac:dyDescent="0.25">
      <c r="B57" s="21" t="s">
        <v>0</v>
      </c>
      <c r="C57" s="22" t="s">
        <v>360</v>
      </c>
      <c r="D57" s="22" t="s">
        <v>18</v>
      </c>
      <c r="E57" s="21" t="s">
        <v>2222</v>
      </c>
      <c r="F57" s="23" t="s">
        <v>3</v>
      </c>
      <c r="G57" s="23" t="s">
        <v>4</v>
      </c>
      <c r="H57" s="21" t="str">
        <f t="shared" si="0"/>
        <v>AWO_17N_NA/APPLIED-WATER</v>
      </c>
      <c r="I57" s="24" t="s">
        <v>2223</v>
      </c>
      <c r="J57" s="10" t="str">
        <f>VLOOKUP(Table1[[#This Row],[UID]],CS3SVComposerConfig!$B$3:$D$1808,3,FALSE)</f>
        <v>CS3L2015V0Hydro_SV.dss</v>
      </c>
      <c r="K57" s="10" t="s">
        <v>2212</v>
      </c>
      <c r="L57" s="10" t="s">
        <v>2212</v>
      </c>
      <c r="M57" s="10" t="s">
        <v>2224</v>
      </c>
      <c r="N57" s="10" t="s">
        <v>2225</v>
      </c>
      <c r="O57" s="10" t="s">
        <v>2226</v>
      </c>
      <c r="P57" s="39" t="s">
        <v>2227</v>
      </c>
    </row>
    <row r="58" spans="2:16" ht="18" customHeight="1" x14ac:dyDescent="0.25">
      <c r="B58" s="21" t="s">
        <v>0</v>
      </c>
      <c r="C58" s="22" t="s">
        <v>361</v>
      </c>
      <c r="D58" s="22" t="s">
        <v>18</v>
      </c>
      <c r="E58" s="21" t="s">
        <v>2222</v>
      </c>
      <c r="F58" s="23" t="s">
        <v>3</v>
      </c>
      <c r="G58" s="23" t="s">
        <v>4</v>
      </c>
      <c r="H58" s="21" t="str">
        <f t="shared" si="0"/>
        <v>AWO_17N_NR/APPLIED-WATER</v>
      </c>
      <c r="I58" s="24" t="s">
        <v>2223</v>
      </c>
      <c r="J58" s="10" t="str">
        <f>VLOOKUP(Table1[[#This Row],[UID]],CS3SVComposerConfig!$B$3:$D$1808,3,FALSE)</f>
        <v>CS3L2015V0Hydro_SV.dss</v>
      </c>
      <c r="K58" s="10" t="s">
        <v>2212</v>
      </c>
      <c r="L58" s="10" t="s">
        <v>2212</v>
      </c>
      <c r="M58" s="10" t="s">
        <v>2224</v>
      </c>
      <c r="N58" s="10" t="s">
        <v>2225</v>
      </c>
      <c r="O58" s="10" t="s">
        <v>2226</v>
      </c>
      <c r="P58" s="39" t="s">
        <v>2227</v>
      </c>
    </row>
    <row r="59" spans="2:16" ht="18" customHeight="1" x14ac:dyDescent="0.25">
      <c r="B59" s="21" t="s">
        <v>0</v>
      </c>
      <c r="C59" s="22" t="s">
        <v>362</v>
      </c>
      <c r="D59" s="22" t="s">
        <v>18</v>
      </c>
      <c r="E59" s="21" t="s">
        <v>2222</v>
      </c>
      <c r="F59" s="23" t="s">
        <v>3</v>
      </c>
      <c r="G59" s="23" t="s">
        <v>4</v>
      </c>
      <c r="H59" s="21" t="str">
        <f t="shared" si="0"/>
        <v>AWO_17N_PR/APPLIED-WATER</v>
      </c>
      <c r="I59" s="24" t="s">
        <v>2223</v>
      </c>
      <c r="J59" s="10" t="str">
        <f>VLOOKUP(Table1[[#This Row],[UID]],CS3SVComposerConfig!$B$3:$D$1808,3,FALSE)</f>
        <v>CS3L2015V0Hydro_SV.dss</v>
      </c>
      <c r="K59" s="10" t="s">
        <v>2212</v>
      </c>
      <c r="L59" s="10" t="s">
        <v>2212</v>
      </c>
      <c r="M59" s="10" t="s">
        <v>2224</v>
      </c>
      <c r="N59" s="10" t="s">
        <v>2225</v>
      </c>
      <c r="O59" s="10" t="s">
        <v>2226</v>
      </c>
      <c r="P59" s="39" t="s">
        <v>2227</v>
      </c>
    </row>
    <row r="60" spans="2:16" ht="18" customHeight="1" x14ac:dyDescent="0.25">
      <c r="B60" s="21" t="s">
        <v>0</v>
      </c>
      <c r="C60" s="22" t="s">
        <v>363</v>
      </c>
      <c r="D60" s="22" t="s">
        <v>18</v>
      </c>
      <c r="E60" s="21" t="s">
        <v>2222</v>
      </c>
      <c r="F60" s="23" t="s">
        <v>3</v>
      </c>
      <c r="G60" s="23" t="s">
        <v>4</v>
      </c>
      <c r="H60" s="21" t="str">
        <f t="shared" si="0"/>
        <v>AWO_17S_NA/APPLIED-WATER</v>
      </c>
      <c r="I60" s="24" t="s">
        <v>2223</v>
      </c>
      <c r="J60" s="10" t="str">
        <f>VLOOKUP(Table1[[#This Row],[UID]],CS3SVComposerConfig!$B$3:$D$1808,3,FALSE)</f>
        <v>CS3L2015V0Hydro_SV.dss</v>
      </c>
      <c r="K60" s="10" t="s">
        <v>2212</v>
      </c>
      <c r="L60" s="10" t="s">
        <v>2212</v>
      </c>
      <c r="M60" s="10" t="s">
        <v>2224</v>
      </c>
      <c r="N60" s="10" t="s">
        <v>2225</v>
      </c>
      <c r="O60" s="10" t="s">
        <v>2226</v>
      </c>
      <c r="P60" s="39" t="s">
        <v>2227</v>
      </c>
    </row>
    <row r="61" spans="2:16" ht="18" customHeight="1" x14ac:dyDescent="0.25">
      <c r="B61" s="21" t="s">
        <v>0</v>
      </c>
      <c r="C61" s="22" t="s">
        <v>364</v>
      </c>
      <c r="D61" s="22" t="s">
        <v>18</v>
      </c>
      <c r="E61" s="21" t="s">
        <v>2222</v>
      </c>
      <c r="F61" s="23" t="s">
        <v>3</v>
      </c>
      <c r="G61" s="23" t="s">
        <v>4</v>
      </c>
      <c r="H61" s="21" t="str">
        <f t="shared" si="0"/>
        <v>AWO_17S_PR/APPLIED-WATER</v>
      </c>
      <c r="I61" s="24" t="s">
        <v>2223</v>
      </c>
      <c r="J61" s="10" t="str">
        <f>VLOOKUP(Table1[[#This Row],[UID]],CS3SVComposerConfig!$B$3:$D$1808,3,FALSE)</f>
        <v>CS3L2015V0Hydro_SV.dss</v>
      </c>
      <c r="K61" s="10" t="s">
        <v>2212</v>
      </c>
      <c r="L61" s="10" t="s">
        <v>2224</v>
      </c>
      <c r="M61" s="10" t="s">
        <v>2224</v>
      </c>
      <c r="N61" s="10" t="s">
        <v>2225</v>
      </c>
      <c r="O61" s="10" t="s">
        <v>2226</v>
      </c>
      <c r="P61" s="39" t="s">
        <v>2227</v>
      </c>
    </row>
    <row r="62" spans="2:16" ht="18" customHeight="1" x14ac:dyDescent="0.25">
      <c r="B62" s="21" t="s">
        <v>0</v>
      </c>
      <c r="C62" s="22" t="s">
        <v>365</v>
      </c>
      <c r="D62" s="22" t="s">
        <v>18</v>
      </c>
      <c r="E62" s="21" t="s">
        <v>2222</v>
      </c>
      <c r="F62" s="23" t="s">
        <v>3</v>
      </c>
      <c r="G62" s="23" t="s">
        <v>4</v>
      </c>
      <c r="H62" s="21" t="str">
        <f t="shared" si="0"/>
        <v>AWO_17S_SA/APPLIED-WATER</v>
      </c>
      <c r="I62" s="24" t="s">
        <v>2223</v>
      </c>
      <c r="J62" s="10" t="str">
        <f>VLOOKUP(Table1[[#This Row],[UID]],CS3SVComposerConfig!$B$3:$D$1808,3,FALSE)</f>
        <v>CS3L2015V0Hydro_SV.dss</v>
      </c>
      <c r="K62" s="10" t="s">
        <v>2212</v>
      </c>
      <c r="L62" s="10" t="s">
        <v>2212</v>
      </c>
      <c r="M62" s="10" t="s">
        <v>2224</v>
      </c>
      <c r="N62" s="10" t="s">
        <v>2225</v>
      </c>
      <c r="O62" s="10" t="s">
        <v>2226</v>
      </c>
      <c r="P62" s="39" t="s">
        <v>2227</v>
      </c>
    </row>
    <row r="63" spans="2:16" ht="18" customHeight="1" x14ac:dyDescent="0.25">
      <c r="B63" s="21" t="s">
        <v>0</v>
      </c>
      <c r="C63" s="22" t="s">
        <v>366</v>
      </c>
      <c r="D63" s="22" t="s">
        <v>18</v>
      </c>
      <c r="E63" s="21" t="s">
        <v>2222</v>
      </c>
      <c r="F63" s="23" t="s">
        <v>3</v>
      </c>
      <c r="G63" s="23" t="s">
        <v>4</v>
      </c>
      <c r="H63" s="21" t="str">
        <f t="shared" si="0"/>
        <v>AWO_18_NA/APPLIED-WATER</v>
      </c>
      <c r="I63" s="24" t="s">
        <v>2223</v>
      </c>
      <c r="J63" s="10" t="str">
        <f>VLOOKUP(Table1[[#This Row],[UID]],CS3SVComposerConfig!$B$3:$D$1808,3,FALSE)</f>
        <v>CS3L2015V0Hydro_SV.dss</v>
      </c>
      <c r="K63" s="10" t="s">
        <v>2212</v>
      </c>
      <c r="L63" s="10" t="s">
        <v>2212</v>
      </c>
      <c r="M63" s="10" t="s">
        <v>2224</v>
      </c>
      <c r="N63" s="10" t="s">
        <v>2225</v>
      </c>
      <c r="O63" s="10" t="s">
        <v>2226</v>
      </c>
      <c r="P63" s="39" t="s">
        <v>2227</v>
      </c>
    </row>
    <row r="64" spans="2:16" ht="18" customHeight="1" x14ac:dyDescent="0.25">
      <c r="B64" s="21" t="s">
        <v>0</v>
      </c>
      <c r="C64" s="22" t="s">
        <v>367</v>
      </c>
      <c r="D64" s="22" t="s">
        <v>18</v>
      </c>
      <c r="E64" s="21" t="s">
        <v>2222</v>
      </c>
      <c r="F64" s="23" t="s">
        <v>3</v>
      </c>
      <c r="G64" s="23" t="s">
        <v>4</v>
      </c>
      <c r="H64" s="21" t="str">
        <f t="shared" si="0"/>
        <v>AWO_18_SA/APPLIED-WATER</v>
      </c>
      <c r="I64" s="24" t="s">
        <v>2223</v>
      </c>
      <c r="J64" s="10" t="str">
        <f>VLOOKUP(Table1[[#This Row],[UID]],CS3SVComposerConfig!$B$3:$D$1808,3,FALSE)</f>
        <v>CS3L2015V0Hydro_SV.dss</v>
      </c>
      <c r="K64" s="10" t="s">
        <v>2212</v>
      </c>
      <c r="L64" s="10" t="s">
        <v>2212</v>
      </c>
      <c r="M64" s="10" t="s">
        <v>2224</v>
      </c>
      <c r="N64" s="10" t="s">
        <v>2225</v>
      </c>
      <c r="O64" s="10" t="s">
        <v>2226</v>
      </c>
      <c r="P64" s="39" t="s">
        <v>2227</v>
      </c>
    </row>
    <row r="65" spans="2:16" ht="18" customHeight="1" x14ac:dyDescent="0.25">
      <c r="B65" s="21" t="s">
        <v>0</v>
      </c>
      <c r="C65" s="22" t="s">
        <v>368</v>
      </c>
      <c r="D65" s="22" t="s">
        <v>18</v>
      </c>
      <c r="E65" s="21" t="s">
        <v>2222</v>
      </c>
      <c r="F65" s="23" t="s">
        <v>3</v>
      </c>
      <c r="G65" s="23" t="s">
        <v>4</v>
      </c>
      <c r="H65" s="21" t="str">
        <f t="shared" si="0"/>
        <v>AWO_19_SA/APPLIED-WATER</v>
      </c>
      <c r="I65" s="24" t="s">
        <v>2223</v>
      </c>
      <c r="J65" s="10" t="str">
        <f>VLOOKUP(Table1[[#This Row],[UID]],CS3SVComposerConfig!$B$3:$D$1808,3,FALSE)</f>
        <v>CS3L2015V0Hydro_SV.dss</v>
      </c>
      <c r="K65" s="10" t="s">
        <v>2212</v>
      </c>
      <c r="L65" s="10" t="s">
        <v>2212</v>
      </c>
      <c r="M65" s="10" t="s">
        <v>2224</v>
      </c>
      <c r="N65" s="10" t="s">
        <v>2225</v>
      </c>
      <c r="O65" s="10" t="s">
        <v>2226</v>
      </c>
      <c r="P65" s="39" t="s">
        <v>2227</v>
      </c>
    </row>
    <row r="66" spans="2:16" ht="18" customHeight="1" x14ac:dyDescent="0.25">
      <c r="B66" s="21" t="s">
        <v>0</v>
      </c>
      <c r="C66" s="22" t="s">
        <v>369</v>
      </c>
      <c r="D66" s="22" t="s">
        <v>18</v>
      </c>
      <c r="E66" s="21" t="s">
        <v>2222</v>
      </c>
      <c r="F66" s="23" t="s">
        <v>3</v>
      </c>
      <c r="G66" s="23" t="s">
        <v>4</v>
      </c>
      <c r="H66" s="21" t="str">
        <f t="shared" si="0"/>
        <v>AWO_20_NA1/APPLIED-WATER</v>
      </c>
      <c r="I66" s="24" t="s">
        <v>2223</v>
      </c>
      <c r="J66" s="10" t="str">
        <f>VLOOKUP(Table1[[#This Row],[UID]],CS3SVComposerConfig!$B$3:$D$1808,3,FALSE)</f>
        <v>CS3L2015V0Hydro_SV.dss</v>
      </c>
      <c r="K66" s="10" t="s">
        <v>2212</v>
      </c>
      <c r="L66" s="10" t="s">
        <v>2212</v>
      </c>
      <c r="M66" s="10" t="s">
        <v>2224</v>
      </c>
      <c r="N66" s="10" t="s">
        <v>2225</v>
      </c>
      <c r="O66" s="10" t="s">
        <v>2226</v>
      </c>
      <c r="P66" s="39" t="s">
        <v>2227</v>
      </c>
    </row>
    <row r="67" spans="2:16" ht="18" customHeight="1" x14ac:dyDescent="0.25">
      <c r="B67" s="21" t="s">
        <v>0</v>
      </c>
      <c r="C67" s="22" t="s">
        <v>370</v>
      </c>
      <c r="D67" s="22" t="s">
        <v>18</v>
      </c>
      <c r="E67" s="21" t="s">
        <v>2222</v>
      </c>
      <c r="F67" s="23" t="s">
        <v>3</v>
      </c>
      <c r="G67" s="23" t="s">
        <v>4</v>
      </c>
      <c r="H67" s="21" t="str">
        <f t="shared" ref="H67:H130" si="1">_xlfn.CONCAT(C67,"/",D67)</f>
        <v>AWO_20_NA2/APPLIED-WATER</v>
      </c>
      <c r="I67" s="24" t="s">
        <v>2223</v>
      </c>
      <c r="J67" s="10" t="str">
        <f>VLOOKUP(Table1[[#This Row],[UID]],CS3SVComposerConfig!$B$3:$D$1808,3,FALSE)</f>
        <v>CS3L2015V0Hydro_SV.dss</v>
      </c>
      <c r="K67" s="10" t="s">
        <v>2212</v>
      </c>
      <c r="L67" s="10" t="s">
        <v>2212</v>
      </c>
      <c r="M67" s="10" t="s">
        <v>2224</v>
      </c>
      <c r="N67" s="10" t="s">
        <v>2225</v>
      </c>
      <c r="O67" s="10" t="s">
        <v>2226</v>
      </c>
      <c r="P67" s="39" t="s">
        <v>2227</v>
      </c>
    </row>
    <row r="68" spans="2:16" ht="18" customHeight="1" x14ac:dyDescent="0.25">
      <c r="B68" s="21" t="s">
        <v>0</v>
      </c>
      <c r="C68" s="22" t="s">
        <v>371</v>
      </c>
      <c r="D68" s="22" t="s">
        <v>18</v>
      </c>
      <c r="E68" s="21" t="s">
        <v>2222</v>
      </c>
      <c r="F68" s="23" t="s">
        <v>3</v>
      </c>
      <c r="G68" s="23" t="s">
        <v>4</v>
      </c>
      <c r="H68" s="21" t="str">
        <f t="shared" si="1"/>
        <v>AWO_20_PA/APPLIED-WATER</v>
      </c>
      <c r="I68" s="24" t="s">
        <v>2223</v>
      </c>
      <c r="J68" s="10" t="str">
        <f>VLOOKUP(Table1[[#This Row],[UID]],CS3SVComposerConfig!$B$3:$D$1808,3,FALSE)</f>
        <v>CS3L2015V0Hydro_SV.dss</v>
      </c>
      <c r="K68" s="10" t="s">
        <v>2212</v>
      </c>
      <c r="L68" s="10" t="s">
        <v>2212</v>
      </c>
      <c r="M68" s="10" t="s">
        <v>2224</v>
      </c>
      <c r="N68" s="10" t="s">
        <v>2225</v>
      </c>
      <c r="O68" s="10" t="s">
        <v>2226</v>
      </c>
      <c r="P68" s="39" t="s">
        <v>2227</v>
      </c>
    </row>
    <row r="69" spans="2:16" ht="18" customHeight="1" x14ac:dyDescent="0.25">
      <c r="B69" s="21" t="s">
        <v>0</v>
      </c>
      <c r="C69" s="22" t="s">
        <v>372</v>
      </c>
      <c r="D69" s="22" t="s">
        <v>18</v>
      </c>
      <c r="E69" s="21" t="s">
        <v>2222</v>
      </c>
      <c r="F69" s="23" t="s">
        <v>3</v>
      </c>
      <c r="G69" s="23" t="s">
        <v>4</v>
      </c>
      <c r="H69" s="21" t="str">
        <f t="shared" si="1"/>
        <v>AWO_21_NA/APPLIED-WATER</v>
      </c>
      <c r="I69" s="24" t="s">
        <v>2223</v>
      </c>
      <c r="J69" s="10" t="str">
        <f>VLOOKUP(Table1[[#This Row],[UID]],CS3SVComposerConfig!$B$3:$D$1808,3,FALSE)</f>
        <v>CS3L2015V0Hydro_SV.dss</v>
      </c>
      <c r="K69" s="10" t="s">
        <v>2212</v>
      </c>
      <c r="L69" s="10" t="s">
        <v>2212</v>
      </c>
      <c r="M69" s="10" t="s">
        <v>2224</v>
      </c>
      <c r="N69" s="10" t="s">
        <v>2225</v>
      </c>
      <c r="O69" s="10" t="s">
        <v>2226</v>
      </c>
      <c r="P69" s="39" t="s">
        <v>2227</v>
      </c>
    </row>
    <row r="70" spans="2:16" ht="18" customHeight="1" x14ac:dyDescent="0.25">
      <c r="B70" s="21" t="s">
        <v>0</v>
      </c>
      <c r="C70" s="22" t="s">
        <v>373</v>
      </c>
      <c r="D70" s="22" t="s">
        <v>18</v>
      </c>
      <c r="E70" s="21" t="s">
        <v>2222</v>
      </c>
      <c r="F70" s="23" t="s">
        <v>3</v>
      </c>
      <c r="G70" s="23" t="s">
        <v>4</v>
      </c>
      <c r="H70" s="21" t="str">
        <f t="shared" si="1"/>
        <v>AWO_21_PA/APPLIED-WATER</v>
      </c>
      <c r="I70" s="24" t="s">
        <v>2223</v>
      </c>
      <c r="J70" s="10" t="str">
        <f>VLOOKUP(Table1[[#This Row],[UID]],CS3SVComposerConfig!$B$3:$D$1808,3,FALSE)</f>
        <v>CS3L2015V0Hydro_SV.dss</v>
      </c>
      <c r="K70" s="10" t="s">
        <v>2212</v>
      </c>
      <c r="L70" s="10" t="s">
        <v>2212</v>
      </c>
      <c r="M70" s="10" t="s">
        <v>2224</v>
      </c>
      <c r="N70" s="10" t="s">
        <v>2225</v>
      </c>
      <c r="O70" s="10" t="s">
        <v>2226</v>
      </c>
      <c r="P70" s="39" t="s">
        <v>2227</v>
      </c>
    </row>
    <row r="71" spans="2:16" ht="18" customHeight="1" x14ac:dyDescent="0.25">
      <c r="B71" s="21" t="s">
        <v>0</v>
      </c>
      <c r="C71" s="22" t="s">
        <v>374</v>
      </c>
      <c r="D71" s="22" t="s">
        <v>18</v>
      </c>
      <c r="E71" s="21" t="s">
        <v>2222</v>
      </c>
      <c r="F71" s="23" t="s">
        <v>3</v>
      </c>
      <c r="G71" s="23" t="s">
        <v>4</v>
      </c>
      <c r="H71" s="21" t="str">
        <f t="shared" si="1"/>
        <v>AWO_21_SA/APPLIED-WATER</v>
      </c>
      <c r="I71" s="24" t="s">
        <v>2223</v>
      </c>
      <c r="J71" s="10" t="str">
        <f>VLOOKUP(Table1[[#This Row],[UID]],CS3SVComposerConfig!$B$3:$D$1808,3,FALSE)</f>
        <v>CS3L2015V0Hydro_SV.dss</v>
      </c>
      <c r="K71" s="10" t="s">
        <v>2212</v>
      </c>
      <c r="L71" s="10" t="s">
        <v>2212</v>
      </c>
      <c r="M71" s="10" t="s">
        <v>2224</v>
      </c>
      <c r="N71" s="10" t="s">
        <v>2225</v>
      </c>
      <c r="O71" s="10" t="s">
        <v>2226</v>
      </c>
      <c r="P71" s="39" t="s">
        <v>2227</v>
      </c>
    </row>
    <row r="72" spans="2:16" ht="18" customHeight="1" x14ac:dyDescent="0.25">
      <c r="B72" s="21" t="s">
        <v>0</v>
      </c>
      <c r="C72" s="22" t="s">
        <v>375</v>
      </c>
      <c r="D72" s="22" t="s">
        <v>18</v>
      </c>
      <c r="E72" s="21" t="s">
        <v>2222</v>
      </c>
      <c r="F72" s="23" t="s">
        <v>3</v>
      </c>
      <c r="G72" s="23" t="s">
        <v>4</v>
      </c>
      <c r="H72" s="21" t="str">
        <f t="shared" si="1"/>
        <v>AWO_22_NA/APPLIED-WATER</v>
      </c>
      <c r="I72" s="24" t="s">
        <v>2223</v>
      </c>
      <c r="J72" s="10" t="str">
        <f>VLOOKUP(Table1[[#This Row],[UID]],CS3SVComposerConfig!$B$3:$D$1808,3,FALSE)</f>
        <v>CS3L2015V0Hydro_SV.dss</v>
      </c>
      <c r="K72" s="10" t="s">
        <v>2212</v>
      </c>
      <c r="L72" s="10" t="s">
        <v>2212</v>
      </c>
      <c r="M72" s="10" t="s">
        <v>2224</v>
      </c>
      <c r="N72" s="10" t="s">
        <v>2225</v>
      </c>
      <c r="O72" s="10" t="s">
        <v>2226</v>
      </c>
      <c r="P72" s="39" t="s">
        <v>2227</v>
      </c>
    </row>
    <row r="73" spans="2:16" ht="18" customHeight="1" x14ac:dyDescent="0.25">
      <c r="B73" s="21" t="s">
        <v>0</v>
      </c>
      <c r="C73" s="22" t="s">
        <v>376</v>
      </c>
      <c r="D73" s="22" t="s">
        <v>18</v>
      </c>
      <c r="E73" s="21" t="s">
        <v>2222</v>
      </c>
      <c r="F73" s="23" t="s">
        <v>3</v>
      </c>
      <c r="G73" s="23" t="s">
        <v>4</v>
      </c>
      <c r="H73" s="21" t="str">
        <f t="shared" si="1"/>
        <v>AWO_22_SA1/APPLIED-WATER</v>
      </c>
      <c r="I73" s="24" t="s">
        <v>2223</v>
      </c>
      <c r="J73" s="10" t="str">
        <f>VLOOKUP(Table1[[#This Row],[UID]],CS3SVComposerConfig!$B$3:$D$1808,3,FALSE)</f>
        <v>CS3L2015V0Hydro_SV.dss</v>
      </c>
      <c r="K73" s="10" t="s">
        <v>2212</v>
      </c>
      <c r="L73" s="10" t="s">
        <v>2212</v>
      </c>
      <c r="M73" s="10" t="s">
        <v>2224</v>
      </c>
      <c r="N73" s="10" t="s">
        <v>2225</v>
      </c>
      <c r="O73" s="10" t="s">
        <v>2226</v>
      </c>
      <c r="P73" s="39" t="s">
        <v>2227</v>
      </c>
    </row>
    <row r="74" spans="2:16" ht="18" customHeight="1" x14ac:dyDescent="0.25">
      <c r="B74" s="21" t="s">
        <v>0</v>
      </c>
      <c r="C74" s="22" t="s">
        <v>377</v>
      </c>
      <c r="D74" s="22" t="s">
        <v>18</v>
      </c>
      <c r="E74" s="21" t="s">
        <v>2222</v>
      </c>
      <c r="F74" s="23" t="s">
        <v>3</v>
      </c>
      <c r="G74" s="23" t="s">
        <v>4</v>
      </c>
      <c r="H74" s="21" t="str">
        <f t="shared" si="1"/>
        <v>AWO_22_SA2/APPLIED-WATER</v>
      </c>
      <c r="I74" s="24" t="s">
        <v>2223</v>
      </c>
      <c r="J74" s="10" t="str">
        <f>VLOOKUP(Table1[[#This Row],[UID]],CS3SVComposerConfig!$B$3:$D$1808,3,FALSE)</f>
        <v>CS3L2015V0Hydro_SV.dss</v>
      </c>
      <c r="K74" s="10" t="s">
        <v>2212</v>
      </c>
      <c r="L74" s="10" t="s">
        <v>2212</v>
      </c>
      <c r="M74" s="10" t="s">
        <v>2224</v>
      </c>
      <c r="N74" s="10" t="s">
        <v>2225</v>
      </c>
      <c r="O74" s="10" t="s">
        <v>2226</v>
      </c>
      <c r="P74" s="39" t="s">
        <v>2227</v>
      </c>
    </row>
    <row r="75" spans="2:16" ht="18" customHeight="1" x14ac:dyDescent="0.25">
      <c r="B75" s="21" t="s">
        <v>0</v>
      </c>
      <c r="C75" s="22" t="s">
        <v>378</v>
      </c>
      <c r="D75" s="22" t="s">
        <v>18</v>
      </c>
      <c r="E75" s="21" t="s">
        <v>2222</v>
      </c>
      <c r="F75" s="23" t="s">
        <v>3</v>
      </c>
      <c r="G75" s="23" t="s">
        <v>4</v>
      </c>
      <c r="H75" s="21" t="str">
        <f t="shared" si="1"/>
        <v>AWO_23_NA/APPLIED-WATER</v>
      </c>
      <c r="I75" s="24" t="s">
        <v>2223</v>
      </c>
      <c r="J75" s="10" t="str">
        <f>VLOOKUP(Table1[[#This Row],[UID]],CS3SVComposerConfig!$B$3:$D$1808,3,FALSE)</f>
        <v>CS3L2015V0Hydro_SV.dss</v>
      </c>
      <c r="K75" s="10" t="s">
        <v>2212</v>
      </c>
      <c r="L75" s="10" t="s">
        <v>2212</v>
      </c>
      <c r="M75" s="10" t="s">
        <v>2224</v>
      </c>
      <c r="N75" s="10" t="s">
        <v>2225</v>
      </c>
      <c r="O75" s="10" t="s">
        <v>2226</v>
      </c>
      <c r="P75" s="39" t="s">
        <v>2227</v>
      </c>
    </row>
    <row r="76" spans="2:16" ht="18" customHeight="1" x14ac:dyDescent="0.25">
      <c r="B76" s="21" t="s">
        <v>0</v>
      </c>
      <c r="C76" s="22" t="s">
        <v>379</v>
      </c>
      <c r="D76" s="22" t="s">
        <v>18</v>
      </c>
      <c r="E76" s="21" t="s">
        <v>2222</v>
      </c>
      <c r="F76" s="23" t="s">
        <v>3</v>
      </c>
      <c r="G76" s="23" t="s">
        <v>4</v>
      </c>
      <c r="H76" s="21" t="str">
        <f t="shared" si="1"/>
        <v>AWO_24_NA1/APPLIED-WATER</v>
      </c>
      <c r="I76" s="24" t="s">
        <v>2223</v>
      </c>
      <c r="J76" s="10" t="str">
        <f>VLOOKUP(Table1[[#This Row],[UID]],CS3SVComposerConfig!$B$3:$D$1808,3,FALSE)</f>
        <v>CS3L2015V0Hydro_SV.dss</v>
      </c>
      <c r="K76" s="10" t="s">
        <v>2212</v>
      </c>
      <c r="L76" s="10" t="s">
        <v>2212</v>
      </c>
      <c r="M76" s="10" t="s">
        <v>2224</v>
      </c>
      <c r="N76" s="10" t="s">
        <v>2225</v>
      </c>
      <c r="O76" s="10" t="s">
        <v>2226</v>
      </c>
      <c r="P76" s="39" t="s">
        <v>2227</v>
      </c>
    </row>
    <row r="77" spans="2:16" ht="18" customHeight="1" x14ac:dyDescent="0.25">
      <c r="B77" s="21" t="s">
        <v>0</v>
      </c>
      <c r="C77" s="22" t="s">
        <v>380</v>
      </c>
      <c r="D77" s="22" t="s">
        <v>18</v>
      </c>
      <c r="E77" s="21" t="s">
        <v>2222</v>
      </c>
      <c r="F77" s="23" t="s">
        <v>3</v>
      </c>
      <c r="G77" s="23" t="s">
        <v>4</v>
      </c>
      <c r="H77" s="21" t="str">
        <f t="shared" si="1"/>
        <v>AWO_24_NA2/APPLIED-WATER</v>
      </c>
      <c r="I77" s="24" t="s">
        <v>2223</v>
      </c>
      <c r="J77" s="10" t="str">
        <f>VLOOKUP(Table1[[#This Row],[UID]],CS3SVComposerConfig!$B$3:$D$1808,3,FALSE)</f>
        <v>CS3L2015V0Hydro_SV.dss</v>
      </c>
      <c r="K77" s="10" t="s">
        <v>2212</v>
      </c>
      <c r="L77" s="10" t="s">
        <v>2212</v>
      </c>
      <c r="M77" s="10" t="s">
        <v>2224</v>
      </c>
      <c r="N77" s="10" t="s">
        <v>2225</v>
      </c>
      <c r="O77" s="10" t="s">
        <v>2226</v>
      </c>
      <c r="P77" s="39" t="s">
        <v>2227</v>
      </c>
    </row>
    <row r="78" spans="2:16" ht="18" customHeight="1" x14ac:dyDescent="0.25">
      <c r="B78" s="21" t="s">
        <v>0</v>
      </c>
      <c r="C78" s="22" t="s">
        <v>381</v>
      </c>
      <c r="D78" s="22" t="s">
        <v>18</v>
      </c>
      <c r="E78" s="21" t="s">
        <v>2222</v>
      </c>
      <c r="F78" s="23" t="s">
        <v>3</v>
      </c>
      <c r="G78" s="23" t="s">
        <v>4</v>
      </c>
      <c r="H78" s="21" t="str">
        <f t="shared" si="1"/>
        <v>AWO_24_NA3/APPLIED-WATER</v>
      </c>
      <c r="I78" s="24" t="s">
        <v>2223</v>
      </c>
      <c r="J78" s="10" t="str">
        <f>VLOOKUP(Table1[[#This Row],[UID]],CS3SVComposerConfig!$B$3:$D$1808,3,FALSE)</f>
        <v>CS3L2015V0Hydro_SV.dss</v>
      </c>
      <c r="K78" s="10" t="s">
        <v>2212</v>
      </c>
      <c r="L78" s="10" t="s">
        <v>2212</v>
      </c>
      <c r="M78" s="10" t="s">
        <v>2224</v>
      </c>
      <c r="N78" s="10" t="s">
        <v>2225</v>
      </c>
      <c r="O78" s="10" t="s">
        <v>2226</v>
      </c>
      <c r="P78" s="39" t="s">
        <v>2227</v>
      </c>
    </row>
    <row r="79" spans="2:16" ht="18" customHeight="1" x14ac:dyDescent="0.25">
      <c r="B79" s="21" t="s">
        <v>0</v>
      </c>
      <c r="C79" s="22" t="s">
        <v>382</v>
      </c>
      <c r="D79" s="22" t="s">
        <v>18</v>
      </c>
      <c r="E79" s="21" t="s">
        <v>2222</v>
      </c>
      <c r="F79" s="23" t="s">
        <v>3</v>
      </c>
      <c r="G79" s="23" t="s">
        <v>4</v>
      </c>
      <c r="H79" s="21" t="str">
        <f t="shared" si="1"/>
        <v>AWO_25_NA/APPLIED-WATER</v>
      </c>
      <c r="I79" s="24" t="s">
        <v>2223</v>
      </c>
      <c r="J79" s="10" t="str">
        <f>VLOOKUP(Table1[[#This Row],[UID]],CS3SVComposerConfig!$B$3:$D$1808,3,FALSE)</f>
        <v>CS3L2015V0Hydro_SV.dss</v>
      </c>
      <c r="K79" s="10" t="s">
        <v>2212</v>
      </c>
      <c r="L79" s="10" t="s">
        <v>2212</v>
      </c>
      <c r="M79" s="10" t="s">
        <v>2224</v>
      </c>
      <c r="N79" s="10" t="s">
        <v>2225</v>
      </c>
      <c r="O79" s="10" t="s">
        <v>2226</v>
      </c>
      <c r="P79" s="39" t="s">
        <v>2227</v>
      </c>
    </row>
    <row r="80" spans="2:16" ht="18" customHeight="1" x14ac:dyDescent="0.25">
      <c r="B80" s="21" t="s">
        <v>0</v>
      </c>
      <c r="C80" s="22" t="s">
        <v>383</v>
      </c>
      <c r="D80" s="22" t="s">
        <v>18</v>
      </c>
      <c r="E80" s="21" t="s">
        <v>2222</v>
      </c>
      <c r="F80" s="23" t="s">
        <v>3</v>
      </c>
      <c r="G80" s="23" t="s">
        <v>4</v>
      </c>
      <c r="H80" s="21" t="str">
        <f t="shared" si="1"/>
        <v>AWO_25_PA1/APPLIED-WATER</v>
      </c>
      <c r="I80" s="24" t="s">
        <v>2223</v>
      </c>
      <c r="J80" s="10" t="str">
        <f>VLOOKUP(Table1[[#This Row],[UID]],CS3SVComposerConfig!$B$3:$D$1808,3,FALSE)</f>
        <v>CS3L2015V0Hydro_SV.dss</v>
      </c>
      <c r="K80" s="10" t="s">
        <v>2212</v>
      </c>
      <c r="L80" s="10" t="s">
        <v>2212</v>
      </c>
      <c r="M80" s="10" t="s">
        <v>2224</v>
      </c>
      <c r="N80" s="10" t="s">
        <v>2225</v>
      </c>
      <c r="O80" s="10" t="s">
        <v>2226</v>
      </c>
      <c r="P80" s="39" t="s">
        <v>2227</v>
      </c>
    </row>
    <row r="81" spans="2:16" ht="18" customHeight="1" x14ac:dyDescent="0.25">
      <c r="B81" s="21" t="s">
        <v>0</v>
      </c>
      <c r="C81" s="22" t="s">
        <v>384</v>
      </c>
      <c r="D81" s="22" t="s">
        <v>18</v>
      </c>
      <c r="E81" s="21" t="s">
        <v>2222</v>
      </c>
      <c r="F81" s="23" t="s">
        <v>3</v>
      </c>
      <c r="G81" s="23" t="s">
        <v>4</v>
      </c>
      <c r="H81" s="21" t="str">
        <f t="shared" si="1"/>
        <v>AWO_25_PA2/APPLIED-WATER</v>
      </c>
      <c r="I81" s="24" t="s">
        <v>2223</v>
      </c>
      <c r="J81" s="10" t="str">
        <f>VLOOKUP(Table1[[#This Row],[UID]],CS3SVComposerConfig!$B$3:$D$1808,3,FALSE)</f>
        <v>CS3L2015V0Hydro_SV.dss</v>
      </c>
      <c r="K81" s="10" t="s">
        <v>2212</v>
      </c>
      <c r="L81" s="10" t="s">
        <v>2212</v>
      </c>
      <c r="M81" s="10" t="s">
        <v>2224</v>
      </c>
      <c r="N81" s="10" t="s">
        <v>2225</v>
      </c>
      <c r="O81" s="10" t="s">
        <v>2226</v>
      </c>
      <c r="P81" s="39" t="s">
        <v>2227</v>
      </c>
    </row>
    <row r="82" spans="2:16" ht="18" customHeight="1" x14ac:dyDescent="0.25">
      <c r="B82" s="21" t="s">
        <v>0</v>
      </c>
      <c r="C82" s="22" t="s">
        <v>385</v>
      </c>
      <c r="D82" s="22" t="s">
        <v>18</v>
      </c>
      <c r="E82" s="21" t="s">
        <v>2222</v>
      </c>
      <c r="F82" s="23" t="s">
        <v>3</v>
      </c>
      <c r="G82" s="23" t="s">
        <v>4</v>
      </c>
      <c r="H82" s="21" t="str">
        <f t="shared" si="1"/>
        <v>AWO_26N_NA/APPLIED-WATER</v>
      </c>
      <c r="I82" s="24" t="s">
        <v>2223</v>
      </c>
      <c r="J82" s="10" t="str">
        <f>VLOOKUP(Table1[[#This Row],[UID]],CS3SVComposerConfig!$B$3:$D$1808,3,FALSE)</f>
        <v>CS3L2015V0Hydro_SV.dss</v>
      </c>
      <c r="K82" s="10" t="s">
        <v>2212</v>
      </c>
      <c r="L82" s="10" t="s">
        <v>2212</v>
      </c>
      <c r="M82" s="10" t="s">
        <v>2224</v>
      </c>
      <c r="N82" s="10" t="s">
        <v>2225</v>
      </c>
      <c r="O82" s="10" t="s">
        <v>2226</v>
      </c>
      <c r="P82" s="39" t="s">
        <v>2227</v>
      </c>
    </row>
    <row r="83" spans="2:16" ht="18" customHeight="1" x14ac:dyDescent="0.25">
      <c r="B83" s="21" t="s">
        <v>0</v>
      </c>
      <c r="C83" s="22" t="s">
        <v>386</v>
      </c>
      <c r="D83" s="22" t="s">
        <v>18</v>
      </c>
      <c r="E83" s="21" t="s">
        <v>2222</v>
      </c>
      <c r="F83" s="23" t="s">
        <v>3</v>
      </c>
      <c r="G83" s="23" t="s">
        <v>4</v>
      </c>
      <c r="H83" s="21" t="str">
        <f t="shared" si="1"/>
        <v>AWO_26S_NA/APPLIED-WATER</v>
      </c>
      <c r="I83" s="24" t="s">
        <v>2223</v>
      </c>
      <c r="J83" s="10" t="str">
        <f>VLOOKUP(Table1[[#This Row],[UID]],CS3SVComposerConfig!$B$3:$D$1808,3,FALSE)</f>
        <v>CS3L2015V0Hydro_SV.dss</v>
      </c>
      <c r="K83" s="10" t="s">
        <v>2212</v>
      </c>
      <c r="L83" s="10" t="s">
        <v>2212</v>
      </c>
      <c r="M83" s="10" t="s">
        <v>2224</v>
      </c>
      <c r="N83" s="10" t="s">
        <v>2225</v>
      </c>
      <c r="O83" s="10" t="s">
        <v>2226</v>
      </c>
      <c r="P83" s="39" t="s">
        <v>2227</v>
      </c>
    </row>
    <row r="84" spans="2:16" ht="18" customHeight="1" x14ac:dyDescent="0.25">
      <c r="B84" s="21" t="s">
        <v>0</v>
      </c>
      <c r="C84" s="22" t="s">
        <v>387</v>
      </c>
      <c r="D84" s="22" t="s">
        <v>18</v>
      </c>
      <c r="E84" s="21" t="s">
        <v>2222</v>
      </c>
      <c r="F84" s="23" t="s">
        <v>3</v>
      </c>
      <c r="G84" s="23" t="s">
        <v>4</v>
      </c>
      <c r="H84" s="21" t="str">
        <f t="shared" si="1"/>
        <v>AWO_50_PA1/APPLIED-WATER</v>
      </c>
      <c r="I84" s="24" t="s">
        <v>2223</v>
      </c>
      <c r="J84" s="10" t="str">
        <f>VLOOKUP(Table1[[#This Row],[UID]],CS3SVComposerConfig!$B$3:$D$1808,3,FALSE)</f>
        <v>RebalancedSJR_AW_TW_DP.dss</v>
      </c>
      <c r="K84" s="10" t="s">
        <v>2212</v>
      </c>
      <c r="L84" s="10" t="s">
        <v>2212</v>
      </c>
      <c r="M84" s="10" t="s">
        <v>2224</v>
      </c>
      <c r="N84" s="10" t="s">
        <v>2225</v>
      </c>
      <c r="O84" s="10" t="s">
        <v>2226</v>
      </c>
      <c r="P84" s="39" t="s">
        <v>2227</v>
      </c>
    </row>
    <row r="85" spans="2:16" ht="18" customHeight="1" x14ac:dyDescent="0.25">
      <c r="B85" s="21" t="s">
        <v>0</v>
      </c>
      <c r="C85" s="22" t="s">
        <v>388</v>
      </c>
      <c r="D85" s="22" t="s">
        <v>18</v>
      </c>
      <c r="E85" s="21" t="s">
        <v>2222</v>
      </c>
      <c r="F85" s="23" t="s">
        <v>3</v>
      </c>
      <c r="G85" s="23" t="s">
        <v>4</v>
      </c>
      <c r="H85" s="21" t="str">
        <f t="shared" si="1"/>
        <v>AWO_60N_NA1/APPLIED-WATER</v>
      </c>
      <c r="I85" s="24" t="s">
        <v>2223</v>
      </c>
      <c r="J85" s="10" t="str">
        <f>VLOOKUP(Table1[[#This Row],[UID]],CS3SVComposerConfig!$B$3:$D$1808,3,FALSE)</f>
        <v>CS3L2015V0Hydro_SV.dss</v>
      </c>
      <c r="K85" s="10" t="s">
        <v>2212</v>
      </c>
      <c r="L85" s="10" t="s">
        <v>2212</v>
      </c>
      <c r="M85" s="10" t="s">
        <v>2224</v>
      </c>
      <c r="N85" s="10" t="s">
        <v>2225</v>
      </c>
      <c r="O85" s="10" t="s">
        <v>2226</v>
      </c>
      <c r="P85" s="39" t="s">
        <v>2227</v>
      </c>
    </row>
    <row r="86" spans="2:16" ht="18" customHeight="1" x14ac:dyDescent="0.25">
      <c r="B86" s="21" t="s">
        <v>0</v>
      </c>
      <c r="C86" s="22" t="s">
        <v>389</v>
      </c>
      <c r="D86" s="22" t="s">
        <v>18</v>
      </c>
      <c r="E86" s="21" t="s">
        <v>2222</v>
      </c>
      <c r="F86" s="23" t="s">
        <v>3</v>
      </c>
      <c r="G86" s="23" t="s">
        <v>4</v>
      </c>
      <c r="H86" s="21" t="str">
        <f t="shared" si="1"/>
        <v>AWO_60N_NA2/APPLIED-WATER</v>
      </c>
      <c r="I86" s="24" t="s">
        <v>2223</v>
      </c>
      <c r="J86" s="10" t="str">
        <f>VLOOKUP(Table1[[#This Row],[UID]],CS3SVComposerConfig!$B$3:$D$1808,3,FALSE)</f>
        <v>CS3L2015V0Hydro_SV.dss</v>
      </c>
      <c r="K86" s="10" t="s">
        <v>2212</v>
      </c>
      <c r="L86" s="10" t="s">
        <v>2212</v>
      </c>
      <c r="M86" s="10" t="s">
        <v>2224</v>
      </c>
      <c r="N86" s="10" t="s">
        <v>2225</v>
      </c>
      <c r="O86" s="10" t="s">
        <v>2226</v>
      </c>
      <c r="P86" s="39" t="s">
        <v>2227</v>
      </c>
    </row>
    <row r="87" spans="2:16" ht="18" customHeight="1" x14ac:dyDescent="0.25">
      <c r="B87" s="21" t="s">
        <v>0</v>
      </c>
      <c r="C87" s="22" t="s">
        <v>390</v>
      </c>
      <c r="D87" s="22" t="s">
        <v>18</v>
      </c>
      <c r="E87" s="21" t="s">
        <v>2222</v>
      </c>
      <c r="F87" s="23" t="s">
        <v>3</v>
      </c>
      <c r="G87" s="23" t="s">
        <v>4</v>
      </c>
      <c r="H87" s="21" t="str">
        <f t="shared" si="1"/>
        <v>AWO_60N_NA3/APPLIED-WATER</v>
      </c>
      <c r="I87" s="24" t="s">
        <v>2223</v>
      </c>
      <c r="J87" s="10" t="str">
        <f>VLOOKUP(Table1[[#This Row],[UID]],CS3SVComposerConfig!$B$3:$D$1808,3,FALSE)</f>
        <v>CS3L2015V0Hydro_SV.dss</v>
      </c>
      <c r="K87" s="10" t="s">
        <v>2212</v>
      </c>
      <c r="L87" s="10" t="s">
        <v>2212</v>
      </c>
      <c r="M87" s="10" t="s">
        <v>2224</v>
      </c>
      <c r="N87" s="10" t="s">
        <v>2225</v>
      </c>
      <c r="O87" s="10" t="s">
        <v>2226</v>
      </c>
      <c r="P87" s="39" t="s">
        <v>2227</v>
      </c>
    </row>
    <row r="88" spans="2:16" ht="18" customHeight="1" x14ac:dyDescent="0.25">
      <c r="B88" s="21" t="s">
        <v>0</v>
      </c>
      <c r="C88" s="22" t="s">
        <v>391</v>
      </c>
      <c r="D88" s="22" t="s">
        <v>18</v>
      </c>
      <c r="E88" s="21" t="s">
        <v>2222</v>
      </c>
      <c r="F88" s="23" t="s">
        <v>3</v>
      </c>
      <c r="G88" s="23" t="s">
        <v>4</v>
      </c>
      <c r="H88" s="21" t="str">
        <f t="shared" si="1"/>
        <v>AWO_60N_NA4/APPLIED-WATER</v>
      </c>
      <c r="I88" s="24" t="s">
        <v>2223</v>
      </c>
      <c r="J88" s="10" t="str">
        <f>VLOOKUP(Table1[[#This Row],[UID]],CS3SVComposerConfig!$B$3:$D$1808,3,FALSE)</f>
        <v>CS3L2015V0Hydro_SV.dss</v>
      </c>
      <c r="K88" s="10" t="s">
        <v>2212</v>
      </c>
      <c r="L88" s="10" t="s">
        <v>2212</v>
      </c>
      <c r="M88" s="10" t="s">
        <v>2224</v>
      </c>
      <c r="N88" s="10" t="s">
        <v>2225</v>
      </c>
      <c r="O88" s="10" t="s">
        <v>2226</v>
      </c>
      <c r="P88" s="39" t="s">
        <v>2227</v>
      </c>
    </row>
    <row r="89" spans="2:16" ht="18" customHeight="1" x14ac:dyDescent="0.25">
      <c r="B89" s="21" t="s">
        <v>0</v>
      </c>
      <c r="C89" s="22" t="s">
        <v>392</v>
      </c>
      <c r="D89" s="22" t="s">
        <v>18</v>
      </c>
      <c r="E89" s="21" t="s">
        <v>2222</v>
      </c>
      <c r="F89" s="23" t="s">
        <v>3</v>
      </c>
      <c r="G89" s="23" t="s">
        <v>4</v>
      </c>
      <c r="H89" s="21" t="str">
        <f t="shared" si="1"/>
        <v>AWO_60N_NA5/APPLIED-WATER</v>
      </c>
      <c r="I89" s="24" t="s">
        <v>2223</v>
      </c>
      <c r="J89" s="10" t="str">
        <f>VLOOKUP(Table1[[#This Row],[UID]],CS3SVComposerConfig!$B$3:$D$1808,3,FALSE)</f>
        <v>CS3L2015V0Hydro_SV.dss</v>
      </c>
      <c r="K89" s="10" t="s">
        <v>2212</v>
      </c>
      <c r="L89" s="10" t="s">
        <v>2212</v>
      </c>
      <c r="M89" s="10" t="s">
        <v>2224</v>
      </c>
      <c r="N89" s="10" t="s">
        <v>2225</v>
      </c>
      <c r="O89" s="10" t="s">
        <v>2226</v>
      </c>
      <c r="P89" s="39" t="s">
        <v>2227</v>
      </c>
    </row>
    <row r="90" spans="2:16" ht="18" customHeight="1" x14ac:dyDescent="0.25">
      <c r="B90" s="21" t="s">
        <v>0</v>
      </c>
      <c r="C90" s="22" t="s">
        <v>393</v>
      </c>
      <c r="D90" s="22" t="s">
        <v>18</v>
      </c>
      <c r="E90" s="21" t="s">
        <v>2222</v>
      </c>
      <c r="F90" s="23" t="s">
        <v>3</v>
      </c>
      <c r="G90" s="23" t="s">
        <v>4</v>
      </c>
      <c r="H90" s="21" t="str">
        <f t="shared" si="1"/>
        <v>AWO_60S_NA1/APPLIED-WATER</v>
      </c>
      <c r="I90" s="24" t="s">
        <v>2223</v>
      </c>
      <c r="J90" s="10" t="str">
        <f>VLOOKUP(Table1[[#This Row],[UID]],CS3SVComposerConfig!$B$3:$D$1808,3,FALSE)</f>
        <v>CS3L2015V0Hydro_SV.dss</v>
      </c>
      <c r="K90" s="10" t="s">
        <v>2212</v>
      </c>
      <c r="L90" s="10" t="s">
        <v>2212</v>
      </c>
      <c r="M90" s="10" t="s">
        <v>2224</v>
      </c>
      <c r="N90" s="10" t="s">
        <v>2225</v>
      </c>
      <c r="O90" s="10" t="s">
        <v>2226</v>
      </c>
      <c r="P90" s="39" t="s">
        <v>2227</v>
      </c>
    </row>
    <row r="91" spans="2:16" ht="18" customHeight="1" x14ac:dyDescent="0.25">
      <c r="B91" s="21" t="s">
        <v>0</v>
      </c>
      <c r="C91" s="22" t="s">
        <v>394</v>
      </c>
      <c r="D91" s="22" t="s">
        <v>18</v>
      </c>
      <c r="E91" s="21" t="s">
        <v>2222</v>
      </c>
      <c r="F91" s="23" t="s">
        <v>3</v>
      </c>
      <c r="G91" s="23" t="s">
        <v>4</v>
      </c>
      <c r="H91" s="21" t="str">
        <f t="shared" si="1"/>
        <v>AWO_60S_NA2/APPLIED-WATER</v>
      </c>
      <c r="I91" s="24" t="s">
        <v>2223</v>
      </c>
      <c r="J91" s="10" t="str">
        <f>VLOOKUP(Table1[[#This Row],[UID]],CS3SVComposerConfig!$B$3:$D$1808,3,FALSE)</f>
        <v>CS3L2015V0Hydro_SV.dss</v>
      </c>
      <c r="K91" s="10" t="s">
        <v>2212</v>
      </c>
      <c r="L91" s="10" t="s">
        <v>2212</v>
      </c>
      <c r="M91" s="10" t="s">
        <v>2224</v>
      </c>
      <c r="N91" s="10" t="s">
        <v>2225</v>
      </c>
      <c r="O91" s="10" t="s">
        <v>2226</v>
      </c>
      <c r="P91" s="39" t="s">
        <v>2227</v>
      </c>
    </row>
    <row r="92" spans="2:16" ht="18" customHeight="1" x14ac:dyDescent="0.25">
      <c r="B92" s="21" t="s">
        <v>0</v>
      </c>
      <c r="C92" s="22" t="s">
        <v>395</v>
      </c>
      <c r="D92" s="22" t="s">
        <v>18</v>
      </c>
      <c r="E92" s="21" t="s">
        <v>2222</v>
      </c>
      <c r="F92" s="23" t="s">
        <v>3</v>
      </c>
      <c r="G92" s="23" t="s">
        <v>4</v>
      </c>
      <c r="H92" s="21" t="str">
        <f t="shared" si="1"/>
        <v>AWO_60S_PA1/APPLIED-WATER</v>
      </c>
      <c r="I92" s="24" t="s">
        <v>2223</v>
      </c>
      <c r="J92" s="10" t="str">
        <f>VLOOKUP(Table1[[#This Row],[UID]],CS3SVComposerConfig!$B$3:$D$1808,3,FALSE)</f>
        <v>CS3L2015V0Hydro_SV.dss</v>
      </c>
      <c r="K92" s="10" t="s">
        <v>2212</v>
      </c>
      <c r="L92" s="10" t="s">
        <v>2212</v>
      </c>
      <c r="M92" s="10" t="s">
        <v>2224</v>
      </c>
      <c r="N92" s="10" t="s">
        <v>2225</v>
      </c>
      <c r="O92" s="10" t="s">
        <v>2226</v>
      </c>
      <c r="P92" s="39" t="s">
        <v>2227</v>
      </c>
    </row>
    <row r="93" spans="2:16" ht="18" customHeight="1" x14ac:dyDescent="0.25">
      <c r="B93" s="21" t="s">
        <v>0</v>
      </c>
      <c r="C93" s="22" t="s">
        <v>396</v>
      </c>
      <c r="D93" s="22" t="s">
        <v>18</v>
      </c>
      <c r="E93" s="21" t="s">
        <v>2222</v>
      </c>
      <c r="F93" s="23" t="s">
        <v>3</v>
      </c>
      <c r="G93" s="23" t="s">
        <v>4</v>
      </c>
      <c r="H93" s="21" t="str">
        <f t="shared" si="1"/>
        <v>AWO_60S_PA2/APPLIED-WATER</v>
      </c>
      <c r="I93" s="24" t="s">
        <v>2223</v>
      </c>
      <c r="J93" s="10" t="str">
        <f>VLOOKUP(Table1[[#This Row],[UID]],CS3SVComposerConfig!$B$3:$D$1808,3,FALSE)</f>
        <v>CS3L2015V0Hydro_SV.dss</v>
      </c>
      <c r="K93" s="10" t="s">
        <v>2212</v>
      </c>
      <c r="L93" s="10" t="s">
        <v>2212</v>
      </c>
      <c r="M93" s="10" t="s">
        <v>2224</v>
      </c>
      <c r="N93" s="10" t="s">
        <v>2225</v>
      </c>
      <c r="O93" s="10" t="s">
        <v>2226</v>
      </c>
      <c r="P93" s="39" t="s">
        <v>2227</v>
      </c>
    </row>
    <row r="94" spans="2:16" ht="18" customHeight="1" x14ac:dyDescent="0.25">
      <c r="B94" s="21" t="s">
        <v>0</v>
      </c>
      <c r="C94" s="22" t="s">
        <v>397</v>
      </c>
      <c r="D94" s="22" t="s">
        <v>18</v>
      </c>
      <c r="E94" s="21" t="s">
        <v>2222</v>
      </c>
      <c r="F94" s="23" t="s">
        <v>3</v>
      </c>
      <c r="G94" s="23" t="s">
        <v>4</v>
      </c>
      <c r="H94" s="21" t="str">
        <f t="shared" si="1"/>
        <v>AWO_61_NA1/APPLIED-WATER</v>
      </c>
      <c r="I94" s="24" t="s">
        <v>2223</v>
      </c>
      <c r="J94" s="10" t="str">
        <f>VLOOKUP(Table1[[#This Row],[UID]],CS3SVComposerConfig!$B$3:$D$1808,3,FALSE)</f>
        <v>CS3L2015V0Hydro_SV.dss</v>
      </c>
      <c r="K94" s="10" t="s">
        <v>2212</v>
      </c>
      <c r="L94" s="10" t="s">
        <v>2212</v>
      </c>
      <c r="M94" s="10" t="s">
        <v>2224</v>
      </c>
      <c r="N94" s="10" t="s">
        <v>2225</v>
      </c>
      <c r="O94" s="10" t="s">
        <v>2226</v>
      </c>
      <c r="P94" s="39" t="s">
        <v>2227</v>
      </c>
    </row>
    <row r="95" spans="2:16" ht="18" customHeight="1" x14ac:dyDescent="0.25">
      <c r="B95" s="21" t="s">
        <v>0</v>
      </c>
      <c r="C95" s="22" t="s">
        <v>398</v>
      </c>
      <c r="D95" s="22" t="s">
        <v>18</v>
      </c>
      <c r="E95" s="21" t="s">
        <v>2222</v>
      </c>
      <c r="F95" s="23" t="s">
        <v>3</v>
      </c>
      <c r="G95" s="23" t="s">
        <v>4</v>
      </c>
      <c r="H95" s="21" t="str">
        <f t="shared" si="1"/>
        <v>AWO_61_NA2/APPLIED-WATER</v>
      </c>
      <c r="I95" s="24" t="s">
        <v>2223</v>
      </c>
      <c r="J95" s="10" t="str">
        <f>VLOOKUP(Table1[[#This Row],[UID]],CS3SVComposerConfig!$B$3:$D$1808,3,FALSE)</f>
        <v>CS3L2015V0Hydro_SV.dss</v>
      </c>
      <c r="K95" s="10" t="s">
        <v>2212</v>
      </c>
      <c r="L95" s="10" t="s">
        <v>2212</v>
      </c>
      <c r="M95" s="10" t="s">
        <v>2224</v>
      </c>
      <c r="N95" s="10" t="s">
        <v>2225</v>
      </c>
      <c r="O95" s="10" t="s">
        <v>2226</v>
      </c>
      <c r="P95" s="39" t="s">
        <v>2227</v>
      </c>
    </row>
    <row r="96" spans="2:16" ht="18" customHeight="1" x14ac:dyDescent="0.25">
      <c r="B96" s="21" t="s">
        <v>0</v>
      </c>
      <c r="C96" s="22" t="s">
        <v>399</v>
      </c>
      <c r="D96" s="22" t="s">
        <v>18</v>
      </c>
      <c r="E96" s="21" t="s">
        <v>2222</v>
      </c>
      <c r="F96" s="23" t="s">
        <v>3</v>
      </c>
      <c r="G96" s="23" t="s">
        <v>4</v>
      </c>
      <c r="H96" s="21" t="str">
        <f t="shared" si="1"/>
        <v>AWO_61_NA3/APPLIED-WATER</v>
      </c>
      <c r="I96" s="24" t="s">
        <v>2223</v>
      </c>
      <c r="J96" s="10" t="str">
        <f>VLOOKUP(Table1[[#This Row],[UID]],CS3SVComposerConfig!$B$3:$D$1808,3,FALSE)</f>
        <v>CS3L2015V0Hydro_SV.dss</v>
      </c>
      <c r="K96" s="10" t="s">
        <v>2212</v>
      </c>
      <c r="L96" s="10" t="s">
        <v>2212</v>
      </c>
      <c r="M96" s="10" t="s">
        <v>2224</v>
      </c>
      <c r="N96" s="10" t="s">
        <v>2225</v>
      </c>
      <c r="O96" s="10" t="s">
        <v>2226</v>
      </c>
      <c r="P96" s="39" t="s">
        <v>2227</v>
      </c>
    </row>
    <row r="97" spans="2:16" ht="18" customHeight="1" x14ac:dyDescent="0.25">
      <c r="B97" s="21" t="s">
        <v>0</v>
      </c>
      <c r="C97" s="22" t="s">
        <v>400</v>
      </c>
      <c r="D97" s="22" t="s">
        <v>18</v>
      </c>
      <c r="E97" s="21" t="s">
        <v>2222</v>
      </c>
      <c r="F97" s="23" t="s">
        <v>3</v>
      </c>
      <c r="G97" s="23" t="s">
        <v>4</v>
      </c>
      <c r="H97" s="21" t="str">
        <f t="shared" si="1"/>
        <v>AWO_61_NA4/APPLIED-WATER</v>
      </c>
      <c r="I97" s="24" t="s">
        <v>2223</v>
      </c>
      <c r="J97" s="10" t="str">
        <f>VLOOKUP(Table1[[#This Row],[UID]],CS3SVComposerConfig!$B$3:$D$1808,3,FALSE)</f>
        <v>CS3L2015V0Hydro_SV.dss</v>
      </c>
      <c r="K97" s="10" t="s">
        <v>2212</v>
      </c>
      <c r="L97" s="10" t="s">
        <v>2212</v>
      </c>
      <c r="M97" s="10" t="s">
        <v>2224</v>
      </c>
      <c r="N97" s="10" t="s">
        <v>2225</v>
      </c>
      <c r="O97" s="10" t="s">
        <v>2226</v>
      </c>
      <c r="P97" s="39" t="s">
        <v>2227</v>
      </c>
    </row>
    <row r="98" spans="2:16" ht="18" customHeight="1" x14ac:dyDescent="0.25">
      <c r="B98" s="21" t="s">
        <v>0</v>
      </c>
      <c r="C98" s="22" t="s">
        <v>401</v>
      </c>
      <c r="D98" s="22" t="s">
        <v>18</v>
      </c>
      <c r="E98" s="21" t="s">
        <v>2222</v>
      </c>
      <c r="F98" s="23" t="s">
        <v>3</v>
      </c>
      <c r="G98" s="23" t="s">
        <v>4</v>
      </c>
      <c r="H98" s="21" t="str">
        <f t="shared" si="1"/>
        <v>AWO_61_NA5/APPLIED-WATER</v>
      </c>
      <c r="I98" s="24" t="s">
        <v>2223</v>
      </c>
      <c r="J98" s="10" t="str">
        <f>VLOOKUP(Table1[[#This Row],[UID]],CS3SVComposerConfig!$B$3:$D$1808,3,FALSE)</f>
        <v>CS3L2015V0Hydro_SV.dss</v>
      </c>
      <c r="K98" s="10" t="s">
        <v>2212</v>
      </c>
      <c r="L98" s="10" t="s">
        <v>2212</v>
      </c>
      <c r="M98" s="10" t="s">
        <v>2224</v>
      </c>
      <c r="N98" s="10" t="s">
        <v>2225</v>
      </c>
      <c r="O98" s="10" t="s">
        <v>2226</v>
      </c>
      <c r="P98" s="39" t="s">
        <v>2227</v>
      </c>
    </row>
    <row r="99" spans="2:16" ht="18" customHeight="1" x14ac:dyDescent="0.25">
      <c r="B99" s="21" t="s">
        <v>0</v>
      </c>
      <c r="C99" s="22" t="s">
        <v>402</v>
      </c>
      <c r="D99" s="22" t="s">
        <v>18</v>
      </c>
      <c r="E99" s="21" t="s">
        <v>2222</v>
      </c>
      <c r="F99" s="23" t="s">
        <v>3</v>
      </c>
      <c r="G99" s="23" t="s">
        <v>4</v>
      </c>
      <c r="H99" s="21" t="str">
        <f t="shared" si="1"/>
        <v>AWO_61_NA6/APPLIED-WATER</v>
      </c>
      <c r="I99" s="24" t="s">
        <v>2223</v>
      </c>
      <c r="J99" s="10" t="str">
        <f>VLOOKUP(Table1[[#This Row],[UID]],CS3SVComposerConfig!$B$3:$D$1808,3,FALSE)</f>
        <v>CS3L2015V0Hydro_SV.dss</v>
      </c>
      <c r="K99" s="10" t="s">
        <v>2212</v>
      </c>
      <c r="L99" s="10" t="s">
        <v>2212</v>
      </c>
      <c r="M99" s="10" t="s">
        <v>2224</v>
      </c>
      <c r="N99" s="10" t="s">
        <v>2225</v>
      </c>
      <c r="O99" s="10" t="s">
        <v>2226</v>
      </c>
      <c r="P99" s="39" t="s">
        <v>2227</v>
      </c>
    </row>
    <row r="100" spans="2:16" ht="18" customHeight="1" x14ac:dyDescent="0.25">
      <c r="B100" s="21" t="s">
        <v>0</v>
      </c>
      <c r="C100" s="22" t="s">
        <v>403</v>
      </c>
      <c r="D100" s="22" t="s">
        <v>18</v>
      </c>
      <c r="E100" s="21" t="s">
        <v>2222</v>
      </c>
      <c r="F100" s="23" t="s">
        <v>3</v>
      </c>
      <c r="G100" s="23" t="s">
        <v>4</v>
      </c>
      <c r="H100" s="21" t="str">
        <f t="shared" si="1"/>
        <v>AWO_61_PA1/APPLIED-WATER</v>
      </c>
      <c r="I100" s="24" t="s">
        <v>2223</v>
      </c>
      <c r="J100" s="10" t="str">
        <f>VLOOKUP(Table1[[#This Row],[UID]],CS3SVComposerConfig!$B$3:$D$1808,3,FALSE)</f>
        <v>CS3L2015V0Hydro_SV.dss</v>
      </c>
      <c r="K100" s="10" t="s">
        <v>2212</v>
      </c>
      <c r="L100" s="10" t="s">
        <v>2212</v>
      </c>
      <c r="M100" s="10" t="s">
        <v>2224</v>
      </c>
      <c r="N100" s="10" t="s">
        <v>2225</v>
      </c>
      <c r="O100" s="10" t="s">
        <v>2226</v>
      </c>
      <c r="P100" s="39" t="s">
        <v>2227</v>
      </c>
    </row>
    <row r="101" spans="2:16" ht="18" customHeight="1" x14ac:dyDescent="0.25">
      <c r="B101" s="21" t="s">
        <v>0</v>
      </c>
      <c r="C101" s="22" t="s">
        <v>404</v>
      </c>
      <c r="D101" s="22" t="s">
        <v>18</v>
      </c>
      <c r="E101" s="21" t="s">
        <v>2222</v>
      </c>
      <c r="F101" s="23" t="s">
        <v>3</v>
      </c>
      <c r="G101" s="23" t="s">
        <v>4</v>
      </c>
      <c r="H101" s="21" t="str">
        <f t="shared" si="1"/>
        <v>AWO_61_PA2/APPLIED-WATER</v>
      </c>
      <c r="I101" s="24" t="s">
        <v>2223</v>
      </c>
      <c r="J101" s="10" t="str">
        <f>VLOOKUP(Table1[[#This Row],[UID]],CS3SVComposerConfig!$B$3:$D$1808,3,FALSE)</f>
        <v>CS3L2015V0Hydro_SV.dss</v>
      </c>
      <c r="K101" s="10" t="s">
        <v>2212</v>
      </c>
      <c r="L101" s="10" t="s">
        <v>2212</v>
      </c>
      <c r="M101" s="10" t="s">
        <v>2224</v>
      </c>
      <c r="N101" s="10" t="s">
        <v>2225</v>
      </c>
      <c r="O101" s="10" t="s">
        <v>2226</v>
      </c>
      <c r="P101" s="39" t="s">
        <v>2227</v>
      </c>
    </row>
    <row r="102" spans="2:16" ht="18" customHeight="1" x14ac:dyDescent="0.25">
      <c r="B102" s="21" t="s">
        <v>0</v>
      </c>
      <c r="C102" s="22" t="s">
        <v>405</v>
      </c>
      <c r="D102" s="22" t="s">
        <v>18</v>
      </c>
      <c r="E102" s="21" t="s">
        <v>2222</v>
      </c>
      <c r="F102" s="23" t="s">
        <v>3</v>
      </c>
      <c r="G102" s="23" t="s">
        <v>4</v>
      </c>
      <c r="H102" s="21" t="str">
        <f t="shared" si="1"/>
        <v>AWO_61_PA3/APPLIED-WATER</v>
      </c>
      <c r="I102" s="24" t="s">
        <v>2223</v>
      </c>
      <c r="J102" s="10" t="str">
        <f>VLOOKUP(Table1[[#This Row],[UID]],CS3SVComposerConfig!$B$3:$D$1808,3,FALSE)</f>
        <v>CS3L2015V0Hydro_SV.dss</v>
      </c>
      <c r="K102" s="10" t="s">
        <v>2212</v>
      </c>
      <c r="L102" s="10" t="s">
        <v>2212</v>
      </c>
      <c r="M102" s="10" t="s">
        <v>2224</v>
      </c>
      <c r="N102" s="10" t="s">
        <v>2225</v>
      </c>
      <c r="O102" s="10" t="s">
        <v>2226</v>
      </c>
      <c r="P102" s="39" t="s">
        <v>2227</v>
      </c>
    </row>
    <row r="103" spans="2:16" ht="18" customHeight="1" x14ac:dyDescent="0.25">
      <c r="B103" s="21" t="s">
        <v>0</v>
      </c>
      <c r="C103" s="22" t="s">
        <v>406</v>
      </c>
      <c r="D103" s="22" t="s">
        <v>18</v>
      </c>
      <c r="E103" s="21" t="s">
        <v>2222</v>
      </c>
      <c r="F103" s="23" t="s">
        <v>3</v>
      </c>
      <c r="G103" s="23" t="s">
        <v>4</v>
      </c>
      <c r="H103" s="21" t="str">
        <f t="shared" si="1"/>
        <v>AWO_62_NA1/APPLIED-WATER</v>
      </c>
      <c r="I103" s="24" t="s">
        <v>2223</v>
      </c>
      <c r="J103" s="10" t="str">
        <f>VLOOKUP(Table1[[#This Row],[UID]],CS3SVComposerConfig!$B$3:$D$1808,3,FALSE)</f>
        <v>CS3L2015V0Hydro_SV.dss</v>
      </c>
      <c r="K103" s="10" t="s">
        <v>2212</v>
      </c>
      <c r="L103" s="10" t="s">
        <v>2212</v>
      </c>
      <c r="M103" s="10" t="s">
        <v>2224</v>
      </c>
      <c r="N103" s="10" t="s">
        <v>2225</v>
      </c>
      <c r="O103" s="10" t="s">
        <v>2226</v>
      </c>
      <c r="P103" s="39" t="s">
        <v>2227</v>
      </c>
    </row>
    <row r="104" spans="2:16" ht="18" customHeight="1" x14ac:dyDescent="0.25">
      <c r="B104" s="21" t="s">
        <v>0</v>
      </c>
      <c r="C104" s="22" t="s">
        <v>407</v>
      </c>
      <c r="D104" s="22" t="s">
        <v>18</v>
      </c>
      <c r="E104" s="21" t="s">
        <v>2222</v>
      </c>
      <c r="F104" s="23" t="s">
        <v>3</v>
      </c>
      <c r="G104" s="23" t="s">
        <v>4</v>
      </c>
      <c r="H104" s="21" t="str">
        <f t="shared" si="1"/>
        <v>AWO_62_NA2/APPLIED-WATER</v>
      </c>
      <c r="I104" s="24" t="s">
        <v>2223</v>
      </c>
      <c r="J104" s="10" t="str">
        <f>VLOOKUP(Table1[[#This Row],[UID]],CS3SVComposerConfig!$B$3:$D$1808,3,FALSE)</f>
        <v>CS3L2015V0Hydro_SV.dss</v>
      </c>
      <c r="K104" s="10" t="s">
        <v>2212</v>
      </c>
      <c r="L104" s="10" t="s">
        <v>2212</v>
      </c>
      <c r="M104" s="10" t="s">
        <v>2224</v>
      </c>
      <c r="N104" s="10" t="s">
        <v>2225</v>
      </c>
      <c r="O104" s="10" t="s">
        <v>2226</v>
      </c>
      <c r="P104" s="39" t="s">
        <v>2227</v>
      </c>
    </row>
    <row r="105" spans="2:16" ht="18" customHeight="1" x14ac:dyDescent="0.25">
      <c r="B105" s="21" t="s">
        <v>0</v>
      </c>
      <c r="C105" s="22" t="s">
        <v>408</v>
      </c>
      <c r="D105" s="22" t="s">
        <v>18</v>
      </c>
      <c r="E105" s="21" t="s">
        <v>2222</v>
      </c>
      <c r="F105" s="23" t="s">
        <v>3</v>
      </c>
      <c r="G105" s="23" t="s">
        <v>4</v>
      </c>
      <c r="H105" s="21" t="str">
        <f t="shared" si="1"/>
        <v>AWO_62_NA3/APPLIED-WATER</v>
      </c>
      <c r="I105" s="24" t="s">
        <v>2223</v>
      </c>
      <c r="J105" s="10" t="str">
        <f>VLOOKUP(Table1[[#This Row],[UID]],CS3SVComposerConfig!$B$3:$D$1808,3,FALSE)</f>
        <v>CS3L2015V0Hydro_SV.dss</v>
      </c>
      <c r="K105" s="10" t="s">
        <v>2212</v>
      </c>
      <c r="L105" s="10" t="s">
        <v>2212</v>
      </c>
      <c r="M105" s="10" t="s">
        <v>2224</v>
      </c>
      <c r="N105" s="10" t="s">
        <v>2225</v>
      </c>
      <c r="O105" s="10" t="s">
        <v>2226</v>
      </c>
      <c r="P105" s="39" t="s">
        <v>2227</v>
      </c>
    </row>
    <row r="106" spans="2:16" ht="18" customHeight="1" x14ac:dyDescent="0.25">
      <c r="B106" s="21" t="s">
        <v>0</v>
      </c>
      <c r="C106" s="22" t="s">
        <v>409</v>
      </c>
      <c r="D106" s="22" t="s">
        <v>18</v>
      </c>
      <c r="E106" s="21" t="s">
        <v>2222</v>
      </c>
      <c r="F106" s="23" t="s">
        <v>3</v>
      </c>
      <c r="G106" s="23" t="s">
        <v>4</v>
      </c>
      <c r="H106" s="21" t="str">
        <f t="shared" si="1"/>
        <v>AWO_62_NA4/APPLIED-WATER</v>
      </c>
      <c r="I106" s="24" t="s">
        <v>2223</v>
      </c>
      <c r="J106" s="10" t="str">
        <f>VLOOKUP(Table1[[#This Row],[UID]],CS3SVComposerConfig!$B$3:$D$1808,3,FALSE)</f>
        <v>CS3L2015V0Hydro_SV.dss</v>
      </c>
      <c r="K106" s="10" t="s">
        <v>2212</v>
      </c>
      <c r="L106" s="10" t="s">
        <v>2212</v>
      </c>
      <c r="M106" s="10" t="s">
        <v>2224</v>
      </c>
      <c r="N106" s="10" t="s">
        <v>2225</v>
      </c>
      <c r="O106" s="10" t="s">
        <v>2226</v>
      </c>
      <c r="P106" s="39" t="s">
        <v>2227</v>
      </c>
    </row>
    <row r="107" spans="2:16" ht="18" customHeight="1" x14ac:dyDescent="0.25">
      <c r="B107" s="21" t="s">
        <v>0</v>
      </c>
      <c r="C107" s="22" t="s">
        <v>410</v>
      </c>
      <c r="D107" s="22" t="s">
        <v>18</v>
      </c>
      <c r="E107" s="21" t="s">
        <v>2222</v>
      </c>
      <c r="F107" s="23" t="s">
        <v>3</v>
      </c>
      <c r="G107" s="23" t="s">
        <v>4</v>
      </c>
      <c r="H107" s="21" t="str">
        <f t="shared" si="1"/>
        <v>AWO_62_NA5/APPLIED-WATER</v>
      </c>
      <c r="I107" s="24" t="s">
        <v>2223</v>
      </c>
      <c r="J107" s="10" t="str">
        <f>VLOOKUP(Table1[[#This Row],[UID]],CS3SVComposerConfig!$B$3:$D$1808,3,FALSE)</f>
        <v>CS3L2015V0Hydro_SV.dss</v>
      </c>
      <c r="K107" s="10" t="s">
        <v>2212</v>
      </c>
      <c r="L107" s="10" t="s">
        <v>2212</v>
      </c>
      <c r="M107" s="10" t="s">
        <v>2224</v>
      </c>
      <c r="N107" s="10" t="s">
        <v>2225</v>
      </c>
      <c r="O107" s="10" t="s">
        <v>2226</v>
      </c>
      <c r="P107" s="39" t="s">
        <v>2227</v>
      </c>
    </row>
    <row r="108" spans="2:16" ht="18" customHeight="1" x14ac:dyDescent="0.25">
      <c r="B108" s="21" t="s">
        <v>0</v>
      </c>
      <c r="C108" s="22" t="s">
        <v>411</v>
      </c>
      <c r="D108" s="22" t="s">
        <v>18</v>
      </c>
      <c r="E108" s="21" t="s">
        <v>2222</v>
      </c>
      <c r="F108" s="23" t="s">
        <v>3</v>
      </c>
      <c r="G108" s="23" t="s">
        <v>4</v>
      </c>
      <c r="H108" s="21" t="str">
        <f t="shared" si="1"/>
        <v>AWO_62_NA6/APPLIED-WATER</v>
      </c>
      <c r="I108" s="24" t="s">
        <v>2223</v>
      </c>
      <c r="J108" s="10" t="str">
        <f>VLOOKUP(Table1[[#This Row],[UID]],CS3SVComposerConfig!$B$3:$D$1808,3,FALSE)</f>
        <v>CS3L2015V0Hydro_SV.dss</v>
      </c>
      <c r="K108" s="10" t="s">
        <v>2212</v>
      </c>
      <c r="L108" s="10" t="s">
        <v>2212</v>
      </c>
      <c r="M108" s="10" t="s">
        <v>2224</v>
      </c>
      <c r="N108" s="10" t="s">
        <v>2225</v>
      </c>
      <c r="O108" s="10" t="s">
        <v>2226</v>
      </c>
      <c r="P108" s="39" t="s">
        <v>2227</v>
      </c>
    </row>
    <row r="109" spans="2:16" ht="18" customHeight="1" x14ac:dyDescent="0.25">
      <c r="B109" s="21" t="s">
        <v>0</v>
      </c>
      <c r="C109" s="22" t="s">
        <v>412</v>
      </c>
      <c r="D109" s="22" t="s">
        <v>18</v>
      </c>
      <c r="E109" s="21" t="s">
        <v>2222</v>
      </c>
      <c r="F109" s="23" t="s">
        <v>3</v>
      </c>
      <c r="G109" s="23" t="s">
        <v>4</v>
      </c>
      <c r="H109" s="21" t="str">
        <f t="shared" si="1"/>
        <v>AWO_63_NA1/APPLIED-WATER</v>
      </c>
      <c r="I109" s="24" t="s">
        <v>2223</v>
      </c>
      <c r="J109" s="10" t="str">
        <f>VLOOKUP(Table1[[#This Row],[UID]],CS3SVComposerConfig!$B$3:$D$1808,3,FALSE)</f>
        <v>CS3L2015V0Hydro_SV.dss</v>
      </c>
      <c r="K109" s="10" t="s">
        <v>2212</v>
      </c>
      <c r="L109" s="10" t="s">
        <v>2212</v>
      </c>
      <c r="M109" s="10" t="s">
        <v>2224</v>
      </c>
      <c r="N109" s="10" t="s">
        <v>2225</v>
      </c>
      <c r="O109" s="10" t="s">
        <v>2226</v>
      </c>
      <c r="P109" s="39" t="s">
        <v>2227</v>
      </c>
    </row>
    <row r="110" spans="2:16" ht="18" customHeight="1" x14ac:dyDescent="0.25">
      <c r="B110" s="21" t="s">
        <v>0</v>
      </c>
      <c r="C110" s="22" t="s">
        <v>413</v>
      </c>
      <c r="D110" s="22" t="s">
        <v>18</v>
      </c>
      <c r="E110" s="21" t="s">
        <v>2222</v>
      </c>
      <c r="F110" s="23" t="s">
        <v>3</v>
      </c>
      <c r="G110" s="23" t="s">
        <v>4</v>
      </c>
      <c r="H110" s="21" t="str">
        <f t="shared" si="1"/>
        <v>AWO_63_NA2/APPLIED-WATER</v>
      </c>
      <c r="I110" s="24" t="s">
        <v>2223</v>
      </c>
      <c r="J110" s="10" t="str">
        <f>VLOOKUP(Table1[[#This Row],[UID]],CS3SVComposerConfig!$B$3:$D$1808,3,FALSE)</f>
        <v>CS3L2015V0Hydro_SV.dss</v>
      </c>
      <c r="K110" s="10" t="s">
        <v>2212</v>
      </c>
      <c r="L110" s="10" t="s">
        <v>2212</v>
      </c>
      <c r="M110" s="10" t="s">
        <v>2224</v>
      </c>
      <c r="N110" s="10" t="s">
        <v>2225</v>
      </c>
      <c r="O110" s="10" t="s">
        <v>2226</v>
      </c>
      <c r="P110" s="39" t="s">
        <v>2227</v>
      </c>
    </row>
    <row r="111" spans="2:16" ht="18" customHeight="1" x14ac:dyDescent="0.25">
      <c r="B111" s="21" t="s">
        <v>0</v>
      </c>
      <c r="C111" s="22" t="s">
        <v>414</v>
      </c>
      <c r="D111" s="22" t="s">
        <v>18</v>
      </c>
      <c r="E111" s="21" t="s">
        <v>2222</v>
      </c>
      <c r="F111" s="23" t="s">
        <v>3</v>
      </c>
      <c r="G111" s="23" t="s">
        <v>4</v>
      </c>
      <c r="H111" s="21" t="str">
        <f t="shared" si="1"/>
        <v>AWO_63_NA3/APPLIED-WATER</v>
      </c>
      <c r="I111" s="24" t="s">
        <v>2223</v>
      </c>
      <c r="J111" s="10" t="str">
        <f>VLOOKUP(Table1[[#This Row],[UID]],CS3SVComposerConfig!$B$3:$D$1808,3,FALSE)</f>
        <v>CS3L2015V0Hydro_SV.dss</v>
      </c>
      <c r="K111" s="10" t="s">
        <v>2212</v>
      </c>
      <c r="L111" s="10" t="s">
        <v>2212</v>
      </c>
      <c r="M111" s="10" t="s">
        <v>2224</v>
      </c>
      <c r="N111" s="10" t="s">
        <v>2225</v>
      </c>
      <c r="O111" s="10" t="s">
        <v>2226</v>
      </c>
      <c r="P111" s="39" t="s">
        <v>2227</v>
      </c>
    </row>
    <row r="112" spans="2:16" ht="18" customHeight="1" x14ac:dyDescent="0.25">
      <c r="B112" s="21" t="s">
        <v>0</v>
      </c>
      <c r="C112" s="22" t="s">
        <v>415</v>
      </c>
      <c r="D112" s="22" t="s">
        <v>18</v>
      </c>
      <c r="E112" s="21" t="s">
        <v>2222</v>
      </c>
      <c r="F112" s="23" t="s">
        <v>3</v>
      </c>
      <c r="G112" s="23" t="s">
        <v>4</v>
      </c>
      <c r="H112" s="21" t="str">
        <f t="shared" si="1"/>
        <v>AWO_63_NA4/APPLIED-WATER</v>
      </c>
      <c r="I112" s="24" t="s">
        <v>2223</v>
      </c>
      <c r="J112" s="10" t="str">
        <f>VLOOKUP(Table1[[#This Row],[UID]],CS3SVComposerConfig!$B$3:$D$1808,3,FALSE)</f>
        <v>CS3L2015V0Hydro_SV.dss</v>
      </c>
      <c r="K112" s="10" t="s">
        <v>2212</v>
      </c>
      <c r="L112" s="10" t="s">
        <v>2212</v>
      </c>
      <c r="M112" s="10" t="s">
        <v>2224</v>
      </c>
      <c r="N112" s="10" t="s">
        <v>2225</v>
      </c>
      <c r="O112" s="10" t="s">
        <v>2226</v>
      </c>
      <c r="P112" s="39" t="s">
        <v>2227</v>
      </c>
    </row>
    <row r="113" spans="2:16" ht="18" customHeight="1" x14ac:dyDescent="0.25">
      <c r="B113" s="21" t="s">
        <v>0</v>
      </c>
      <c r="C113" s="22" t="s">
        <v>416</v>
      </c>
      <c r="D113" s="22" t="s">
        <v>18</v>
      </c>
      <c r="E113" s="21" t="s">
        <v>2222</v>
      </c>
      <c r="F113" s="23" t="s">
        <v>3</v>
      </c>
      <c r="G113" s="23" t="s">
        <v>4</v>
      </c>
      <c r="H113" s="21" t="str">
        <f t="shared" si="1"/>
        <v>AWO_63_NA5/APPLIED-WATER</v>
      </c>
      <c r="I113" s="24" t="s">
        <v>2223</v>
      </c>
      <c r="J113" s="10" t="str">
        <f>VLOOKUP(Table1[[#This Row],[UID]],CS3SVComposerConfig!$B$3:$D$1808,3,FALSE)</f>
        <v>CS3L2015V0Hydro_SV.dss</v>
      </c>
      <c r="K113" s="10" t="s">
        <v>2212</v>
      </c>
      <c r="L113" s="10" t="s">
        <v>2212</v>
      </c>
      <c r="M113" s="10" t="s">
        <v>2224</v>
      </c>
      <c r="N113" s="10" t="s">
        <v>2225</v>
      </c>
      <c r="O113" s="10" t="s">
        <v>2226</v>
      </c>
      <c r="P113" s="39" t="s">
        <v>2227</v>
      </c>
    </row>
    <row r="114" spans="2:16" ht="18" customHeight="1" x14ac:dyDescent="0.25">
      <c r="B114" s="21" t="s">
        <v>0</v>
      </c>
      <c r="C114" s="22" t="s">
        <v>417</v>
      </c>
      <c r="D114" s="22" t="s">
        <v>18</v>
      </c>
      <c r="E114" s="21" t="s">
        <v>2222</v>
      </c>
      <c r="F114" s="23" t="s">
        <v>3</v>
      </c>
      <c r="G114" s="23" t="s">
        <v>4</v>
      </c>
      <c r="H114" s="21" t="str">
        <f t="shared" si="1"/>
        <v>AWO_63_PR1/APPLIED-WATER</v>
      </c>
      <c r="I114" s="24" t="s">
        <v>2223</v>
      </c>
      <c r="J114" s="10" t="str">
        <f>VLOOKUP(Table1[[#This Row],[UID]],CS3SVComposerConfig!$B$3:$D$1808,3,FALSE)</f>
        <v>CS3L2015V0Hydro_SV.dss</v>
      </c>
      <c r="K114" s="10" t="s">
        <v>2212</v>
      </c>
      <c r="L114" s="10" t="s">
        <v>2212</v>
      </c>
      <c r="M114" s="10" t="s">
        <v>2224</v>
      </c>
      <c r="N114" s="10" t="s">
        <v>2225</v>
      </c>
      <c r="O114" s="10" t="s">
        <v>2226</v>
      </c>
      <c r="P114" s="39" t="s">
        <v>2227</v>
      </c>
    </row>
    <row r="115" spans="2:16" ht="18" customHeight="1" x14ac:dyDescent="0.25">
      <c r="B115" s="21" t="s">
        <v>0</v>
      </c>
      <c r="C115" s="22" t="s">
        <v>418</v>
      </c>
      <c r="D115" s="22" t="s">
        <v>18</v>
      </c>
      <c r="E115" s="21" t="s">
        <v>2222</v>
      </c>
      <c r="F115" s="23" t="s">
        <v>3</v>
      </c>
      <c r="G115" s="23" t="s">
        <v>4</v>
      </c>
      <c r="H115" s="21" t="str">
        <f t="shared" si="1"/>
        <v>AWO_63_PR2/APPLIED-WATER</v>
      </c>
      <c r="I115" s="24" t="s">
        <v>2223</v>
      </c>
      <c r="J115" s="10" t="str">
        <f>VLOOKUP(Table1[[#This Row],[UID]],CS3SVComposerConfig!$B$3:$D$1808,3,FALSE)</f>
        <v>CS3L2015V0Hydro_SV.dss</v>
      </c>
      <c r="K115" s="10" t="s">
        <v>2212</v>
      </c>
      <c r="L115" s="10" t="s">
        <v>2212</v>
      </c>
      <c r="M115" s="10" t="s">
        <v>2224</v>
      </c>
      <c r="N115" s="10" t="s">
        <v>2225</v>
      </c>
      <c r="O115" s="10" t="s">
        <v>2226</v>
      </c>
      <c r="P115" s="39" t="s">
        <v>2227</v>
      </c>
    </row>
    <row r="116" spans="2:16" ht="18" customHeight="1" x14ac:dyDescent="0.25">
      <c r="B116" s="21" t="s">
        <v>0</v>
      </c>
      <c r="C116" s="22" t="s">
        <v>419</v>
      </c>
      <c r="D116" s="22" t="s">
        <v>18</v>
      </c>
      <c r="E116" s="21" t="s">
        <v>2222</v>
      </c>
      <c r="F116" s="23" t="s">
        <v>3</v>
      </c>
      <c r="G116" s="23" t="s">
        <v>4</v>
      </c>
      <c r="H116" s="21" t="str">
        <f t="shared" si="1"/>
        <v>AWO_63_PR3/APPLIED-WATER</v>
      </c>
      <c r="I116" s="24" t="s">
        <v>2223</v>
      </c>
      <c r="J116" s="10" t="str">
        <f>VLOOKUP(Table1[[#This Row],[UID]],CS3SVComposerConfig!$B$3:$D$1808,3,FALSE)</f>
        <v>CS3L2015V0Hydro_SV.dss</v>
      </c>
      <c r="K116" s="10" t="s">
        <v>2212</v>
      </c>
      <c r="L116" s="10" t="s">
        <v>2212</v>
      </c>
      <c r="M116" s="10" t="s">
        <v>2224</v>
      </c>
      <c r="N116" s="10" t="s">
        <v>2225</v>
      </c>
      <c r="O116" s="10" t="s">
        <v>2226</v>
      </c>
      <c r="P116" s="39" t="s">
        <v>2227</v>
      </c>
    </row>
    <row r="117" spans="2:16" ht="18" customHeight="1" x14ac:dyDescent="0.25">
      <c r="B117" s="21" t="s">
        <v>0</v>
      </c>
      <c r="C117" s="22" t="s">
        <v>420</v>
      </c>
      <c r="D117" s="22" t="s">
        <v>18</v>
      </c>
      <c r="E117" s="21" t="s">
        <v>2222</v>
      </c>
      <c r="F117" s="23" t="s">
        <v>3</v>
      </c>
      <c r="G117" s="23" t="s">
        <v>4</v>
      </c>
      <c r="H117" s="21" t="str">
        <f t="shared" si="1"/>
        <v>AWO_64_NA1/APPLIED-WATER</v>
      </c>
      <c r="I117" s="24" t="s">
        <v>2223</v>
      </c>
      <c r="J117" s="10" t="str">
        <f>VLOOKUP(Table1[[#This Row],[UID]],CS3SVComposerConfig!$B$3:$D$1808,3,FALSE)</f>
        <v>CS3L2015V0Hydro_SV.dss</v>
      </c>
      <c r="K117" s="10" t="s">
        <v>2212</v>
      </c>
      <c r="L117" s="10" t="s">
        <v>2212</v>
      </c>
      <c r="M117" s="10" t="s">
        <v>2224</v>
      </c>
      <c r="N117" s="10" t="s">
        <v>2225</v>
      </c>
      <c r="O117" s="10" t="s">
        <v>2226</v>
      </c>
      <c r="P117" s="39" t="s">
        <v>2227</v>
      </c>
    </row>
    <row r="118" spans="2:16" ht="18" customHeight="1" x14ac:dyDescent="0.25">
      <c r="B118" s="21" t="s">
        <v>0</v>
      </c>
      <c r="C118" s="22" t="s">
        <v>421</v>
      </c>
      <c r="D118" s="22" t="s">
        <v>18</v>
      </c>
      <c r="E118" s="21" t="s">
        <v>2222</v>
      </c>
      <c r="F118" s="23" t="s">
        <v>3</v>
      </c>
      <c r="G118" s="23" t="s">
        <v>4</v>
      </c>
      <c r="H118" s="21" t="str">
        <f t="shared" si="1"/>
        <v>AWO_64_NA2/APPLIED-WATER</v>
      </c>
      <c r="I118" s="24" t="s">
        <v>2223</v>
      </c>
      <c r="J118" s="10" t="str">
        <f>VLOOKUP(Table1[[#This Row],[UID]],CS3SVComposerConfig!$B$3:$D$1808,3,FALSE)</f>
        <v>CS3L2015V0Hydro_SV.dss</v>
      </c>
      <c r="K118" s="10" t="s">
        <v>2212</v>
      </c>
      <c r="L118" s="10" t="s">
        <v>2212</v>
      </c>
      <c r="M118" s="10" t="s">
        <v>2224</v>
      </c>
      <c r="N118" s="10" t="s">
        <v>2225</v>
      </c>
      <c r="O118" s="10" t="s">
        <v>2226</v>
      </c>
      <c r="P118" s="39" t="s">
        <v>2227</v>
      </c>
    </row>
    <row r="119" spans="2:16" ht="18" customHeight="1" x14ac:dyDescent="0.25">
      <c r="B119" s="21" t="s">
        <v>0</v>
      </c>
      <c r="C119" s="22" t="s">
        <v>422</v>
      </c>
      <c r="D119" s="22" t="s">
        <v>18</v>
      </c>
      <c r="E119" s="21" t="s">
        <v>2222</v>
      </c>
      <c r="F119" s="23" t="s">
        <v>3</v>
      </c>
      <c r="G119" s="23" t="s">
        <v>4</v>
      </c>
      <c r="H119" s="21" t="str">
        <f t="shared" si="1"/>
        <v>AWO_64_PA1/APPLIED-WATER</v>
      </c>
      <c r="I119" s="24" t="s">
        <v>2223</v>
      </c>
      <c r="J119" s="10" t="str">
        <f>VLOOKUP(Table1[[#This Row],[UID]],CS3SVComposerConfig!$B$3:$D$1808,3,FALSE)</f>
        <v>CS3L2015V0Hydro_SV.dss</v>
      </c>
      <c r="K119" s="10" t="s">
        <v>2212</v>
      </c>
      <c r="L119" s="10" t="s">
        <v>2212</v>
      </c>
      <c r="M119" s="10" t="s">
        <v>2224</v>
      </c>
      <c r="N119" s="10" t="s">
        <v>2225</v>
      </c>
      <c r="O119" s="10" t="s">
        <v>2226</v>
      </c>
      <c r="P119" s="39" t="s">
        <v>2227</v>
      </c>
    </row>
    <row r="120" spans="2:16" ht="18" customHeight="1" x14ac:dyDescent="0.25">
      <c r="B120" s="21" t="s">
        <v>0</v>
      </c>
      <c r="C120" s="22" t="s">
        <v>423</v>
      </c>
      <c r="D120" s="22" t="s">
        <v>18</v>
      </c>
      <c r="E120" s="21" t="s">
        <v>2222</v>
      </c>
      <c r="F120" s="23" t="s">
        <v>3</v>
      </c>
      <c r="G120" s="23" t="s">
        <v>4</v>
      </c>
      <c r="H120" s="21" t="str">
        <f t="shared" si="1"/>
        <v>AWO_64_PA2/APPLIED-WATER</v>
      </c>
      <c r="I120" s="24" t="s">
        <v>2223</v>
      </c>
      <c r="J120" s="10" t="str">
        <f>VLOOKUP(Table1[[#This Row],[UID]],CS3SVComposerConfig!$B$3:$D$1808,3,FALSE)</f>
        <v>CS3L2015V0Hydro_SV.dss</v>
      </c>
      <c r="K120" s="10" t="s">
        <v>2212</v>
      </c>
      <c r="L120" s="10" t="s">
        <v>2212</v>
      </c>
      <c r="M120" s="10" t="s">
        <v>2224</v>
      </c>
      <c r="N120" s="10" t="s">
        <v>2225</v>
      </c>
      <c r="O120" s="10" t="s">
        <v>2226</v>
      </c>
      <c r="P120" s="39" t="s">
        <v>2227</v>
      </c>
    </row>
    <row r="121" spans="2:16" ht="18" customHeight="1" x14ac:dyDescent="0.25">
      <c r="B121" s="21" t="s">
        <v>0</v>
      </c>
      <c r="C121" s="22" t="s">
        <v>424</v>
      </c>
      <c r="D121" s="22" t="s">
        <v>18</v>
      </c>
      <c r="E121" s="21" t="s">
        <v>2222</v>
      </c>
      <c r="F121" s="23" t="s">
        <v>3</v>
      </c>
      <c r="G121" s="23" t="s">
        <v>4</v>
      </c>
      <c r="H121" s="21" t="str">
        <f t="shared" si="1"/>
        <v>AWO_64_PA3/APPLIED-WATER</v>
      </c>
      <c r="I121" s="24" t="s">
        <v>2223</v>
      </c>
      <c r="J121" s="10" t="str">
        <f>VLOOKUP(Table1[[#This Row],[UID]],CS3SVComposerConfig!$B$3:$D$1808,3,FALSE)</f>
        <v>CS3L2015V0Hydro_SV.dss</v>
      </c>
      <c r="K121" s="10" t="s">
        <v>2212</v>
      </c>
      <c r="L121" s="10" t="s">
        <v>2212</v>
      </c>
      <c r="M121" s="10" t="s">
        <v>2224</v>
      </c>
      <c r="N121" s="10" t="s">
        <v>2225</v>
      </c>
      <c r="O121" s="10" t="s">
        <v>2226</v>
      </c>
      <c r="P121" s="39" t="s">
        <v>2227</v>
      </c>
    </row>
    <row r="122" spans="2:16" ht="18" customHeight="1" x14ac:dyDescent="0.25">
      <c r="B122" s="21" t="s">
        <v>0</v>
      </c>
      <c r="C122" s="22" t="s">
        <v>425</v>
      </c>
      <c r="D122" s="22" t="s">
        <v>18</v>
      </c>
      <c r="E122" s="21" t="s">
        <v>2222</v>
      </c>
      <c r="F122" s="23" t="s">
        <v>3</v>
      </c>
      <c r="G122" s="23" t="s">
        <v>4</v>
      </c>
      <c r="H122" s="21" t="str">
        <f t="shared" si="1"/>
        <v>AWO_64_XA/APPLIED-WATER</v>
      </c>
      <c r="I122" s="24" t="s">
        <v>2223</v>
      </c>
      <c r="J122" s="10" t="str">
        <f>VLOOKUP(Table1[[#This Row],[UID]],CS3SVComposerConfig!$B$3:$D$1808,3,FALSE)</f>
        <v>RebalancedSJR_AW_TW_DP.dss</v>
      </c>
      <c r="K122" s="10" t="s">
        <v>2212</v>
      </c>
      <c r="L122" s="10" t="s">
        <v>2212</v>
      </c>
      <c r="M122" s="10" t="s">
        <v>2224</v>
      </c>
      <c r="N122" s="10" t="s">
        <v>2225</v>
      </c>
      <c r="O122" s="10" t="s">
        <v>2226</v>
      </c>
      <c r="P122" s="39" t="s">
        <v>2227</v>
      </c>
    </row>
    <row r="123" spans="2:16" ht="18" customHeight="1" x14ac:dyDescent="0.25">
      <c r="B123" s="21" t="s">
        <v>0</v>
      </c>
      <c r="C123" s="22" t="s">
        <v>426</v>
      </c>
      <c r="D123" s="22" t="s">
        <v>18</v>
      </c>
      <c r="E123" s="21" t="s">
        <v>2222</v>
      </c>
      <c r="F123" s="23" t="s">
        <v>3</v>
      </c>
      <c r="G123" s="23" t="s">
        <v>4</v>
      </c>
      <c r="H123" s="21" t="str">
        <f t="shared" si="1"/>
        <v>AWO_71_NA1/APPLIED-WATER</v>
      </c>
      <c r="I123" s="24" t="s">
        <v>2223</v>
      </c>
      <c r="J123" s="10" t="str">
        <f>VLOOKUP(Table1[[#This Row],[UID]],CS3SVComposerConfig!$B$3:$D$1808,3,FALSE)</f>
        <v>CS3L2015V0Hydro_SV.dss</v>
      </c>
      <c r="K123" s="10" t="s">
        <v>2212</v>
      </c>
      <c r="L123" s="10" t="s">
        <v>2212</v>
      </c>
      <c r="M123" s="10" t="s">
        <v>2224</v>
      </c>
      <c r="N123" s="10" t="s">
        <v>2225</v>
      </c>
      <c r="O123" s="10" t="s">
        <v>2226</v>
      </c>
      <c r="P123" s="39" t="s">
        <v>2227</v>
      </c>
    </row>
    <row r="124" spans="2:16" ht="18" customHeight="1" x14ac:dyDescent="0.25">
      <c r="B124" s="21" t="s">
        <v>0</v>
      </c>
      <c r="C124" s="22" t="s">
        <v>427</v>
      </c>
      <c r="D124" s="22" t="s">
        <v>18</v>
      </c>
      <c r="E124" s="21" t="s">
        <v>2222</v>
      </c>
      <c r="F124" s="23" t="s">
        <v>3</v>
      </c>
      <c r="G124" s="23" t="s">
        <v>4</v>
      </c>
      <c r="H124" s="21" t="str">
        <f t="shared" si="1"/>
        <v>AWO_71_NA2/APPLIED-WATER</v>
      </c>
      <c r="I124" s="24" t="s">
        <v>2223</v>
      </c>
      <c r="J124" s="10" t="str">
        <f>VLOOKUP(Table1[[#This Row],[UID]],CS3SVComposerConfig!$B$3:$D$1808,3,FALSE)</f>
        <v>CS3L2015V0Hydro_SV.dss</v>
      </c>
      <c r="K124" s="10" t="s">
        <v>2212</v>
      </c>
      <c r="L124" s="10" t="s">
        <v>2212</v>
      </c>
      <c r="M124" s="10" t="s">
        <v>2224</v>
      </c>
      <c r="N124" s="10" t="s">
        <v>2225</v>
      </c>
      <c r="O124" s="10" t="s">
        <v>2226</v>
      </c>
      <c r="P124" s="39" t="s">
        <v>2227</v>
      </c>
    </row>
    <row r="125" spans="2:16" ht="18" customHeight="1" x14ac:dyDescent="0.25">
      <c r="B125" s="21" t="s">
        <v>0</v>
      </c>
      <c r="C125" s="22" t="s">
        <v>428</v>
      </c>
      <c r="D125" s="22" t="s">
        <v>18</v>
      </c>
      <c r="E125" s="21" t="s">
        <v>2222</v>
      </c>
      <c r="F125" s="23" t="s">
        <v>3</v>
      </c>
      <c r="G125" s="23" t="s">
        <v>4</v>
      </c>
      <c r="H125" s="21" t="str">
        <f t="shared" si="1"/>
        <v>AWO_71_NA3/APPLIED-WATER</v>
      </c>
      <c r="I125" s="24" t="s">
        <v>2223</v>
      </c>
      <c r="J125" s="10" t="str">
        <f>VLOOKUP(Table1[[#This Row],[UID]],CS3SVComposerConfig!$B$3:$D$1808,3,FALSE)</f>
        <v>CS3L2015V0Hydro_SV.dss</v>
      </c>
      <c r="K125" s="10" t="s">
        <v>2212</v>
      </c>
      <c r="L125" s="10" t="s">
        <v>2212</v>
      </c>
      <c r="M125" s="10" t="s">
        <v>2224</v>
      </c>
      <c r="N125" s="10" t="s">
        <v>2225</v>
      </c>
      <c r="O125" s="10" t="s">
        <v>2226</v>
      </c>
      <c r="P125" s="39" t="s">
        <v>2227</v>
      </c>
    </row>
    <row r="126" spans="2:16" ht="18" customHeight="1" x14ac:dyDescent="0.25">
      <c r="B126" s="21" t="s">
        <v>0</v>
      </c>
      <c r="C126" s="22" t="s">
        <v>429</v>
      </c>
      <c r="D126" s="22" t="s">
        <v>18</v>
      </c>
      <c r="E126" s="21" t="s">
        <v>2222</v>
      </c>
      <c r="F126" s="23" t="s">
        <v>3</v>
      </c>
      <c r="G126" s="23" t="s">
        <v>4</v>
      </c>
      <c r="H126" s="21" t="str">
        <f t="shared" si="1"/>
        <v>AWO_71_PA1/APPLIED-WATER</v>
      </c>
      <c r="I126" s="24" t="s">
        <v>2223</v>
      </c>
      <c r="J126" s="10" t="str">
        <f>VLOOKUP(Table1[[#This Row],[UID]],CS3SVComposerConfig!$B$3:$D$1808,3,FALSE)</f>
        <v>RebalancedSJR_AW_TW_DP.dss</v>
      </c>
      <c r="K126" s="10" t="s">
        <v>2212</v>
      </c>
      <c r="L126" s="10" t="s">
        <v>2212</v>
      </c>
      <c r="M126" s="10" t="s">
        <v>2224</v>
      </c>
      <c r="N126" s="10" t="s">
        <v>2225</v>
      </c>
      <c r="O126" s="10" t="s">
        <v>2226</v>
      </c>
      <c r="P126" s="39" t="s">
        <v>2227</v>
      </c>
    </row>
    <row r="127" spans="2:16" ht="18" customHeight="1" x14ac:dyDescent="0.25">
      <c r="B127" s="21" t="s">
        <v>0</v>
      </c>
      <c r="C127" s="22" t="s">
        <v>430</v>
      </c>
      <c r="D127" s="22" t="s">
        <v>18</v>
      </c>
      <c r="E127" s="21" t="s">
        <v>2222</v>
      </c>
      <c r="F127" s="23" t="s">
        <v>3</v>
      </c>
      <c r="G127" s="23" t="s">
        <v>4</v>
      </c>
      <c r="H127" s="21" t="str">
        <f t="shared" si="1"/>
        <v>AWO_71_PA2/APPLIED-WATER</v>
      </c>
      <c r="I127" s="24" t="s">
        <v>2223</v>
      </c>
      <c r="J127" s="10" t="str">
        <f>VLOOKUP(Table1[[#This Row],[UID]],CS3SVComposerConfig!$B$3:$D$1808,3,FALSE)</f>
        <v>RebalancedSJR_AW_TW_DP.dss</v>
      </c>
      <c r="K127" s="10" t="s">
        <v>2212</v>
      </c>
      <c r="L127" s="10" t="s">
        <v>2212</v>
      </c>
      <c r="M127" s="10" t="s">
        <v>2224</v>
      </c>
      <c r="N127" s="10" t="s">
        <v>2225</v>
      </c>
      <c r="O127" s="10" t="s">
        <v>2226</v>
      </c>
      <c r="P127" s="39" t="s">
        <v>2227</v>
      </c>
    </row>
    <row r="128" spans="2:16" ht="18" customHeight="1" x14ac:dyDescent="0.25">
      <c r="B128" s="21" t="s">
        <v>0</v>
      </c>
      <c r="C128" s="22" t="s">
        <v>431</v>
      </c>
      <c r="D128" s="22" t="s">
        <v>18</v>
      </c>
      <c r="E128" s="21" t="s">
        <v>2222</v>
      </c>
      <c r="F128" s="23" t="s">
        <v>3</v>
      </c>
      <c r="G128" s="23" t="s">
        <v>4</v>
      </c>
      <c r="H128" s="21" t="str">
        <f t="shared" si="1"/>
        <v>AWO_71_PA3/APPLIED-WATER</v>
      </c>
      <c r="I128" s="24" t="s">
        <v>2223</v>
      </c>
      <c r="J128" s="10" t="str">
        <f>VLOOKUP(Table1[[#This Row],[UID]],CS3SVComposerConfig!$B$3:$D$1808,3,FALSE)</f>
        <v>RebalancedSJR_AW_TW_DP.dss</v>
      </c>
      <c r="K128" s="10" t="s">
        <v>2212</v>
      </c>
      <c r="L128" s="10" t="s">
        <v>2212</v>
      </c>
      <c r="M128" s="10" t="s">
        <v>2224</v>
      </c>
      <c r="N128" s="10" t="s">
        <v>2225</v>
      </c>
      <c r="O128" s="10" t="s">
        <v>2226</v>
      </c>
      <c r="P128" s="39" t="s">
        <v>2227</v>
      </c>
    </row>
    <row r="129" spans="2:16" ht="18" customHeight="1" x14ac:dyDescent="0.25">
      <c r="B129" s="21" t="s">
        <v>0</v>
      </c>
      <c r="C129" s="22" t="s">
        <v>432</v>
      </c>
      <c r="D129" s="22" t="s">
        <v>18</v>
      </c>
      <c r="E129" s="21" t="s">
        <v>2222</v>
      </c>
      <c r="F129" s="23" t="s">
        <v>3</v>
      </c>
      <c r="G129" s="23" t="s">
        <v>4</v>
      </c>
      <c r="H129" s="21" t="str">
        <f t="shared" si="1"/>
        <v>AWO_71_PA4/APPLIED-WATER</v>
      </c>
      <c r="I129" s="24" t="s">
        <v>2223</v>
      </c>
      <c r="J129" s="10" t="str">
        <f>VLOOKUP(Table1[[#This Row],[UID]],CS3SVComposerConfig!$B$3:$D$1808,3,FALSE)</f>
        <v>RebalancedSJR_AW_TW_DP.dss</v>
      </c>
      <c r="K129" s="10" t="s">
        <v>2212</v>
      </c>
      <c r="L129" s="10" t="s">
        <v>2212</v>
      </c>
      <c r="M129" s="10" t="s">
        <v>2224</v>
      </c>
      <c r="N129" s="10" t="s">
        <v>2225</v>
      </c>
      <c r="O129" s="10" t="s">
        <v>2226</v>
      </c>
      <c r="P129" s="39" t="s">
        <v>2227</v>
      </c>
    </row>
    <row r="130" spans="2:16" ht="18" customHeight="1" x14ac:dyDescent="0.25">
      <c r="B130" s="21" t="s">
        <v>0</v>
      </c>
      <c r="C130" s="22" t="s">
        <v>433</v>
      </c>
      <c r="D130" s="22" t="s">
        <v>18</v>
      </c>
      <c r="E130" s="21" t="s">
        <v>2222</v>
      </c>
      <c r="F130" s="23" t="s">
        <v>3</v>
      </c>
      <c r="G130" s="23" t="s">
        <v>4</v>
      </c>
      <c r="H130" s="21" t="str">
        <f t="shared" si="1"/>
        <v>AWO_71_PA5/APPLIED-WATER</v>
      </c>
      <c r="I130" s="24" t="s">
        <v>2223</v>
      </c>
      <c r="J130" s="10" t="str">
        <f>VLOOKUP(Table1[[#This Row],[UID]],CS3SVComposerConfig!$B$3:$D$1808,3,FALSE)</f>
        <v>RebalancedSJR_AW_TW_DP.dss</v>
      </c>
      <c r="K130" s="10" t="s">
        <v>2212</v>
      </c>
      <c r="L130" s="10" t="s">
        <v>2212</v>
      </c>
      <c r="M130" s="10" t="s">
        <v>2224</v>
      </c>
      <c r="N130" s="10" t="s">
        <v>2225</v>
      </c>
      <c r="O130" s="10" t="s">
        <v>2226</v>
      </c>
      <c r="P130" s="39" t="s">
        <v>2227</v>
      </c>
    </row>
    <row r="131" spans="2:16" ht="18" customHeight="1" x14ac:dyDescent="0.25">
      <c r="B131" s="21" t="s">
        <v>0</v>
      </c>
      <c r="C131" s="22" t="s">
        <v>434</v>
      </c>
      <c r="D131" s="22" t="s">
        <v>18</v>
      </c>
      <c r="E131" s="21" t="s">
        <v>2222</v>
      </c>
      <c r="F131" s="23" t="s">
        <v>3</v>
      </c>
      <c r="G131" s="23" t="s">
        <v>4</v>
      </c>
      <c r="H131" s="21" t="str">
        <f t="shared" ref="H131:H194" si="2">_xlfn.CONCAT(C131,"/",D131)</f>
        <v>AWO_71_PA6/APPLIED-WATER</v>
      </c>
      <c r="I131" s="24" t="s">
        <v>2223</v>
      </c>
      <c r="J131" s="10" t="str">
        <f>VLOOKUP(Table1[[#This Row],[UID]],CS3SVComposerConfig!$B$3:$D$1808,3,FALSE)</f>
        <v>RebalancedSJR_AW_TW_DP.dss</v>
      </c>
      <c r="K131" s="10" t="s">
        <v>2212</v>
      </c>
      <c r="L131" s="10" t="s">
        <v>2212</v>
      </c>
      <c r="M131" s="10" t="s">
        <v>2224</v>
      </c>
      <c r="N131" s="10" t="s">
        <v>2225</v>
      </c>
      <c r="O131" s="10" t="s">
        <v>2226</v>
      </c>
      <c r="P131" s="39" t="s">
        <v>2227</v>
      </c>
    </row>
    <row r="132" spans="2:16" ht="18" customHeight="1" x14ac:dyDescent="0.25">
      <c r="B132" s="21" t="s">
        <v>0</v>
      </c>
      <c r="C132" s="22" t="s">
        <v>435</v>
      </c>
      <c r="D132" s="22" t="s">
        <v>18</v>
      </c>
      <c r="E132" s="21" t="s">
        <v>2222</v>
      </c>
      <c r="F132" s="23" t="s">
        <v>3</v>
      </c>
      <c r="G132" s="23" t="s">
        <v>4</v>
      </c>
      <c r="H132" s="21" t="str">
        <f t="shared" si="2"/>
        <v>AWO_71_PA7/APPLIED-WATER</v>
      </c>
      <c r="I132" s="24" t="s">
        <v>2223</v>
      </c>
      <c r="J132" s="10" t="str">
        <f>VLOOKUP(Table1[[#This Row],[UID]],CS3SVComposerConfig!$B$3:$D$1808,3,FALSE)</f>
        <v>RebalancedSJR_AW_TW_DP.dss</v>
      </c>
      <c r="K132" s="10" t="s">
        <v>2212</v>
      </c>
      <c r="L132" s="10" t="s">
        <v>2212</v>
      </c>
      <c r="M132" s="10" t="s">
        <v>2224</v>
      </c>
      <c r="N132" s="10" t="s">
        <v>2225</v>
      </c>
      <c r="O132" s="10" t="s">
        <v>2226</v>
      </c>
      <c r="P132" s="39" t="s">
        <v>2227</v>
      </c>
    </row>
    <row r="133" spans="2:16" ht="18" customHeight="1" x14ac:dyDescent="0.25">
      <c r="B133" s="21" t="s">
        <v>0</v>
      </c>
      <c r="C133" s="22" t="s">
        <v>436</v>
      </c>
      <c r="D133" s="22" t="s">
        <v>18</v>
      </c>
      <c r="E133" s="21" t="s">
        <v>2222</v>
      </c>
      <c r="F133" s="23" t="s">
        <v>3</v>
      </c>
      <c r="G133" s="23" t="s">
        <v>4</v>
      </c>
      <c r="H133" s="21" t="str">
        <f t="shared" si="2"/>
        <v>AWO_71_PA8/APPLIED-WATER</v>
      </c>
      <c r="I133" s="24" t="s">
        <v>2223</v>
      </c>
      <c r="J133" s="10" t="str">
        <f>VLOOKUP(Table1[[#This Row],[UID]],CS3SVComposerConfig!$B$3:$D$1808,3,FALSE)</f>
        <v>RebalancedSJR_AW_TW_DP.dss</v>
      </c>
      <c r="K133" s="10" t="s">
        <v>2212</v>
      </c>
      <c r="L133" s="10" t="s">
        <v>2212</v>
      </c>
      <c r="M133" s="10" t="s">
        <v>2224</v>
      </c>
      <c r="N133" s="10" t="s">
        <v>2225</v>
      </c>
      <c r="O133" s="10" t="s">
        <v>2226</v>
      </c>
      <c r="P133" s="39" t="s">
        <v>2227</v>
      </c>
    </row>
    <row r="134" spans="2:16" ht="18" customHeight="1" x14ac:dyDescent="0.25">
      <c r="B134" s="21" t="s">
        <v>0</v>
      </c>
      <c r="C134" s="22" t="s">
        <v>437</v>
      </c>
      <c r="D134" s="22" t="s">
        <v>18</v>
      </c>
      <c r="E134" s="21" t="s">
        <v>2222</v>
      </c>
      <c r="F134" s="23" t="s">
        <v>3</v>
      </c>
      <c r="G134" s="23" t="s">
        <v>4</v>
      </c>
      <c r="H134" s="21" t="str">
        <f t="shared" si="2"/>
        <v>AWO_72_NA1/APPLIED-WATER</v>
      </c>
      <c r="I134" s="24" t="s">
        <v>2223</v>
      </c>
      <c r="J134" s="10" t="str">
        <f>VLOOKUP(Table1[[#This Row],[UID]],CS3SVComposerConfig!$B$3:$D$1808,3,FALSE)</f>
        <v>CS3L2015V0Hydro_SV.dss</v>
      </c>
      <c r="K134" s="10" t="s">
        <v>2212</v>
      </c>
      <c r="L134" s="10" t="s">
        <v>2212</v>
      </c>
      <c r="M134" s="10" t="s">
        <v>2224</v>
      </c>
      <c r="N134" s="10" t="s">
        <v>2225</v>
      </c>
      <c r="O134" s="10" t="s">
        <v>2226</v>
      </c>
      <c r="P134" s="39" t="s">
        <v>2227</v>
      </c>
    </row>
    <row r="135" spans="2:16" ht="18" customHeight="1" x14ac:dyDescent="0.25">
      <c r="B135" s="21" t="s">
        <v>0</v>
      </c>
      <c r="C135" s="22" t="s">
        <v>438</v>
      </c>
      <c r="D135" s="22" t="s">
        <v>18</v>
      </c>
      <c r="E135" s="21" t="s">
        <v>2222</v>
      </c>
      <c r="F135" s="23" t="s">
        <v>3</v>
      </c>
      <c r="G135" s="23" t="s">
        <v>4</v>
      </c>
      <c r="H135" s="21" t="str">
        <f t="shared" si="2"/>
        <v>AWO_72_NA2/APPLIED-WATER</v>
      </c>
      <c r="I135" s="24" t="s">
        <v>2223</v>
      </c>
      <c r="J135" s="10" t="str">
        <f>VLOOKUP(Table1[[#This Row],[UID]],CS3SVComposerConfig!$B$3:$D$1808,3,FALSE)</f>
        <v>CS3L2015V0Hydro_SV.dss</v>
      </c>
      <c r="K135" s="10" t="s">
        <v>2212</v>
      </c>
      <c r="L135" s="10" t="s">
        <v>2212</v>
      </c>
      <c r="M135" s="10" t="s">
        <v>2224</v>
      </c>
      <c r="N135" s="10" t="s">
        <v>2225</v>
      </c>
      <c r="O135" s="10" t="s">
        <v>2226</v>
      </c>
      <c r="P135" s="39" t="s">
        <v>2227</v>
      </c>
    </row>
    <row r="136" spans="2:16" ht="18" customHeight="1" x14ac:dyDescent="0.25">
      <c r="B136" s="21" t="s">
        <v>0</v>
      </c>
      <c r="C136" s="22" t="s">
        <v>439</v>
      </c>
      <c r="D136" s="22" t="s">
        <v>18</v>
      </c>
      <c r="E136" s="21" t="s">
        <v>2222</v>
      </c>
      <c r="F136" s="23" t="s">
        <v>3</v>
      </c>
      <c r="G136" s="23" t="s">
        <v>4</v>
      </c>
      <c r="H136" s="21" t="str">
        <f t="shared" si="2"/>
        <v>AWO_72_PA/APPLIED-WATER</v>
      </c>
      <c r="I136" s="24" t="s">
        <v>2223</v>
      </c>
      <c r="J136" s="10" t="str">
        <f>VLOOKUP(Table1[[#This Row],[UID]],CS3SVComposerConfig!$B$3:$D$1808,3,FALSE)</f>
        <v>RebalancedSJR_AW_TW_DP.dss</v>
      </c>
      <c r="K136" s="10" t="s">
        <v>2212</v>
      </c>
      <c r="L136" s="10" t="s">
        <v>2212</v>
      </c>
      <c r="M136" s="10" t="s">
        <v>2224</v>
      </c>
      <c r="N136" s="10" t="s">
        <v>2225</v>
      </c>
      <c r="O136" s="10" t="s">
        <v>2226</v>
      </c>
      <c r="P136" s="39" t="s">
        <v>2227</v>
      </c>
    </row>
    <row r="137" spans="2:16" ht="18" customHeight="1" x14ac:dyDescent="0.25">
      <c r="B137" s="21" t="s">
        <v>0</v>
      </c>
      <c r="C137" s="22" t="s">
        <v>440</v>
      </c>
      <c r="D137" s="22" t="s">
        <v>18</v>
      </c>
      <c r="E137" s="21" t="s">
        <v>2222</v>
      </c>
      <c r="F137" s="23" t="s">
        <v>3</v>
      </c>
      <c r="G137" s="23" t="s">
        <v>4</v>
      </c>
      <c r="H137" s="21" t="str">
        <f t="shared" si="2"/>
        <v>AWO_72_PR1/APPLIED-WATER</v>
      </c>
      <c r="I137" s="24" t="s">
        <v>2223</v>
      </c>
      <c r="J137" s="10" t="str">
        <f>VLOOKUP(Table1[[#This Row],[UID]],CS3SVComposerConfig!$B$3:$D$1808,3,FALSE)</f>
        <v>RebalancedSJR_AW_TW_DP.dss</v>
      </c>
      <c r="K137" s="10" t="s">
        <v>2212</v>
      </c>
      <c r="L137" s="10" t="s">
        <v>2224</v>
      </c>
      <c r="M137" s="10" t="s">
        <v>2224</v>
      </c>
      <c r="N137" s="10" t="s">
        <v>2225</v>
      </c>
      <c r="O137" s="10" t="s">
        <v>2226</v>
      </c>
      <c r="P137" s="39" t="s">
        <v>2227</v>
      </c>
    </row>
    <row r="138" spans="2:16" ht="18" customHeight="1" x14ac:dyDescent="0.25">
      <c r="B138" s="21" t="s">
        <v>0</v>
      </c>
      <c r="C138" s="22" t="s">
        <v>441</v>
      </c>
      <c r="D138" s="22" t="s">
        <v>18</v>
      </c>
      <c r="E138" s="21" t="s">
        <v>2222</v>
      </c>
      <c r="F138" s="23" t="s">
        <v>3</v>
      </c>
      <c r="G138" s="23" t="s">
        <v>4</v>
      </c>
      <c r="H138" s="21" t="str">
        <f t="shared" si="2"/>
        <v>AWO_72_PR2/APPLIED-WATER</v>
      </c>
      <c r="I138" s="24" t="s">
        <v>2223</v>
      </c>
      <c r="J138" s="10" t="str">
        <f>VLOOKUP(Table1[[#This Row],[UID]],CS3SVComposerConfig!$B$3:$D$1808,3,FALSE)</f>
        <v>RebalancedSJR_AW_TW_DP.dss</v>
      </c>
      <c r="K138" s="10" t="s">
        <v>2212</v>
      </c>
      <c r="L138" s="10" t="s">
        <v>2224</v>
      </c>
      <c r="M138" s="10" t="s">
        <v>2224</v>
      </c>
      <c r="N138" s="10" t="s">
        <v>2225</v>
      </c>
      <c r="O138" s="10" t="s">
        <v>2226</v>
      </c>
      <c r="P138" s="39" t="s">
        <v>2227</v>
      </c>
    </row>
    <row r="139" spans="2:16" ht="18" customHeight="1" x14ac:dyDescent="0.25">
      <c r="B139" s="21" t="s">
        <v>0</v>
      </c>
      <c r="C139" s="22" t="s">
        <v>442</v>
      </c>
      <c r="D139" s="22" t="s">
        <v>18</v>
      </c>
      <c r="E139" s="21" t="s">
        <v>2222</v>
      </c>
      <c r="F139" s="23" t="s">
        <v>3</v>
      </c>
      <c r="G139" s="23" t="s">
        <v>4</v>
      </c>
      <c r="H139" s="21" t="str">
        <f t="shared" si="2"/>
        <v>AWO_72_PR3/APPLIED-WATER</v>
      </c>
      <c r="I139" s="24" t="s">
        <v>2223</v>
      </c>
      <c r="J139" s="10" t="str">
        <f>VLOOKUP(Table1[[#This Row],[UID]],CS3SVComposerConfig!$B$3:$D$1808,3,FALSE)</f>
        <v>RebalancedSJR_AW_TW_DP.dss</v>
      </c>
      <c r="K139" s="10" t="s">
        <v>2212</v>
      </c>
      <c r="L139" s="10" t="s">
        <v>2224</v>
      </c>
      <c r="M139" s="10" t="s">
        <v>2224</v>
      </c>
      <c r="N139" s="10" t="s">
        <v>2225</v>
      </c>
      <c r="O139" s="10" t="s">
        <v>2226</v>
      </c>
      <c r="P139" s="39" t="s">
        <v>2227</v>
      </c>
    </row>
    <row r="140" spans="2:16" ht="18" customHeight="1" x14ac:dyDescent="0.25">
      <c r="B140" s="21" t="s">
        <v>0</v>
      </c>
      <c r="C140" s="22" t="s">
        <v>443</v>
      </c>
      <c r="D140" s="22" t="s">
        <v>18</v>
      </c>
      <c r="E140" s="21" t="s">
        <v>2222</v>
      </c>
      <c r="F140" s="23" t="s">
        <v>3</v>
      </c>
      <c r="G140" s="23" t="s">
        <v>4</v>
      </c>
      <c r="H140" s="21" t="str">
        <f t="shared" si="2"/>
        <v>AWO_72_PR4/APPLIED-WATER</v>
      </c>
      <c r="I140" s="24" t="s">
        <v>2223</v>
      </c>
      <c r="J140" s="10" t="str">
        <f>VLOOKUP(Table1[[#This Row],[UID]],CS3SVComposerConfig!$B$3:$D$1808,3,FALSE)</f>
        <v>RebalancedSJR_AW_TW_DP.dss</v>
      </c>
      <c r="K140" s="10" t="s">
        <v>2212</v>
      </c>
      <c r="L140" s="10" t="s">
        <v>2212</v>
      </c>
      <c r="M140" s="10" t="s">
        <v>2224</v>
      </c>
      <c r="N140" s="10" t="s">
        <v>2225</v>
      </c>
      <c r="O140" s="10" t="s">
        <v>2226</v>
      </c>
      <c r="P140" s="39" t="s">
        <v>2227</v>
      </c>
    </row>
    <row r="141" spans="2:16" ht="18" customHeight="1" x14ac:dyDescent="0.25">
      <c r="B141" s="21" t="s">
        <v>0</v>
      </c>
      <c r="C141" s="22" t="s">
        <v>444</v>
      </c>
      <c r="D141" s="22" t="s">
        <v>18</v>
      </c>
      <c r="E141" s="21" t="s">
        <v>2222</v>
      </c>
      <c r="F141" s="23" t="s">
        <v>3</v>
      </c>
      <c r="G141" s="23" t="s">
        <v>4</v>
      </c>
      <c r="H141" s="21" t="str">
        <f t="shared" si="2"/>
        <v>AWO_72_PR5/APPLIED-WATER</v>
      </c>
      <c r="I141" s="24" t="s">
        <v>2223</v>
      </c>
      <c r="J141" s="10" t="str">
        <f>VLOOKUP(Table1[[#This Row],[UID]],CS3SVComposerConfig!$B$3:$D$1808,3,FALSE)</f>
        <v>RebalancedSJR_AW_TW_DP.dss</v>
      </c>
      <c r="K141" s="10" t="s">
        <v>2212</v>
      </c>
      <c r="L141" s="10" t="s">
        <v>2212</v>
      </c>
      <c r="M141" s="10" t="s">
        <v>2224</v>
      </c>
      <c r="N141" s="10" t="s">
        <v>2225</v>
      </c>
      <c r="O141" s="10" t="s">
        <v>2226</v>
      </c>
      <c r="P141" s="39" t="s">
        <v>2227</v>
      </c>
    </row>
    <row r="142" spans="2:16" ht="18" customHeight="1" x14ac:dyDescent="0.25">
      <c r="B142" s="21" t="s">
        <v>0</v>
      </c>
      <c r="C142" s="22" t="s">
        <v>445</v>
      </c>
      <c r="D142" s="22" t="s">
        <v>18</v>
      </c>
      <c r="E142" s="21" t="s">
        <v>2222</v>
      </c>
      <c r="F142" s="23" t="s">
        <v>3</v>
      </c>
      <c r="G142" s="23" t="s">
        <v>4</v>
      </c>
      <c r="H142" s="21" t="str">
        <f t="shared" si="2"/>
        <v>AWO_72_PR6/APPLIED-WATER</v>
      </c>
      <c r="I142" s="24" t="s">
        <v>2223</v>
      </c>
      <c r="J142" s="10" t="str">
        <f>VLOOKUP(Table1[[#This Row],[UID]],CS3SVComposerConfig!$B$3:$D$1808,3,FALSE)</f>
        <v>RebalancedSJR_AW_TW_DP.dss</v>
      </c>
      <c r="K142" s="10" t="s">
        <v>2212</v>
      </c>
      <c r="L142" s="10" t="s">
        <v>2212</v>
      </c>
      <c r="M142" s="10" t="s">
        <v>2224</v>
      </c>
      <c r="N142" s="10" t="s">
        <v>2225</v>
      </c>
      <c r="O142" s="10" t="s">
        <v>2226</v>
      </c>
      <c r="P142" s="39" t="s">
        <v>2227</v>
      </c>
    </row>
    <row r="143" spans="2:16" ht="18" customHeight="1" x14ac:dyDescent="0.25">
      <c r="B143" s="21" t="s">
        <v>0</v>
      </c>
      <c r="C143" s="22" t="s">
        <v>446</v>
      </c>
      <c r="D143" s="22" t="s">
        <v>18</v>
      </c>
      <c r="E143" s="21" t="s">
        <v>2222</v>
      </c>
      <c r="F143" s="23" t="s">
        <v>3</v>
      </c>
      <c r="G143" s="23" t="s">
        <v>4</v>
      </c>
      <c r="H143" s="21" t="str">
        <f t="shared" si="2"/>
        <v>AWO_72_XA1/APPLIED-WATER</v>
      </c>
      <c r="I143" s="24" t="s">
        <v>2223</v>
      </c>
      <c r="J143" s="10" t="str">
        <f>VLOOKUP(Table1[[#This Row],[UID]],CS3SVComposerConfig!$B$3:$D$1808,3,FALSE)</f>
        <v>RebalancedSJR_AW_TW_DP.dss</v>
      </c>
      <c r="K143" s="10" t="s">
        <v>2212</v>
      </c>
      <c r="L143" s="10" t="s">
        <v>2212</v>
      </c>
      <c r="M143" s="10" t="s">
        <v>2224</v>
      </c>
      <c r="N143" s="10" t="s">
        <v>2225</v>
      </c>
      <c r="O143" s="10" t="s">
        <v>2226</v>
      </c>
      <c r="P143" s="39" t="s">
        <v>2227</v>
      </c>
    </row>
    <row r="144" spans="2:16" ht="18" customHeight="1" x14ac:dyDescent="0.25">
      <c r="B144" s="21" t="s">
        <v>0</v>
      </c>
      <c r="C144" s="22" t="s">
        <v>447</v>
      </c>
      <c r="D144" s="22" t="s">
        <v>18</v>
      </c>
      <c r="E144" s="21" t="s">
        <v>2222</v>
      </c>
      <c r="F144" s="23" t="s">
        <v>3</v>
      </c>
      <c r="G144" s="23" t="s">
        <v>4</v>
      </c>
      <c r="H144" s="21" t="str">
        <f t="shared" si="2"/>
        <v>AWO_72_XA2/APPLIED-WATER</v>
      </c>
      <c r="I144" s="24" t="s">
        <v>2223</v>
      </c>
      <c r="J144" s="10" t="str">
        <f>VLOOKUP(Table1[[#This Row],[UID]],CS3SVComposerConfig!$B$3:$D$1808,3,FALSE)</f>
        <v>RebalancedSJR_AW_TW_DP.dss</v>
      </c>
      <c r="K144" s="10" t="s">
        <v>2212</v>
      </c>
      <c r="L144" s="10" t="s">
        <v>2212</v>
      </c>
      <c r="M144" s="10" t="s">
        <v>2224</v>
      </c>
      <c r="N144" s="10" t="s">
        <v>2225</v>
      </c>
      <c r="O144" s="10" t="s">
        <v>2226</v>
      </c>
      <c r="P144" s="39" t="s">
        <v>2227</v>
      </c>
    </row>
    <row r="145" spans="2:16" ht="18" customHeight="1" x14ac:dyDescent="0.25">
      <c r="B145" s="21" t="s">
        <v>0</v>
      </c>
      <c r="C145" s="22" t="s">
        <v>448</v>
      </c>
      <c r="D145" s="22" t="s">
        <v>18</v>
      </c>
      <c r="E145" s="21" t="s">
        <v>2222</v>
      </c>
      <c r="F145" s="23" t="s">
        <v>3</v>
      </c>
      <c r="G145" s="23" t="s">
        <v>4</v>
      </c>
      <c r="H145" s="21" t="str">
        <f t="shared" si="2"/>
        <v>AWO_72_XA3/APPLIED-WATER</v>
      </c>
      <c r="I145" s="24" t="s">
        <v>2223</v>
      </c>
      <c r="J145" s="10" t="str">
        <f>VLOOKUP(Table1[[#This Row],[UID]],CS3SVComposerConfig!$B$3:$D$1808,3,FALSE)</f>
        <v>RebalancedSJR_AW_TW_DP.dss</v>
      </c>
      <c r="K145" s="10" t="s">
        <v>2212</v>
      </c>
      <c r="L145" s="10" t="s">
        <v>2212</v>
      </c>
      <c r="M145" s="10" t="s">
        <v>2224</v>
      </c>
      <c r="N145" s="10" t="s">
        <v>2225</v>
      </c>
      <c r="O145" s="10" t="s">
        <v>2226</v>
      </c>
      <c r="P145" s="39" t="s">
        <v>2227</v>
      </c>
    </row>
    <row r="146" spans="2:16" ht="18" customHeight="1" x14ac:dyDescent="0.25">
      <c r="B146" s="21" t="s">
        <v>0</v>
      </c>
      <c r="C146" s="22" t="s">
        <v>449</v>
      </c>
      <c r="D146" s="22" t="s">
        <v>18</v>
      </c>
      <c r="E146" s="21" t="s">
        <v>2222</v>
      </c>
      <c r="F146" s="23" t="s">
        <v>3</v>
      </c>
      <c r="G146" s="23" t="s">
        <v>4</v>
      </c>
      <c r="H146" s="21" t="str">
        <f t="shared" si="2"/>
        <v>AWO_73_NA/APPLIED-WATER</v>
      </c>
      <c r="I146" s="24" t="s">
        <v>2223</v>
      </c>
      <c r="J146" s="10" t="str">
        <f>VLOOKUP(Table1[[#This Row],[UID]],CS3SVComposerConfig!$B$3:$D$1808,3,FALSE)</f>
        <v>CS3L2015V0Hydro_SV.dss</v>
      </c>
      <c r="K146" s="10" t="s">
        <v>2212</v>
      </c>
      <c r="L146" s="10" t="s">
        <v>2212</v>
      </c>
      <c r="M146" s="10" t="s">
        <v>2224</v>
      </c>
      <c r="N146" s="10" t="s">
        <v>2225</v>
      </c>
      <c r="O146" s="10" t="s">
        <v>2226</v>
      </c>
      <c r="P146" s="39" t="s">
        <v>2227</v>
      </c>
    </row>
    <row r="147" spans="2:16" ht="18" customHeight="1" x14ac:dyDescent="0.25">
      <c r="B147" s="21" t="s">
        <v>0</v>
      </c>
      <c r="C147" s="22" t="s">
        <v>450</v>
      </c>
      <c r="D147" s="22" t="s">
        <v>18</v>
      </c>
      <c r="E147" s="21" t="s">
        <v>2222</v>
      </c>
      <c r="F147" s="23" t="s">
        <v>3</v>
      </c>
      <c r="G147" s="23" t="s">
        <v>4</v>
      </c>
      <c r="H147" s="21" t="str">
        <f t="shared" si="2"/>
        <v>AWO_73_PA1/APPLIED-WATER</v>
      </c>
      <c r="I147" s="24" t="s">
        <v>2223</v>
      </c>
      <c r="J147" s="10" t="str">
        <f>VLOOKUP(Table1[[#This Row],[UID]],CS3SVComposerConfig!$B$3:$D$1808,3,FALSE)</f>
        <v>RebalancedSJR_AW_TW_DP.dss</v>
      </c>
      <c r="K147" s="10" t="s">
        <v>2212</v>
      </c>
      <c r="L147" s="10" t="s">
        <v>2212</v>
      </c>
      <c r="M147" s="10" t="s">
        <v>2224</v>
      </c>
      <c r="N147" s="10" t="s">
        <v>2225</v>
      </c>
      <c r="O147" s="10" t="s">
        <v>2226</v>
      </c>
      <c r="P147" s="39" t="s">
        <v>2227</v>
      </c>
    </row>
    <row r="148" spans="2:16" ht="18" customHeight="1" x14ac:dyDescent="0.25">
      <c r="B148" s="21" t="s">
        <v>0</v>
      </c>
      <c r="C148" s="22" t="s">
        <v>451</v>
      </c>
      <c r="D148" s="22" t="s">
        <v>18</v>
      </c>
      <c r="E148" s="21" t="s">
        <v>2222</v>
      </c>
      <c r="F148" s="23" t="s">
        <v>3</v>
      </c>
      <c r="G148" s="23" t="s">
        <v>4</v>
      </c>
      <c r="H148" s="21" t="str">
        <f t="shared" si="2"/>
        <v>AWO_73_PA2/APPLIED-WATER</v>
      </c>
      <c r="I148" s="24" t="s">
        <v>2223</v>
      </c>
      <c r="J148" s="10" t="str">
        <f>VLOOKUP(Table1[[#This Row],[UID]],CS3SVComposerConfig!$B$3:$D$1808,3,FALSE)</f>
        <v>RebalancedSJR_AW_TW_DP.dss</v>
      </c>
      <c r="K148" s="10" t="s">
        <v>2212</v>
      </c>
      <c r="L148" s="10" t="s">
        <v>2212</v>
      </c>
      <c r="M148" s="10" t="s">
        <v>2224</v>
      </c>
      <c r="N148" s="10" t="s">
        <v>2225</v>
      </c>
      <c r="O148" s="10" t="s">
        <v>2226</v>
      </c>
      <c r="P148" s="39" t="s">
        <v>2227</v>
      </c>
    </row>
    <row r="149" spans="2:16" ht="18" customHeight="1" x14ac:dyDescent="0.25">
      <c r="B149" s="21" t="s">
        <v>0</v>
      </c>
      <c r="C149" s="22" t="s">
        <v>452</v>
      </c>
      <c r="D149" s="22" t="s">
        <v>18</v>
      </c>
      <c r="E149" s="21" t="s">
        <v>2222</v>
      </c>
      <c r="F149" s="23" t="s">
        <v>3</v>
      </c>
      <c r="G149" s="23" t="s">
        <v>4</v>
      </c>
      <c r="H149" s="21" t="str">
        <f t="shared" si="2"/>
        <v>AWO_73_PA3/APPLIED-WATER</v>
      </c>
      <c r="I149" s="24" t="s">
        <v>2223</v>
      </c>
      <c r="J149" s="10" t="str">
        <f>VLOOKUP(Table1[[#This Row],[UID]],CS3SVComposerConfig!$B$3:$D$1808,3,FALSE)</f>
        <v>RebalancedSJR_AW_TW_DP.dss</v>
      </c>
      <c r="K149" s="10" t="s">
        <v>2212</v>
      </c>
      <c r="L149" s="10" t="s">
        <v>2212</v>
      </c>
      <c r="M149" s="10" t="s">
        <v>2224</v>
      </c>
      <c r="N149" s="10" t="s">
        <v>2225</v>
      </c>
      <c r="O149" s="10" t="s">
        <v>2226</v>
      </c>
      <c r="P149" s="39" t="s">
        <v>2227</v>
      </c>
    </row>
    <row r="150" spans="2:16" ht="18" customHeight="1" x14ac:dyDescent="0.25">
      <c r="B150" s="21" t="s">
        <v>0</v>
      </c>
      <c r="C150" s="22" t="s">
        <v>453</v>
      </c>
      <c r="D150" s="22" t="s">
        <v>18</v>
      </c>
      <c r="E150" s="21" t="s">
        <v>2222</v>
      </c>
      <c r="F150" s="23" t="s">
        <v>3</v>
      </c>
      <c r="G150" s="23" t="s">
        <v>4</v>
      </c>
      <c r="H150" s="21" t="str">
        <f t="shared" si="2"/>
        <v>AWO_73_XA/APPLIED-WATER</v>
      </c>
      <c r="I150" s="24" t="s">
        <v>2223</v>
      </c>
      <c r="J150" s="10" t="str">
        <f>VLOOKUP(Table1[[#This Row],[UID]],CS3SVComposerConfig!$B$3:$D$1808,3,FALSE)</f>
        <v>RebalancedSJR_AW_TW_DP.dss</v>
      </c>
      <c r="K150" s="10" t="s">
        <v>2212</v>
      </c>
      <c r="L150" s="10" t="s">
        <v>2212</v>
      </c>
      <c r="M150" s="10" t="s">
        <v>2224</v>
      </c>
      <c r="N150" s="10" t="s">
        <v>2225</v>
      </c>
      <c r="O150" s="10" t="s">
        <v>2226</v>
      </c>
      <c r="P150" s="39" t="s">
        <v>2227</v>
      </c>
    </row>
    <row r="151" spans="2:16" ht="18" customHeight="1" x14ac:dyDescent="0.25">
      <c r="B151" s="21" t="s">
        <v>0</v>
      </c>
      <c r="C151" s="22" t="s">
        <v>454</v>
      </c>
      <c r="D151" s="22" t="s">
        <v>18</v>
      </c>
      <c r="E151" s="21" t="s">
        <v>2222</v>
      </c>
      <c r="F151" s="23" t="s">
        <v>3</v>
      </c>
      <c r="G151" s="23" t="s">
        <v>4</v>
      </c>
      <c r="H151" s="21" t="str">
        <f t="shared" si="2"/>
        <v>AWO_90_NA/APPLIED-WATER</v>
      </c>
      <c r="I151" s="24" t="s">
        <v>2223</v>
      </c>
      <c r="J151" s="10" t="str">
        <f>VLOOKUP(Table1[[#This Row],[UID]],CS3SVComposerConfig!$B$3:$D$1808,3,FALSE)</f>
        <v>CS3L2015V0Hydro_SV.dss</v>
      </c>
      <c r="K151" s="10" t="s">
        <v>2212</v>
      </c>
      <c r="L151" s="10" t="s">
        <v>2212</v>
      </c>
      <c r="M151" s="10" t="s">
        <v>2224</v>
      </c>
      <c r="N151" s="10" t="s">
        <v>2225</v>
      </c>
      <c r="O151" s="10" t="s">
        <v>2226</v>
      </c>
      <c r="P151" s="39" t="s">
        <v>2227</v>
      </c>
    </row>
    <row r="152" spans="2:16" ht="18" customHeight="1" x14ac:dyDescent="0.25">
      <c r="B152" s="21" t="s">
        <v>0</v>
      </c>
      <c r="C152" s="22" t="s">
        <v>455</v>
      </c>
      <c r="D152" s="22" t="s">
        <v>18</v>
      </c>
      <c r="E152" s="21" t="s">
        <v>2222</v>
      </c>
      <c r="F152" s="23" t="s">
        <v>3</v>
      </c>
      <c r="G152" s="23" t="s">
        <v>4</v>
      </c>
      <c r="H152" s="21" t="str">
        <f t="shared" si="2"/>
        <v>AWO_90_PA1/APPLIED-WATER</v>
      </c>
      <c r="I152" s="24" t="s">
        <v>2223</v>
      </c>
      <c r="J152" s="10" t="str">
        <f>VLOOKUP(Table1[[#This Row],[UID]],CS3SVComposerConfig!$B$3:$D$1808,3,FALSE)</f>
        <v>RebalancedSJR_AW_TW_DP.dss</v>
      </c>
      <c r="K152" s="10" t="s">
        <v>2212</v>
      </c>
      <c r="L152" s="10" t="s">
        <v>2212</v>
      </c>
      <c r="M152" s="10" t="s">
        <v>2224</v>
      </c>
      <c r="N152" s="10" t="s">
        <v>2225</v>
      </c>
      <c r="O152" s="10" t="s">
        <v>2226</v>
      </c>
      <c r="P152" s="39" t="s">
        <v>2227</v>
      </c>
    </row>
    <row r="153" spans="2:16" ht="18" customHeight="1" x14ac:dyDescent="0.25">
      <c r="B153" s="21" t="s">
        <v>0</v>
      </c>
      <c r="C153" s="22" t="s">
        <v>456</v>
      </c>
      <c r="D153" s="22" t="s">
        <v>18</v>
      </c>
      <c r="E153" s="21" t="s">
        <v>2222</v>
      </c>
      <c r="F153" s="23" t="s">
        <v>3</v>
      </c>
      <c r="G153" s="23" t="s">
        <v>4</v>
      </c>
      <c r="H153" s="21" t="str">
        <f t="shared" si="2"/>
        <v>AWO_90_PA2/APPLIED-WATER</v>
      </c>
      <c r="I153" s="24" t="s">
        <v>2223</v>
      </c>
      <c r="J153" s="10" t="str">
        <f>VLOOKUP(Table1[[#This Row],[UID]],CS3SVComposerConfig!$B$3:$D$1808,3,FALSE)</f>
        <v>RebalancedSJR_AW_TW_DP.dss</v>
      </c>
      <c r="K153" s="10" t="s">
        <v>2212</v>
      </c>
      <c r="L153" s="10" t="s">
        <v>2212</v>
      </c>
      <c r="M153" s="10" t="s">
        <v>2224</v>
      </c>
      <c r="N153" s="10" t="s">
        <v>2225</v>
      </c>
      <c r="O153" s="10" t="s">
        <v>2226</v>
      </c>
      <c r="P153" s="39" t="s">
        <v>2227</v>
      </c>
    </row>
    <row r="154" spans="2:16" ht="18" customHeight="1" x14ac:dyDescent="0.25">
      <c r="B154" s="21" t="s">
        <v>0</v>
      </c>
      <c r="C154" s="22" t="s">
        <v>457</v>
      </c>
      <c r="D154" s="22" t="s">
        <v>18</v>
      </c>
      <c r="E154" s="21" t="s">
        <v>2222</v>
      </c>
      <c r="F154" s="23" t="s">
        <v>3</v>
      </c>
      <c r="G154" s="23" t="s">
        <v>4</v>
      </c>
      <c r="H154" s="21" t="str">
        <f t="shared" si="2"/>
        <v>AWO_91_PA/APPLIED-WATER</v>
      </c>
      <c r="I154" s="24" t="s">
        <v>2223</v>
      </c>
      <c r="J154" s="10" t="str">
        <f>VLOOKUP(Table1[[#This Row],[UID]],CS3SVComposerConfig!$B$3:$D$1808,3,FALSE)</f>
        <v>RebalancedSJR_AW_TW_DP.dss</v>
      </c>
      <c r="K154" s="10" t="s">
        <v>2212</v>
      </c>
      <c r="L154" s="10" t="s">
        <v>2212</v>
      </c>
      <c r="M154" s="10" t="s">
        <v>2224</v>
      </c>
      <c r="N154" s="10" t="s">
        <v>2225</v>
      </c>
      <c r="O154" s="10" t="s">
        <v>2226</v>
      </c>
      <c r="P154" s="39" t="s">
        <v>2227</v>
      </c>
    </row>
    <row r="155" spans="2:16" ht="18" customHeight="1" x14ac:dyDescent="0.25">
      <c r="B155" s="21" t="s">
        <v>0</v>
      </c>
      <c r="C155" s="22" t="s">
        <v>458</v>
      </c>
      <c r="D155" s="22" t="s">
        <v>18</v>
      </c>
      <c r="E155" s="21" t="s">
        <v>2222</v>
      </c>
      <c r="F155" s="23" t="s">
        <v>3</v>
      </c>
      <c r="G155" s="23" t="s">
        <v>4</v>
      </c>
      <c r="H155" s="21" t="str">
        <f t="shared" si="2"/>
        <v>AWO_91_PR/APPLIED-WATER</v>
      </c>
      <c r="I155" s="24" t="s">
        <v>2223</v>
      </c>
      <c r="J155" s="10" t="str">
        <f>VLOOKUP(Table1[[#This Row],[UID]],CS3SVComposerConfig!$B$3:$D$1808,3,FALSE)</f>
        <v>RebalancedSJR_AW_TW_DP.dss</v>
      </c>
      <c r="K155" s="10" t="s">
        <v>2212</v>
      </c>
      <c r="L155" s="10" t="s">
        <v>2224</v>
      </c>
      <c r="M155" s="10" t="s">
        <v>2224</v>
      </c>
      <c r="N155" s="10" t="s">
        <v>2225</v>
      </c>
      <c r="O155" s="10" t="s">
        <v>2226</v>
      </c>
      <c r="P155" s="39" t="s">
        <v>2227</v>
      </c>
    </row>
    <row r="156" spans="2:16" ht="18" customHeight="1" x14ac:dyDescent="0.25">
      <c r="B156" s="21" t="s">
        <v>0</v>
      </c>
      <c r="C156" s="22" t="s">
        <v>459</v>
      </c>
      <c r="D156" s="22" t="s">
        <v>18</v>
      </c>
      <c r="E156" s="21" t="s">
        <v>2222</v>
      </c>
      <c r="F156" s="23" t="s">
        <v>3</v>
      </c>
      <c r="G156" s="23" t="s">
        <v>4</v>
      </c>
      <c r="H156" s="21" t="str">
        <f t="shared" si="2"/>
        <v>AWR_02_NA/APPLIED-WATER</v>
      </c>
      <c r="I156" s="24" t="s">
        <v>2223</v>
      </c>
      <c r="J156" s="10" t="str">
        <f>VLOOKUP(Table1[[#This Row],[UID]],CS3SVComposerConfig!$B$3:$D$1808,3,FALSE)</f>
        <v>CS3L2015V0Hydro_SV.dss</v>
      </c>
      <c r="K156" s="10" t="s">
        <v>2212</v>
      </c>
      <c r="L156" s="10" t="s">
        <v>2224</v>
      </c>
      <c r="M156" s="10" t="s">
        <v>2224</v>
      </c>
      <c r="N156" s="10" t="s">
        <v>2225</v>
      </c>
      <c r="O156" s="10" t="s">
        <v>2226</v>
      </c>
      <c r="P156" s="39" t="s">
        <v>2227</v>
      </c>
    </row>
    <row r="157" spans="2:16" ht="18" customHeight="1" x14ac:dyDescent="0.25">
      <c r="B157" s="21" t="s">
        <v>0</v>
      </c>
      <c r="C157" s="22" t="s">
        <v>460</v>
      </c>
      <c r="D157" s="22" t="s">
        <v>18</v>
      </c>
      <c r="E157" s="21" t="s">
        <v>2222</v>
      </c>
      <c r="F157" s="23" t="s">
        <v>3</v>
      </c>
      <c r="G157" s="23" t="s">
        <v>4</v>
      </c>
      <c r="H157" s="21" t="str">
        <f t="shared" si="2"/>
        <v>AWR_02_PA/APPLIED-WATER</v>
      </c>
      <c r="I157" s="24" t="s">
        <v>2223</v>
      </c>
      <c r="J157" s="10" t="str">
        <f>VLOOKUP(Table1[[#This Row],[UID]],CS3SVComposerConfig!$B$3:$D$1808,3,FALSE)</f>
        <v>CS3L2015V0Hydro_SV.dss</v>
      </c>
      <c r="K157" s="10" t="s">
        <v>2212</v>
      </c>
      <c r="L157" s="10" t="s">
        <v>2224</v>
      </c>
      <c r="M157" s="10" t="s">
        <v>2224</v>
      </c>
      <c r="N157" s="10" t="s">
        <v>2225</v>
      </c>
      <c r="O157" s="10" t="s">
        <v>2226</v>
      </c>
      <c r="P157" s="39" t="s">
        <v>2227</v>
      </c>
    </row>
    <row r="158" spans="2:16" ht="18" customHeight="1" x14ac:dyDescent="0.25">
      <c r="B158" s="21" t="s">
        <v>0</v>
      </c>
      <c r="C158" s="22" t="s">
        <v>461</v>
      </c>
      <c r="D158" s="22" t="s">
        <v>18</v>
      </c>
      <c r="E158" s="21" t="s">
        <v>2222</v>
      </c>
      <c r="F158" s="23" t="s">
        <v>3</v>
      </c>
      <c r="G158" s="23" t="s">
        <v>4</v>
      </c>
      <c r="H158" s="21" t="str">
        <f t="shared" si="2"/>
        <v>AWR_02_SA/APPLIED-WATER</v>
      </c>
      <c r="I158" s="24" t="s">
        <v>2223</v>
      </c>
      <c r="J158" s="10" t="str">
        <f>VLOOKUP(Table1[[#This Row],[UID]],CS3SVComposerConfig!$B$3:$D$1808,3,FALSE)</f>
        <v>CS3L2015V0Hydro_SV.dss</v>
      </c>
      <c r="K158" s="10" t="s">
        <v>2212</v>
      </c>
      <c r="L158" s="10" t="s">
        <v>2224</v>
      </c>
      <c r="M158" s="10" t="s">
        <v>2224</v>
      </c>
      <c r="N158" s="10" t="s">
        <v>2225</v>
      </c>
      <c r="O158" s="10" t="s">
        <v>2226</v>
      </c>
      <c r="P158" s="39" t="s">
        <v>2227</v>
      </c>
    </row>
    <row r="159" spans="2:16" ht="18" customHeight="1" x14ac:dyDescent="0.25">
      <c r="B159" s="21" t="s">
        <v>0</v>
      </c>
      <c r="C159" s="22" t="s">
        <v>462</v>
      </c>
      <c r="D159" s="22" t="s">
        <v>18</v>
      </c>
      <c r="E159" s="21" t="s">
        <v>2222</v>
      </c>
      <c r="F159" s="23" t="s">
        <v>3</v>
      </c>
      <c r="G159" s="23" t="s">
        <v>4</v>
      </c>
      <c r="H159" s="21" t="str">
        <f t="shared" si="2"/>
        <v>AWR_03_NA/APPLIED-WATER</v>
      </c>
      <c r="I159" s="24" t="s">
        <v>2223</v>
      </c>
      <c r="J159" s="10" t="str">
        <f>VLOOKUP(Table1[[#This Row],[UID]],CS3SVComposerConfig!$B$3:$D$1808,3,FALSE)</f>
        <v>CS3L2015V0Hydro_SV.dss</v>
      </c>
      <c r="K159" s="10" t="s">
        <v>2212</v>
      </c>
      <c r="L159" s="10" t="s">
        <v>2224</v>
      </c>
      <c r="M159" s="10" t="s">
        <v>2224</v>
      </c>
      <c r="N159" s="10" t="s">
        <v>2225</v>
      </c>
      <c r="O159" s="10" t="s">
        <v>2226</v>
      </c>
      <c r="P159" s="39" t="s">
        <v>2227</v>
      </c>
    </row>
    <row r="160" spans="2:16" ht="18" customHeight="1" x14ac:dyDescent="0.25">
      <c r="B160" s="21" t="s">
        <v>0</v>
      </c>
      <c r="C160" s="22" t="s">
        <v>463</v>
      </c>
      <c r="D160" s="22" t="s">
        <v>18</v>
      </c>
      <c r="E160" s="21" t="s">
        <v>2222</v>
      </c>
      <c r="F160" s="23" t="s">
        <v>3</v>
      </c>
      <c r="G160" s="23" t="s">
        <v>4</v>
      </c>
      <c r="H160" s="21" t="str">
        <f t="shared" si="2"/>
        <v>AWR_03_PA/APPLIED-WATER</v>
      </c>
      <c r="I160" s="24" t="s">
        <v>2223</v>
      </c>
      <c r="J160" s="10" t="str">
        <f>VLOOKUP(Table1[[#This Row],[UID]],CS3SVComposerConfig!$B$3:$D$1808,3,FALSE)</f>
        <v>CS3L2015V0Hydro_SV.dss</v>
      </c>
      <c r="K160" s="10" t="s">
        <v>2212</v>
      </c>
      <c r="L160" s="10" t="s">
        <v>2224</v>
      </c>
      <c r="M160" s="10" t="s">
        <v>2224</v>
      </c>
      <c r="N160" s="10" t="s">
        <v>2225</v>
      </c>
      <c r="O160" s="10" t="s">
        <v>2226</v>
      </c>
      <c r="P160" s="39" t="s">
        <v>2227</v>
      </c>
    </row>
    <row r="161" spans="2:16" ht="18" customHeight="1" x14ac:dyDescent="0.25">
      <c r="B161" s="21" t="s">
        <v>0</v>
      </c>
      <c r="C161" s="22" t="s">
        <v>464</v>
      </c>
      <c r="D161" s="22" t="s">
        <v>18</v>
      </c>
      <c r="E161" s="21" t="s">
        <v>2222</v>
      </c>
      <c r="F161" s="23" t="s">
        <v>3</v>
      </c>
      <c r="G161" s="23" t="s">
        <v>4</v>
      </c>
      <c r="H161" s="21" t="str">
        <f t="shared" si="2"/>
        <v>AWR_03_SA/APPLIED-WATER</v>
      </c>
      <c r="I161" s="24" t="s">
        <v>2223</v>
      </c>
      <c r="J161" s="10" t="str">
        <f>VLOOKUP(Table1[[#This Row],[UID]],CS3SVComposerConfig!$B$3:$D$1808,3,FALSE)</f>
        <v>CS3L2015V0Hydro_SV.dss</v>
      </c>
      <c r="K161" s="10" t="s">
        <v>2212</v>
      </c>
      <c r="L161" s="10" t="s">
        <v>2224</v>
      </c>
      <c r="M161" s="10" t="s">
        <v>2224</v>
      </c>
      <c r="N161" s="10" t="s">
        <v>2225</v>
      </c>
      <c r="O161" s="10" t="s">
        <v>2226</v>
      </c>
      <c r="P161" s="39" t="s">
        <v>2227</v>
      </c>
    </row>
    <row r="162" spans="2:16" ht="18" customHeight="1" x14ac:dyDescent="0.25">
      <c r="B162" s="21" t="s">
        <v>0</v>
      </c>
      <c r="C162" s="22" t="s">
        <v>465</v>
      </c>
      <c r="D162" s="22" t="s">
        <v>18</v>
      </c>
      <c r="E162" s="21" t="s">
        <v>2222</v>
      </c>
      <c r="F162" s="23" t="s">
        <v>3</v>
      </c>
      <c r="G162" s="23" t="s">
        <v>4</v>
      </c>
      <c r="H162" s="21" t="str">
        <f t="shared" si="2"/>
        <v>AWR_04_NA/APPLIED-WATER</v>
      </c>
      <c r="I162" s="24" t="s">
        <v>2223</v>
      </c>
      <c r="J162" s="10" t="str">
        <f>VLOOKUP(Table1[[#This Row],[UID]],CS3SVComposerConfig!$B$3:$D$1808,3,FALSE)</f>
        <v>CS3L2015V0Hydro_SV.dss</v>
      </c>
      <c r="K162" s="10" t="s">
        <v>2212</v>
      </c>
      <c r="L162" s="10" t="s">
        <v>2212</v>
      </c>
      <c r="M162" s="10" t="s">
        <v>2224</v>
      </c>
      <c r="N162" s="10" t="s">
        <v>2225</v>
      </c>
      <c r="O162" s="10" t="s">
        <v>2226</v>
      </c>
      <c r="P162" s="39" t="s">
        <v>2227</v>
      </c>
    </row>
    <row r="163" spans="2:16" ht="18" customHeight="1" x14ac:dyDescent="0.25">
      <c r="B163" s="21" t="s">
        <v>0</v>
      </c>
      <c r="C163" s="22" t="s">
        <v>466</v>
      </c>
      <c r="D163" s="22" t="s">
        <v>18</v>
      </c>
      <c r="E163" s="21" t="s">
        <v>2222</v>
      </c>
      <c r="F163" s="23" t="s">
        <v>3</v>
      </c>
      <c r="G163" s="23" t="s">
        <v>4</v>
      </c>
      <c r="H163" s="21" t="str">
        <f t="shared" si="2"/>
        <v>AWR_04_PA1/APPLIED-WATER</v>
      </c>
      <c r="I163" s="24" t="s">
        <v>2223</v>
      </c>
      <c r="J163" s="10" t="str">
        <f>VLOOKUP(Table1[[#This Row],[UID]],CS3SVComposerConfig!$B$3:$D$1808,3,FALSE)</f>
        <v>CS3L2015V0Hydro_SV.dss</v>
      </c>
      <c r="K163" s="10" t="s">
        <v>2212</v>
      </c>
      <c r="L163" s="10" t="s">
        <v>2212</v>
      </c>
      <c r="M163" s="10" t="s">
        <v>2224</v>
      </c>
      <c r="N163" s="10" t="s">
        <v>2225</v>
      </c>
      <c r="O163" s="10" t="s">
        <v>2226</v>
      </c>
      <c r="P163" s="39" t="s">
        <v>2227</v>
      </c>
    </row>
    <row r="164" spans="2:16" ht="18" customHeight="1" x14ac:dyDescent="0.25">
      <c r="B164" s="21" t="s">
        <v>0</v>
      </c>
      <c r="C164" s="22" t="s">
        <v>467</v>
      </c>
      <c r="D164" s="22" t="s">
        <v>18</v>
      </c>
      <c r="E164" s="21" t="s">
        <v>2222</v>
      </c>
      <c r="F164" s="23" t="s">
        <v>3</v>
      </c>
      <c r="G164" s="23" t="s">
        <v>4</v>
      </c>
      <c r="H164" s="21" t="str">
        <f t="shared" si="2"/>
        <v>AWR_04_PA2/APPLIED-WATER</v>
      </c>
      <c r="I164" s="24" t="s">
        <v>2223</v>
      </c>
      <c r="J164" s="10" t="str">
        <f>VLOOKUP(Table1[[#This Row],[UID]],CS3SVComposerConfig!$B$3:$D$1808,3,FALSE)</f>
        <v>CS3L2015V0Hydro_SV.dss</v>
      </c>
      <c r="K164" s="10" t="s">
        <v>2212</v>
      </c>
      <c r="L164" s="10" t="s">
        <v>2224</v>
      </c>
      <c r="M164" s="10" t="s">
        <v>2224</v>
      </c>
      <c r="N164" s="10" t="s">
        <v>2225</v>
      </c>
      <c r="O164" s="10" t="s">
        <v>2226</v>
      </c>
      <c r="P164" s="39" t="s">
        <v>2227</v>
      </c>
    </row>
    <row r="165" spans="2:16" ht="18" customHeight="1" x14ac:dyDescent="0.25">
      <c r="B165" s="21" t="s">
        <v>0</v>
      </c>
      <c r="C165" s="22" t="s">
        <v>468</v>
      </c>
      <c r="D165" s="22" t="s">
        <v>18</v>
      </c>
      <c r="E165" s="21" t="s">
        <v>2222</v>
      </c>
      <c r="F165" s="23" t="s">
        <v>3</v>
      </c>
      <c r="G165" s="23" t="s">
        <v>4</v>
      </c>
      <c r="H165" s="21" t="str">
        <f t="shared" si="2"/>
        <v>AWR_05_NA/APPLIED-WATER</v>
      </c>
      <c r="I165" s="24" t="s">
        <v>2223</v>
      </c>
      <c r="J165" s="10" t="str">
        <f>VLOOKUP(Table1[[#This Row],[UID]],CS3SVComposerConfig!$B$3:$D$1808,3,FALSE)</f>
        <v>CS3L2015V0Hydro_SV.dss</v>
      </c>
      <c r="K165" s="10" t="s">
        <v>2212</v>
      </c>
      <c r="L165" s="10" t="s">
        <v>2224</v>
      </c>
      <c r="M165" s="10" t="s">
        <v>2224</v>
      </c>
      <c r="N165" s="10" t="s">
        <v>2225</v>
      </c>
      <c r="O165" s="10" t="s">
        <v>2226</v>
      </c>
      <c r="P165" s="39" t="s">
        <v>2227</v>
      </c>
    </row>
    <row r="166" spans="2:16" ht="18" customHeight="1" x14ac:dyDescent="0.25">
      <c r="B166" s="21" t="s">
        <v>0</v>
      </c>
      <c r="C166" s="22" t="s">
        <v>469</v>
      </c>
      <c r="D166" s="22" t="s">
        <v>18</v>
      </c>
      <c r="E166" s="21" t="s">
        <v>2222</v>
      </c>
      <c r="F166" s="23" t="s">
        <v>3</v>
      </c>
      <c r="G166" s="23" t="s">
        <v>4</v>
      </c>
      <c r="H166" s="21" t="str">
        <f t="shared" si="2"/>
        <v>AWR_06_NA/APPLIED-WATER</v>
      </c>
      <c r="I166" s="24" t="s">
        <v>2223</v>
      </c>
      <c r="J166" s="10" t="str">
        <f>VLOOKUP(Table1[[#This Row],[UID]],CS3SVComposerConfig!$B$3:$D$1808,3,FALSE)</f>
        <v>CS3L2015V0Hydro_SV.dss</v>
      </c>
      <c r="K166" s="10" t="s">
        <v>2212</v>
      </c>
      <c r="L166" s="10" t="s">
        <v>2224</v>
      </c>
      <c r="M166" s="10" t="s">
        <v>2224</v>
      </c>
      <c r="N166" s="10" t="s">
        <v>2225</v>
      </c>
      <c r="O166" s="10" t="s">
        <v>2226</v>
      </c>
      <c r="P166" s="39" t="s">
        <v>2227</v>
      </c>
    </row>
    <row r="167" spans="2:16" ht="18" customHeight="1" x14ac:dyDescent="0.25">
      <c r="B167" s="21" t="s">
        <v>0</v>
      </c>
      <c r="C167" s="22" t="s">
        <v>470</v>
      </c>
      <c r="D167" s="22" t="s">
        <v>18</v>
      </c>
      <c r="E167" s="21" t="s">
        <v>2222</v>
      </c>
      <c r="F167" s="23" t="s">
        <v>3</v>
      </c>
      <c r="G167" s="23" t="s">
        <v>4</v>
      </c>
      <c r="H167" s="21" t="str">
        <f t="shared" si="2"/>
        <v>AWR_06_PA/APPLIED-WATER</v>
      </c>
      <c r="I167" s="24" t="s">
        <v>2223</v>
      </c>
      <c r="J167" s="10" t="str">
        <f>VLOOKUP(Table1[[#This Row],[UID]],CS3SVComposerConfig!$B$3:$D$1808,3,FALSE)</f>
        <v>CS3L2015V0Hydro_SV.dss</v>
      </c>
      <c r="K167" s="10" t="s">
        <v>2212</v>
      </c>
      <c r="L167" s="10" t="s">
        <v>2224</v>
      </c>
      <c r="M167" s="10" t="s">
        <v>2224</v>
      </c>
      <c r="N167" s="10" t="s">
        <v>2225</v>
      </c>
      <c r="O167" s="10" t="s">
        <v>2226</v>
      </c>
      <c r="P167" s="39" t="s">
        <v>2227</v>
      </c>
    </row>
    <row r="168" spans="2:16" ht="18" customHeight="1" x14ac:dyDescent="0.25">
      <c r="B168" s="21" t="s">
        <v>0</v>
      </c>
      <c r="C168" s="22" t="s">
        <v>471</v>
      </c>
      <c r="D168" s="22" t="s">
        <v>18</v>
      </c>
      <c r="E168" s="21" t="s">
        <v>2222</v>
      </c>
      <c r="F168" s="23" t="s">
        <v>3</v>
      </c>
      <c r="G168" s="23" t="s">
        <v>4</v>
      </c>
      <c r="H168" s="21" t="str">
        <f t="shared" si="2"/>
        <v>AWR_07N_NA/APPLIED-WATER</v>
      </c>
      <c r="I168" s="24" t="s">
        <v>2223</v>
      </c>
      <c r="J168" s="10" t="str">
        <f>VLOOKUP(Table1[[#This Row],[UID]],CS3SVComposerConfig!$B$3:$D$1808,3,FALSE)</f>
        <v>CS3L2015V0Hydro_SV.dss</v>
      </c>
      <c r="K168" s="10" t="s">
        <v>2212</v>
      </c>
      <c r="L168" s="10" t="s">
        <v>2212</v>
      </c>
      <c r="M168" s="10" t="s">
        <v>2224</v>
      </c>
      <c r="N168" s="10" t="s">
        <v>2225</v>
      </c>
      <c r="O168" s="10" t="s">
        <v>2226</v>
      </c>
      <c r="P168" s="39" t="s">
        <v>2227</v>
      </c>
    </row>
    <row r="169" spans="2:16" ht="18" customHeight="1" x14ac:dyDescent="0.25">
      <c r="B169" s="21" t="s">
        <v>0</v>
      </c>
      <c r="C169" s="22" t="s">
        <v>472</v>
      </c>
      <c r="D169" s="22" t="s">
        <v>18</v>
      </c>
      <c r="E169" s="21" t="s">
        <v>2222</v>
      </c>
      <c r="F169" s="23" t="s">
        <v>3</v>
      </c>
      <c r="G169" s="23" t="s">
        <v>4</v>
      </c>
      <c r="H169" s="21" t="str">
        <f t="shared" si="2"/>
        <v>AWR_07N_PA/APPLIED-WATER</v>
      </c>
      <c r="I169" s="24" t="s">
        <v>2223</v>
      </c>
      <c r="J169" s="10" t="str">
        <f>VLOOKUP(Table1[[#This Row],[UID]],CS3SVComposerConfig!$B$3:$D$1808,3,FALSE)</f>
        <v>CS3L2015V0Hydro_SV.dss</v>
      </c>
      <c r="K169" s="10" t="s">
        <v>2212</v>
      </c>
      <c r="L169" s="10" t="s">
        <v>2212</v>
      </c>
      <c r="M169" s="10" t="s">
        <v>2224</v>
      </c>
      <c r="N169" s="10" t="s">
        <v>2225</v>
      </c>
      <c r="O169" s="10" t="s">
        <v>2226</v>
      </c>
      <c r="P169" s="39" t="s">
        <v>2227</v>
      </c>
    </row>
    <row r="170" spans="2:16" ht="18" customHeight="1" x14ac:dyDescent="0.25">
      <c r="B170" s="21" t="s">
        <v>0</v>
      </c>
      <c r="C170" s="22" t="s">
        <v>473</v>
      </c>
      <c r="D170" s="22" t="s">
        <v>18</v>
      </c>
      <c r="E170" s="21" t="s">
        <v>2222</v>
      </c>
      <c r="F170" s="23" t="s">
        <v>3</v>
      </c>
      <c r="G170" s="23" t="s">
        <v>4</v>
      </c>
      <c r="H170" s="21" t="str">
        <f t="shared" si="2"/>
        <v>AWR_07S_NA/APPLIED-WATER</v>
      </c>
      <c r="I170" s="24" t="s">
        <v>2223</v>
      </c>
      <c r="J170" s="10" t="str">
        <f>VLOOKUP(Table1[[#This Row],[UID]],CS3SVComposerConfig!$B$3:$D$1808,3,FALSE)</f>
        <v>CS3L2015V0Hydro_SV.dss</v>
      </c>
      <c r="K170" s="10" t="s">
        <v>2212</v>
      </c>
      <c r="L170" s="10" t="s">
        <v>2212</v>
      </c>
      <c r="M170" s="10" t="s">
        <v>2224</v>
      </c>
      <c r="N170" s="10" t="s">
        <v>2225</v>
      </c>
      <c r="O170" s="10" t="s">
        <v>2226</v>
      </c>
      <c r="P170" s="39" t="s">
        <v>2227</v>
      </c>
    </row>
    <row r="171" spans="2:16" ht="18" customHeight="1" x14ac:dyDescent="0.25">
      <c r="B171" s="21" t="s">
        <v>0</v>
      </c>
      <c r="C171" s="22" t="s">
        <v>474</v>
      </c>
      <c r="D171" s="22" t="s">
        <v>18</v>
      </c>
      <c r="E171" s="21" t="s">
        <v>2222</v>
      </c>
      <c r="F171" s="23" t="s">
        <v>3</v>
      </c>
      <c r="G171" s="23" t="s">
        <v>4</v>
      </c>
      <c r="H171" s="21" t="str">
        <f t="shared" si="2"/>
        <v>AWR_07S_PA/APPLIED-WATER</v>
      </c>
      <c r="I171" s="24" t="s">
        <v>2223</v>
      </c>
      <c r="J171" s="10" t="str">
        <f>VLOOKUP(Table1[[#This Row],[UID]],CS3SVComposerConfig!$B$3:$D$1808,3,FALSE)</f>
        <v>CS3L2015V0Hydro_SV.dss</v>
      </c>
      <c r="K171" s="10" t="s">
        <v>2212</v>
      </c>
      <c r="L171" s="10" t="s">
        <v>2212</v>
      </c>
      <c r="M171" s="10" t="s">
        <v>2224</v>
      </c>
      <c r="N171" s="10" t="s">
        <v>2225</v>
      </c>
      <c r="O171" s="10" t="s">
        <v>2226</v>
      </c>
      <c r="P171" s="39" t="s">
        <v>2227</v>
      </c>
    </row>
    <row r="172" spans="2:16" ht="18" customHeight="1" x14ac:dyDescent="0.25">
      <c r="B172" s="21" t="s">
        <v>0</v>
      </c>
      <c r="C172" s="22" t="s">
        <v>475</v>
      </c>
      <c r="D172" s="22" t="s">
        <v>18</v>
      </c>
      <c r="E172" s="21" t="s">
        <v>2222</v>
      </c>
      <c r="F172" s="23" t="s">
        <v>3</v>
      </c>
      <c r="G172" s="23" t="s">
        <v>4</v>
      </c>
      <c r="H172" s="21" t="str">
        <f t="shared" si="2"/>
        <v>AWR_08N_NA/APPLIED-WATER</v>
      </c>
      <c r="I172" s="24" t="s">
        <v>2223</v>
      </c>
      <c r="J172" s="10" t="str">
        <f>VLOOKUP(Table1[[#This Row],[UID]],CS3SVComposerConfig!$B$3:$D$1808,3,FALSE)</f>
        <v>CS3L2015V0Hydro_SV.dss</v>
      </c>
      <c r="K172" s="10" t="s">
        <v>2212</v>
      </c>
      <c r="L172" s="10" t="s">
        <v>2212</v>
      </c>
      <c r="M172" s="10" t="s">
        <v>2224</v>
      </c>
      <c r="N172" s="10" t="s">
        <v>2225</v>
      </c>
      <c r="O172" s="10" t="s">
        <v>2226</v>
      </c>
      <c r="P172" s="39" t="s">
        <v>2227</v>
      </c>
    </row>
    <row r="173" spans="2:16" ht="18" customHeight="1" x14ac:dyDescent="0.25">
      <c r="B173" s="21" t="s">
        <v>0</v>
      </c>
      <c r="C173" s="22" t="s">
        <v>476</v>
      </c>
      <c r="D173" s="22" t="s">
        <v>18</v>
      </c>
      <c r="E173" s="21" t="s">
        <v>2222</v>
      </c>
      <c r="F173" s="23" t="s">
        <v>3</v>
      </c>
      <c r="G173" s="23" t="s">
        <v>4</v>
      </c>
      <c r="H173" s="21" t="str">
        <f t="shared" si="2"/>
        <v>AWR_08N_PA/APPLIED-WATER</v>
      </c>
      <c r="I173" s="24" t="s">
        <v>2223</v>
      </c>
      <c r="J173" s="10" t="str">
        <f>VLOOKUP(Table1[[#This Row],[UID]],CS3SVComposerConfig!$B$3:$D$1808,3,FALSE)</f>
        <v>CS3L2015V0Hydro_SV.dss</v>
      </c>
      <c r="K173" s="10" t="s">
        <v>2212</v>
      </c>
      <c r="L173" s="10" t="s">
        <v>2212</v>
      </c>
      <c r="M173" s="10" t="s">
        <v>2224</v>
      </c>
      <c r="N173" s="10" t="s">
        <v>2225</v>
      </c>
      <c r="O173" s="10" t="s">
        <v>2226</v>
      </c>
      <c r="P173" s="39" t="s">
        <v>2227</v>
      </c>
    </row>
    <row r="174" spans="2:16" ht="18" customHeight="1" x14ac:dyDescent="0.25">
      <c r="B174" s="21" t="s">
        <v>0</v>
      </c>
      <c r="C174" s="22" t="s">
        <v>477</v>
      </c>
      <c r="D174" s="22" t="s">
        <v>18</v>
      </c>
      <c r="E174" s="21" t="s">
        <v>2222</v>
      </c>
      <c r="F174" s="23" t="s">
        <v>3</v>
      </c>
      <c r="G174" s="23" t="s">
        <v>4</v>
      </c>
      <c r="H174" s="21" t="str">
        <f t="shared" si="2"/>
        <v>AWR_08N_PR1/APPLIED-WATER</v>
      </c>
      <c r="I174" s="24" t="s">
        <v>2223</v>
      </c>
      <c r="J174" s="10" t="str">
        <f>VLOOKUP(Table1[[#This Row],[UID]],CS3SVComposerConfig!$B$3:$D$1808,3,FALSE)</f>
        <v>CS3L2015V0Hydro_SV.dss</v>
      </c>
      <c r="K174" s="10" t="s">
        <v>2212</v>
      </c>
      <c r="L174" s="10" t="s">
        <v>2212</v>
      </c>
      <c r="M174" s="10" t="s">
        <v>2224</v>
      </c>
      <c r="N174" s="10" t="s">
        <v>2225</v>
      </c>
      <c r="O174" s="10" t="s">
        <v>2226</v>
      </c>
      <c r="P174" s="39" t="s">
        <v>2227</v>
      </c>
    </row>
    <row r="175" spans="2:16" ht="18" customHeight="1" x14ac:dyDescent="0.25">
      <c r="B175" s="21" t="s">
        <v>0</v>
      </c>
      <c r="C175" s="22" t="s">
        <v>478</v>
      </c>
      <c r="D175" s="22" t="s">
        <v>18</v>
      </c>
      <c r="E175" s="21" t="s">
        <v>2222</v>
      </c>
      <c r="F175" s="23" t="s">
        <v>3</v>
      </c>
      <c r="G175" s="23" t="s">
        <v>4</v>
      </c>
      <c r="H175" s="21" t="str">
        <f t="shared" si="2"/>
        <v>AWR_08N_PR2/APPLIED-WATER</v>
      </c>
      <c r="I175" s="24" t="s">
        <v>2223</v>
      </c>
      <c r="J175" s="10" t="str">
        <f>VLOOKUP(Table1[[#This Row],[UID]],CS3SVComposerConfig!$B$3:$D$1808,3,FALSE)</f>
        <v>CS3L2015V0Hydro_SV.dss</v>
      </c>
      <c r="K175" s="10" t="s">
        <v>2212</v>
      </c>
      <c r="L175" s="10" t="s">
        <v>2212</v>
      </c>
      <c r="M175" s="10" t="s">
        <v>2224</v>
      </c>
      <c r="N175" s="10" t="s">
        <v>2225</v>
      </c>
      <c r="O175" s="10" t="s">
        <v>2226</v>
      </c>
      <c r="P175" s="39" t="s">
        <v>2227</v>
      </c>
    </row>
    <row r="176" spans="2:16" ht="18" customHeight="1" x14ac:dyDescent="0.25">
      <c r="B176" s="21" t="s">
        <v>0</v>
      </c>
      <c r="C176" s="22" t="s">
        <v>479</v>
      </c>
      <c r="D176" s="22" t="s">
        <v>18</v>
      </c>
      <c r="E176" s="21" t="s">
        <v>2222</v>
      </c>
      <c r="F176" s="23" t="s">
        <v>3</v>
      </c>
      <c r="G176" s="23" t="s">
        <v>4</v>
      </c>
      <c r="H176" s="21" t="str">
        <f t="shared" si="2"/>
        <v>AWR_08N_SA1/APPLIED-WATER</v>
      </c>
      <c r="I176" s="24" t="s">
        <v>2223</v>
      </c>
      <c r="J176" s="10" t="str">
        <f>VLOOKUP(Table1[[#This Row],[UID]],CS3SVComposerConfig!$B$3:$D$1808,3,FALSE)</f>
        <v>CS3L2015V0Hydro_SV.dss</v>
      </c>
      <c r="K176" s="10" t="s">
        <v>2212</v>
      </c>
      <c r="L176" s="10" t="s">
        <v>2212</v>
      </c>
      <c r="M176" s="10" t="s">
        <v>2224</v>
      </c>
      <c r="N176" s="10" t="s">
        <v>2225</v>
      </c>
      <c r="O176" s="10" t="s">
        <v>2226</v>
      </c>
      <c r="P176" s="39" t="s">
        <v>2227</v>
      </c>
    </row>
    <row r="177" spans="2:16" ht="18" customHeight="1" x14ac:dyDescent="0.25">
      <c r="B177" s="21" t="s">
        <v>0</v>
      </c>
      <c r="C177" s="22" t="s">
        <v>480</v>
      </c>
      <c r="D177" s="22" t="s">
        <v>18</v>
      </c>
      <c r="E177" s="21" t="s">
        <v>2222</v>
      </c>
      <c r="F177" s="23" t="s">
        <v>3</v>
      </c>
      <c r="G177" s="23" t="s">
        <v>4</v>
      </c>
      <c r="H177" s="21" t="str">
        <f t="shared" si="2"/>
        <v>AWR_08N_SA2/APPLIED-WATER</v>
      </c>
      <c r="I177" s="24" t="s">
        <v>2223</v>
      </c>
      <c r="J177" s="10" t="str">
        <f>VLOOKUP(Table1[[#This Row],[UID]],CS3SVComposerConfig!$B$3:$D$1808,3,FALSE)</f>
        <v>CS3L2015V0Hydro_SV.dss</v>
      </c>
      <c r="K177" s="10" t="s">
        <v>2212</v>
      </c>
      <c r="L177" s="10" t="s">
        <v>2212</v>
      </c>
      <c r="M177" s="10" t="s">
        <v>2224</v>
      </c>
      <c r="N177" s="10" t="s">
        <v>2225</v>
      </c>
      <c r="O177" s="10" t="s">
        <v>2226</v>
      </c>
      <c r="P177" s="39" t="s">
        <v>2227</v>
      </c>
    </row>
    <row r="178" spans="2:16" ht="18" customHeight="1" x14ac:dyDescent="0.25">
      <c r="B178" s="21" t="s">
        <v>0</v>
      </c>
      <c r="C178" s="22" t="s">
        <v>481</v>
      </c>
      <c r="D178" s="22" t="s">
        <v>18</v>
      </c>
      <c r="E178" s="21" t="s">
        <v>2222</v>
      </c>
      <c r="F178" s="23" t="s">
        <v>3</v>
      </c>
      <c r="G178" s="23" t="s">
        <v>4</v>
      </c>
      <c r="H178" s="21" t="str">
        <f t="shared" si="2"/>
        <v>AWR_08S_NA1/APPLIED-WATER</v>
      </c>
      <c r="I178" s="24" t="s">
        <v>2223</v>
      </c>
      <c r="J178" s="10" t="str">
        <f>VLOOKUP(Table1[[#This Row],[UID]],CS3SVComposerConfig!$B$3:$D$1808,3,FALSE)</f>
        <v>CS3L2015V0Hydro_SV.dss</v>
      </c>
      <c r="K178" s="10" t="s">
        <v>2212</v>
      </c>
      <c r="L178" s="10" t="s">
        <v>2212</v>
      </c>
      <c r="M178" s="10" t="s">
        <v>2224</v>
      </c>
      <c r="N178" s="10" t="s">
        <v>2225</v>
      </c>
      <c r="O178" s="10" t="s">
        <v>2226</v>
      </c>
      <c r="P178" s="39" t="s">
        <v>2227</v>
      </c>
    </row>
    <row r="179" spans="2:16" ht="18" customHeight="1" x14ac:dyDescent="0.25">
      <c r="B179" s="21" t="s">
        <v>0</v>
      </c>
      <c r="C179" s="22" t="s">
        <v>482</v>
      </c>
      <c r="D179" s="22" t="s">
        <v>18</v>
      </c>
      <c r="E179" s="21" t="s">
        <v>2222</v>
      </c>
      <c r="F179" s="23" t="s">
        <v>3</v>
      </c>
      <c r="G179" s="23" t="s">
        <v>4</v>
      </c>
      <c r="H179" s="21" t="str">
        <f t="shared" si="2"/>
        <v>AWR_08S_NA2/APPLIED-WATER</v>
      </c>
      <c r="I179" s="24" t="s">
        <v>2223</v>
      </c>
      <c r="J179" s="10" t="str">
        <f>VLOOKUP(Table1[[#This Row],[UID]],CS3SVComposerConfig!$B$3:$D$1808,3,FALSE)</f>
        <v>CS3L2015V0Hydro_SV.dss</v>
      </c>
      <c r="K179" s="10" t="s">
        <v>2212</v>
      </c>
      <c r="L179" s="10" t="s">
        <v>2212</v>
      </c>
      <c r="M179" s="10" t="s">
        <v>2224</v>
      </c>
      <c r="N179" s="10" t="s">
        <v>2225</v>
      </c>
      <c r="O179" s="10" t="s">
        <v>2226</v>
      </c>
      <c r="P179" s="39" t="s">
        <v>2227</v>
      </c>
    </row>
    <row r="180" spans="2:16" ht="18" customHeight="1" x14ac:dyDescent="0.25">
      <c r="B180" s="21" t="s">
        <v>0</v>
      </c>
      <c r="C180" s="22" t="s">
        <v>483</v>
      </c>
      <c r="D180" s="22" t="s">
        <v>18</v>
      </c>
      <c r="E180" s="21" t="s">
        <v>2222</v>
      </c>
      <c r="F180" s="23" t="s">
        <v>3</v>
      </c>
      <c r="G180" s="23" t="s">
        <v>4</v>
      </c>
      <c r="H180" s="21" t="str">
        <f t="shared" si="2"/>
        <v>AWR_08S_PA/APPLIED-WATER</v>
      </c>
      <c r="I180" s="24" t="s">
        <v>2223</v>
      </c>
      <c r="J180" s="10" t="str">
        <f>VLOOKUP(Table1[[#This Row],[UID]],CS3SVComposerConfig!$B$3:$D$1808,3,FALSE)</f>
        <v>CS3L2015V0Hydro_SV.dss</v>
      </c>
      <c r="K180" s="10" t="s">
        <v>2212</v>
      </c>
      <c r="L180" s="10" t="s">
        <v>2212</v>
      </c>
      <c r="M180" s="10" t="s">
        <v>2224</v>
      </c>
      <c r="N180" s="10" t="s">
        <v>2225</v>
      </c>
      <c r="O180" s="10" t="s">
        <v>2226</v>
      </c>
      <c r="P180" s="39" t="s">
        <v>2227</v>
      </c>
    </row>
    <row r="181" spans="2:16" ht="18" customHeight="1" x14ac:dyDescent="0.25">
      <c r="B181" s="21" t="s">
        <v>0</v>
      </c>
      <c r="C181" s="22" t="s">
        <v>484</v>
      </c>
      <c r="D181" s="22" t="s">
        <v>18</v>
      </c>
      <c r="E181" s="21" t="s">
        <v>2222</v>
      </c>
      <c r="F181" s="23" t="s">
        <v>3</v>
      </c>
      <c r="G181" s="23" t="s">
        <v>4</v>
      </c>
      <c r="H181" s="21" t="str">
        <f t="shared" si="2"/>
        <v>AWR_08S_PR/APPLIED-WATER</v>
      </c>
      <c r="I181" s="24" t="s">
        <v>2223</v>
      </c>
      <c r="J181" s="10" t="str">
        <f>VLOOKUP(Table1[[#This Row],[UID]],CS3SVComposerConfig!$B$3:$D$1808,3,FALSE)</f>
        <v>CS3L2015V0Hydro_SV.dss</v>
      </c>
      <c r="K181" s="10" t="s">
        <v>2212</v>
      </c>
      <c r="L181" s="10" t="s">
        <v>2212</v>
      </c>
      <c r="M181" s="10" t="s">
        <v>2224</v>
      </c>
      <c r="N181" s="10" t="s">
        <v>2225</v>
      </c>
      <c r="O181" s="10" t="s">
        <v>2226</v>
      </c>
      <c r="P181" s="39" t="s">
        <v>2227</v>
      </c>
    </row>
    <row r="182" spans="2:16" ht="18" customHeight="1" x14ac:dyDescent="0.25">
      <c r="B182" s="21" t="s">
        <v>0</v>
      </c>
      <c r="C182" s="22" t="s">
        <v>485</v>
      </c>
      <c r="D182" s="22" t="s">
        <v>18</v>
      </c>
      <c r="E182" s="21" t="s">
        <v>2222</v>
      </c>
      <c r="F182" s="23" t="s">
        <v>3</v>
      </c>
      <c r="G182" s="23" t="s">
        <v>4</v>
      </c>
      <c r="H182" s="21" t="str">
        <f t="shared" si="2"/>
        <v>AWR_08S_SA1/APPLIED-WATER</v>
      </c>
      <c r="I182" s="24" t="s">
        <v>2223</v>
      </c>
      <c r="J182" s="10" t="str">
        <f>VLOOKUP(Table1[[#This Row],[UID]],CS3SVComposerConfig!$B$3:$D$1808,3,FALSE)</f>
        <v>CS3L2015V0Hydro_SV.dss</v>
      </c>
      <c r="K182" s="10" t="s">
        <v>2212</v>
      </c>
      <c r="L182" s="10" t="s">
        <v>2212</v>
      </c>
      <c r="M182" s="10" t="s">
        <v>2224</v>
      </c>
      <c r="N182" s="10" t="s">
        <v>2225</v>
      </c>
      <c r="O182" s="10" t="s">
        <v>2226</v>
      </c>
      <c r="P182" s="39" t="s">
        <v>2227</v>
      </c>
    </row>
    <row r="183" spans="2:16" ht="18" customHeight="1" x14ac:dyDescent="0.25">
      <c r="B183" s="21" t="s">
        <v>0</v>
      </c>
      <c r="C183" s="22" t="s">
        <v>486</v>
      </c>
      <c r="D183" s="22" t="s">
        <v>18</v>
      </c>
      <c r="E183" s="21" t="s">
        <v>2222</v>
      </c>
      <c r="F183" s="23" t="s">
        <v>3</v>
      </c>
      <c r="G183" s="23" t="s">
        <v>4</v>
      </c>
      <c r="H183" s="21" t="str">
        <f t="shared" si="2"/>
        <v>AWR_08S_SA2/APPLIED-WATER</v>
      </c>
      <c r="I183" s="24" t="s">
        <v>2223</v>
      </c>
      <c r="J183" s="10" t="str">
        <f>VLOOKUP(Table1[[#This Row],[UID]],CS3SVComposerConfig!$B$3:$D$1808,3,FALSE)</f>
        <v>CS3L2015V0Hydro_SV.dss</v>
      </c>
      <c r="K183" s="10" t="s">
        <v>2212</v>
      </c>
      <c r="L183" s="10" t="s">
        <v>2212</v>
      </c>
      <c r="M183" s="10" t="s">
        <v>2224</v>
      </c>
      <c r="N183" s="10" t="s">
        <v>2225</v>
      </c>
      <c r="O183" s="10" t="s">
        <v>2226</v>
      </c>
      <c r="P183" s="39" t="s">
        <v>2227</v>
      </c>
    </row>
    <row r="184" spans="2:16" ht="18" customHeight="1" x14ac:dyDescent="0.25">
      <c r="B184" s="21" t="s">
        <v>0</v>
      </c>
      <c r="C184" s="22" t="s">
        <v>487</v>
      </c>
      <c r="D184" s="22" t="s">
        <v>18</v>
      </c>
      <c r="E184" s="21" t="s">
        <v>2222</v>
      </c>
      <c r="F184" s="23" t="s">
        <v>3</v>
      </c>
      <c r="G184" s="23" t="s">
        <v>4</v>
      </c>
      <c r="H184" s="21" t="str">
        <f t="shared" si="2"/>
        <v>AWR_08S_SA3/APPLIED-WATER</v>
      </c>
      <c r="I184" s="24" t="s">
        <v>2223</v>
      </c>
      <c r="J184" s="10" t="str">
        <f>VLOOKUP(Table1[[#This Row],[UID]],CS3SVComposerConfig!$B$3:$D$1808,3,FALSE)</f>
        <v>CS3L2015V0Hydro_SV.dss</v>
      </c>
      <c r="K184" s="10" t="s">
        <v>2212</v>
      </c>
      <c r="L184" s="10" t="s">
        <v>2212</v>
      </c>
      <c r="M184" s="10" t="s">
        <v>2224</v>
      </c>
      <c r="N184" s="10" t="s">
        <v>2225</v>
      </c>
      <c r="O184" s="10" t="s">
        <v>2226</v>
      </c>
      <c r="P184" s="39" t="s">
        <v>2227</v>
      </c>
    </row>
    <row r="185" spans="2:16" ht="18" customHeight="1" x14ac:dyDescent="0.25">
      <c r="B185" s="21" t="s">
        <v>0</v>
      </c>
      <c r="C185" s="22" t="s">
        <v>488</v>
      </c>
      <c r="D185" s="22" t="s">
        <v>18</v>
      </c>
      <c r="E185" s="21" t="s">
        <v>2222</v>
      </c>
      <c r="F185" s="23" t="s">
        <v>3</v>
      </c>
      <c r="G185" s="23" t="s">
        <v>4</v>
      </c>
      <c r="H185" s="21" t="str">
        <f t="shared" si="2"/>
        <v>AWR_09_NA/APPLIED-WATER</v>
      </c>
      <c r="I185" s="24" t="s">
        <v>2223</v>
      </c>
      <c r="J185" s="10" t="str">
        <f>VLOOKUP(Table1[[#This Row],[UID]],CS3SVComposerConfig!$B$3:$D$1808,3,FALSE)</f>
        <v>CS3L2015V0Hydro_SV.dss</v>
      </c>
      <c r="K185" s="10" t="s">
        <v>2212</v>
      </c>
      <c r="L185" s="10" t="s">
        <v>2212</v>
      </c>
      <c r="M185" s="10" t="s">
        <v>2224</v>
      </c>
      <c r="N185" s="10" t="s">
        <v>2225</v>
      </c>
      <c r="O185" s="10" t="s">
        <v>2226</v>
      </c>
      <c r="P185" s="39" t="s">
        <v>2227</v>
      </c>
    </row>
    <row r="186" spans="2:16" ht="18" customHeight="1" x14ac:dyDescent="0.25">
      <c r="B186" s="21" t="s">
        <v>0</v>
      </c>
      <c r="C186" s="22" t="s">
        <v>489</v>
      </c>
      <c r="D186" s="22" t="s">
        <v>18</v>
      </c>
      <c r="E186" s="21" t="s">
        <v>2222</v>
      </c>
      <c r="F186" s="23" t="s">
        <v>3</v>
      </c>
      <c r="G186" s="23" t="s">
        <v>4</v>
      </c>
      <c r="H186" s="21" t="str">
        <f t="shared" si="2"/>
        <v>AWR_09_PR/APPLIED-WATER</v>
      </c>
      <c r="I186" s="24" t="s">
        <v>2223</v>
      </c>
      <c r="J186" s="10" t="str">
        <f>VLOOKUP(Table1[[#This Row],[UID]],CS3SVComposerConfig!$B$3:$D$1808,3,FALSE)</f>
        <v>CS3L2015V0Hydro_SV.dss</v>
      </c>
      <c r="K186" s="10" t="s">
        <v>2212</v>
      </c>
      <c r="L186" s="10" t="s">
        <v>2212</v>
      </c>
      <c r="M186" s="10" t="s">
        <v>2224</v>
      </c>
      <c r="N186" s="10" t="s">
        <v>2225</v>
      </c>
      <c r="O186" s="10" t="s">
        <v>2226</v>
      </c>
      <c r="P186" s="39" t="s">
        <v>2227</v>
      </c>
    </row>
    <row r="187" spans="2:16" ht="18" customHeight="1" x14ac:dyDescent="0.25">
      <c r="B187" s="21" t="s">
        <v>0</v>
      </c>
      <c r="C187" s="22" t="s">
        <v>490</v>
      </c>
      <c r="D187" s="22" t="s">
        <v>18</v>
      </c>
      <c r="E187" s="21" t="s">
        <v>2222</v>
      </c>
      <c r="F187" s="23" t="s">
        <v>3</v>
      </c>
      <c r="G187" s="23" t="s">
        <v>4</v>
      </c>
      <c r="H187" s="21" t="str">
        <f t="shared" si="2"/>
        <v>AWR_09_SA1/APPLIED-WATER</v>
      </c>
      <c r="I187" s="24" t="s">
        <v>2223</v>
      </c>
      <c r="J187" s="10" t="str">
        <f>VLOOKUP(Table1[[#This Row],[UID]],CS3SVComposerConfig!$B$3:$D$1808,3,FALSE)</f>
        <v>CS3L2015V0Hydro_SV.dss</v>
      </c>
      <c r="K187" s="10" t="s">
        <v>2212</v>
      </c>
      <c r="L187" s="10" t="s">
        <v>2212</v>
      </c>
      <c r="M187" s="10" t="s">
        <v>2224</v>
      </c>
      <c r="N187" s="10" t="s">
        <v>2225</v>
      </c>
      <c r="O187" s="10" t="s">
        <v>2226</v>
      </c>
      <c r="P187" s="39" t="s">
        <v>2227</v>
      </c>
    </row>
    <row r="188" spans="2:16" ht="18" customHeight="1" x14ac:dyDescent="0.25">
      <c r="B188" s="21" t="s">
        <v>0</v>
      </c>
      <c r="C188" s="22" t="s">
        <v>491</v>
      </c>
      <c r="D188" s="22" t="s">
        <v>18</v>
      </c>
      <c r="E188" s="21" t="s">
        <v>2222</v>
      </c>
      <c r="F188" s="23" t="s">
        <v>3</v>
      </c>
      <c r="G188" s="23" t="s">
        <v>4</v>
      </c>
      <c r="H188" s="21" t="str">
        <f t="shared" si="2"/>
        <v>AWR_09_SA2/APPLIED-WATER</v>
      </c>
      <c r="I188" s="24" t="s">
        <v>2223</v>
      </c>
      <c r="J188" s="10" t="str">
        <f>VLOOKUP(Table1[[#This Row],[UID]],CS3SVComposerConfig!$B$3:$D$1808,3,FALSE)</f>
        <v>CS3L2015V0Hydro_SV.dss</v>
      </c>
      <c r="K188" s="10" t="s">
        <v>2212</v>
      </c>
      <c r="L188" s="10" t="s">
        <v>2212</v>
      </c>
      <c r="M188" s="10" t="s">
        <v>2224</v>
      </c>
      <c r="N188" s="10" t="s">
        <v>2225</v>
      </c>
      <c r="O188" s="10" t="s">
        <v>2226</v>
      </c>
      <c r="P188" s="39" t="s">
        <v>2227</v>
      </c>
    </row>
    <row r="189" spans="2:16" ht="18" customHeight="1" x14ac:dyDescent="0.25">
      <c r="B189" s="21" t="s">
        <v>0</v>
      </c>
      <c r="C189" s="22" t="s">
        <v>492</v>
      </c>
      <c r="D189" s="22" t="s">
        <v>18</v>
      </c>
      <c r="E189" s="21" t="s">
        <v>2222</v>
      </c>
      <c r="F189" s="23" t="s">
        <v>3</v>
      </c>
      <c r="G189" s="23" t="s">
        <v>4</v>
      </c>
      <c r="H189" s="21" t="str">
        <f t="shared" si="2"/>
        <v>AWR_10_NA/APPLIED-WATER</v>
      </c>
      <c r="I189" s="24" t="s">
        <v>2223</v>
      </c>
      <c r="J189" s="10" t="str">
        <f>VLOOKUP(Table1[[#This Row],[UID]],CS3SVComposerConfig!$B$3:$D$1808,3,FALSE)</f>
        <v>CS3L2015V0Hydro_SV.dss</v>
      </c>
      <c r="K189" s="10" t="s">
        <v>2212</v>
      </c>
      <c r="L189" s="10" t="s">
        <v>2212</v>
      </c>
      <c r="M189" s="10" t="s">
        <v>2224</v>
      </c>
      <c r="N189" s="10" t="s">
        <v>2225</v>
      </c>
      <c r="O189" s="10" t="s">
        <v>2226</v>
      </c>
      <c r="P189" s="39" t="s">
        <v>2227</v>
      </c>
    </row>
    <row r="190" spans="2:16" ht="18" customHeight="1" x14ac:dyDescent="0.25">
      <c r="B190" s="21" t="s">
        <v>0</v>
      </c>
      <c r="C190" s="22" t="s">
        <v>493</v>
      </c>
      <c r="D190" s="22" t="s">
        <v>18</v>
      </c>
      <c r="E190" s="21" t="s">
        <v>2222</v>
      </c>
      <c r="F190" s="23" t="s">
        <v>3</v>
      </c>
      <c r="G190" s="23" t="s">
        <v>4</v>
      </c>
      <c r="H190" s="21" t="str">
        <f t="shared" si="2"/>
        <v>AWR_11_NA/APPLIED-WATER</v>
      </c>
      <c r="I190" s="24" t="s">
        <v>2223</v>
      </c>
      <c r="J190" s="10" t="str">
        <f>VLOOKUP(Table1[[#This Row],[UID]],CS3SVComposerConfig!$B$3:$D$1808,3,FALSE)</f>
        <v>CS3L2015V0Hydro_SV.dss</v>
      </c>
      <c r="K190" s="10" t="s">
        <v>2212</v>
      </c>
      <c r="L190" s="10" t="s">
        <v>2212</v>
      </c>
      <c r="M190" s="10" t="s">
        <v>2224</v>
      </c>
      <c r="N190" s="10" t="s">
        <v>2225</v>
      </c>
      <c r="O190" s="10" t="s">
        <v>2226</v>
      </c>
      <c r="P190" s="39" t="s">
        <v>2227</v>
      </c>
    </row>
    <row r="191" spans="2:16" ht="18" customHeight="1" x14ac:dyDescent="0.25">
      <c r="B191" s="21" t="s">
        <v>0</v>
      </c>
      <c r="C191" s="22" t="s">
        <v>494</v>
      </c>
      <c r="D191" s="22" t="s">
        <v>18</v>
      </c>
      <c r="E191" s="21" t="s">
        <v>2222</v>
      </c>
      <c r="F191" s="23" t="s">
        <v>3</v>
      </c>
      <c r="G191" s="23" t="s">
        <v>4</v>
      </c>
      <c r="H191" s="21" t="str">
        <f t="shared" si="2"/>
        <v>AWR_11_PR/APPLIED-WATER</v>
      </c>
      <c r="I191" s="24" t="s">
        <v>2223</v>
      </c>
      <c r="J191" s="10" t="str">
        <f>VLOOKUP(Table1[[#This Row],[UID]],CS3SVComposerConfig!$B$3:$D$1808,3,FALSE)</f>
        <v>CS3L2015V0Hydro_SV.dss</v>
      </c>
      <c r="K191" s="10" t="s">
        <v>2212</v>
      </c>
      <c r="L191" s="10" t="s">
        <v>2212</v>
      </c>
      <c r="M191" s="10" t="s">
        <v>2224</v>
      </c>
      <c r="N191" s="10" t="s">
        <v>2225</v>
      </c>
      <c r="O191" s="10" t="s">
        <v>2226</v>
      </c>
      <c r="P191" s="39" t="s">
        <v>2227</v>
      </c>
    </row>
    <row r="192" spans="2:16" ht="18" customHeight="1" x14ac:dyDescent="0.25">
      <c r="B192" s="21" t="s">
        <v>0</v>
      </c>
      <c r="C192" s="22" t="s">
        <v>495</v>
      </c>
      <c r="D192" s="22" t="s">
        <v>18</v>
      </c>
      <c r="E192" s="21" t="s">
        <v>2222</v>
      </c>
      <c r="F192" s="23" t="s">
        <v>3</v>
      </c>
      <c r="G192" s="23" t="s">
        <v>4</v>
      </c>
      <c r="H192" s="21" t="str">
        <f t="shared" si="2"/>
        <v>AWR_11_SA1/APPLIED-WATER</v>
      </c>
      <c r="I192" s="24" t="s">
        <v>2223</v>
      </c>
      <c r="J192" s="10" t="str">
        <f>VLOOKUP(Table1[[#This Row],[UID]],CS3SVComposerConfig!$B$3:$D$1808,3,FALSE)</f>
        <v>CS3L2015V0Hydro_SV.dss</v>
      </c>
      <c r="K192" s="10" t="s">
        <v>2212</v>
      </c>
      <c r="L192" s="10" t="s">
        <v>2212</v>
      </c>
      <c r="M192" s="10" t="s">
        <v>2224</v>
      </c>
      <c r="N192" s="10" t="s">
        <v>2225</v>
      </c>
      <c r="O192" s="10" t="s">
        <v>2226</v>
      </c>
      <c r="P192" s="39" t="s">
        <v>2227</v>
      </c>
    </row>
    <row r="193" spans="2:16" ht="18" customHeight="1" x14ac:dyDescent="0.25">
      <c r="B193" s="21" t="s">
        <v>0</v>
      </c>
      <c r="C193" s="22" t="s">
        <v>496</v>
      </c>
      <c r="D193" s="22" t="s">
        <v>18</v>
      </c>
      <c r="E193" s="21" t="s">
        <v>2222</v>
      </c>
      <c r="F193" s="23" t="s">
        <v>3</v>
      </c>
      <c r="G193" s="23" t="s">
        <v>4</v>
      </c>
      <c r="H193" s="21" t="str">
        <f t="shared" si="2"/>
        <v>AWR_11_SA2/APPLIED-WATER</v>
      </c>
      <c r="I193" s="24" t="s">
        <v>2223</v>
      </c>
      <c r="J193" s="10" t="str">
        <f>VLOOKUP(Table1[[#This Row],[UID]],CS3SVComposerConfig!$B$3:$D$1808,3,FALSE)</f>
        <v>CS3L2015V0Hydro_SV.dss</v>
      </c>
      <c r="K193" s="10" t="s">
        <v>2212</v>
      </c>
      <c r="L193" s="10" t="s">
        <v>2212</v>
      </c>
      <c r="M193" s="10" t="s">
        <v>2224</v>
      </c>
      <c r="N193" s="10" t="s">
        <v>2225</v>
      </c>
      <c r="O193" s="10" t="s">
        <v>2226</v>
      </c>
      <c r="P193" s="39" t="s">
        <v>2227</v>
      </c>
    </row>
    <row r="194" spans="2:16" ht="18" customHeight="1" x14ac:dyDescent="0.25">
      <c r="B194" s="21" t="s">
        <v>0</v>
      </c>
      <c r="C194" s="22" t="s">
        <v>497</v>
      </c>
      <c r="D194" s="22" t="s">
        <v>18</v>
      </c>
      <c r="E194" s="21" t="s">
        <v>2222</v>
      </c>
      <c r="F194" s="23" t="s">
        <v>3</v>
      </c>
      <c r="G194" s="23" t="s">
        <v>4</v>
      </c>
      <c r="H194" s="21" t="str">
        <f t="shared" si="2"/>
        <v>AWR_11_SA3/APPLIED-WATER</v>
      </c>
      <c r="I194" s="24" t="s">
        <v>2223</v>
      </c>
      <c r="J194" s="10" t="str">
        <f>VLOOKUP(Table1[[#This Row],[UID]],CS3SVComposerConfig!$B$3:$D$1808,3,FALSE)</f>
        <v>CS3L2015V0Hydro_SV.dss</v>
      </c>
      <c r="K194" s="10" t="s">
        <v>2212</v>
      </c>
      <c r="L194" s="10" t="s">
        <v>2212</v>
      </c>
      <c r="M194" s="10" t="s">
        <v>2224</v>
      </c>
      <c r="N194" s="10" t="s">
        <v>2225</v>
      </c>
      <c r="O194" s="10" t="s">
        <v>2226</v>
      </c>
      <c r="P194" s="39" t="s">
        <v>2227</v>
      </c>
    </row>
    <row r="195" spans="2:16" ht="18" customHeight="1" x14ac:dyDescent="0.25">
      <c r="B195" s="21" t="s">
        <v>0</v>
      </c>
      <c r="C195" s="22" t="s">
        <v>498</v>
      </c>
      <c r="D195" s="22" t="s">
        <v>18</v>
      </c>
      <c r="E195" s="21" t="s">
        <v>2222</v>
      </c>
      <c r="F195" s="23" t="s">
        <v>3</v>
      </c>
      <c r="G195" s="23" t="s">
        <v>4</v>
      </c>
      <c r="H195" s="21" t="str">
        <f t="shared" ref="H195:H258" si="3">_xlfn.CONCAT(C195,"/",D195)</f>
        <v>AWR_11_SA4/APPLIED-WATER</v>
      </c>
      <c r="I195" s="24" t="s">
        <v>2223</v>
      </c>
      <c r="J195" s="10" t="str">
        <f>VLOOKUP(Table1[[#This Row],[UID]],CS3SVComposerConfig!$B$3:$D$1808,3,FALSE)</f>
        <v>CS3L2015V0Hydro_SV.dss</v>
      </c>
      <c r="K195" s="10" t="s">
        <v>2212</v>
      </c>
      <c r="L195" s="10" t="s">
        <v>2212</v>
      </c>
      <c r="M195" s="10" t="s">
        <v>2224</v>
      </c>
      <c r="N195" s="10" t="s">
        <v>2225</v>
      </c>
      <c r="O195" s="10" t="s">
        <v>2226</v>
      </c>
      <c r="P195" s="39" t="s">
        <v>2227</v>
      </c>
    </row>
    <row r="196" spans="2:16" ht="18" customHeight="1" x14ac:dyDescent="0.25">
      <c r="B196" s="21" t="s">
        <v>0</v>
      </c>
      <c r="C196" s="22" t="s">
        <v>499</v>
      </c>
      <c r="D196" s="22" t="s">
        <v>18</v>
      </c>
      <c r="E196" s="21" t="s">
        <v>2222</v>
      </c>
      <c r="F196" s="23" t="s">
        <v>3</v>
      </c>
      <c r="G196" s="23" t="s">
        <v>4</v>
      </c>
      <c r="H196" s="21" t="str">
        <f t="shared" si="3"/>
        <v>AWR_12_NA/APPLIED-WATER</v>
      </c>
      <c r="I196" s="24" t="s">
        <v>2223</v>
      </c>
      <c r="J196" s="10" t="str">
        <f>VLOOKUP(Table1[[#This Row],[UID]],CS3SVComposerConfig!$B$3:$D$1808,3,FALSE)</f>
        <v>CS3L2015V0Hydro_SV.dss</v>
      </c>
      <c r="K196" s="10" t="s">
        <v>2212</v>
      </c>
      <c r="L196" s="10" t="s">
        <v>2212</v>
      </c>
      <c r="M196" s="10" t="s">
        <v>2224</v>
      </c>
      <c r="N196" s="10" t="s">
        <v>2225</v>
      </c>
      <c r="O196" s="10" t="s">
        <v>2226</v>
      </c>
      <c r="P196" s="39" t="s">
        <v>2227</v>
      </c>
    </row>
    <row r="197" spans="2:16" ht="18" customHeight="1" x14ac:dyDescent="0.25">
      <c r="B197" s="21" t="s">
        <v>0</v>
      </c>
      <c r="C197" s="22" t="s">
        <v>500</v>
      </c>
      <c r="D197" s="22" t="s">
        <v>18</v>
      </c>
      <c r="E197" s="21" t="s">
        <v>2222</v>
      </c>
      <c r="F197" s="23" t="s">
        <v>3</v>
      </c>
      <c r="G197" s="23" t="s">
        <v>4</v>
      </c>
      <c r="H197" s="21" t="str">
        <f t="shared" si="3"/>
        <v>AWR_12_SA/APPLIED-WATER</v>
      </c>
      <c r="I197" s="24" t="s">
        <v>2223</v>
      </c>
      <c r="J197" s="10" t="str">
        <f>VLOOKUP(Table1[[#This Row],[UID]],CS3SVComposerConfig!$B$3:$D$1808,3,FALSE)</f>
        <v>CS3L2015V0Hydro_SV.dss</v>
      </c>
      <c r="K197" s="10" t="s">
        <v>2212</v>
      </c>
      <c r="L197" s="10" t="s">
        <v>2224</v>
      </c>
      <c r="M197" s="10" t="s">
        <v>2224</v>
      </c>
      <c r="N197" s="10" t="s">
        <v>2225</v>
      </c>
      <c r="O197" s="10" t="s">
        <v>2226</v>
      </c>
      <c r="P197" s="39" t="s">
        <v>2227</v>
      </c>
    </row>
    <row r="198" spans="2:16" ht="18" customHeight="1" x14ac:dyDescent="0.25">
      <c r="B198" s="21" t="s">
        <v>0</v>
      </c>
      <c r="C198" s="22" t="s">
        <v>501</v>
      </c>
      <c r="D198" s="22" t="s">
        <v>18</v>
      </c>
      <c r="E198" s="21" t="s">
        <v>2222</v>
      </c>
      <c r="F198" s="23" t="s">
        <v>3</v>
      </c>
      <c r="G198" s="23" t="s">
        <v>4</v>
      </c>
      <c r="H198" s="21" t="str">
        <f t="shared" si="3"/>
        <v>AWR_13_NA/APPLIED-WATER</v>
      </c>
      <c r="I198" s="24" t="s">
        <v>2223</v>
      </c>
      <c r="J198" s="10" t="str">
        <f>VLOOKUP(Table1[[#This Row],[UID]],CS3SVComposerConfig!$B$3:$D$1808,3,FALSE)</f>
        <v>CS3L2015V0Hydro_SV.dss</v>
      </c>
      <c r="K198" s="10" t="s">
        <v>2212</v>
      </c>
      <c r="L198" s="10" t="s">
        <v>2224</v>
      </c>
      <c r="M198" s="10" t="s">
        <v>2224</v>
      </c>
      <c r="N198" s="10" t="s">
        <v>2225</v>
      </c>
      <c r="O198" s="10" t="s">
        <v>2226</v>
      </c>
      <c r="P198" s="39" t="s">
        <v>2227</v>
      </c>
    </row>
    <row r="199" spans="2:16" ht="18" customHeight="1" x14ac:dyDescent="0.25">
      <c r="B199" s="21" t="s">
        <v>0</v>
      </c>
      <c r="C199" s="22" t="s">
        <v>502</v>
      </c>
      <c r="D199" s="22" t="s">
        <v>18</v>
      </c>
      <c r="E199" s="21" t="s">
        <v>2222</v>
      </c>
      <c r="F199" s="23" t="s">
        <v>3</v>
      </c>
      <c r="G199" s="23" t="s">
        <v>4</v>
      </c>
      <c r="H199" s="21" t="str">
        <f t="shared" si="3"/>
        <v>AWR_14_NA/APPLIED-WATER</v>
      </c>
      <c r="I199" s="24" t="s">
        <v>2223</v>
      </c>
      <c r="J199" s="10" t="str">
        <f>VLOOKUP(Table1[[#This Row],[UID]],CS3SVComposerConfig!$B$3:$D$1808,3,FALSE)</f>
        <v>CS3L2015V0Hydro_SV.dss</v>
      </c>
      <c r="K199" s="10" t="s">
        <v>2212</v>
      </c>
      <c r="L199" s="10" t="s">
        <v>2212</v>
      </c>
      <c r="M199" s="10" t="s">
        <v>2224</v>
      </c>
      <c r="N199" s="10" t="s">
        <v>2225</v>
      </c>
      <c r="O199" s="10" t="s">
        <v>2226</v>
      </c>
      <c r="P199" s="39" t="s">
        <v>2227</v>
      </c>
    </row>
    <row r="200" spans="2:16" ht="18" customHeight="1" x14ac:dyDescent="0.25">
      <c r="B200" s="21" t="s">
        <v>0</v>
      </c>
      <c r="C200" s="22" t="s">
        <v>503</v>
      </c>
      <c r="D200" s="22" t="s">
        <v>18</v>
      </c>
      <c r="E200" s="21" t="s">
        <v>2222</v>
      </c>
      <c r="F200" s="23" t="s">
        <v>3</v>
      </c>
      <c r="G200" s="23" t="s">
        <v>4</v>
      </c>
      <c r="H200" s="21" t="str">
        <f t="shared" si="3"/>
        <v>AWR_15N_NA1/APPLIED-WATER</v>
      </c>
      <c r="I200" s="24" t="s">
        <v>2223</v>
      </c>
      <c r="J200" s="10" t="str">
        <f>VLOOKUP(Table1[[#This Row],[UID]],CS3SVComposerConfig!$B$3:$D$1808,3,FALSE)</f>
        <v>CS3L2015V0Hydro_SV.dss</v>
      </c>
      <c r="K200" s="10" t="s">
        <v>2212</v>
      </c>
      <c r="L200" s="10" t="s">
        <v>2212</v>
      </c>
      <c r="M200" s="10" t="s">
        <v>2224</v>
      </c>
      <c r="N200" s="10" t="s">
        <v>2225</v>
      </c>
      <c r="O200" s="10" t="s">
        <v>2226</v>
      </c>
      <c r="P200" s="39" t="s">
        <v>2227</v>
      </c>
    </row>
    <row r="201" spans="2:16" ht="18" customHeight="1" x14ac:dyDescent="0.25">
      <c r="B201" s="21" t="s">
        <v>0</v>
      </c>
      <c r="C201" s="22" t="s">
        <v>504</v>
      </c>
      <c r="D201" s="22" t="s">
        <v>18</v>
      </c>
      <c r="E201" s="21" t="s">
        <v>2222</v>
      </c>
      <c r="F201" s="23" t="s">
        <v>3</v>
      </c>
      <c r="G201" s="23" t="s">
        <v>4</v>
      </c>
      <c r="H201" s="21" t="str">
        <f t="shared" si="3"/>
        <v>AWR_15N_NA2/APPLIED-WATER</v>
      </c>
      <c r="I201" s="24" t="s">
        <v>2223</v>
      </c>
      <c r="J201" s="10" t="str">
        <f>VLOOKUP(Table1[[#This Row],[UID]],CS3SVComposerConfig!$B$3:$D$1808,3,FALSE)</f>
        <v>CS3L2015V0Hydro_SV.dss</v>
      </c>
      <c r="K201" s="10" t="s">
        <v>2212</v>
      </c>
      <c r="L201" s="10" t="s">
        <v>2212</v>
      </c>
      <c r="M201" s="10" t="s">
        <v>2224</v>
      </c>
      <c r="N201" s="10" t="s">
        <v>2225</v>
      </c>
      <c r="O201" s="10" t="s">
        <v>2226</v>
      </c>
      <c r="P201" s="39" t="s">
        <v>2227</v>
      </c>
    </row>
    <row r="202" spans="2:16" ht="18" customHeight="1" x14ac:dyDescent="0.25">
      <c r="B202" s="21" t="s">
        <v>0</v>
      </c>
      <c r="C202" s="22" t="s">
        <v>505</v>
      </c>
      <c r="D202" s="22" t="s">
        <v>18</v>
      </c>
      <c r="E202" s="21" t="s">
        <v>2222</v>
      </c>
      <c r="F202" s="23" t="s">
        <v>3</v>
      </c>
      <c r="G202" s="23" t="s">
        <v>4</v>
      </c>
      <c r="H202" s="21" t="str">
        <f t="shared" si="3"/>
        <v>AWR_15N_SA/APPLIED-WATER</v>
      </c>
      <c r="I202" s="24" t="s">
        <v>2223</v>
      </c>
      <c r="J202" s="10" t="str">
        <f>VLOOKUP(Table1[[#This Row],[UID]],CS3SVComposerConfig!$B$3:$D$1808,3,FALSE)</f>
        <v>CS3L2015V0Hydro_SV.dss</v>
      </c>
      <c r="K202" s="10" t="s">
        <v>2212</v>
      </c>
      <c r="L202" s="10" t="s">
        <v>2224</v>
      </c>
      <c r="M202" s="10" t="s">
        <v>2224</v>
      </c>
      <c r="N202" s="10" t="s">
        <v>2225</v>
      </c>
      <c r="O202" s="10" t="s">
        <v>2226</v>
      </c>
      <c r="P202" s="39" t="s">
        <v>2227</v>
      </c>
    </row>
    <row r="203" spans="2:16" ht="18" customHeight="1" x14ac:dyDescent="0.25">
      <c r="B203" s="21" t="s">
        <v>0</v>
      </c>
      <c r="C203" s="22" t="s">
        <v>506</v>
      </c>
      <c r="D203" s="22" t="s">
        <v>18</v>
      </c>
      <c r="E203" s="21" t="s">
        <v>2222</v>
      </c>
      <c r="F203" s="23" t="s">
        <v>3</v>
      </c>
      <c r="G203" s="23" t="s">
        <v>4</v>
      </c>
      <c r="H203" s="21" t="str">
        <f t="shared" si="3"/>
        <v>AWR_15S_NA1/APPLIED-WATER</v>
      </c>
      <c r="I203" s="24" t="s">
        <v>2223</v>
      </c>
      <c r="J203" s="10" t="str">
        <f>VLOOKUP(Table1[[#This Row],[UID]],CS3SVComposerConfig!$B$3:$D$1808,3,FALSE)</f>
        <v>CS3L2015V0Hydro_SV.dss</v>
      </c>
      <c r="K203" s="10" t="s">
        <v>2212</v>
      </c>
      <c r="L203" s="10" t="s">
        <v>2212</v>
      </c>
      <c r="M203" s="10" t="s">
        <v>2224</v>
      </c>
      <c r="N203" s="10" t="s">
        <v>2225</v>
      </c>
      <c r="O203" s="10" t="s">
        <v>2226</v>
      </c>
      <c r="P203" s="39" t="s">
        <v>2227</v>
      </c>
    </row>
    <row r="204" spans="2:16" ht="18" customHeight="1" x14ac:dyDescent="0.25">
      <c r="B204" s="21" t="s">
        <v>0</v>
      </c>
      <c r="C204" s="22" t="s">
        <v>507</v>
      </c>
      <c r="D204" s="22" t="s">
        <v>18</v>
      </c>
      <c r="E204" s="21" t="s">
        <v>2222</v>
      </c>
      <c r="F204" s="23" t="s">
        <v>3</v>
      </c>
      <c r="G204" s="23" t="s">
        <v>4</v>
      </c>
      <c r="H204" s="21" t="str">
        <f t="shared" si="3"/>
        <v>AWR_15S_NA2/APPLIED-WATER</v>
      </c>
      <c r="I204" s="24" t="s">
        <v>2223</v>
      </c>
      <c r="J204" s="10" t="str">
        <f>VLOOKUP(Table1[[#This Row],[UID]],CS3SVComposerConfig!$B$3:$D$1808,3,FALSE)</f>
        <v>CS3L2015V0Hydro_SV.dss</v>
      </c>
      <c r="K204" s="10" t="s">
        <v>2212</v>
      </c>
      <c r="L204" s="10" t="s">
        <v>2212</v>
      </c>
      <c r="M204" s="10" t="s">
        <v>2224</v>
      </c>
      <c r="N204" s="10" t="s">
        <v>2225</v>
      </c>
      <c r="O204" s="10" t="s">
        <v>2226</v>
      </c>
      <c r="P204" s="39" t="s">
        <v>2227</v>
      </c>
    </row>
    <row r="205" spans="2:16" ht="18" customHeight="1" x14ac:dyDescent="0.25">
      <c r="B205" s="21" t="s">
        <v>0</v>
      </c>
      <c r="C205" s="22" t="s">
        <v>508</v>
      </c>
      <c r="D205" s="22" t="s">
        <v>18</v>
      </c>
      <c r="E205" s="21" t="s">
        <v>2222</v>
      </c>
      <c r="F205" s="23" t="s">
        <v>3</v>
      </c>
      <c r="G205" s="23" t="s">
        <v>4</v>
      </c>
      <c r="H205" s="21" t="str">
        <f t="shared" si="3"/>
        <v>AWR_15S_SA/APPLIED-WATER</v>
      </c>
      <c r="I205" s="24" t="s">
        <v>2223</v>
      </c>
      <c r="J205" s="10" t="str">
        <f>VLOOKUP(Table1[[#This Row],[UID]],CS3SVComposerConfig!$B$3:$D$1808,3,FALSE)</f>
        <v>CS3L2015V0Hydro_SV.dss</v>
      </c>
      <c r="K205" s="10" t="s">
        <v>2212</v>
      </c>
      <c r="L205" s="10" t="s">
        <v>2212</v>
      </c>
      <c r="M205" s="10" t="s">
        <v>2224</v>
      </c>
      <c r="N205" s="10" t="s">
        <v>2225</v>
      </c>
      <c r="O205" s="10" t="s">
        <v>2226</v>
      </c>
      <c r="P205" s="39" t="s">
        <v>2227</v>
      </c>
    </row>
    <row r="206" spans="2:16" ht="18" customHeight="1" x14ac:dyDescent="0.25">
      <c r="B206" s="21" t="s">
        <v>0</v>
      </c>
      <c r="C206" s="22" t="s">
        <v>509</v>
      </c>
      <c r="D206" s="22" t="s">
        <v>18</v>
      </c>
      <c r="E206" s="21" t="s">
        <v>2222</v>
      </c>
      <c r="F206" s="23" t="s">
        <v>3</v>
      </c>
      <c r="G206" s="23" t="s">
        <v>4</v>
      </c>
      <c r="H206" s="21" t="str">
        <f t="shared" si="3"/>
        <v>AWR_16_NA1/APPLIED-WATER</v>
      </c>
      <c r="I206" s="24" t="s">
        <v>2223</v>
      </c>
      <c r="J206" s="10" t="str">
        <f>VLOOKUP(Table1[[#This Row],[UID]],CS3SVComposerConfig!$B$3:$D$1808,3,FALSE)</f>
        <v>CS3L2015V0Hydro_SV.dss</v>
      </c>
      <c r="K206" s="10" t="s">
        <v>2212</v>
      </c>
      <c r="L206" s="10" t="s">
        <v>2212</v>
      </c>
      <c r="M206" s="10" t="s">
        <v>2224</v>
      </c>
      <c r="N206" s="10" t="s">
        <v>2225</v>
      </c>
      <c r="O206" s="10" t="s">
        <v>2226</v>
      </c>
      <c r="P206" s="39" t="s">
        <v>2227</v>
      </c>
    </row>
    <row r="207" spans="2:16" ht="18" customHeight="1" x14ac:dyDescent="0.25">
      <c r="B207" s="21" t="s">
        <v>0</v>
      </c>
      <c r="C207" s="22" t="s">
        <v>510</v>
      </c>
      <c r="D207" s="22" t="s">
        <v>18</v>
      </c>
      <c r="E207" s="21" t="s">
        <v>2222</v>
      </c>
      <c r="F207" s="23" t="s">
        <v>3</v>
      </c>
      <c r="G207" s="23" t="s">
        <v>4</v>
      </c>
      <c r="H207" s="21" t="str">
        <f t="shared" si="3"/>
        <v>AWR_16_NA2/APPLIED-WATER</v>
      </c>
      <c r="I207" s="24" t="s">
        <v>2223</v>
      </c>
      <c r="J207" s="10" t="str">
        <f>VLOOKUP(Table1[[#This Row],[UID]],CS3SVComposerConfig!$B$3:$D$1808,3,FALSE)</f>
        <v>CS3L2015V0Hydro_SV.dss</v>
      </c>
      <c r="K207" s="10" t="s">
        <v>2212</v>
      </c>
      <c r="L207" s="10" t="s">
        <v>2212</v>
      </c>
      <c r="M207" s="10" t="s">
        <v>2224</v>
      </c>
      <c r="N207" s="10" t="s">
        <v>2225</v>
      </c>
      <c r="O207" s="10" t="s">
        <v>2226</v>
      </c>
      <c r="P207" s="39" t="s">
        <v>2227</v>
      </c>
    </row>
    <row r="208" spans="2:16" ht="18" customHeight="1" x14ac:dyDescent="0.25">
      <c r="B208" s="21" t="s">
        <v>0</v>
      </c>
      <c r="C208" s="22" t="s">
        <v>511</v>
      </c>
      <c r="D208" s="22" t="s">
        <v>18</v>
      </c>
      <c r="E208" s="21" t="s">
        <v>2222</v>
      </c>
      <c r="F208" s="23" t="s">
        <v>3</v>
      </c>
      <c r="G208" s="23" t="s">
        <v>4</v>
      </c>
      <c r="H208" s="21" t="str">
        <f t="shared" si="3"/>
        <v>AWR_16_PA/APPLIED-WATER</v>
      </c>
      <c r="I208" s="24" t="s">
        <v>2223</v>
      </c>
      <c r="J208" s="10" t="str">
        <f>VLOOKUP(Table1[[#This Row],[UID]],CS3SVComposerConfig!$B$3:$D$1808,3,FALSE)</f>
        <v>CS3L2015V0Hydro_SV.dss</v>
      </c>
      <c r="K208" s="10" t="s">
        <v>2212</v>
      </c>
      <c r="L208" s="10" t="s">
        <v>2212</v>
      </c>
      <c r="M208" s="10" t="s">
        <v>2224</v>
      </c>
      <c r="N208" s="10" t="s">
        <v>2225</v>
      </c>
      <c r="O208" s="10" t="s">
        <v>2226</v>
      </c>
      <c r="P208" s="39" t="s">
        <v>2227</v>
      </c>
    </row>
    <row r="209" spans="2:16" ht="18" customHeight="1" x14ac:dyDescent="0.25">
      <c r="B209" s="21" t="s">
        <v>0</v>
      </c>
      <c r="C209" s="22" t="s">
        <v>512</v>
      </c>
      <c r="D209" s="22" t="s">
        <v>18</v>
      </c>
      <c r="E209" s="21" t="s">
        <v>2222</v>
      </c>
      <c r="F209" s="23" t="s">
        <v>3</v>
      </c>
      <c r="G209" s="23" t="s">
        <v>4</v>
      </c>
      <c r="H209" s="21" t="str">
        <f t="shared" si="3"/>
        <v>AWR_16_SA/APPLIED-WATER</v>
      </c>
      <c r="I209" s="24" t="s">
        <v>2223</v>
      </c>
      <c r="J209" s="10" t="str">
        <f>VLOOKUP(Table1[[#This Row],[UID]],CS3SVComposerConfig!$B$3:$D$1808,3,FALSE)</f>
        <v>CS3L2015V0Hydro_SV.dss</v>
      </c>
      <c r="K209" s="10" t="s">
        <v>2212</v>
      </c>
      <c r="L209" s="10" t="s">
        <v>2212</v>
      </c>
      <c r="M209" s="10" t="s">
        <v>2224</v>
      </c>
      <c r="N209" s="10" t="s">
        <v>2225</v>
      </c>
      <c r="O209" s="10" t="s">
        <v>2226</v>
      </c>
      <c r="P209" s="39" t="s">
        <v>2227</v>
      </c>
    </row>
    <row r="210" spans="2:16" ht="18" customHeight="1" x14ac:dyDescent="0.25">
      <c r="B210" s="21" t="s">
        <v>0</v>
      </c>
      <c r="C210" s="22" t="s">
        <v>513</v>
      </c>
      <c r="D210" s="22" t="s">
        <v>18</v>
      </c>
      <c r="E210" s="21" t="s">
        <v>2222</v>
      </c>
      <c r="F210" s="23" t="s">
        <v>3</v>
      </c>
      <c r="G210" s="23" t="s">
        <v>4</v>
      </c>
      <c r="H210" s="21" t="str">
        <f t="shared" si="3"/>
        <v>AWR_17N_NA/APPLIED-WATER</v>
      </c>
      <c r="I210" s="24" t="s">
        <v>2223</v>
      </c>
      <c r="J210" s="10" t="str">
        <f>VLOOKUP(Table1[[#This Row],[UID]],CS3SVComposerConfig!$B$3:$D$1808,3,FALSE)</f>
        <v>CS3L2015V0Hydro_SV.dss</v>
      </c>
      <c r="K210" s="10" t="s">
        <v>2212</v>
      </c>
      <c r="L210" s="10" t="s">
        <v>2212</v>
      </c>
      <c r="M210" s="10" t="s">
        <v>2224</v>
      </c>
      <c r="N210" s="10" t="s">
        <v>2225</v>
      </c>
      <c r="O210" s="10" t="s">
        <v>2226</v>
      </c>
      <c r="P210" s="39" t="s">
        <v>2227</v>
      </c>
    </row>
    <row r="211" spans="2:16" ht="18" customHeight="1" x14ac:dyDescent="0.25">
      <c r="B211" s="21" t="s">
        <v>0</v>
      </c>
      <c r="C211" s="22" t="s">
        <v>514</v>
      </c>
      <c r="D211" s="22" t="s">
        <v>18</v>
      </c>
      <c r="E211" s="21" t="s">
        <v>2222</v>
      </c>
      <c r="F211" s="23" t="s">
        <v>3</v>
      </c>
      <c r="G211" s="23" t="s">
        <v>4</v>
      </c>
      <c r="H211" s="21" t="str">
        <f t="shared" si="3"/>
        <v>AWR_17N_NR/APPLIED-WATER</v>
      </c>
      <c r="I211" s="24" t="s">
        <v>2223</v>
      </c>
      <c r="J211" s="10" t="str">
        <f>VLOOKUP(Table1[[#This Row],[UID]],CS3SVComposerConfig!$B$3:$D$1808,3,FALSE)</f>
        <v>CS3L2015V0Hydro_SV.dss</v>
      </c>
      <c r="K211" s="10" t="s">
        <v>2212</v>
      </c>
      <c r="L211" s="10" t="s">
        <v>2212</v>
      </c>
      <c r="M211" s="10" t="s">
        <v>2224</v>
      </c>
      <c r="N211" s="10" t="s">
        <v>2225</v>
      </c>
      <c r="O211" s="10" t="s">
        <v>2226</v>
      </c>
      <c r="P211" s="39" t="s">
        <v>2227</v>
      </c>
    </row>
    <row r="212" spans="2:16" ht="18" customHeight="1" x14ac:dyDescent="0.25">
      <c r="B212" s="21" t="s">
        <v>0</v>
      </c>
      <c r="C212" s="22" t="s">
        <v>515</v>
      </c>
      <c r="D212" s="22" t="s">
        <v>18</v>
      </c>
      <c r="E212" s="21" t="s">
        <v>2222</v>
      </c>
      <c r="F212" s="23" t="s">
        <v>3</v>
      </c>
      <c r="G212" s="23" t="s">
        <v>4</v>
      </c>
      <c r="H212" s="21" t="str">
        <f t="shared" si="3"/>
        <v>AWR_17N_PR/APPLIED-WATER</v>
      </c>
      <c r="I212" s="24" t="s">
        <v>2223</v>
      </c>
      <c r="J212" s="10" t="str">
        <f>VLOOKUP(Table1[[#This Row],[UID]],CS3SVComposerConfig!$B$3:$D$1808,3,FALSE)</f>
        <v>CS3L2015V0Hydro_SV.dss</v>
      </c>
      <c r="K212" s="10" t="s">
        <v>2212</v>
      </c>
      <c r="L212" s="10" t="s">
        <v>2212</v>
      </c>
      <c r="M212" s="10" t="s">
        <v>2224</v>
      </c>
      <c r="N212" s="10" t="s">
        <v>2225</v>
      </c>
      <c r="O212" s="10" t="s">
        <v>2226</v>
      </c>
      <c r="P212" s="39" t="s">
        <v>2227</v>
      </c>
    </row>
    <row r="213" spans="2:16" ht="18" customHeight="1" x14ac:dyDescent="0.25">
      <c r="B213" s="21" t="s">
        <v>0</v>
      </c>
      <c r="C213" s="22" t="s">
        <v>516</v>
      </c>
      <c r="D213" s="22" t="s">
        <v>18</v>
      </c>
      <c r="E213" s="21" t="s">
        <v>2222</v>
      </c>
      <c r="F213" s="23" t="s">
        <v>3</v>
      </c>
      <c r="G213" s="23" t="s">
        <v>4</v>
      </c>
      <c r="H213" s="21" t="str">
        <f t="shared" si="3"/>
        <v>AWR_17S_NA/APPLIED-WATER</v>
      </c>
      <c r="I213" s="24" t="s">
        <v>2223</v>
      </c>
      <c r="J213" s="10" t="str">
        <f>VLOOKUP(Table1[[#This Row],[UID]],CS3SVComposerConfig!$B$3:$D$1808,3,FALSE)</f>
        <v>CS3L2015V0Hydro_SV.dss</v>
      </c>
      <c r="K213" s="10" t="s">
        <v>2212</v>
      </c>
      <c r="L213" s="10" t="s">
        <v>2212</v>
      </c>
      <c r="M213" s="10" t="s">
        <v>2224</v>
      </c>
      <c r="N213" s="10" t="s">
        <v>2225</v>
      </c>
      <c r="O213" s="10" t="s">
        <v>2226</v>
      </c>
      <c r="P213" s="39" t="s">
        <v>2227</v>
      </c>
    </row>
    <row r="214" spans="2:16" ht="18" customHeight="1" x14ac:dyDescent="0.25">
      <c r="B214" s="21" t="s">
        <v>0</v>
      </c>
      <c r="C214" s="22" t="s">
        <v>517</v>
      </c>
      <c r="D214" s="22" t="s">
        <v>18</v>
      </c>
      <c r="E214" s="21" t="s">
        <v>2222</v>
      </c>
      <c r="F214" s="23" t="s">
        <v>3</v>
      </c>
      <c r="G214" s="23" t="s">
        <v>4</v>
      </c>
      <c r="H214" s="21" t="str">
        <f t="shared" si="3"/>
        <v>AWR_17S_PR/APPLIED-WATER</v>
      </c>
      <c r="I214" s="24" t="s">
        <v>2223</v>
      </c>
      <c r="J214" s="10" t="str">
        <f>VLOOKUP(Table1[[#This Row],[UID]],CS3SVComposerConfig!$B$3:$D$1808,3,FALSE)</f>
        <v>CS3L2015V0Hydro_SV.dss</v>
      </c>
      <c r="K214" s="10" t="s">
        <v>2212</v>
      </c>
      <c r="L214" s="10" t="s">
        <v>2212</v>
      </c>
      <c r="M214" s="10" t="s">
        <v>2224</v>
      </c>
      <c r="N214" s="10" t="s">
        <v>2225</v>
      </c>
      <c r="O214" s="10" t="s">
        <v>2226</v>
      </c>
      <c r="P214" s="39" t="s">
        <v>2227</v>
      </c>
    </row>
    <row r="215" spans="2:16" ht="18" customHeight="1" x14ac:dyDescent="0.25">
      <c r="B215" s="21" t="s">
        <v>0</v>
      </c>
      <c r="C215" s="22" t="s">
        <v>518</v>
      </c>
      <c r="D215" s="22" t="s">
        <v>18</v>
      </c>
      <c r="E215" s="21" t="s">
        <v>2222</v>
      </c>
      <c r="F215" s="23" t="s">
        <v>3</v>
      </c>
      <c r="G215" s="23" t="s">
        <v>4</v>
      </c>
      <c r="H215" s="21" t="str">
        <f t="shared" si="3"/>
        <v>AWR_17S_SA/APPLIED-WATER</v>
      </c>
      <c r="I215" s="24" t="s">
        <v>2223</v>
      </c>
      <c r="J215" s="10" t="str">
        <f>VLOOKUP(Table1[[#This Row],[UID]],CS3SVComposerConfig!$B$3:$D$1808,3,FALSE)</f>
        <v>CS3L2015V0Hydro_SV.dss</v>
      </c>
      <c r="K215" s="10" t="s">
        <v>2212</v>
      </c>
      <c r="L215" s="10" t="s">
        <v>2212</v>
      </c>
      <c r="M215" s="10" t="s">
        <v>2224</v>
      </c>
      <c r="N215" s="10" t="s">
        <v>2225</v>
      </c>
      <c r="O215" s="10" t="s">
        <v>2226</v>
      </c>
      <c r="P215" s="39" t="s">
        <v>2227</v>
      </c>
    </row>
    <row r="216" spans="2:16" ht="18" customHeight="1" x14ac:dyDescent="0.25">
      <c r="B216" s="21" t="s">
        <v>0</v>
      </c>
      <c r="C216" s="22" t="s">
        <v>519</v>
      </c>
      <c r="D216" s="22" t="s">
        <v>18</v>
      </c>
      <c r="E216" s="21" t="s">
        <v>2222</v>
      </c>
      <c r="F216" s="23" t="s">
        <v>3</v>
      </c>
      <c r="G216" s="23" t="s">
        <v>4</v>
      </c>
      <c r="H216" s="21" t="str">
        <f t="shared" si="3"/>
        <v>AWR_18_NA/APPLIED-WATER</v>
      </c>
      <c r="I216" s="24" t="s">
        <v>2223</v>
      </c>
      <c r="J216" s="10" t="str">
        <f>VLOOKUP(Table1[[#This Row],[UID]],CS3SVComposerConfig!$B$3:$D$1808,3,FALSE)</f>
        <v>CS3L2015V0Hydro_SV.dss</v>
      </c>
      <c r="K216" s="10" t="s">
        <v>2212</v>
      </c>
      <c r="L216" s="10" t="s">
        <v>2212</v>
      </c>
      <c r="M216" s="10" t="s">
        <v>2224</v>
      </c>
      <c r="N216" s="10" t="s">
        <v>2225</v>
      </c>
      <c r="O216" s="10" t="s">
        <v>2226</v>
      </c>
      <c r="P216" s="39" t="s">
        <v>2227</v>
      </c>
    </row>
    <row r="217" spans="2:16" ht="18" customHeight="1" x14ac:dyDescent="0.25">
      <c r="B217" s="21" t="s">
        <v>0</v>
      </c>
      <c r="C217" s="22" t="s">
        <v>520</v>
      </c>
      <c r="D217" s="22" t="s">
        <v>18</v>
      </c>
      <c r="E217" s="21" t="s">
        <v>2222</v>
      </c>
      <c r="F217" s="23" t="s">
        <v>3</v>
      </c>
      <c r="G217" s="23" t="s">
        <v>4</v>
      </c>
      <c r="H217" s="21" t="str">
        <f t="shared" si="3"/>
        <v>AWR_18_SA/APPLIED-WATER</v>
      </c>
      <c r="I217" s="24" t="s">
        <v>2223</v>
      </c>
      <c r="J217" s="10" t="str">
        <f>VLOOKUP(Table1[[#This Row],[UID]],CS3SVComposerConfig!$B$3:$D$1808,3,FALSE)</f>
        <v>CS3L2015V0Hydro_SV.dss</v>
      </c>
      <c r="K217" s="10" t="s">
        <v>2212</v>
      </c>
      <c r="L217" s="10" t="s">
        <v>2212</v>
      </c>
      <c r="M217" s="10" t="s">
        <v>2224</v>
      </c>
      <c r="N217" s="10" t="s">
        <v>2225</v>
      </c>
      <c r="O217" s="10" t="s">
        <v>2226</v>
      </c>
      <c r="P217" s="39" t="s">
        <v>2227</v>
      </c>
    </row>
    <row r="218" spans="2:16" ht="18" customHeight="1" x14ac:dyDescent="0.25">
      <c r="B218" s="21" t="s">
        <v>0</v>
      </c>
      <c r="C218" s="22" t="s">
        <v>521</v>
      </c>
      <c r="D218" s="22" t="s">
        <v>18</v>
      </c>
      <c r="E218" s="21" t="s">
        <v>2222</v>
      </c>
      <c r="F218" s="23" t="s">
        <v>3</v>
      </c>
      <c r="G218" s="23" t="s">
        <v>4</v>
      </c>
      <c r="H218" s="21" t="str">
        <f t="shared" si="3"/>
        <v>AWR_19_SA/APPLIED-WATER</v>
      </c>
      <c r="I218" s="24" t="s">
        <v>2223</v>
      </c>
      <c r="J218" s="10" t="str">
        <f>VLOOKUP(Table1[[#This Row],[UID]],CS3SVComposerConfig!$B$3:$D$1808,3,FALSE)</f>
        <v>CS3L2015V0Hydro_SV.dss</v>
      </c>
      <c r="K218" s="10" t="s">
        <v>2212</v>
      </c>
      <c r="L218" s="10" t="s">
        <v>2212</v>
      </c>
      <c r="M218" s="10" t="s">
        <v>2224</v>
      </c>
      <c r="N218" s="10" t="s">
        <v>2225</v>
      </c>
      <c r="O218" s="10" t="s">
        <v>2226</v>
      </c>
      <c r="P218" s="39" t="s">
        <v>2227</v>
      </c>
    </row>
    <row r="219" spans="2:16" ht="18" customHeight="1" x14ac:dyDescent="0.25">
      <c r="B219" s="21" t="s">
        <v>0</v>
      </c>
      <c r="C219" s="22" t="s">
        <v>522</v>
      </c>
      <c r="D219" s="22" t="s">
        <v>18</v>
      </c>
      <c r="E219" s="21" t="s">
        <v>2222</v>
      </c>
      <c r="F219" s="23" t="s">
        <v>3</v>
      </c>
      <c r="G219" s="23" t="s">
        <v>4</v>
      </c>
      <c r="H219" s="21" t="str">
        <f t="shared" si="3"/>
        <v>AWR_20_NA1/APPLIED-WATER</v>
      </c>
      <c r="I219" s="24" t="s">
        <v>2223</v>
      </c>
      <c r="J219" s="10" t="str">
        <f>VLOOKUP(Table1[[#This Row],[UID]],CS3SVComposerConfig!$B$3:$D$1808,3,FALSE)</f>
        <v>CS3L2015V0Hydro_SV.dss</v>
      </c>
      <c r="K219" s="10" t="s">
        <v>2212</v>
      </c>
      <c r="L219" s="10" t="s">
        <v>2212</v>
      </c>
      <c r="M219" s="10" t="s">
        <v>2224</v>
      </c>
      <c r="N219" s="10" t="s">
        <v>2225</v>
      </c>
      <c r="O219" s="10" t="s">
        <v>2226</v>
      </c>
      <c r="P219" s="39" t="s">
        <v>2227</v>
      </c>
    </row>
    <row r="220" spans="2:16" ht="18" customHeight="1" x14ac:dyDescent="0.25">
      <c r="B220" s="21" t="s">
        <v>0</v>
      </c>
      <c r="C220" s="22" t="s">
        <v>523</v>
      </c>
      <c r="D220" s="22" t="s">
        <v>18</v>
      </c>
      <c r="E220" s="21" t="s">
        <v>2222</v>
      </c>
      <c r="F220" s="23" t="s">
        <v>3</v>
      </c>
      <c r="G220" s="23" t="s">
        <v>4</v>
      </c>
      <c r="H220" s="21" t="str">
        <f t="shared" si="3"/>
        <v>AWR_20_NA2/APPLIED-WATER</v>
      </c>
      <c r="I220" s="24" t="s">
        <v>2223</v>
      </c>
      <c r="J220" s="10" t="str">
        <f>VLOOKUP(Table1[[#This Row],[UID]],CS3SVComposerConfig!$B$3:$D$1808,3,FALSE)</f>
        <v>CS3L2015V0Hydro_SV.dss</v>
      </c>
      <c r="K220" s="10" t="s">
        <v>2212</v>
      </c>
      <c r="L220" s="10" t="s">
        <v>2224</v>
      </c>
      <c r="M220" s="10" t="s">
        <v>2224</v>
      </c>
      <c r="N220" s="10" t="s">
        <v>2225</v>
      </c>
      <c r="O220" s="10" t="s">
        <v>2226</v>
      </c>
      <c r="P220" s="39" t="s">
        <v>2227</v>
      </c>
    </row>
    <row r="221" spans="2:16" ht="18" customHeight="1" x14ac:dyDescent="0.25">
      <c r="B221" s="21" t="s">
        <v>0</v>
      </c>
      <c r="C221" s="22" t="s">
        <v>524</v>
      </c>
      <c r="D221" s="22" t="s">
        <v>18</v>
      </c>
      <c r="E221" s="21" t="s">
        <v>2222</v>
      </c>
      <c r="F221" s="23" t="s">
        <v>3</v>
      </c>
      <c r="G221" s="23" t="s">
        <v>4</v>
      </c>
      <c r="H221" s="21" t="str">
        <f t="shared" si="3"/>
        <v>AWR_20_PA/APPLIED-WATER</v>
      </c>
      <c r="I221" s="24" t="s">
        <v>2223</v>
      </c>
      <c r="J221" s="10" t="str">
        <f>VLOOKUP(Table1[[#This Row],[UID]],CS3SVComposerConfig!$B$3:$D$1808,3,FALSE)</f>
        <v>CS3L2015V0Hydro_SV.dss</v>
      </c>
      <c r="K221" s="10" t="s">
        <v>2212</v>
      </c>
      <c r="L221" s="10" t="s">
        <v>2212</v>
      </c>
      <c r="M221" s="10" t="s">
        <v>2224</v>
      </c>
      <c r="N221" s="10" t="s">
        <v>2225</v>
      </c>
      <c r="O221" s="10" t="s">
        <v>2226</v>
      </c>
      <c r="P221" s="39" t="s">
        <v>2227</v>
      </c>
    </row>
    <row r="222" spans="2:16" ht="18" customHeight="1" x14ac:dyDescent="0.25">
      <c r="B222" s="21" t="s">
        <v>0</v>
      </c>
      <c r="C222" s="22" t="s">
        <v>525</v>
      </c>
      <c r="D222" s="22" t="s">
        <v>18</v>
      </c>
      <c r="E222" s="21" t="s">
        <v>2222</v>
      </c>
      <c r="F222" s="23" t="s">
        <v>3</v>
      </c>
      <c r="G222" s="23" t="s">
        <v>4</v>
      </c>
      <c r="H222" s="21" t="str">
        <f t="shared" si="3"/>
        <v>AWR_21_NA/APPLIED-WATER</v>
      </c>
      <c r="I222" s="24" t="s">
        <v>2223</v>
      </c>
      <c r="J222" s="10" t="str">
        <f>VLOOKUP(Table1[[#This Row],[UID]],CS3SVComposerConfig!$B$3:$D$1808,3,FALSE)</f>
        <v>CS3L2015V0Hydro_SV.dss</v>
      </c>
      <c r="K222" s="10" t="s">
        <v>2212</v>
      </c>
      <c r="L222" s="10" t="s">
        <v>2212</v>
      </c>
      <c r="M222" s="10" t="s">
        <v>2224</v>
      </c>
      <c r="N222" s="10" t="s">
        <v>2225</v>
      </c>
      <c r="O222" s="10" t="s">
        <v>2226</v>
      </c>
      <c r="P222" s="39" t="s">
        <v>2227</v>
      </c>
    </row>
    <row r="223" spans="2:16" ht="18" customHeight="1" x14ac:dyDescent="0.25">
      <c r="B223" s="21" t="s">
        <v>0</v>
      </c>
      <c r="C223" s="22" t="s">
        <v>526</v>
      </c>
      <c r="D223" s="22" t="s">
        <v>18</v>
      </c>
      <c r="E223" s="21" t="s">
        <v>2222</v>
      </c>
      <c r="F223" s="23" t="s">
        <v>3</v>
      </c>
      <c r="G223" s="23" t="s">
        <v>4</v>
      </c>
      <c r="H223" s="21" t="str">
        <f t="shared" si="3"/>
        <v>AWR_21_PA/APPLIED-WATER</v>
      </c>
      <c r="I223" s="24" t="s">
        <v>2223</v>
      </c>
      <c r="J223" s="10" t="str">
        <f>VLOOKUP(Table1[[#This Row],[UID]],CS3SVComposerConfig!$B$3:$D$1808,3,FALSE)</f>
        <v>CS3L2015V0Hydro_SV.dss</v>
      </c>
      <c r="K223" s="10" t="s">
        <v>2212</v>
      </c>
      <c r="L223" s="10" t="s">
        <v>2212</v>
      </c>
      <c r="M223" s="10" t="s">
        <v>2224</v>
      </c>
      <c r="N223" s="10" t="s">
        <v>2225</v>
      </c>
      <c r="O223" s="10" t="s">
        <v>2226</v>
      </c>
      <c r="P223" s="39" t="s">
        <v>2227</v>
      </c>
    </row>
    <row r="224" spans="2:16" ht="18" customHeight="1" x14ac:dyDescent="0.25">
      <c r="B224" s="21" t="s">
        <v>0</v>
      </c>
      <c r="C224" s="22" t="s">
        <v>527</v>
      </c>
      <c r="D224" s="22" t="s">
        <v>18</v>
      </c>
      <c r="E224" s="21" t="s">
        <v>2222</v>
      </c>
      <c r="F224" s="23" t="s">
        <v>3</v>
      </c>
      <c r="G224" s="23" t="s">
        <v>4</v>
      </c>
      <c r="H224" s="21" t="str">
        <f t="shared" si="3"/>
        <v>AWR_21_SA/APPLIED-WATER</v>
      </c>
      <c r="I224" s="24" t="s">
        <v>2223</v>
      </c>
      <c r="J224" s="10" t="str">
        <f>VLOOKUP(Table1[[#This Row],[UID]],CS3SVComposerConfig!$B$3:$D$1808,3,FALSE)</f>
        <v>CS3L2015V0Hydro_SV.dss</v>
      </c>
      <c r="K224" s="10" t="s">
        <v>2212</v>
      </c>
      <c r="L224" s="10" t="s">
        <v>2212</v>
      </c>
      <c r="M224" s="10" t="s">
        <v>2224</v>
      </c>
      <c r="N224" s="10" t="s">
        <v>2225</v>
      </c>
      <c r="O224" s="10" t="s">
        <v>2226</v>
      </c>
      <c r="P224" s="39" t="s">
        <v>2227</v>
      </c>
    </row>
    <row r="225" spans="2:16" ht="18" customHeight="1" x14ac:dyDescent="0.25">
      <c r="B225" s="21" t="s">
        <v>0</v>
      </c>
      <c r="C225" s="22" t="s">
        <v>528</v>
      </c>
      <c r="D225" s="22" t="s">
        <v>18</v>
      </c>
      <c r="E225" s="21" t="s">
        <v>2222</v>
      </c>
      <c r="F225" s="23" t="s">
        <v>3</v>
      </c>
      <c r="G225" s="23" t="s">
        <v>4</v>
      </c>
      <c r="H225" s="21" t="str">
        <f t="shared" si="3"/>
        <v>AWR_22_NA/APPLIED-WATER</v>
      </c>
      <c r="I225" s="24" t="s">
        <v>2223</v>
      </c>
      <c r="J225" s="10" t="str">
        <f>VLOOKUP(Table1[[#This Row],[UID]],CS3SVComposerConfig!$B$3:$D$1808,3,FALSE)</f>
        <v>CS3L2015V0Hydro_SV.dss</v>
      </c>
      <c r="K225" s="10" t="s">
        <v>2212</v>
      </c>
      <c r="L225" s="10" t="s">
        <v>2212</v>
      </c>
      <c r="M225" s="10" t="s">
        <v>2224</v>
      </c>
      <c r="N225" s="10" t="s">
        <v>2225</v>
      </c>
      <c r="O225" s="10" t="s">
        <v>2226</v>
      </c>
      <c r="P225" s="39" t="s">
        <v>2227</v>
      </c>
    </row>
    <row r="226" spans="2:16" ht="18" customHeight="1" x14ac:dyDescent="0.25">
      <c r="B226" s="21" t="s">
        <v>0</v>
      </c>
      <c r="C226" s="22" t="s">
        <v>529</v>
      </c>
      <c r="D226" s="22" t="s">
        <v>18</v>
      </c>
      <c r="E226" s="21" t="s">
        <v>2222</v>
      </c>
      <c r="F226" s="23" t="s">
        <v>3</v>
      </c>
      <c r="G226" s="23" t="s">
        <v>4</v>
      </c>
      <c r="H226" s="21" t="str">
        <f t="shared" si="3"/>
        <v>AWR_22_SA1/APPLIED-WATER</v>
      </c>
      <c r="I226" s="24" t="s">
        <v>2223</v>
      </c>
      <c r="J226" s="10" t="str">
        <f>VLOOKUP(Table1[[#This Row],[UID]],CS3SVComposerConfig!$B$3:$D$1808,3,FALSE)</f>
        <v>CS3L2015V0Hydro_SV.dss</v>
      </c>
      <c r="K226" s="10" t="s">
        <v>2212</v>
      </c>
      <c r="L226" s="10" t="s">
        <v>2212</v>
      </c>
      <c r="M226" s="10" t="s">
        <v>2224</v>
      </c>
      <c r="N226" s="10" t="s">
        <v>2225</v>
      </c>
      <c r="O226" s="10" t="s">
        <v>2226</v>
      </c>
      <c r="P226" s="39" t="s">
        <v>2227</v>
      </c>
    </row>
    <row r="227" spans="2:16" ht="18" customHeight="1" x14ac:dyDescent="0.25">
      <c r="B227" s="21" t="s">
        <v>0</v>
      </c>
      <c r="C227" s="22" t="s">
        <v>530</v>
      </c>
      <c r="D227" s="22" t="s">
        <v>18</v>
      </c>
      <c r="E227" s="21" t="s">
        <v>2222</v>
      </c>
      <c r="F227" s="23" t="s">
        <v>3</v>
      </c>
      <c r="G227" s="23" t="s">
        <v>4</v>
      </c>
      <c r="H227" s="21" t="str">
        <f t="shared" si="3"/>
        <v>AWR_22_SA2/APPLIED-WATER</v>
      </c>
      <c r="I227" s="24" t="s">
        <v>2223</v>
      </c>
      <c r="J227" s="10" t="str">
        <f>VLOOKUP(Table1[[#This Row],[UID]],CS3SVComposerConfig!$B$3:$D$1808,3,FALSE)</f>
        <v>CS3L2015V0Hydro_SV.dss</v>
      </c>
      <c r="K227" s="10" t="s">
        <v>2212</v>
      </c>
      <c r="L227" s="10" t="s">
        <v>2224</v>
      </c>
      <c r="M227" s="10" t="s">
        <v>2224</v>
      </c>
      <c r="N227" s="10" t="s">
        <v>2225</v>
      </c>
      <c r="O227" s="10" t="s">
        <v>2226</v>
      </c>
      <c r="P227" s="39" t="s">
        <v>2227</v>
      </c>
    </row>
    <row r="228" spans="2:16" ht="18" customHeight="1" x14ac:dyDescent="0.25">
      <c r="B228" s="21" t="s">
        <v>0</v>
      </c>
      <c r="C228" s="22" t="s">
        <v>531</v>
      </c>
      <c r="D228" s="22" t="s">
        <v>18</v>
      </c>
      <c r="E228" s="21" t="s">
        <v>2222</v>
      </c>
      <c r="F228" s="23" t="s">
        <v>3</v>
      </c>
      <c r="G228" s="23" t="s">
        <v>4</v>
      </c>
      <c r="H228" s="21" t="str">
        <f t="shared" si="3"/>
        <v>AWR_23_NA/APPLIED-WATER</v>
      </c>
      <c r="I228" s="24" t="s">
        <v>2223</v>
      </c>
      <c r="J228" s="10" t="str">
        <f>VLOOKUP(Table1[[#This Row],[UID]],CS3SVComposerConfig!$B$3:$D$1808,3,FALSE)</f>
        <v>CS3L2015V0Hydro_SV.dss</v>
      </c>
      <c r="K228" s="10" t="s">
        <v>2212</v>
      </c>
      <c r="L228" s="10" t="s">
        <v>2212</v>
      </c>
      <c r="M228" s="10" t="s">
        <v>2224</v>
      </c>
      <c r="N228" s="10" t="s">
        <v>2225</v>
      </c>
      <c r="O228" s="10" t="s">
        <v>2226</v>
      </c>
      <c r="P228" s="39" t="s">
        <v>2227</v>
      </c>
    </row>
    <row r="229" spans="2:16" ht="18" customHeight="1" x14ac:dyDescent="0.25">
      <c r="B229" s="21" t="s">
        <v>0</v>
      </c>
      <c r="C229" s="22" t="s">
        <v>532</v>
      </c>
      <c r="D229" s="22" t="s">
        <v>18</v>
      </c>
      <c r="E229" s="21" t="s">
        <v>2222</v>
      </c>
      <c r="F229" s="23" t="s">
        <v>3</v>
      </c>
      <c r="G229" s="23" t="s">
        <v>4</v>
      </c>
      <c r="H229" s="21" t="str">
        <f t="shared" si="3"/>
        <v>AWR_24_NA1/APPLIED-WATER</v>
      </c>
      <c r="I229" s="24" t="s">
        <v>2223</v>
      </c>
      <c r="J229" s="10" t="str">
        <f>VLOOKUP(Table1[[#This Row],[UID]],CS3SVComposerConfig!$B$3:$D$1808,3,FALSE)</f>
        <v>CS3L2015V0Hydro_SV.dss</v>
      </c>
      <c r="K229" s="10" t="s">
        <v>2212</v>
      </c>
      <c r="L229" s="10" t="s">
        <v>2212</v>
      </c>
      <c r="M229" s="10" t="s">
        <v>2224</v>
      </c>
      <c r="N229" s="10" t="s">
        <v>2225</v>
      </c>
      <c r="O229" s="10" t="s">
        <v>2226</v>
      </c>
      <c r="P229" s="39" t="s">
        <v>2227</v>
      </c>
    </row>
    <row r="230" spans="2:16" ht="18" customHeight="1" x14ac:dyDescent="0.25">
      <c r="B230" s="21" t="s">
        <v>0</v>
      </c>
      <c r="C230" s="22" t="s">
        <v>533</v>
      </c>
      <c r="D230" s="22" t="s">
        <v>18</v>
      </c>
      <c r="E230" s="21" t="s">
        <v>2222</v>
      </c>
      <c r="F230" s="23" t="s">
        <v>3</v>
      </c>
      <c r="G230" s="23" t="s">
        <v>4</v>
      </c>
      <c r="H230" s="21" t="str">
        <f t="shared" si="3"/>
        <v>AWR_24_NA2/APPLIED-WATER</v>
      </c>
      <c r="I230" s="24" t="s">
        <v>2223</v>
      </c>
      <c r="J230" s="10" t="str">
        <f>VLOOKUP(Table1[[#This Row],[UID]],CS3SVComposerConfig!$B$3:$D$1808,3,FALSE)</f>
        <v>CS3L2015V0Hydro_SV.dss</v>
      </c>
      <c r="K230" s="10" t="s">
        <v>2212</v>
      </c>
      <c r="L230" s="10" t="s">
        <v>2212</v>
      </c>
      <c r="M230" s="10" t="s">
        <v>2224</v>
      </c>
      <c r="N230" s="10" t="s">
        <v>2225</v>
      </c>
      <c r="O230" s="10" t="s">
        <v>2226</v>
      </c>
      <c r="P230" s="39" t="s">
        <v>2227</v>
      </c>
    </row>
    <row r="231" spans="2:16" ht="18" customHeight="1" x14ac:dyDescent="0.25">
      <c r="B231" s="21" t="s">
        <v>0</v>
      </c>
      <c r="C231" s="22" t="s">
        <v>534</v>
      </c>
      <c r="D231" s="22" t="s">
        <v>18</v>
      </c>
      <c r="E231" s="21" t="s">
        <v>2222</v>
      </c>
      <c r="F231" s="23" t="s">
        <v>3</v>
      </c>
      <c r="G231" s="23" t="s">
        <v>4</v>
      </c>
      <c r="H231" s="21" t="str">
        <f t="shared" si="3"/>
        <v>AWR_24_NA3/APPLIED-WATER</v>
      </c>
      <c r="I231" s="24" t="s">
        <v>2223</v>
      </c>
      <c r="J231" s="10" t="str">
        <f>VLOOKUP(Table1[[#This Row],[UID]],CS3SVComposerConfig!$B$3:$D$1808,3,FALSE)</f>
        <v>CS3L2015V0Hydro_SV.dss</v>
      </c>
      <c r="K231" s="10" t="s">
        <v>2212</v>
      </c>
      <c r="L231" s="10" t="s">
        <v>2224</v>
      </c>
      <c r="M231" s="10" t="s">
        <v>2224</v>
      </c>
      <c r="N231" s="10" t="s">
        <v>2225</v>
      </c>
      <c r="O231" s="10" t="s">
        <v>2226</v>
      </c>
      <c r="P231" s="39" t="s">
        <v>2227</v>
      </c>
    </row>
    <row r="232" spans="2:16" ht="18" customHeight="1" x14ac:dyDescent="0.25">
      <c r="B232" s="21" t="s">
        <v>0</v>
      </c>
      <c r="C232" s="22" t="s">
        <v>535</v>
      </c>
      <c r="D232" s="22" t="s">
        <v>18</v>
      </c>
      <c r="E232" s="21" t="s">
        <v>2222</v>
      </c>
      <c r="F232" s="23" t="s">
        <v>3</v>
      </c>
      <c r="G232" s="23" t="s">
        <v>4</v>
      </c>
      <c r="H232" s="21" t="str">
        <f t="shared" si="3"/>
        <v>AWR_25_NA/APPLIED-WATER</v>
      </c>
      <c r="I232" s="24" t="s">
        <v>2223</v>
      </c>
      <c r="J232" s="10" t="str">
        <f>VLOOKUP(Table1[[#This Row],[UID]],CS3SVComposerConfig!$B$3:$D$1808,3,FALSE)</f>
        <v>CS3L2015V0Hydro_SV.dss</v>
      </c>
      <c r="K232" s="10" t="s">
        <v>2212</v>
      </c>
      <c r="L232" s="10" t="s">
        <v>2224</v>
      </c>
      <c r="M232" s="10" t="s">
        <v>2224</v>
      </c>
      <c r="N232" s="10" t="s">
        <v>2225</v>
      </c>
      <c r="O232" s="10" t="s">
        <v>2226</v>
      </c>
      <c r="P232" s="39" t="s">
        <v>2227</v>
      </c>
    </row>
    <row r="233" spans="2:16" ht="18" customHeight="1" x14ac:dyDescent="0.25">
      <c r="B233" s="21" t="s">
        <v>0</v>
      </c>
      <c r="C233" s="22" t="s">
        <v>536</v>
      </c>
      <c r="D233" s="22" t="s">
        <v>18</v>
      </c>
      <c r="E233" s="21" t="s">
        <v>2222</v>
      </c>
      <c r="F233" s="23" t="s">
        <v>3</v>
      </c>
      <c r="G233" s="23" t="s">
        <v>4</v>
      </c>
      <c r="H233" s="21" t="str">
        <f t="shared" si="3"/>
        <v>AWR_25_PA1/APPLIED-WATER</v>
      </c>
      <c r="I233" s="24" t="s">
        <v>2223</v>
      </c>
      <c r="J233" s="10" t="str">
        <f>VLOOKUP(Table1[[#This Row],[UID]],CS3SVComposerConfig!$B$3:$D$1808,3,FALSE)</f>
        <v>CS3L2015V0Hydro_SV.dss</v>
      </c>
      <c r="K233" s="10" t="s">
        <v>2212</v>
      </c>
      <c r="L233" s="10" t="s">
        <v>2224</v>
      </c>
      <c r="M233" s="10" t="s">
        <v>2224</v>
      </c>
      <c r="N233" s="10" t="s">
        <v>2225</v>
      </c>
      <c r="O233" s="10" t="s">
        <v>2226</v>
      </c>
      <c r="P233" s="39" t="s">
        <v>2227</v>
      </c>
    </row>
    <row r="234" spans="2:16" ht="18" customHeight="1" x14ac:dyDescent="0.25">
      <c r="B234" s="21" t="s">
        <v>0</v>
      </c>
      <c r="C234" s="22" t="s">
        <v>537</v>
      </c>
      <c r="D234" s="22" t="s">
        <v>18</v>
      </c>
      <c r="E234" s="21" t="s">
        <v>2222</v>
      </c>
      <c r="F234" s="23" t="s">
        <v>3</v>
      </c>
      <c r="G234" s="23" t="s">
        <v>4</v>
      </c>
      <c r="H234" s="21" t="str">
        <f t="shared" si="3"/>
        <v>AWR_25_PA2/APPLIED-WATER</v>
      </c>
      <c r="I234" s="24" t="s">
        <v>2223</v>
      </c>
      <c r="J234" s="10" t="str">
        <f>VLOOKUP(Table1[[#This Row],[UID]],CS3SVComposerConfig!$B$3:$D$1808,3,FALSE)</f>
        <v>CS3L2015V0Hydro_SV.dss</v>
      </c>
      <c r="K234" s="10" t="s">
        <v>2212</v>
      </c>
      <c r="L234" s="10" t="s">
        <v>2224</v>
      </c>
      <c r="M234" s="10" t="s">
        <v>2224</v>
      </c>
      <c r="N234" s="10" t="s">
        <v>2225</v>
      </c>
      <c r="O234" s="10" t="s">
        <v>2226</v>
      </c>
      <c r="P234" s="39" t="s">
        <v>2227</v>
      </c>
    </row>
    <row r="235" spans="2:16" ht="18" customHeight="1" x14ac:dyDescent="0.25">
      <c r="B235" s="21" t="s">
        <v>0</v>
      </c>
      <c r="C235" s="22" t="s">
        <v>538</v>
      </c>
      <c r="D235" s="22" t="s">
        <v>18</v>
      </c>
      <c r="E235" s="21" t="s">
        <v>2222</v>
      </c>
      <c r="F235" s="23" t="s">
        <v>3</v>
      </c>
      <c r="G235" s="23" t="s">
        <v>4</v>
      </c>
      <c r="H235" s="21" t="str">
        <f t="shared" si="3"/>
        <v>AWR_26N_NA/APPLIED-WATER</v>
      </c>
      <c r="I235" s="24" t="s">
        <v>2223</v>
      </c>
      <c r="J235" s="10" t="str">
        <f>VLOOKUP(Table1[[#This Row],[UID]],CS3SVComposerConfig!$B$3:$D$1808,3,FALSE)</f>
        <v>CS3L2015V0Hydro_SV.dss</v>
      </c>
      <c r="K235" s="10" t="s">
        <v>2212</v>
      </c>
      <c r="L235" s="10" t="s">
        <v>2212</v>
      </c>
      <c r="M235" s="10" t="s">
        <v>2224</v>
      </c>
      <c r="N235" s="10" t="s">
        <v>2225</v>
      </c>
      <c r="O235" s="10" t="s">
        <v>2226</v>
      </c>
      <c r="P235" s="39" t="s">
        <v>2227</v>
      </c>
    </row>
    <row r="236" spans="2:16" ht="18" customHeight="1" x14ac:dyDescent="0.25">
      <c r="B236" s="21" t="s">
        <v>0</v>
      </c>
      <c r="C236" s="22" t="s">
        <v>539</v>
      </c>
      <c r="D236" s="22" t="s">
        <v>18</v>
      </c>
      <c r="E236" s="21" t="s">
        <v>2222</v>
      </c>
      <c r="F236" s="23" t="s">
        <v>3</v>
      </c>
      <c r="G236" s="23" t="s">
        <v>4</v>
      </c>
      <c r="H236" s="21" t="str">
        <f t="shared" si="3"/>
        <v>AWR_26S_NA/APPLIED-WATER</v>
      </c>
      <c r="I236" s="24" t="s">
        <v>2223</v>
      </c>
      <c r="J236" s="10" t="str">
        <f>VLOOKUP(Table1[[#This Row],[UID]],CS3SVComposerConfig!$B$3:$D$1808,3,FALSE)</f>
        <v>CS3L2015V0Hydro_SV.dss</v>
      </c>
      <c r="K236" s="10" t="s">
        <v>2212</v>
      </c>
      <c r="L236" s="10" t="s">
        <v>2224</v>
      </c>
      <c r="M236" s="10" t="s">
        <v>2224</v>
      </c>
      <c r="N236" s="10" t="s">
        <v>2225</v>
      </c>
      <c r="O236" s="10" t="s">
        <v>2226</v>
      </c>
      <c r="P236" s="39" t="s">
        <v>2227</v>
      </c>
    </row>
    <row r="237" spans="2:16" ht="18" customHeight="1" x14ac:dyDescent="0.25">
      <c r="B237" s="21" t="s">
        <v>0</v>
      </c>
      <c r="C237" s="22" t="s">
        <v>540</v>
      </c>
      <c r="D237" s="22" t="s">
        <v>18</v>
      </c>
      <c r="E237" s="21" t="s">
        <v>2222</v>
      </c>
      <c r="F237" s="23" t="s">
        <v>3</v>
      </c>
      <c r="G237" s="23" t="s">
        <v>4</v>
      </c>
      <c r="H237" s="21" t="str">
        <f t="shared" si="3"/>
        <v>AWR_50_PA1/APPLIED-WATER</v>
      </c>
      <c r="I237" s="24" t="s">
        <v>2223</v>
      </c>
      <c r="J237" s="10" t="str">
        <f>VLOOKUP(Table1[[#This Row],[UID]],CS3SVComposerConfig!$B$3:$D$1808,3,FALSE)</f>
        <v>RebalancedSJR_AW_TW_DP.dss</v>
      </c>
      <c r="K237" s="10" t="s">
        <v>2212</v>
      </c>
      <c r="L237" s="10" t="s">
        <v>2212</v>
      </c>
      <c r="M237" s="10" t="s">
        <v>2224</v>
      </c>
      <c r="N237" s="10" t="s">
        <v>2225</v>
      </c>
      <c r="O237" s="10" t="s">
        <v>2226</v>
      </c>
      <c r="P237" s="39" t="s">
        <v>2227</v>
      </c>
    </row>
    <row r="238" spans="2:16" ht="18" customHeight="1" x14ac:dyDescent="0.25">
      <c r="B238" s="21" t="s">
        <v>0</v>
      </c>
      <c r="C238" s="22" t="s">
        <v>541</v>
      </c>
      <c r="D238" s="22" t="s">
        <v>18</v>
      </c>
      <c r="E238" s="21" t="s">
        <v>2222</v>
      </c>
      <c r="F238" s="23" t="s">
        <v>3</v>
      </c>
      <c r="G238" s="23" t="s">
        <v>4</v>
      </c>
      <c r="H238" s="21" t="str">
        <f t="shared" si="3"/>
        <v>AWR_60N_NA1/APPLIED-WATER</v>
      </c>
      <c r="I238" s="24" t="s">
        <v>2223</v>
      </c>
      <c r="J238" s="10" t="str">
        <f>VLOOKUP(Table1[[#This Row],[UID]],CS3SVComposerConfig!$B$3:$D$1808,3,FALSE)</f>
        <v>CS3L2015V0Hydro_SV.dss</v>
      </c>
      <c r="K238" s="10" t="s">
        <v>2212</v>
      </c>
      <c r="L238" s="10" t="s">
        <v>2224</v>
      </c>
      <c r="M238" s="10" t="s">
        <v>2224</v>
      </c>
      <c r="N238" s="10" t="s">
        <v>2225</v>
      </c>
      <c r="O238" s="10" t="s">
        <v>2226</v>
      </c>
      <c r="P238" s="39" t="s">
        <v>2227</v>
      </c>
    </row>
    <row r="239" spans="2:16" ht="18" customHeight="1" x14ac:dyDescent="0.25">
      <c r="B239" s="21" t="s">
        <v>0</v>
      </c>
      <c r="C239" s="22" t="s">
        <v>542</v>
      </c>
      <c r="D239" s="22" t="s">
        <v>18</v>
      </c>
      <c r="E239" s="21" t="s">
        <v>2222</v>
      </c>
      <c r="F239" s="23" t="s">
        <v>3</v>
      </c>
      <c r="G239" s="23" t="s">
        <v>4</v>
      </c>
      <c r="H239" s="21" t="str">
        <f t="shared" si="3"/>
        <v>AWR_60N_NA2/APPLIED-WATER</v>
      </c>
      <c r="I239" s="24" t="s">
        <v>2223</v>
      </c>
      <c r="J239" s="10" t="str">
        <f>VLOOKUP(Table1[[#This Row],[UID]],CS3SVComposerConfig!$B$3:$D$1808,3,FALSE)</f>
        <v>CS3L2015V0Hydro_SV.dss</v>
      </c>
      <c r="K239" s="10" t="s">
        <v>2212</v>
      </c>
      <c r="L239" s="10" t="s">
        <v>2224</v>
      </c>
      <c r="M239" s="10" t="s">
        <v>2224</v>
      </c>
      <c r="N239" s="10" t="s">
        <v>2225</v>
      </c>
      <c r="O239" s="10" t="s">
        <v>2226</v>
      </c>
      <c r="P239" s="39" t="s">
        <v>2227</v>
      </c>
    </row>
    <row r="240" spans="2:16" ht="18" customHeight="1" x14ac:dyDescent="0.25">
      <c r="B240" s="21" t="s">
        <v>0</v>
      </c>
      <c r="C240" s="22" t="s">
        <v>543</v>
      </c>
      <c r="D240" s="22" t="s">
        <v>18</v>
      </c>
      <c r="E240" s="21" t="s">
        <v>2222</v>
      </c>
      <c r="F240" s="23" t="s">
        <v>3</v>
      </c>
      <c r="G240" s="23" t="s">
        <v>4</v>
      </c>
      <c r="H240" s="21" t="str">
        <f t="shared" si="3"/>
        <v>AWR_60N_NA3/APPLIED-WATER</v>
      </c>
      <c r="I240" s="24" t="s">
        <v>2223</v>
      </c>
      <c r="J240" s="10" t="str">
        <f>VLOOKUP(Table1[[#This Row],[UID]],CS3SVComposerConfig!$B$3:$D$1808,3,FALSE)</f>
        <v>CS3L2015V0Hydro_SV.dss</v>
      </c>
      <c r="K240" s="10" t="s">
        <v>2212</v>
      </c>
      <c r="L240" s="10" t="s">
        <v>2224</v>
      </c>
      <c r="M240" s="10" t="s">
        <v>2224</v>
      </c>
      <c r="N240" s="10" t="s">
        <v>2225</v>
      </c>
      <c r="O240" s="10" t="s">
        <v>2226</v>
      </c>
      <c r="P240" s="39" t="s">
        <v>2227</v>
      </c>
    </row>
    <row r="241" spans="2:16" ht="18" customHeight="1" x14ac:dyDescent="0.25">
      <c r="B241" s="21" t="s">
        <v>0</v>
      </c>
      <c r="C241" s="22" t="s">
        <v>544</v>
      </c>
      <c r="D241" s="22" t="s">
        <v>18</v>
      </c>
      <c r="E241" s="21" t="s">
        <v>2222</v>
      </c>
      <c r="F241" s="23" t="s">
        <v>3</v>
      </c>
      <c r="G241" s="23" t="s">
        <v>4</v>
      </c>
      <c r="H241" s="21" t="str">
        <f t="shared" si="3"/>
        <v>AWR_60N_NA4/APPLIED-WATER</v>
      </c>
      <c r="I241" s="24" t="s">
        <v>2223</v>
      </c>
      <c r="J241" s="10" t="str">
        <f>VLOOKUP(Table1[[#This Row],[UID]],CS3SVComposerConfig!$B$3:$D$1808,3,FALSE)</f>
        <v>CS3L2015V0Hydro_SV.dss</v>
      </c>
      <c r="K241" s="10" t="s">
        <v>2212</v>
      </c>
      <c r="L241" s="10" t="s">
        <v>2224</v>
      </c>
      <c r="M241" s="10" t="s">
        <v>2224</v>
      </c>
      <c r="N241" s="10" t="s">
        <v>2225</v>
      </c>
      <c r="O241" s="10" t="s">
        <v>2226</v>
      </c>
      <c r="P241" s="39" t="s">
        <v>2227</v>
      </c>
    </row>
    <row r="242" spans="2:16" ht="18" customHeight="1" x14ac:dyDescent="0.25">
      <c r="B242" s="21" t="s">
        <v>0</v>
      </c>
      <c r="C242" s="22" t="s">
        <v>545</v>
      </c>
      <c r="D242" s="22" t="s">
        <v>18</v>
      </c>
      <c r="E242" s="21" t="s">
        <v>2222</v>
      </c>
      <c r="F242" s="23" t="s">
        <v>3</v>
      </c>
      <c r="G242" s="23" t="s">
        <v>4</v>
      </c>
      <c r="H242" s="21" t="str">
        <f t="shared" si="3"/>
        <v>AWR_60N_NA5/APPLIED-WATER</v>
      </c>
      <c r="I242" s="24" t="s">
        <v>2223</v>
      </c>
      <c r="J242" s="10" t="str">
        <f>VLOOKUP(Table1[[#This Row],[UID]],CS3SVComposerConfig!$B$3:$D$1808,3,FALSE)</f>
        <v>CS3L2015V0Hydro_SV.dss</v>
      </c>
      <c r="K242" s="10" t="s">
        <v>2212</v>
      </c>
      <c r="L242" s="10" t="s">
        <v>2212</v>
      </c>
      <c r="M242" s="10" t="s">
        <v>2224</v>
      </c>
      <c r="N242" s="10" t="s">
        <v>2225</v>
      </c>
      <c r="O242" s="10" t="s">
        <v>2226</v>
      </c>
      <c r="P242" s="39" t="s">
        <v>2227</v>
      </c>
    </row>
    <row r="243" spans="2:16" ht="18" customHeight="1" x14ac:dyDescent="0.25">
      <c r="B243" s="21" t="s">
        <v>0</v>
      </c>
      <c r="C243" s="22" t="s">
        <v>546</v>
      </c>
      <c r="D243" s="22" t="s">
        <v>18</v>
      </c>
      <c r="E243" s="21" t="s">
        <v>2222</v>
      </c>
      <c r="F243" s="23" t="s">
        <v>3</v>
      </c>
      <c r="G243" s="23" t="s">
        <v>4</v>
      </c>
      <c r="H243" s="21" t="str">
        <f t="shared" si="3"/>
        <v>AWR_60S_NA1/APPLIED-WATER</v>
      </c>
      <c r="I243" s="24" t="s">
        <v>2223</v>
      </c>
      <c r="J243" s="10" t="str">
        <f>VLOOKUP(Table1[[#This Row],[UID]],CS3SVComposerConfig!$B$3:$D$1808,3,FALSE)</f>
        <v>CS3L2015V0Hydro_SV.dss</v>
      </c>
      <c r="K243" s="10" t="s">
        <v>2212</v>
      </c>
      <c r="L243" s="10" t="s">
        <v>2212</v>
      </c>
      <c r="M243" s="10" t="s">
        <v>2224</v>
      </c>
      <c r="N243" s="10" t="s">
        <v>2225</v>
      </c>
      <c r="O243" s="10" t="s">
        <v>2226</v>
      </c>
      <c r="P243" s="39" t="s">
        <v>2227</v>
      </c>
    </row>
    <row r="244" spans="2:16" ht="18" customHeight="1" x14ac:dyDescent="0.25">
      <c r="B244" s="21" t="s">
        <v>0</v>
      </c>
      <c r="C244" s="22" t="s">
        <v>547</v>
      </c>
      <c r="D244" s="22" t="s">
        <v>18</v>
      </c>
      <c r="E244" s="21" t="s">
        <v>2222</v>
      </c>
      <c r="F244" s="23" t="s">
        <v>3</v>
      </c>
      <c r="G244" s="23" t="s">
        <v>4</v>
      </c>
      <c r="H244" s="21" t="str">
        <f t="shared" si="3"/>
        <v>AWR_60S_NA2/APPLIED-WATER</v>
      </c>
      <c r="I244" s="24" t="s">
        <v>2223</v>
      </c>
      <c r="J244" s="10" t="str">
        <f>VLOOKUP(Table1[[#This Row],[UID]],CS3SVComposerConfig!$B$3:$D$1808,3,FALSE)</f>
        <v>CS3L2015V0Hydro_SV.dss</v>
      </c>
      <c r="K244" s="10" t="s">
        <v>2212</v>
      </c>
      <c r="L244" s="10" t="s">
        <v>2224</v>
      </c>
      <c r="M244" s="10" t="s">
        <v>2224</v>
      </c>
      <c r="N244" s="10" t="s">
        <v>2225</v>
      </c>
      <c r="O244" s="10" t="s">
        <v>2226</v>
      </c>
      <c r="P244" s="39" t="s">
        <v>2227</v>
      </c>
    </row>
    <row r="245" spans="2:16" ht="18" customHeight="1" x14ac:dyDescent="0.25">
      <c r="B245" s="21" t="s">
        <v>0</v>
      </c>
      <c r="C245" s="22" t="s">
        <v>548</v>
      </c>
      <c r="D245" s="22" t="s">
        <v>18</v>
      </c>
      <c r="E245" s="21" t="s">
        <v>2222</v>
      </c>
      <c r="F245" s="23" t="s">
        <v>3</v>
      </c>
      <c r="G245" s="23" t="s">
        <v>4</v>
      </c>
      <c r="H245" s="21" t="str">
        <f t="shared" si="3"/>
        <v>AWR_60S_PA1/APPLIED-WATER</v>
      </c>
      <c r="I245" s="24" t="s">
        <v>2223</v>
      </c>
      <c r="J245" s="10" t="str">
        <f>VLOOKUP(Table1[[#This Row],[UID]],CS3SVComposerConfig!$B$3:$D$1808,3,FALSE)</f>
        <v>CS3L2015V0Hydro_SV.dss</v>
      </c>
      <c r="K245" s="10" t="s">
        <v>2212</v>
      </c>
      <c r="L245" s="10" t="s">
        <v>2224</v>
      </c>
      <c r="M245" s="10" t="s">
        <v>2224</v>
      </c>
      <c r="N245" s="10" t="s">
        <v>2225</v>
      </c>
      <c r="O245" s="10" t="s">
        <v>2226</v>
      </c>
      <c r="P245" s="39" t="s">
        <v>2227</v>
      </c>
    </row>
    <row r="246" spans="2:16" ht="18" customHeight="1" x14ac:dyDescent="0.25">
      <c r="B246" s="21" t="s">
        <v>0</v>
      </c>
      <c r="C246" s="22" t="s">
        <v>549</v>
      </c>
      <c r="D246" s="22" t="s">
        <v>18</v>
      </c>
      <c r="E246" s="21" t="s">
        <v>2222</v>
      </c>
      <c r="F246" s="23" t="s">
        <v>3</v>
      </c>
      <c r="G246" s="23" t="s">
        <v>4</v>
      </c>
      <c r="H246" s="21" t="str">
        <f t="shared" si="3"/>
        <v>AWR_60S_PA2/APPLIED-WATER</v>
      </c>
      <c r="I246" s="24" t="s">
        <v>2223</v>
      </c>
      <c r="J246" s="10" t="str">
        <f>VLOOKUP(Table1[[#This Row],[UID]],CS3SVComposerConfig!$B$3:$D$1808,3,FALSE)</f>
        <v>CS3L2015V0Hydro_SV.dss</v>
      </c>
      <c r="K246" s="10" t="s">
        <v>2212</v>
      </c>
      <c r="L246" s="10" t="s">
        <v>2212</v>
      </c>
      <c r="M246" s="10" t="s">
        <v>2224</v>
      </c>
      <c r="N246" s="10" t="s">
        <v>2225</v>
      </c>
      <c r="O246" s="10" t="s">
        <v>2226</v>
      </c>
      <c r="P246" s="39" t="s">
        <v>2227</v>
      </c>
    </row>
    <row r="247" spans="2:16" ht="18" customHeight="1" x14ac:dyDescent="0.25">
      <c r="B247" s="21" t="s">
        <v>0</v>
      </c>
      <c r="C247" s="22" t="s">
        <v>550</v>
      </c>
      <c r="D247" s="22" t="s">
        <v>18</v>
      </c>
      <c r="E247" s="21" t="s">
        <v>2222</v>
      </c>
      <c r="F247" s="23" t="s">
        <v>3</v>
      </c>
      <c r="G247" s="23" t="s">
        <v>4</v>
      </c>
      <c r="H247" s="21" t="str">
        <f t="shared" si="3"/>
        <v>AWR_61_NA1/APPLIED-WATER</v>
      </c>
      <c r="I247" s="24" t="s">
        <v>2223</v>
      </c>
      <c r="J247" s="10" t="str">
        <f>VLOOKUP(Table1[[#This Row],[UID]],CS3SVComposerConfig!$B$3:$D$1808,3,FALSE)</f>
        <v>CS3L2015V0Hydro_SV.dss</v>
      </c>
      <c r="K247" s="10" t="s">
        <v>2212</v>
      </c>
      <c r="L247" s="10" t="s">
        <v>2212</v>
      </c>
      <c r="M247" s="10" t="s">
        <v>2224</v>
      </c>
      <c r="N247" s="10" t="s">
        <v>2225</v>
      </c>
      <c r="O247" s="10" t="s">
        <v>2226</v>
      </c>
      <c r="P247" s="39" t="s">
        <v>2227</v>
      </c>
    </row>
    <row r="248" spans="2:16" ht="18" customHeight="1" x14ac:dyDescent="0.25">
      <c r="B248" s="21" t="s">
        <v>0</v>
      </c>
      <c r="C248" s="22" t="s">
        <v>551</v>
      </c>
      <c r="D248" s="22" t="s">
        <v>18</v>
      </c>
      <c r="E248" s="21" t="s">
        <v>2222</v>
      </c>
      <c r="F248" s="23" t="s">
        <v>3</v>
      </c>
      <c r="G248" s="23" t="s">
        <v>4</v>
      </c>
      <c r="H248" s="21" t="str">
        <f t="shared" si="3"/>
        <v>AWR_61_NA2/APPLIED-WATER</v>
      </c>
      <c r="I248" s="24" t="s">
        <v>2223</v>
      </c>
      <c r="J248" s="10" t="str">
        <f>VLOOKUP(Table1[[#This Row],[UID]],CS3SVComposerConfig!$B$3:$D$1808,3,FALSE)</f>
        <v>CS3L2015V0Hydro_SV.dss</v>
      </c>
      <c r="K248" s="10" t="s">
        <v>2212</v>
      </c>
      <c r="L248" s="10" t="s">
        <v>2212</v>
      </c>
      <c r="M248" s="10" t="s">
        <v>2224</v>
      </c>
      <c r="N248" s="10" t="s">
        <v>2225</v>
      </c>
      <c r="O248" s="10" t="s">
        <v>2226</v>
      </c>
      <c r="P248" s="39" t="s">
        <v>2227</v>
      </c>
    </row>
    <row r="249" spans="2:16" ht="18" customHeight="1" x14ac:dyDescent="0.25">
      <c r="B249" s="21" t="s">
        <v>0</v>
      </c>
      <c r="C249" s="22" t="s">
        <v>552</v>
      </c>
      <c r="D249" s="22" t="s">
        <v>18</v>
      </c>
      <c r="E249" s="21" t="s">
        <v>2222</v>
      </c>
      <c r="F249" s="23" t="s">
        <v>3</v>
      </c>
      <c r="G249" s="23" t="s">
        <v>4</v>
      </c>
      <c r="H249" s="21" t="str">
        <f t="shared" si="3"/>
        <v>AWR_61_NA3/APPLIED-WATER</v>
      </c>
      <c r="I249" s="24" t="s">
        <v>2223</v>
      </c>
      <c r="J249" s="10" t="str">
        <f>VLOOKUP(Table1[[#This Row],[UID]],CS3SVComposerConfig!$B$3:$D$1808,3,FALSE)</f>
        <v>CS3L2015V0Hydro_SV.dss</v>
      </c>
      <c r="K249" s="10" t="s">
        <v>2212</v>
      </c>
      <c r="L249" s="10" t="s">
        <v>2224</v>
      </c>
      <c r="M249" s="10" t="s">
        <v>2224</v>
      </c>
      <c r="N249" s="10" t="s">
        <v>2225</v>
      </c>
      <c r="O249" s="10" t="s">
        <v>2226</v>
      </c>
      <c r="P249" s="39" t="s">
        <v>2227</v>
      </c>
    </row>
    <row r="250" spans="2:16" ht="18" customHeight="1" x14ac:dyDescent="0.25">
      <c r="B250" s="21" t="s">
        <v>0</v>
      </c>
      <c r="C250" s="22" t="s">
        <v>553</v>
      </c>
      <c r="D250" s="22" t="s">
        <v>18</v>
      </c>
      <c r="E250" s="21" t="s">
        <v>2222</v>
      </c>
      <c r="F250" s="23" t="s">
        <v>3</v>
      </c>
      <c r="G250" s="23" t="s">
        <v>4</v>
      </c>
      <c r="H250" s="21" t="str">
        <f t="shared" si="3"/>
        <v>AWR_61_NA4/APPLIED-WATER</v>
      </c>
      <c r="I250" s="24" t="s">
        <v>2223</v>
      </c>
      <c r="J250" s="10" t="str">
        <f>VLOOKUP(Table1[[#This Row],[UID]],CS3SVComposerConfig!$B$3:$D$1808,3,FALSE)</f>
        <v>CS3L2015V0Hydro_SV.dss</v>
      </c>
      <c r="K250" s="10" t="s">
        <v>2212</v>
      </c>
      <c r="L250" s="10" t="s">
        <v>2224</v>
      </c>
      <c r="M250" s="10" t="s">
        <v>2224</v>
      </c>
      <c r="N250" s="10" t="s">
        <v>2225</v>
      </c>
      <c r="O250" s="10" t="s">
        <v>2226</v>
      </c>
      <c r="P250" s="39" t="s">
        <v>2227</v>
      </c>
    </row>
    <row r="251" spans="2:16" ht="18" customHeight="1" x14ac:dyDescent="0.25">
      <c r="B251" s="21" t="s">
        <v>0</v>
      </c>
      <c r="C251" s="22" t="s">
        <v>554</v>
      </c>
      <c r="D251" s="22" t="s">
        <v>18</v>
      </c>
      <c r="E251" s="21" t="s">
        <v>2222</v>
      </c>
      <c r="F251" s="23" t="s">
        <v>3</v>
      </c>
      <c r="G251" s="23" t="s">
        <v>4</v>
      </c>
      <c r="H251" s="21" t="str">
        <f t="shared" si="3"/>
        <v>AWR_61_NA5/APPLIED-WATER</v>
      </c>
      <c r="I251" s="24" t="s">
        <v>2223</v>
      </c>
      <c r="J251" s="10" t="str">
        <f>VLOOKUP(Table1[[#This Row],[UID]],CS3SVComposerConfig!$B$3:$D$1808,3,FALSE)</f>
        <v>CS3L2015V0Hydro_SV.dss</v>
      </c>
      <c r="K251" s="10" t="s">
        <v>2212</v>
      </c>
      <c r="L251" s="10" t="s">
        <v>2224</v>
      </c>
      <c r="M251" s="10" t="s">
        <v>2224</v>
      </c>
      <c r="N251" s="10" t="s">
        <v>2225</v>
      </c>
      <c r="O251" s="10" t="s">
        <v>2226</v>
      </c>
      <c r="P251" s="39" t="s">
        <v>2227</v>
      </c>
    </row>
    <row r="252" spans="2:16" ht="18" customHeight="1" x14ac:dyDescent="0.25">
      <c r="B252" s="21" t="s">
        <v>0</v>
      </c>
      <c r="C252" s="22" t="s">
        <v>555</v>
      </c>
      <c r="D252" s="22" t="s">
        <v>18</v>
      </c>
      <c r="E252" s="21" t="s">
        <v>2222</v>
      </c>
      <c r="F252" s="23" t="s">
        <v>3</v>
      </c>
      <c r="G252" s="23" t="s">
        <v>4</v>
      </c>
      <c r="H252" s="21" t="str">
        <f t="shared" si="3"/>
        <v>AWR_61_NA6/APPLIED-WATER</v>
      </c>
      <c r="I252" s="24" t="s">
        <v>2223</v>
      </c>
      <c r="J252" s="10" t="str">
        <f>VLOOKUP(Table1[[#This Row],[UID]],CS3SVComposerConfig!$B$3:$D$1808,3,FALSE)</f>
        <v>CS3L2015V0Hydro_SV.dss</v>
      </c>
      <c r="K252" s="10" t="s">
        <v>2212</v>
      </c>
      <c r="L252" s="10" t="s">
        <v>2224</v>
      </c>
      <c r="M252" s="10" t="s">
        <v>2224</v>
      </c>
      <c r="N252" s="10" t="s">
        <v>2225</v>
      </c>
      <c r="O252" s="10" t="s">
        <v>2226</v>
      </c>
      <c r="P252" s="39" t="s">
        <v>2227</v>
      </c>
    </row>
    <row r="253" spans="2:16" ht="18" customHeight="1" x14ac:dyDescent="0.25">
      <c r="B253" s="21" t="s">
        <v>0</v>
      </c>
      <c r="C253" s="22" t="s">
        <v>556</v>
      </c>
      <c r="D253" s="22" t="s">
        <v>18</v>
      </c>
      <c r="E253" s="21" t="s">
        <v>2222</v>
      </c>
      <c r="F253" s="23" t="s">
        <v>3</v>
      </c>
      <c r="G253" s="23" t="s">
        <v>4</v>
      </c>
      <c r="H253" s="21" t="str">
        <f t="shared" si="3"/>
        <v>AWR_61_PA1/APPLIED-WATER</v>
      </c>
      <c r="I253" s="24" t="s">
        <v>2223</v>
      </c>
      <c r="J253" s="10" t="str">
        <f>VLOOKUP(Table1[[#This Row],[UID]],CS3SVComposerConfig!$B$3:$D$1808,3,FALSE)</f>
        <v>CS3L2015V0Hydro_SV.dss</v>
      </c>
      <c r="K253" s="10" t="s">
        <v>2212</v>
      </c>
      <c r="L253" s="10" t="s">
        <v>2212</v>
      </c>
      <c r="M253" s="10" t="s">
        <v>2224</v>
      </c>
      <c r="N253" s="10" t="s">
        <v>2225</v>
      </c>
      <c r="O253" s="10" t="s">
        <v>2226</v>
      </c>
      <c r="P253" s="39" t="s">
        <v>2227</v>
      </c>
    </row>
    <row r="254" spans="2:16" ht="18" customHeight="1" x14ac:dyDescent="0.25">
      <c r="B254" s="21" t="s">
        <v>0</v>
      </c>
      <c r="C254" s="22" t="s">
        <v>557</v>
      </c>
      <c r="D254" s="22" t="s">
        <v>18</v>
      </c>
      <c r="E254" s="21" t="s">
        <v>2222</v>
      </c>
      <c r="F254" s="23" t="s">
        <v>3</v>
      </c>
      <c r="G254" s="23" t="s">
        <v>4</v>
      </c>
      <c r="H254" s="21" t="str">
        <f t="shared" si="3"/>
        <v>AWR_61_PA2/APPLIED-WATER</v>
      </c>
      <c r="I254" s="24" t="s">
        <v>2223</v>
      </c>
      <c r="J254" s="10" t="str">
        <f>VLOOKUP(Table1[[#This Row],[UID]],CS3SVComposerConfig!$B$3:$D$1808,3,FALSE)</f>
        <v>CS3L2015V0Hydro_SV.dss</v>
      </c>
      <c r="K254" s="10" t="s">
        <v>2212</v>
      </c>
      <c r="L254" s="10" t="s">
        <v>2212</v>
      </c>
      <c r="M254" s="10" t="s">
        <v>2224</v>
      </c>
      <c r="N254" s="10" t="s">
        <v>2225</v>
      </c>
      <c r="O254" s="10" t="s">
        <v>2226</v>
      </c>
      <c r="P254" s="39" t="s">
        <v>2227</v>
      </c>
    </row>
    <row r="255" spans="2:16" ht="18" customHeight="1" x14ac:dyDescent="0.25">
      <c r="B255" s="21" t="s">
        <v>0</v>
      </c>
      <c r="C255" s="22" t="s">
        <v>558</v>
      </c>
      <c r="D255" s="22" t="s">
        <v>18</v>
      </c>
      <c r="E255" s="21" t="s">
        <v>2222</v>
      </c>
      <c r="F255" s="23" t="s">
        <v>3</v>
      </c>
      <c r="G255" s="23" t="s">
        <v>4</v>
      </c>
      <c r="H255" s="21" t="str">
        <f t="shared" si="3"/>
        <v>AWR_61_PA3/APPLIED-WATER</v>
      </c>
      <c r="I255" s="24" t="s">
        <v>2223</v>
      </c>
      <c r="J255" s="10" t="str">
        <f>VLOOKUP(Table1[[#This Row],[UID]],CS3SVComposerConfig!$B$3:$D$1808,3,FALSE)</f>
        <v>CS3L2015V0Hydro_SV.dss</v>
      </c>
      <c r="K255" s="10" t="s">
        <v>2212</v>
      </c>
      <c r="L255" s="10" t="s">
        <v>2212</v>
      </c>
      <c r="M255" s="10" t="s">
        <v>2224</v>
      </c>
      <c r="N255" s="10" t="s">
        <v>2225</v>
      </c>
      <c r="O255" s="10" t="s">
        <v>2226</v>
      </c>
      <c r="P255" s="39" t="s">
        <v>2227</v>
      </c>
    </row>
    <row r="256" spans="2:16" ht="18" customHeight="1" x14ac:dyDescent="0.25">
      <c r="B256" s="21" t="s">
        <v>0</v>
      </c>
      <c r="C256" s="22" t="s">
        <v>559</v>
      </c>
      <c r="D256" s="22" t="s">
        <v>18</v>
      </c>
      <c r="E256" s="21" t="s">
        <v>2222</v>
      </c>
      <c r="F256" s="23" t="s">
        <v>3</v>
      </c>
      <c r="G256" s="23" t="s">
        <v>4</v>
      </c>
      <c r="H256" s="21" t="str">
        <f t="shared" si="3"/>
        <v>AWR_62_NA1/APPLIED-WATER</v>
      </c>
      <c r="I256" s="24" t="s">
        <v>2223</v>
      </c>
      <c r="J256" s="10" t="str">
        <f>VLOOKUP(Table1[[#This Row],[UID]],CS3SVComposerConfig!$B$3:$D$1808,3,FALSE)</f>
        <v>CS3L2015V0Hydro_SV.dss</v>
      </c>
      <c r="K256" s="10" t="s">
        <v>2212</v>
      </c>
      <c r="L256" s="10" t="s">
        <v>2224</v>
      </c>
      <c r="M256" s="10" t="s">
        <v>2224</v>
      </c>
      <c r="N256" s="10" t="s">
        <v>2225</v>
      </c>
      <c r="O256" s="10" t="s">
        <v>2226</v>
      </c>
      <c r="P256" s="39" t="s">
        <v>2227</v>
      </c>
    </row>
    <row r="257" spans="2:16" ht="18" customHeight="1" x14ac:dyDescent="0.25">
      <c r="B257" s="21" t="s">
        <v>0</v>
      </c>
      <c r="C257" s="22" t="s">
        <v>560</v>
      </c>
      <c r="D257" s="22" t="s">
        <v>18</v>
      </c>
      <c r="E257" s="21" t="s">
        <v>2222</v>
      </c>
      <c r="F257" s="23" t="s">
        <v>3</v>
      </c>
      <c r="G257" s="23" t="s">
        <v>4</v>
      </c>
      <c r="H257" s="21" t="str">
        <f t="shared" si="3"/>
        <v>AWR_62_NA2/APPLIED-WATER</v>
      </c>
      <c r="I257" s="24" t="s">
        <v>2223</v>
      </c>
      <c r="J257" s="10" t="str">
        <f>VLOOKUP(Table1[[#This Row],[UID]],CS3SVComposerConfig!$B$3:$D$1808,3,FALSE)</f>
        <v>CS3L2015V0Hydro_SV.dss</v>
      </c>
      <c r="K257" s="10" t="s">
        <v>2212</v>
      </c>
      <c r="L257" s="10" t="s">
        <v>2224</v>
      </c>
      <c r="M257" s="10" t="s">
        <v>2224</v>
      </c>
      <c r="N257" s="10" t="s">
        <v>2225</v>
      </c>
      <c r="O257" s="10" t="s">
        <v>2226</v>
      </c>
      <c r="P257" s="39" t="s">
        <v>2227</v>
      </c>
    </row>
    <row r="258" spans="2:16" ht="18" customHeight="1" x14ac:dyDescent="0.25">
      <c r="B258" s="21" t="s">
        <v>0</v>
      </c>
      <c r="C258" s="22" t="s">
        <v>561</v>
      </c>
      <c r="D258" s="22" t="s">
        <v>18</v>
      </c>
      <c r="E258" s="21" t="s">
        <v>2222</v>
      </c>
      <c r="F258" s="23" t="s">
        <v>3</v>
      </c>
      <c r="G258" s="23" t="s">
        <v>4</v>
      </c>
      <c r="H258" s="21" t="str">
        <f t="shared" si="3"/>
        <v>AWR_62_NA3/APPLIED-WATER</v>
      </c>
      <c r="I258" s="24" t="s">
        <v>2223</v>
      </c>
      <c r="J258" s="10" t="str">
        <f>VLOOKUP(Table1[[#This Row],[UID]],CS3SVComposerConfig!$B$3:$D$1808,3,FALSE)</f>
        <v>CS3L2015V0Hydro_SV.dss</v>
      </c>
      <c r="K258" s="10" t="s">
        <v>2212</v>
      </c>
      <c r="L258" s="10" t="s">
        <v>2224</v>
      </c>
      <c r="M258" s="10" t="s">
        <v>2224</v>
      </c>
      <c r="N258" s="10" t="s">
        <v>2225</v>
      </c>
      <c r="O258" s="10" t="s">
        <v>2226</v>
      </c>
      <c r="P258" s="39" t="s">
        <v>2227</v>
      </c>
    </row>
    <row r="259" spans="2:16" ht="18" customHeight="1" x14ac:dyDescent="0.25">
      <c r="B259" s="21" t="s">
        <v>0</v>
      </c>
      <c r="C259" s="22" t="s">
        <v>562</v>
      </c>
      <c r="D259" s="22" t="s">
        <v>18</v>
      </c>
      <c r="E259" s="21" t="s">
        <v>2222</v>
      </c>
      <c r="F259" s="23" t="s">
        <v>3</v>
      </c>
      <c r="G259" s="23" t="s">
        <v>4</v>
      </c>
      <c r="H259" s="21" t="str">
        <f t="shared" ref="H259:H322" si="4">_xlfn.CONCAT(C259,"/",D259)</f>
        <v>AWR_62_NA4/APPLIED-WATER</v>
      </c>
      <c r="I259" s="24" t="s">
        <v>2223</v>
      </c>
      <c r="J259" s="10" t="str">
        <f>VLOOKUP(Table1[[#This Row],[UID]],CS3SVComposerConfig!$B$3:$D$1808,3,FALSE)</f>
        <v>CS3L2015V0Hydro_SV.dss</v>
      </c>
      <c r="K259" s="10" t="s">
        <v>2212</v>
      </c>
      <c r="L259" s="10" t="s">
        <v>2224</v>
      </c>
      <c r="M259" s="10" t="s">
        <v>2224</v>
      </c>
      <c r="N259" s="10" t="s">
        <v>2225</v>
      </c>
      <c r="O259" s="10" t="s">
        <v>2226</v>
      </c>
      <c r="P259" s="39" t="s">
        <v>2227</v>
      </c>
    </row>
    <row r="260" spans="2:16" ht="18" customHeight="1" x14ac:dyDescent="0.25">
      <c r="B260" s="21" t="s">
        <v>0</v>
      </c>
      <c r="C260" s="22" t="s">
        <v>563</v>
      </c>
      <c r="D260" s="22" t="s">
        <v>18</v>
      </c>
      <c r="E260" s="21" t="s">
        <v>2222</v>
      </c>
      <c r="F260" s="23" t="s">
        <v>3</v>
      </c>
      <c r="G260" s="23" t="s">
        <v>4</v>
      </c>
      <c r="H260" s="21" t="str">
        <f t="shared" si="4"/>
        <v>AWR_62_NA5/APPLIED-WATER</v>
      </c>
      <c r="I260" s="24" t="s">
        <v>2223</v>
      </c>
      <c r="J260" s="10" t="str">
        <f>VLOOKUP(Table1[[#This Row],[UID]],CS3SVComposerConfig!$B$3:$D$1808,3,FALSE)</f>
        <v>CS3L2015V0Hydro_SV.dss</v>
      </c>
      <c r="K260" s="10" t="s">
        <v>2212</v>
      </c>
      <c r="L260" s="10" t="s">
        <v>2224</v>
      </c>
      <c r="M260" s="10" t="s">
        <v>2224</v>
      </c>
      <c r="N260" s="10" t="s">
        <v>2225</v>
      </c>
      <c r="O260" s="10" t="s">
        <v>2226</v>
      </c>
      <c r="P260" s="39" t="s">
        <v>2227</v>
      </c>
    </row>
    <row r="261" spans="2:16" ht="18" customHeight="1" x14ac:dyDescent="0.25">
      <c r="B261" s="21" t="s">
        <v>0</v>
      </c>
      <c r="C261" s="22" t="s">
        <v>564</v>
      </c>
      <c r="D261" s="22" t="s">
        <v>18</v>
      </c>
      <c r="E261" s="21" t="s">
        <v>2222</v>
      </c>
      <c r="F261" s="23" t="s">
        <v>3</v>
      </c>
      <c r="G261" s="23" t="s">
        <v>4</v>
      </c>
      <c r="H261" s="21" t="str">
        <f t="shared" si="4"/>
        <v>AWR_62_NA6/APPLIED-WATER</v>
      </c>
      <c r="I261" s="24" t="s">
        <v>2223</v>
      </c>
      <c r="J261" s="10" t="str">
        <f>VLOOKUP(Table1[[#This Row],[UID]],CS3SVComposerConfig!$B$3:$D$1808,3,FALSE)</f>
        <v>CS3L2015V0Hydro_SV.dss</v>
      </c>
      <c r="K261" s="10" t="s">
        <v>2212</v>
      </c>
      <c r="L261" s="10" t="s">
        <v>2224</v>
      </c>
      <c r="M261" s="10" t="s">
        <v>2224</v>
      </c>
      <c r="N261" s="10" t="s">
        <v>2225</v>
      </c>
      <c r="O261" s="10" t="s">
        <v>2226</v>
      </c>
      <c r="P261" s="39" t="s">
        <v>2227</v>
      </c>
    </row>
    <row r="262" spans="2:16" ht="18" customHeight="1" x14ac:dyDescent="0.25">
      <c r="B262" s="21" t="s">
        <v>0</v>
      </c>
      <c r="C262" s="22" t="s">
        <v>565</v>
      </c>
      <c r="D262" s="22" t="s">
        <v>18</v>
      </c>
      <c r="E262" s="21" t="s">
        <v>2222</v>
      </c>
      <c r="F262" s="23" t="s">
        <v>3</v>
      </c>
      <c r="G262" s="23" t="s">
        <v>4</v>
      </c>
      <c r="H262" s="21" t="str">
        <f t="shared" si="4"/>
        <v>AWR_63_NA1/APPLIED-WATER</v>
      </c>
      <c r="I262" s="24" t="s">
        <v>2223</v>
      </c>
      <c r="J262" s="10" t="str">
        <f>VLOOKUP(Table1[[#This Row],[UID]],CS3SVComposerConfig!$B$3:$D$1808,3,FALSE)</f>
        <v>CS3L2015V0Hydro_SV.dss</v>
      </c>
      <c r="K262" s="10" t="s">
        <v>2212</v>
      </c>
      <c r="L262" s="10" t="s">
        <v>2224</v>
      </c>
      <c r="M262" s="10" t="s">
        <v>2224</v>
      </c>
      <c r="N262" s="10" t="s">
        <v>2225</v>
      </c>
      <c r="O262" s="10" t="s">
        <v>2226</v>
      </c>
      <c r="P262" s="39" t="s">
        <v>2227</v>
      </c>
    </row>
    <row r="263" spans="2:16" ht="18" customHeight="1" x14ac:dyDescent="0.25">
      <c r="B263" s="21" t="s">
        <v>0</v>
      </c>
      <c r="C263" s="22" t="s">
        <v>566</v>
      </c>
      <c r="D263" s="22" t="s">
        <v>18</v>
      </c>
      <c r="E263" s="21" t="s">
        <v>2222</v>
      </c>
      <c r="F263" s="23" t="s">
        <v>3</v>
      </c>
      <c r="G263" s="23" t="s">
        <v>4</v>
      </c>
      <c r="H263" s="21" t="str">
        <f t="shared" si="4"/>
        <v>AWR_63_NA2/APPLIED-WATER</v>
      </c>
      <c r="I263" s="24" t="s">
        <v>2223</v>
      </c>
      <c r="J263" s="10" t="str">
        <f>VLOOKUP(Table1[[#This Row],[UID]],CS3SVComposerConfig!$B$3:$D$1808,3,FALSE)</f>
        <v>CS3L2015V0Hydro_SV.dss</v>
      </c>
      <c r="K263" s="10" t="s">
        <v>2212</v>
      </c>
      <c r="L263" s="10" t="s">
        <v>2224</v>
      </c>
      <c r="M263" s="10" t="s">
        <v>2224</v>
      </c>
      <c r="N263" s="10" t="s">
        <v>2225</v>
      </c>
      <c r="O263" s="10" t="s">
        <v>2226</v>
      </c>
      <c r="P263" s="39" t="s">
        <v>2227</v>
      </c>
    </row>
    <row r="264" spans="2:16" ht="18" customHeight="1" x14ac:dyDescent="0.25">
      <c r="B264" s="21" t="s">
        <v>0</v>
      </c>
      <c r="C264" s="22" t="s">
        <v>567</v>
      </c>
      <c r="D264" s="22" t="s">
        <v>18</v>
      </c>
      <c r="E264" s="21" t="s">
        <v>2222</v>
      </c>
      <c r="F264" s="23" t="s">
        <v>3</v>
      </c>
      <c r="G264" s="23" t="s">
        <v>4</v>
      </c>
      <c r="H264" s="21" t="str">
        <f t="shared" si="4"/>
        <v>AWR_63_NA3/APPLIED-WATER</v>
      </c>
      <c r="I264" s="24" t="s">
        <v>2223</v>
      </c>
      <c r="J264" s="10" t="str">
        <f>VLOOKUP(Table1[[#This Row],[UID]],CS3SVComposerConfig!$B$3:$D$1808,3,FALSE)</f>
        <v>CS3L2015V0Hydro_SV.dss</v>
      </c>
      <c r="K264" s="10" t="s">
        <v>2212</v>
      </c>
      <c r="L264" s="10" t="s">
        <v>2212</v>
      </c>
      <c r="M264" s="10" t="s">
        <v>2224</v>
      </c>
      <c r="N264" s="10" t="s">
        <v>2225</v>
      </c>
      <c r="O264" s="10" t="s">
        <v>2226</v>
      </c>
      <c r="P264" s="39" t="s">
        <v>2227</v>
      </c>
    </row>
    <row r="265" spans="2:16" ht="18" customHeight="1" x14ac:dyDescent="0.25">
      <c r="B265" s="21" t="s">
        <v>0</v>
      </c>
      <c r="C265" s="22" t="s">
        <v>568</v>
      </c>
      <c r="D265" s="22" t="s">
        <v>18</v>
      </c>
      <c r="E265" s="21" t="s">
        <v>2222</v>
      </c>
      <c r="F265" s="23" t="s">
        <v>3</v>
      </c>
      <c r="G265" s="23" t="s">
        <v>4</v>
      </c>
      <c r="H265" s="21" t="str">
        <f t="shared" si="4"/>
        <v>AWR_63_NA4/APPLIED-WATER</v>
      </c>
      <c r="I265" s="24" t="s">
        <v>2223</v>
      </c>
      <c r="J265" s="10" t="str">
        <f>VLOOKUP(Table1[[#This Row],[UID]],CS3SVComposerConfig!$B$3:$D$1808,3,FALSE)</f>
        <v>CS3L2015V0Hydro_SV.dss</v>
      </c>
      <c r="K265" s="10" t="s">
        <v>2212</v>
      </c>
      <c r="L265" s="10" t="s">
        <v>2212</v>
      </c>
      <c r="M265" s="10" t="s">
        <v>2224</v>
      </c>
      <c r="N265" s="10" t="s">
        <v>2225</v>
      </c>
      <c r="O265" s="10" t="s">
        <v>2226</v>
      </c>
      <c r="P265" s="39" t="s">
        <v>2227</v>
      </c>
    </row>
    <row r="266" spans="2:16" ht="18" customHeight="1" x14ac:dyDescent="0.25">
      <c r="B266" s="21" t="s">
        <v>0</v>
      </c>
      <c r="C266" s="22" t="s">
        <v>569</v>
      </c>
      <c r="D266" s="22" t="s">
        <v>18</v>
      </c>
      <c r="E266" s="21" t="s">
        <v>2222</v>
      </c>
      <c r="F266" s="23" t="s">
        <v>3</v>
      </c>
      <c r="G266" s="23" t="s">
        <v>4</v>
      </c>
      <c r="H266" s="21" t="str">
        <f t="shared" si="4"/>
        <v>AWR_63_NA5/APPLIED-WATER</v>
      </c>
      <c r="I266" s="24" t="s">
        <v>2223</v>
      </c>
      <c r="J266" s="10" t="str">
        <f>VLOOKUP(Table1[[#This Row],[UID]],CS3SVComposerConfig!$B$3:$D$1808,3,FALSE)</f>
        <v>CS3L2015V0Hydro_SV.dss</v>
      </c>
      <c r="K266" s="10" t="s">
        <v>2212</v>
      </c>
      <c r="L266" s="10" t="s">
        <v>2212</v>
      </c>
      <c r="M266" s="10" t="s">
        <v>2224</v>
      </c>
      <c r="N266" s="10" t="s">
        <v>2225</v>
      </c>
      <c r="O266" s="10" t="s">
        <v>2226</v>
      </c>
      <c r="P266" s="39" t="s">
        <v>2227</v>
      </c>
    </row>
    <row r="267" spans="2:16" ht="18" customHeight="1" x14ac:dyDescent="0.25">
      <c r="B267" s="21" t="s">
        <v>0</v>
      </c>
      <c r="C267" s="22" t="s">
        <v>570</v>
      </c>
      <c r="D267" s="22" t="s">
        <v>18</v>
      </c>
      <c r="E267" s="21" t="s">
        <v>2222</v>
      </c>
      <c r="F267" s="23" t="s">
        <v>3</v>
      </c>
      <c r="G267" s="23" t="s">
        <v>4</v>
      </c>
      <c r="H267" s="21" t="str">
        <f t="shared" si="4"/>
        <v>AWR_63_PR1/APPLIED-WATER</v>
      </c>
      <c r="I267" s="24" t="s">
        <v>2223</v>
      </c>
      <c r="J267" s="10" t="str">
        <f>VLOOKUP(Table1[[#This Row],[UID]],CS3SVComposerConfig!$B$3:$D$1808,3,FALSE)</f>
        <v>CS3L2015V0Hydro_SV.dss</v>
      </c>
      <c r="K267" s="10" t="s">
        <v>2212</v>
      </c>
      <c r="L267" s="10" t="s">
        <v>2224</v>
      </c>
      <c r="M267" s="10" t="s">
        <v>2224</v>
      </c>
      <c r="N267" s="10" t="s">
        <v>2225</v>
      </c>
      <c r="O267" s="10" t="s">
        <v>2226</v>
      </c>
      <c r="P267" s="39" t="s">
        <v>2227</v>
      </c>
    </row>
    <row r="268" spans="2:16" ht="18" customHeight="1" x14ac:dyDescent="0.25">
      <c r="B268" s="21" t="s">
        <v>0</v>
      </c>
      <c r="C268" s="22" t="s">
        <v>571</v>
      </c>
      <c r="D268" s="22" t="s">
        <v>18</v>
      </c>
      <c r="E268" s="21" t="s">
        <v>2222</v>
      </c>
      <c r="F268" s="23" t="s">
        <v>3</v>
      </c>
      <c r="G268" s="23" t="s">
        <v>4</v>
      </c>
      <c r="H268" s="21" t="str">
        <f t="shared" si="4"/>
        <v>AWR_63_PR2/APPLIED-WATER</v>
      </c>
      <c r="I268" s="24" t="s">
        <v>2223</v>
      </c>
      <c r="J268" s="10" t="str">
        <f>VLOOKUP(Table1[[#This Row],[UID]],CS3SVComposerConfig!$B$3:$D$1808,3,FALSE)</f>
        <v>CS3L2015V0Hydro_SV.dss</v>
      </c>
      <c r="K268" s="10" t="s">
        <v>2212</v>
      </c>
      <c r="L268" s="10" t="s">
        <v>2224</v>
      </c>
      <c r="M268" s="10" t="s">
        <v>2224</v>
      </c>
      <c r="N268" s="10" t="s">
        <v>2225</v>
      </c>
      <c r="O268" s="10" t="s">
        <v>2226</v>
      </c>
      <c r="P268" s="39" t="s">
        <v>2227</v>
      </c>
    </row>
    <row r="269" spans="2:16" ht="18" customHeight="1" x14ac:dyDescent="0.25">
      <c r="B269" s="21" t="s">
        <v>0</v>
      </c>
      <c r="C269" s="22" t="s">
        <v>572</v>
      </c>
      <c r="D269" s="22" t="s">
        <v>18</v>
      </c>
      <c r="E269" s="21" t="s">
        <v>2222</v>
      </c>
      <c r="F269" s="23" t="s">
        <v>3</v>
      </c>
      <c r="G269" s="23" t="s">
        <v>4</v>
      </c>
      <c r="H269" s="21" t="str">
        <f t="shared" si="4"/>
        <v>AWR_63_PR3/APPLIED-WATER</v>
      </c>
      <c r="I269" s="24" t="s">
        <v>2223</v>
      </c>
      <c r="J269" s="10" t="str">
        <f>VLOOKUP(Table1[[#This Row],[UID]],CS3SVComposerConfig!$B$3:$D$1808,3,FALSE)</f>
        <v>CS3L2015V0Hydro_SV.dss</v>
      </c>
      <c r="K269" s="10" t="s">
        <v>2212</v>
      </c>
      <c r="L269" s="10" t="s">
        <v>2224</v>
      </c>
      <c r="M269" s="10" t="s">
        <v>2224</v>
      </c>
      <c r="N269" s="10" t="s">
        <v>2225</v>
      </c>
      <c r="O269" s="10" t="s">
        <v>2226</v>
      </c>
      <c r="P269" s="39" t="s">
        <v>2227</v>
      </c>
    </row>
    <row r="270" spans="2:16" ht="18" customHeight="1" x14ac:dyDescent="0.25">
      <c r="B270" s="21" t="s">
        <v>0</v>
      </c>
      <c r="C270" s="22" t="s">
        <v>573</v>
      </c>
      <c r="D270" s="22" t="s">
        <v>18</v>
      </c>
      <c r="E270" s="21" t="s">
        <v>2222</v>
      </c>
      <c r="F270" s="23" t="s">
        <v>3</v>
      </c>
      <c r="G270" s="23" t="s">
        <v>4</v>
      </c>
      <c r="H270" s="21" t="str">
        <f t="shared" si="4"/>
        <v>AWR_64_NA1/APPLIED-WATER</v>
      </c>
      <c r="I270" s="24" t="s">
        <v>2223</v>
      </c>
      <c r="J270" s="10" t="str">
        <f>VLOOKUP(Table1[[#This Row],[UID]],CS3SVComposerConfig!$B$3:$D$1808,3,FALSE)</f>
        <v>CS3L2015V0Hydro_SV.dss</v>
      </c>
      <c r="K270" s="10" t="s">
        <v>2212</v>
      </c>
      <c r="L270" s="10" t="s">
        <v>2224</v>
      </c>
      <c r="M270" s="10" t="s">
        <v>2224</v>
      </c>
      <c r="N270" s="10" t="s">
        <v>2225</v>
      </c>
      <c r="O270" s="10" t="s">
        <v>2226</v>
      </c>
      <c r="P270" s="39" t="s">
        <v>2227</v>
      </c>
    </row>
    <row r="271" spans="2:16" ht="18" customHeight="1" x14ac:dyDescent="0.25">
      <c r="B271" s="21" t="s">
        <v>0</v>
      </c>
      <c r="C271" s="22" t="s">
        <v>574</v>
      </c>
      <c r="D271" s="22" t="s">
        <v>18</v>
      </c>
      <c r="E271" s="21" t="s">
        <v>2222</v>
      </c>
      <c r="F271" s="23" t="s">
        <v>3</v>
      </c>
      <c r="G271" s="23" t="s">
        <v>4</v>
      </c>
      <c r="H271" s="21" t="str">
        <f t="shared" si="4"/>
        <v>AWR_64_NA2/APPLIED-WATER</v>
      </c>
      <c r="I271" s="24" t="s">
        <v>2223</v>
      </c>
      <c r="J271" s="10" t="str">
        <f>VLOOKUP(Table1[[#This Row],[UID]],CS3SVComposerConfig!$B$3:$D$1808,3,FALSE)</f>
        <v>CS3L2015V0Hydro_SV.dss</v>
      </c>
      <c r="K271" s="10" t="s">
        <v>2212</v>
      </c>
      <c r="L271" s="10" t="s">
        <v>2224</v>
      </c>
      <c r="M271" s="10" t="s">
        <v>2224</v>
      </c>
      <c r="N271" s="10" t="s">
        <v>2225</v>
      </c>
      <c r="O271" s="10" t="s">
        <v>2226</v>
      </c>
      <c r="P271" s="39" t="s">
        <v>2227</v>
      </c>
    </row>
    <row r="272" spans="2:16" ht="18" customHeight="1" x14ac:dyDescent="0.25">
      <c r="B272" s="21" t="s">
        <v>0</v>
      </c>
      <c r="C272" s="22" t="s">
        <v>575</v>
      </c>
      <c r="D272" s="22" t="s">
        <v>18</v>
      </c>
      <c r="E272" s="21" t="s">
        <v>2222</v>
      </c>
      <c r="F272" s="23" t="s">
        <v>3</v>
      </c>
      <c r="G272" s="23" t="s">
        <v>4</v>
      </c>
      <c r="H272" s="21" t="str">
        <f t="shared" si="4"/>
        <v>AWR_64_PA1/APPLIED-WATER</v>
      </c>
      <c r="I272" s="24" t="s">
        <v>2223</v>
      </c>
      <c r="J272" s="10" t="str">
        <f>VLOOKUP(Table1[[#This Row],[UID]],CS3SVComposerConfig!$B$3:$D$1808,3,FALSE)</f>
        <v>CS3L2015V0Hydro_SV.dss</v>
      </c>
      <c r="K272" s="10" t="s">
        <v>2212</v>
      </c>
      <c r="L272" s="10" t="s">
        <v>2224</v>
      </c>
      <c r="M272" s="10" t="s">
        <v>2224</v>
      </c>
      <c r="N272" s="10" t="s">
        <v>2225</v>
      </c>
      <c r="O272" s="10" t="s">
        <v>2226</v>
      </c>
      <c r="P272" s="39" t="s">
        <v>2227</v>
      </c>
    </row>
    <row r="273" spans="2:16" ht="18" customHeight="1" x14ac:dyDescent="0.25">
      <c r="B273" s="21" t="s">
        <v>0</v>
      </c>
      <c r="C273" s="22" t="s">
        <v>576</v>
      </c>
      <c r="D273" s="22" t="s">
        <v>18</v>
      </c>
      <c r="E273" s="21" t="s">
        <v>2222</v>
      </c>
      <c r="F273" s="23" t="s">
        <v>3</v>
      </c>
      <c r="G273" s="23" t="s">
        <v>4</v>
      </c>
      <c r="H273" s="21" t="str">
        <f t="shared" si="4"/>
        <v>AWR_64_PA2/APPLIED-WATER</v>
      </c>
      <c r="I273" s="24" t="s">
        <v>2223</v>
      </c>
      <c r="J273" s="10" t="str">
        <f>VLOOKUP(Table1[[#This Row],[UID]],CS3SVComposerConfig!$B$3:$D$1808,3,FALSE)</f>
        <v>CS3L2015V0Hydro_SV.dss</v>
      </c>
      <c r="K273" s="10" t="s">
        <v>2212</v>
      </c>
      <c r="L273" s="10" t="s">
        <v>2224</v>
      </c>
      <c r="M273" s="10" t="s">
        <v>2224</v>
      </c>
      <c r="N273" s="10" t="s">
        <v>2225</v>
      </c>
      <c r="O273" s="10" t="s">
        <v>2226</v>
      </c>
      <c r="P273" s="39" t="s">
        <v>2227</v>
      </c>
    </row>
    <row r="274" spans="2:16" ht="18" customHeight="1" x14ac:dyDescent="0.25">
      <c r="B274" s="21" t="s">
        <v>0</v>
      </c>
      <c r="C274" s="22" t="s">
        <v>577</v>
      </c>
      <c r="D274" s="22" t="s">
        <v>18</v>
      </c>
      <c r="E274" s="21" t="s">
        <v>2222</v>
      </c>
      <c r="F274" s="23" t="s">
        <v>3</v>
      </c>
      <c r="G274" s="23" t="s">
        <v>4</v>
      </c>
      <c r="H274" s="21" t="str">
        <f t="shared" si="4"/>
        <v>AWR_64_PA3/APPLIED-WATER</v>
      </c>
      <c r="I274" s="24" t="s">
        <v>2223</v>
      </c>
      <c r="J274" s="10" t="str">
        <f>VLOOKUP(Table1[[#This Row],[UID]],CS3SVComposerConfig!$B$3:$D$1808,3,FALSE)</f>
        <v>CS3L2015V0Hydro_SV.dss</v>
      </c>
      <c r="K274" s="10" t="s">
        <v>2212</v>
      </c>
      <c r="L274" s="10" t="s">
        <v>2224</v>
      </c>
      <c r="M274" s="10" t="s">
        <v>2224</v>
      </c>
      <c r="N274" s="10" t="s">
        <v>2225</v>
      </c>
      <c r="O274" s="10" t="s">
        <v>2226</v>
      </c>
      <c r="P274" s="39" t="s">
        <v>2227</v>
      </c>
    </row>
    <row r="275" spans="2:16" ht="18" customHeight="1" x14ac:dyDescent="0.25">
      <c r="B275" s="21" t="s">
        <v>0</v>
      </c>
      <c r="C275" s="22" t="s">
        <v>578</v>
      </c>
      <c r="D275" s="22" t="s">
        <v>18</v>
      </c>
      <c r="E275" s="21" t="s">
        <v>2222</v>
      </c>
      <c r="F275" s="23" t="s">
        <v>3</v>
      </c>
      <c r="G275" s="23" t="s">
        <v>4</v>
      </c>
      <c r="H275" s="21" t="str">
        <f t="shared" si="4"/>
        <v>AWR_64_XA/APPLIED-WATER</v>
      </c>
      <c r="I275" s="24" t="s">
        <v>2223</v>
      </c>
      <c r="J275" s="10" t="str">
        <f>VLOOKUP(Table1[[#This Row],[UID]],CS3SVComposerConfig!$B$3:$D$1808,3,FALSE)</f>
        <v>RebalancedSJR_AW_TW_DP.dss</v>
      </c>
      <c r="K275" s="10" t="s">
        <v>2212</v>
      </c>
      <c r="L275" s="10" t="s">
        <v>2224</v>
      </c>
      <c r="M275" s="10" t="s">
        <v>2224</v>
      </c>
      <c r="N275" s="10" t="s">
        <v>2225</v>
      </c>
      <c r="O275" s="10" t="s">
        <v>2226</v>
      </c>
      <c r="P275" s="39" t="s">
        <v>2227</v>
      </c>
    </row>
    <row r="276" spans="2:16" ht="18" customHeight="1" x14ac:dyDescent="0.25">
      <c r="B276" s="21" t="s">
        <v>0</v>
      </c>
      <c r="C276" s="22" t="s">
        <v>579</v>
      </c>
      <c r="D276" s="22" t="s">
        <v>18</v>
      </c>
      <c r="E276" s="21" t="s">
        <v>2222</v>
      </c>
      <c r="F276" s="23" t="s">
        <v>3</v>
      </c>
      <c r="G276" s="23" t="s">
        <v>4</v>
      </c>
      <c r="H276" s="21" t="str">
        <f t="shared" si="4"/>
        <v>AWR_71_NA1/APPLIED-WATER</v>
      </c>
      <c r="I276" s="24" t="s">
        <v>2223</v>
      </c>
      <c r="J276" s="10" t="str">
        <f>VLOOKUP(Table1[[#This Row],[UID]],CS3SVComposerConfig!$B$3:$D$1808,3,FALSE)</f>
        <v>CS3L2015V0Hydro_SV.dss</v>
      </c>
      <c r="K276" s="10" t="s">
        <v>2212</v>
      </c>
      <c r="L276" s="10" t="s">
        <v>2224</v>
      </c>
      <c r="M276" s="10" t="s">
        <v>2224</v>
      </c>
      <c r="N276" s="10" t="s">
        <v>2225</v>
      </c>
      <c r="O276" s="10" t="s">
        <v>2226</v>
      </c>
      <c r="P276" s="39" t="s">
        <v>2227</v>
      </c>
    </row>
    <row r="277" spans="2:16" ht="18" customHeight="1" x14ac:dyDescent="0.25">
      <c r="B277" s="21" t="s">
        <v>0</v>
      </c>
      <c r="C277" s="22" t="s">
        <v>580</v>
      </c>
      <c r="D277" s="22" t="s">
        <v>18</v>
      </c>
      <c r="E277" s="21" t="s">
        <v>2222</v>
      </c>
      <c r="F277" s="23" t="s">
        <v>3</v>
      </c>
      <c r="G277" s="23" t="s">
        <v>4</v>
      </c>
      <c r="H277" s="21" t="str">
        <f t="shared" si="4"/>
        <v>AWR_71_NA2/APPLIED-WATER</v>
      </c>
      <c r="I277" s="24" t="s">
        <v>2223</v>
      </c>
      <c r="J277" s="10" t="str">
        <f>VLOOKUP(Table1[[#This Row],[UID]],CS3SVComposerConfig!$B$3:$D$1808,3,FALSE)</f>
        <v>CS3L2015V0Hydro_SV.dss</v>
      </c>
      <c r="K277" s="10" t="s">
        <v>2212</v>
      </c>
      <c r="L277" s="10" t="s">
        <v>2224</v>
      </c>
      <c r="M277" s="10" t="s">
        <v>2224</v>
      </c>
      <c r="N277" s="10" t="s">
        <v>2225</v>
      </c>
      <c r="O277" s="10" t="s">
        <v>2226</v>
      </c>
      <c r="P277" s="39" t="s">
        <v>2227</v>
      </c>
    </row>
    <row r="278" spans="2:16" ht="18" customHeight="1" x14ac:dyDescent="0.25">
      <c r="B278" s="21" t="s">
        <v>0</v>
      </c>
      <c r="C278" s="22" t="s">
        <v>581</v>
      </c>
      <c r="D278" s="22" t="s">
        <v>18</v>
      </c>
      <c r="E278" s="21" t="s">
        <v>2222</v>
      </c>
      <c r="F278" s="23" t="s">
        <v>3</v>
      </c>
      <c r="G278" s="23" t="s">
        <v>4</v>
      </c>
      <c r="H278" s="21" t="str">
        <f t="shared" si="4"/>
        <v>AWR_71_NA3/APPLIED-WATER</v>
      </c>
      <c r="I278" s="24" t="s">
        <v>2223</v>
      </c>
      <c r="J278" s="10" t="str">
        <f>VLOOKUP(Table1[[#This Row],[UID]],CS3SVComposerConfig!$B$3:$D$1808,3,FALSE)</f>
        <v>CS3L2015V0Hydro_SV.dss</v>
      </c>
      <c r="K278" s="10" t="s">
        <v>2212</v>
      </c>
      <c r="L278" s="10" t="s">
        <v>2224</v>
      </c>
      <c r="M278" s="10" t="s">
        <v>2224</v>
      </c>
      <c r="N278" s="10" t="s">
        <v>2225</v>
      </c>
      <c r="O278" s="10" t="s">
        <v>2226</v>
      </c>
      <c r="P278" s="39" t="s">
        <v>2227</v>
      </c>
    </row>
    <row r="279" spans="2:16" ht="18" customHeight="1" x14ac:dyDescent="0.25">
      <c r="B279" s="21" t="s">
        <v>0</v>
      </c>
      <c r="C279" s="22" t="s">
        <v>582</v>
      </c>
      <c r="D279" s="22" t="s">
        <v>18</v>
      </c>
      <c r="E279" s="21" t="s">
        <v>2222</v>
      </c>
      <c r="F279" s="23" t="s">
        <v>3</v>
      </c>
      <c r="G279" s="23" t="s">
        <v>4</v>
      </c>
      <c r="H279" s="21" t="str">
        <f t="shared" si="4"/>
        <v>AWR_71_PA1/APPLIED-WATER</v>
      </c>
      <c r="I279" s="24" t="s">
        <v>2223</v>
      </c>
      <c r="J279" s="10" t="str">
        <f>VLOOKUP(Table1[[#This Row],[UID]],CS3SVComposerConfig!$B$3:$D$1808,3,FALSE)</f>
        <v>RebalancedSJR_AW_TW_DP.dss</v>
      </c>
      <c r="K279" s="10" t="s">
        <v>2212</v>
      </c>
      <c r="L279" s="10" t="s">
        <v>2224</v>
      </c>
      <c r="M279" s="10" t="s">
        <v>2224</v>
      </c>
      <c r="N279" s="10" t="s">
        <v>2225</v>
      </c>
      <c r="O279" s="10" t="s">
        <v>2226</v>
      </c>
      <c r="P279" s="39" t="s">
        <v>2227</v>
      </c>
    </row>
    <row r="280" spans="2:16" ht="18" customHeight="1" x14ac:dyDescent="0.25">
      <c r="B280" s="21" t="s">
        <v>0</v>
      </c>
      <c r="C280" s="22" t="s">
        <v>583</v>
      </c>
      <c r="D280" s="22" t="s">
        <v>18</v>
      </c>
      <c r="E280" s="21" t="s">
        <v>2222</v>
      </c>
      <c r="F280" s="23" t="s">
        <v>3</v>
      </c>
      <c r="G280" s="23" t="s">
        <v>4</v>
      </c>
      <c r="H280" s="21" t="str">
        <f t="shared" si="4"/>
        <v>AWR_71_PA2/APPLIED-WATER</v>
      </c>
      <c r="I280" s="24" t="s">
        <v>2223</v>
      </c>
      <c r="J280" s="10" t="str">
        <f>VLOOKUP(Table1[[#This Row],[UID]],CS3SVComposerConfig!$B$3:$D$1808,3,FALSE)</f>
        <v>RebalancedSJR_AW_TW_DP.dss</v>
      </c>
      <c r="K280" s="10" t="s">
        <v>2212</v>
      </c>
      <c r="L280" s="10" t="s">
        <v>2224</v>
      </c>
      <c r="M280" s="10" t="s">
        <v>2224</v>
      </c>
      <c r="N280" s="10" t="s">
        <v>2225</v>
      </c>
      <c r="O280" s="10" t="s">
        <v>2226</v>
      </c>
      <c r="P280" s="39" t="s">
        <v>2227</v>
      </c>
    </row>
    <row r="281" spans="2:16" ht="18" customHeight="1" x14ac:dyDescent="0.25">
      <c r="B281" s="21" t="s">
        <v>0</v>
      </c>
      <c r="C281" s="22" t="s">
        <v>584</v>
      </c>
      <c r="D281" s="22" t="s">
        <v>18</v>
      </c>
      <c r="E281" s="21" t="s">
        <v>2222</v>
      </c>
      <c r="F281" s="23" t="s">
        <v>3</v>
      </c>
      <c r="G281" s="23" t="s">
        <v>4</v>
      </c>
      <c r="H281" s="21" t="str">
        <f t="shared" si="4"/>
        <v>AWR_71_PA3/APPLIED-WATER</v>
      </c>
      <c r="I281" s="24" t="s">
        <v>2223</v>
      </c>
      <c r="J281" s="10" t="str">
        <f>VLOOKUP(Table1[[#This Row],[UID]],CS3SVComposerConfig!$B$3:$D$1808,3,FALSE)</f>
        <v>RebalancedSJR_AW_TW_DP.dss</v>
      </c>
      <c r="K281" s="10" t="s">
        <v>2212</v>
      </c>
      <c r="L281" s="10" t="s">
        <v>2224</v>
      </c>
      <c r="M281" s="10" t="s">
        <v>2224</v>
      </c>
      <c r="N281" s="10" t="s">
        <v>2225</v>
      </c>
      <c r="O281" s="10" t="s">
        <v>2226</v>
      </c>
      <c r="P281" s="39" t="s">
        <v>2227</v>
      </c>
    </row>
    <row r="282" spans="2:16" ht="18" customHeight="1" x14ac:dyDescent="0.25">
      <c r="B282" s="21" t="s">
        <v>0</v>
      </c>
      <c r="C282" s="22" t="s">
        <v>585</v>
      </c>
      <c r="D282" s="22" t="s">
        <v>18</v>
      </c>
      <c r="E282" s="21" t="s">
        <v>2222</v>
      </c>
      <c r="F282" s="23" t="s">
        <v>3</v>
      </c>
      <c r="G282" s="23" t="s">
        <v>4</v>
      </c>
      <c r="H282" s="21" t="str">
        <f t="shared" si="4"/>
        <v>AWR_71_PA4/APPLIED-WATER</v>
      </c>
      <c r="I282" s="24" t="s">
        <v>2223</v>
      </c>
      <c r="J282" s="10" t="str">
        <f>VLOOKUP(Table1[[#This Row],[UID]],CS3SVComposerConfig!$B$3:$D$1808,3,FALSE)</f>
        <v>RebalancedSJR_AW_TW_DP.dss</v>
      </c>
      <c r="K282" s="10" t="s">
        <v>2212</v>
      </c>
      <c r="L282" s="10" t="s">
        <v>2224</v>
      </c>
      <c r="M282" s="10" t="s">
        <v>2224</v>
      </c>
      <c r="N282" s="10" t="s">
        <v>2225</v>
      </c>
      <c r="O282" s="10" t="s">
        <v>2226</v>
      </c>
      <c r="P282" s="39" t="s">
        <v>2227</v>
      </c>
    </row>
    <row r="283" spans="2:16" ht="18" customHeight="1" x14ac:dyDescent="0.25">
      <c r="B283" s="21" t="s">
        <v>0</v>
      </c>
      <c r="C283" s="22" t="s">
        <v>586</v>
      </c>
      <c r="D283" s="22" t="s">
        <v>18</v>
      </c>
      <c r="E283" s="21" t="s">
        <v>2222</v>
      </c>
      <c r="F283" s="23" t="s">
        <v>3</v>
      </c>
      <c r="G283" s="23" t="s">
        <v>4</v>
      </c>
      <c r="H283" s="21" t="str">
        <f t="shared" si="4"/>
        <v>AWR_71_PA5/APPLIED-WATER</v>
      </c>
      <c r="I283" s="24" t="s">
        <v>2223</v>
      </c>
      <c r="J283" s="10" t="str">
        <f>VLOOKUP(Table1[[#This Row],[UID]],CS3SVComposerConfig!$B$3:$D$1808,3,FALSE)</f>
        <v>RebalancedSJR_AW_TW_DP.dss</v>
      </c>
      <c r="K283" s="10" t="s">
        <v>2212</v>
      </c>
      <c r="L283" s="10" t="s">
        <v>2224</v>
      </c>
      <c r="M283" s="10" t="s">
        <v>2224</v>
      </c>
      <c r="N283" s="10" t="s">
        <v>2225</v>
      </c>
      <c r="O283" s="10" t="s">
        <v>2226</v>
      </c>
      <c r="P283" s="39" t="s">
        <v>2227</v>
      </c>
    </row>
    <row r="284" spans="2:16" ht="18" customHeight="1" x14ac:dyDescent="0.25">
      <c r="B284" s="21" t="s">
        <v>0</v>
      </c>
      <c r="C284" s="22" t="s">
        <v>587</v>
      </c>
      <c r="D284" s="22" t="s">
        <v>18</v>
      </c>
      <c r="E284" s="21" t="s">
        <v>2222</v>
      </c>
      <c r="F284" s="23" t="s">
        <v>3</v>
      </c>
      <c r="G284" s="23" t="s">
        <v>4</v>
      </c>
      <c r="H284" s="21" t="str">
        <f t="shared" si="4"/>
        <v>AWR_71_PA6/APPLIED-WATER</v>
      </c>
      <c r="I284" s="24" t="s">
        <v>2223</v>
      </c>
      <c r="J284" s="10" t="str">
        <f>VLOOKUP(Table1[[#This Row],[UID]],CS3SVComposerConfig!$B$3:$D$1808,3,FALSE)</f>
        <v>RebalancedSJR_AW_TW_DP.dss</v>
      </c>
      <c r="K284" s="10" t="s">
        <v>2212</v>
      </c>
      <c r="L284" s="10" t="s">
        <v>2224</v>
      </c>
      <c r="M284" s="10" t="s">
        <v>2224</v>
      </c>
      <c r="N284" s="10" t="s">
        <v>2225</v>
      </c>
      <c r="O284" s="10" t="s">
        <v>2226</v>
      </c>
      <c r="P284" s="39" t="s">
        <v>2227</v>
      </c>
    </row>
    <row r="285" spans="2:16" ht="18" customHeight="1" x14ac:dyDescent="0.25">
      <c r="B285" s="21" t="s">
        <v>0</v>
      </c>
      <c r="C285" s="22" t="s">
        <v>588</v>
      </c>
      <c r="D285" s="22" t="s">
        <v>18</v>
      </c>
      <c r="E285" s="21" t="s">
        <v>2222</v>
      </c>
      <c r="F285" s="23" t="s">
        <v>3</v>
      </c>
      <c r="G285" s="23" t="s">
        <v>4</v>
      </c>
      <c r="H285" s="21" t="str">
        <f t="shared" si="4"/>
        <v>AWR_71_PA7/APPLIED-WATER</v>
      </c>
      <c r="I285" s="24" t="s">
        <v>2223</v>
      </c>
      <c r="J285" s="10" t="str">
        <f>VLOOKUP(Table1[[#This Row],[UID]],CS3SVComposerConfig!$B$3:$D$1808,3,FALSE)</f>
        <v>RebalancedSJR_AW_TW_DP.dss</v>
      </c>
      <c r="K285" s="10" t="s">
        <v>2212</v>
      </c>
      <c r="L285" s="10" t="s">
        <v>2224</v>
      </c>
      <c r="M285" s="10" t="s">
        <v>2224</v>
      </c>
      <c r="N285" s="10" t="s">
        <v>2225</v>
      </c>
      <c r="O285" s="10" t="s">
        <v>2226</v>
      </c>
      <c r="P285" s="39" t="s">
        <v>2227</v>
      </c>
    </row>
    <row r="286" spans="2:16" ht="18" customHeight="1" x14ac:dyDescent="0.25">
      <c r="B286" s="21" t="s">
        <v>0</v>
      </c>
      <c r="C286" s="22" t="s">
        <v>589</v>
      </c>
      <c r="D286" s="22" t="s">
        <v>18</v>
      </c>
      <c r="E286" s="21" t="s">
        <v>2222</v>
      </c>
      <c r="F286" s="23" t="s">
        <v>3</v>
      </c>
      <c r="G286" s="23" t="s">
        <v>4</v>
      </c>
      <c r="H286" s="21" t="str">
        <f t="shared" si="4"/>
        <v>AWR_71_PA8/APPLIED-WATER</v>
      </c>
      <c r="I286" s="24" t="s">
        <v>2223</v>
      </c>
      <c r="J286" s="10" t="str">
        <f>VLOOKUP(Table1[[#This Row],[UID]],CS3SVComposerConfig!$B$3:$D$1808,3,FALSE)</f>
        <v>RebalancedSJR_AW_TW_DP.dss</v>
      </c>
      <c r="K286" s="10" t="s">
        <v>2212</v>
      </c>
      <c r="L286" s="10" t="s">
        <v>2224</v>
      </c>
      <c r="M286" s="10" t="s">
        <v>2224</v>
      </c>
      <c r="N286" s="10" t="s">
        <v>2225</v>
      </c>
      <c r="O286" s="10" t="s">
        <v>2226</v>
      </c>
      <c r="P286" s="39" t="s">
        <v>2227</v>
      </c>
    </row>
    <row r="287" spans="2:16" ht="18" customHeight="1" x14ac:dyDescent="0.25">
      <c r="B287" s="21" t="s">
        <v>0</v>
      </c>
      <c r="C287" s="22" t="s">
        <v>590</v>
      </c>
      <c r="D287" s="22" t="s">
        <v>18</v>
      </c>
      <c r="E287" s="21" t="s">
        <v>2222</v>
      </c>
      <c r="F287" s="23" t="s">
        <v>3</v>
      </c>
      <c r="G287" s="23" t="s">
        <v>4</v>
      </c>
      <c r="H287" s="21" t="str">
        <f t="shared" si="4"/>
        <v>AWR_72_NA1/APPLIED-WATER</v>
      </c>
      <c r="I287" s="24" t="s">
        <v>2223</v>
      </c>
      <c r="J287" s="10" t="str">
        <f>VLOOKUP(Table1[[#This Row],[UID]],CS3SVComposerConfig!$B$3:$D$1808,3,FALSE)</f>
        <v>CS3L2015V0Hydro_SV.dss</v>
      </c>
      <c r="K287" s="10" t="s">
        <v>2212</v>
      </c>
      <c r="L287" s="10" t="s">
        <v>2224</v>
      </c>
      <c r="M287" s="10" t="s">
        <v>2224</v>
      </c>
      <c r="N287" s="10" t="s">
        <v>2225</v>
      </c>
      <c r="O287" s="10" t="s">
        <v>2226</v>
      </c>
      <c r="P287" s="39" t="s">
        <v>2227</v>
      </c>
    </row>
    <row r="288" spans="2:16" ht="18" customHeight="1" x14ac:dyDescent="0.25">
      <c r="B288" s="21" t="s">
        <v>0</v>
      </c>
      <c r="C288" s="22" t="s">
        <v>591</v>
      </c>
      <c r="D288" s="22" t="s">
        <v>18</v>
      </c>
      <c r="E288" s="21" t="s">
        <v>2222</v>
      </c>
      <c r="F288" s="23" t="s">
        <v>3</v>
      </c>
      <c r="G288" s="23" t="s">
        <v>4</v>
      </c>
      <c r="H288" s="21" t="str">
        <f t="shared" si="4"/>
        <v>AWR_72_NA2/APPLIED-WATER</v>
      </c>
      <c r="I288" s="24" t="s">
        <v>2223</v>
      </c>
      <c r="J288" s="10" t="str">
        <f>VLOOKUP(Table1[[#This Row],[UID]],CS3SVComposerConfig!$B$3:$D$1808,3,FALSE)</f>
        <v>CS3L2015V0Hydro_SV.dss</v>
      </c>
      <c r="K288" s="10" t="s">
        <v>2212</v>
      </c>
      <c r="L288" s="10" t="s">
        <v>2212</v>
      </c>
      <c r="M288" s="10" t="s">
        <v>2224</v>
      </c>
      <c r="N288" s="10" t="s">
        <v>2225</v>
      </c>
      <c r="O288" s="10" t="s">
        <v>2226</v>
      </c>
      <c r="P288" s="39" t="s">
        <v>2227</v>
      </c>
    </row>
    <row r="289" spans="2:16" ht="18" customHeight="1" x14ac:dyDescent="0.25">
      <c r="B289" s="21" t="s">
        <v>0</v>
      </c>
      <c r="C289" s="22" t="s">
        <v>592</v>
      </c>
      <c r="D289" s="22" t="s">
        <v>18</v>
      </c>
      <c r="E289" s="21" t="s">
        <v>2222</v>
      </c>
      <c r="F289" s="23" t="s">
        <v>3</v>
      </c>
      <c r="G289" s="23" t="s">
        <v>4</v>
      </c>
      <c r="H289" s="21" t="str">
        <f t="shared" si="4"/>
        <v>AWR_72_PA/APPLIED-WATER</v>
      </c>
      <c r="I289" s="24" t="s">
        <v>2223</v>
      </c>
      <c r="J289" s="10" t="str">
        <f>VLOOKUP(Table1[[#This Row],[UID]],CS3SVComposerConfig!$B$3:$D$1808,3,FALSE)</f>
        <v>RebalancedSJR_AW_TW_DP.dss</v>
      </c>
      <c r="K289" s="10" t="s">
        <v>2212</v>
      </c>
      <c r="L289" s="10" t="s">
        <v>2224</v>
      </c>
      <c r="M289" s="10" t="s">
        <v>2224</v>
      </c>
      <c r="N289" s="10" t="s">
        <v>2225</v>
      </c>
      <c r="O289" s="10" t="s">
        <v>2226</v>
      </c>
      <c r="P289" s="39" t="s">
        <v>2227</v>
      </c>
    </row>
    <row r="290" spans="2:16" ht="18" customHeight="1" x14ac:dyDescent="0.25">
      <c r="B290" s="21" t="s">
        <v>0</v>
      </c>
      <c r="C290" s="22" t="s">
        <v>593</v>
      </c>
      <c r="D290" s="22" t="s">
        <v>18</v>
      </c>
      <c r="E290" s="21" t="s">
        <v>2222</v>
      </c>
      <c r="F290" s="23" t="s">
        <v>3</v>
      </c>
      <c r="G290" s="23" t="s">
        <v>4</v>
      </c>
      <c r="H290" s="21" t="str">
        <f t="shared" si="4"/>
        <v>AWR_72_PR1/APPLIED-WATER</v>
      </c>
      <c r="I290" s="24" t="s">
        <v>2223</v>
      </c>
      <c r="J290" s="10" t="str">
        <f>VLOOKUP(Table1[[#This Row],[UID]],CS3SVComposerConfig!$B$3:$D$1808,3,FALSE)</f>
        <v>RebalancedSJR_AW_TW_DP.dss</v>
      </c>
      <c r="K290" s="10" t="s">
        <v>2212</v>
      </c>
      <c r="L290" s="10" t="s">
        <v>2224</v>
      </c>
      <c r="M290" s="10" t="s">
        <v>2224</v>
      </c>
      <c r="N290" s="10" t="s">
        <v>2225</v>
      </c>
      <c r="O290" s="10" t="s">
        <v>2226</v>
      </c>
      <c r="P290" s="39" t="s">
        <v>2227</v>
      </c>
    </row>
    <row r="291" spans="2:16" ht="18" customHeight="1" x14ac:dyDescent="0.25">
      <c r="B291" s="21" t="s">
        <v>0</v>
      </c>
      <c r="C291" s="22" t="s">
        <v>594</v>
      </c>
      <c r="D291" s="22" t="s">
        <v>18</v>
      </c>
      <c r="E291" s="21" t="s">
        <v>2222</v>
      </c>
      <c r="F291" s="23" t="s">
        <v>3</v>
      </c>
      <c r="G291" s="23" t="s">
        <v>4</v>
      </c>
      <c r="H291" s="21" t="str">
        <f t="shared" si="4"/>
        <v>AWR_72_PR2/APPLIED-WATER</v>
      </c>
      <c r="I291" s="24" t="s">
        <v>2223</v>
      </c>
      <c r="J291" s="10" t="str">
        <f>VLOOKUP(Table1[[#This Row],[UID]],CS3SVComposerConfig!$B$3:$D$1808,3,FALSE)</f>
        <v>RebalancedSJR_AW_TW_DP.dss</v>
      </c>
      <c r="K291" s="10" t="s">
        <v>2212</v>
      </c>
      <c r="L291" s="10" t="s">
        <v>2224</v>
      </c>
      <c r="M291" s="10" t="s">
        <v>2224</v>
      </c>
      <c r="N291" s="10" t="s">
        <v>2225</v>
      </c>
      <c r="O291" s="10" t="s">
        <v>2226</v>
      </c>
      <c r="P291" s="39" t="s">
        <v>2227</v>
      </c>
    </row>
    <row r="292" spans="2:16" ht="18" customHeight="1" x14ac:dyDescent="0.25">
      <c r="B292" s="21" t="s">
        <v>0</v>
      </c>
      <c r="C292" s="22" t="s">
        <v>595</v>
      </c>
      <c r="D292" s="22" t="s">
        <v>18</v>
      </c>
      <c r="E292" s="21" t="s">
        <v>2222</v>
      </c>
      <c r="F292" s="23" t="s">
        <v>3</v>
      </c>
      <c r="G292" s="23" t="s">
        <v>4</v>
      </c>
      <c r="H292" s="21" t="str">
        <f t="shared" si="4"/>
        <v>AWR_72_PR3/APPLIED-WATER</v>
      </c>
      <c r="I292" s="24" t="s">
        <v>2223</v>
      </c>
      <c r="J292" s="10" t="str">
        <f>VLOOKUP(Table1[[#This Row],[UID]],CS3SVComposerConfig!$B$3:$D$1808,3,FALSE)</f>
        <v>RebalancedSJR_AW_TW_DP.dss</v>
      </c>
      <c r="K292" s="10" t="s">
        <v>2212</v>
      </c>
      <c r="L292" s="10" t="s">
        <v>2224</v>
      </c>
      <c r="M292" s="10" t="s">
        <v>2224</v>
      </c>
      <c r="N292" s="10" t="s">
        <v>2225</v>
      </c>
      <c r="O292" s="10" t="s">
        <v>2226</v>
      </c>
      <c r="P292" s="39" t="s">
        <v>2227</v>
      </c>
    </row>
    <row r="293" spans="2:16" ht="18" customHeight="1" x14ac:dyDescent="0.25">
      <c r="B293" s="21" t="s">
        <v>0</v>
      </c>
      <c r="C293" s="22" t="s">
        <v>596</v>
      </c>
      <c r="D293" s="22" t="s">
        <v>18</v>
      </c>
      <c r="E293" s="21" t="s">
        <v>2222</v>
      </c>
      <c r="F293" s="23" t="s">
        <v>3</v>
      </c>
      <c r="G293" s="23" t="s">
        <v>4</v>
      </c>
      <c r="H293" s="21" t="str">
        <f t="shared" si="4"/>
        <v>AWR_72_PR4/APPLIED-WATER</v>
      </c>
      <c r="I293" s="24" t="s">
        <v>2223</v>
      </c>
      <c r="J293" s="10" t="str">
        <f>VLOOKUP(Table1[[#This Row],[UID]],CS3SVComposerConfig!$B$3:$D$1808,3,FALSE)</f>
        <v>RebalancedSJR_AW_TW_DP.dss</v>
      </c>
      <c r="K293" s="10" t="s">
        <v>2212</v>
      </c>
      <c r="L293" s="10" t="s">
        <v>2224</v>
      </c>
      <c r="M293" s="10" t="s">
        <v>2224</v>
      </c>
      <c r="N293" s="10" t="s">
        <v>2225</v>
      </c>
      <c r="O293" s="10" t="s">
        <v>2226</v>
      </c>
      <c r="P293" s="39" t="s">
        <v>2227</v>
      </c>
    </row>
    <row r="294" spans="2:16" ht="18" customHeight="1" x14ac:dyDescent="0.25">
      <c r="B294" s="21" t="s">
        <v>0</v>
      </c>
      <c r="C294" s="22" t="s">
        <v>597</v>
      </c>
      <c r="D294" s="22" t="s">
        <v>18</v>
      </c>
      <c r="E294" s="21" t="s">
        <v>2222</v>
      </c>
      <c r="F294" s="23" t="s">
        <v>3</v>
      </c>
      <c r="G294" s="23" t="s">
        <v>4</v>
      </c>
      <c r="H294" s="21" t="str">
        <f t="shared" si="4"/>
        <v>AWR_72_PR5/APPLIED-WATER</v>
      </c>
      <c r="I294" s="24" t="s">
        <v>2223</v>
      </c>
      <c r="J294" s="10" t="str">
        <f>VLOOKUP(Table1[[#This Row],[UID]],CS3SVComposerConfig!$B$3:$D$1808,3,FALSE)</f>
        <v>RebalancedSJR_AW_TW_DP.dss</v>
      </c>
      <c r="K294" s="10" t="s">
        <v>2212</v>
      </c>
      <c r="L294" s="10" t="s">
        <v>2224</v>
      </c>
      <c r="M294" s="10" t="s">
        <v>2224</v>
      </c>
      <c r="N294" s="10" t="s">
        <v>2225</v>
      </c>
      <c r="O294" s="10" t="s">
        <v>2226</v>
      </c>
      <c r="P294" s="39" t="s">
        <v>2227</v>
      </c>
    </row>
    <row r="295" spans="2:16" ht="18" customHeight="1" x14ac:dyDescent="0.25">
      <c r="B295" s="21" t="s">
        <v>0</v>
      </c>
      <c r="C295" s="22" t="s">
        <v>598</v>
      </c>
      <c r="D295" s="22" t="s">
        <v>18</v>
      </c>
      <c r="E295" s="21" t="s">
        <v>2222</v>
      </c>
      <c r="F295" s="23" t="s">
        <v>3</v>
      </c>
      <c r="G295" s="23" t="s">
        <v>4</v>
      </c>
      <c r="H295" s="21" t="str">
        <f t="shared" si="4"/>
        <v>AWR_72_PR6/APPLIED-WATER</v>
      </c>
      <c r="I295" s="24" t="s">
        <v>2223</v>
      </c>
      <c r="J295" s="10" t="str">
        <f>VLOOKUP(Table1[[#This Row],[UID]],CS3SVComposerConfig!$B$3:$D$1808,3,FALSE)</f>
        <v>RebalancedSJR_AW_TW_DP.dss</v>
      </c>
      <c r="K295" s="10" t="s">
        <v>2212</v>
      </c>
      <c r="L295" s="10" t="s">
        <v>2224</v>
      </c>
      <c r="M295" s="10" t="s">
        <v>2224</v>
      </c>
      <c r="N295" s="10" t="s">
        <v>2225</v>
      </c>
      <c r="O295" s="10" t="s">
        <v>2226</v>
      </c>
      <c r="P295" s="39" t="s">
        <v>2227</v>
      </c>
    </row>
    <row r="296" spans="2:16" ht="18" customHeight="1" x14ac:dyDescent="0.25">
      <c r="B296" s="21" t="s">
        <v>0</v>
      </c>
      <c r="C296" s="22" t="s">
        <v>599</v>
      </c>
      <c r="D296" s="22" t="s">
        <v>18</v>
      </c>
      <c r="E296" s="21" t="s">
        <v>2222</v>
      </c>
      <c r="F296" s="23" t="s">
        <v>3</v>
      </c>
      <c r="G296" s="23" t="s">
        <v>4</v>
      </c>
      <c r="H296" s="21" t="str">
        <f t="shared" si="4"/>
        <v>AWR_72_XA1/APPLIED-WATER</v>
      </c>
      <c r="I296" s="24" t="s">
        <v>2223</v>
      </c>
      <c r="J296" s="10" t="str">
        <f>VLOOKUP(Table1[[#This Row],[UID]],CS3SVComposerConfig!$B$3:$D$1808,3,FALSE)</f>
        <v>RebalancedSJR_AW_TW_DP.dss</v>
      </c>
      <c r="K296" s="10" t="s">
        <v>2212</v>
      </c>
      <c r="L296" s="10" t="s">
        <v>2224</v>
      </c>
      <c r="M296" s="10" t="s">
        <v>2224</v>
      </c>
      <c r="N296" s="10" t="s">
        <v>2225</v>
      </c>
      <c r="O296" s="10" t="s">
        <v>2226</v>
      </c>
      <c r="P296" s="39" t="s">
        <v>2227</v>
      </c>
    </row>
    <row r="297" spans="2:16" ht="18" customHeight="1" x14ac:dyDescent="0.25">
      <c r="B297" s="21" t="s">
        <v>0</v>
      </c>
      <c r="C297" s="22" t="s">
        <v>600</v>
      </c>
      <c r="D297" s="22" t="s">
        <v>18</v>
      </c>
      <c r="E297" s="21" t="s">
        <v>2222</v>
      </c>
      <c r="F297" s="23" t="s">
        <v>3</v>
      </c>
      <c r="G297" s="23" t="s">
        <v>4</v>
      </c>
      <c r="H297" s="21" t="str">
        <f t="shared" si="4"/>
        <v>AWR_72_XA2/APPLIED-WATER</v>
      </c>
      <c r="I297" s="24" t="s">
        <v>2223</v>
      </c>
      <c r="J297" s="10" t="str">
        <f>VLOOKUP(Table1[[#This Row],[UID]],CS3SVComposerConfig!$B$3:$D$1808,3,FALSE)</f>
        <v>RebalancedSJR_AW_TW_DP.dss</v>
      </c>
      <c r="K297" s="10" t="s">
        <v>2212</v>
      </c>
      <c r="L297" s="10" t="s">
        <v>2212</v>
      </c>
      <c r="M297" s="10" t="s">
        <v>2224</v>
      </c>
      <c r="N297" s="10" t="s">
        <v>2225</v>
      </c>
      <c r="O297" s="10" t="s">
        <v>2226</v>
      </c>
      <c r="P297" s="39" t="s">
        <v>2227</v>
      </c>
    </row>
    <row r="298" spans="2:16" ht="18" customHeight="1" x14ac:dyDescent="0.25">
      <c r="B298" s="21" t="s">
        <v>0</v>
      </c>
      <c r="C298" s="22" t="s">
        <v>601</v>
      </c>
      <c r="D298" s="22" t="s">
        <v>18</v>
      </c>
      <c r="E298" s="21" t="s">
        <v>2222</v>
      </c>
      <c r="F298" s="23" t="s">
        <v>3</v>
      </c>
      <c r="G298" s="23" t="s">
        <v>4</v>
      </c>
      <c r="H298" s="21" t="str">
        <f t="shared" si="4"/>
        <v>AWR_72_XA3/APPLIED-WATER</v>
      </c>
      <c r="I298" s="24" t="s">
        <v>2223</v>
      </c>
      <c r="J298" s="10" t="str">
        <f>VLOOKUP(Table1[[#This Row],[UID]],CS3SVComposerConfig!$B$3:$D$1808,3,FALSE)</f>
        <v>RebalancedSJR_AW_TW_DP.dss</v>
      </c>
      <c r="K298" s="10" t="s">
        <v>2212</v>
      </c>
      <c r="L298" s="10" t="s">
        <v>2224</v>
      </c>
      <c r="M298" s="10" t="s">
        <v>2224</v>
      </c>
      <c r="N298" s="10" t="s">
        <v>2225</v>
      </c>
      <c r="O298" s="10" t="s">
        <v>2226</v>
      </c>
      <c r="P298" s="39" t="s">
        <v>2227</v>
      </c>
    </row>
    <row r="299" spans="2:16" ht="18" customHeight="1" x14ac:dyDescent="0.25">
      <c r="B299" s="21" t="s">
        <v>0</v>
      </c>
      <c r="C299" s="22" t="s">
        <v>602</v>
      </c>
      <c r="D299" s="22" t="s">
        <v>18</v>
      </c>
      <c r="E299" s="21" t="s">
        <v>2222</v>
      </c>
      <c r="F299" s="23" t="s">
        <v>3</v>
      </c>
      <c r="G299" s="23" t="s">
        <v>4</v>
      </c>
      <c r="H299" s="21" t="str">
        <f t="shared" si="4"/>
        <v>AWR_73_NA/APPLIED-WATER</v>
      </c>
      <c r="I299" s="24" t="s">
        <v>2223</v>
      </c>
      <c r="J299" s="10" t="str">
        <f>VLOOKUP(Table1[[#This Row],[UID]],CS3SVComposerConfig!$B$3:$D$1808,3,FALSE)</f>
        <v>CS3L2015V0Hydro_SV.dss</v>
      </c>
      <c r="K299" s="10" t="s">
        <v>2212</v>
      </c>
      <c r="L299" s="10" t="s">
        <v>2212</v>
      </c>
      <c r="M299" s="10" t="s">
        <v>2224</v>
      </c>
      <c r="N299" s="10" t="s">
        <v>2225</v>
      </c>
      <c r="O299" s="10" t="s">
        <v>2226</v>
      </c>
      <c r="P299" s="39" t="s">
        <v>2227</v>
      </c>
    </row>
    <row r="300" spans="2:16" ht="18" customHeight="1" x14ac:dyDescent="0.25">
      <c r="B300" s="21" t="s">
        <v>0</v>
      </c>
      <c r="C300" s="22" t="s">
        <v>603</v>
      </c>
      <c r="D300" s="22" t="s">
        <v>18</v>
      </c>
      <c r="E300" s="21" t="s">
        <v>2222</v>
      </c>
      <c r="F300" s="23" t="s">
        <v>3</v>
      </c>
      <c r="G300" s="23" t="s">
        <v>4</v>
      </c>
      <c r="H300" s="21" t="str">
        <f t="shared" si="4"/>
        <v>AWR_73_PA1/APPLIED-WATER</v>
      </c>
      <c r="I300" s="24" t="s">
        <v>2223</v>
      </c>
      <c r="J300" s="10" t="str">
        <f>VLOOKUP(Table1[[#This Row],[UID]],CS3SVComposerConfig!$B$3:$D$1808,3,FALSE)</f>
        <v>RebalancedSJR_AW_TW_DP.dss</v>
      </c>
      <c r="K300" s="10" t="s">
        <v>2212</v>
      </c>
      <c r="L300" s="10" t="s">
        <v>2224</v>
      </c>
      <c r="M300" s="10" t="s">
        <v>2224</v>
      </c>
      <c r="N300" s="10" t="s">
        <v>2225</v>
      </c>
      <c r="O300" s="10" t="s">
        <v>2226</v>
      </c>
      <c r="P300" s="39" t="s">
        <v>2227</v>
      </c>
    </row>
    <row r="301" spans="2:16" ht="18" customHeight="1" x14ac:dyDescent="0.25">
      <c r="B301" s="21" t="s">
        <v>0</v>
      </c>
      <c r="C301" s="22" t="s">
        <v>604</v>
      </c>
      <c r="D301" s="22" t="s">
        <v>18</v>
      </c>
      <c r="E301" s="21" t="s">
        <v>2222</v>
      </c>
      <c r="F301" s="23" t="s">
        <v>3</v>
      </c>
      <c r="G301" s="23" t="s">
        <v>4</v>
      </c>
      <c r="H301" s="21" t="str">
        <f t="shared" si="4"/>
        <v>AWR_73_PA2/APPLIED-WATER</v>
      </c>
      <c r="I301" s="24" t="s">
        <v>2223</v>
      </c>
      <c r="J301" s="10" t="str">
        <f>VLOOKUP(Table1[[#This Row],[UID]],CS3SVComposerConfig!$B$3:$D$1808,3,FALSE)</f>
        <v>RebalancedSJR_AW_TW_DP.dss</v>
      </c>
      <c r="K301" s="10" t="s">
        <v>2212</v>
      </c>
      <c r="L301" s="10" t="s">
        <v>2212</v>
      </c>
      <c r="M301" s="10" t="s">
        <v>2224</v>
      </c>
      <c r="N301" s="10" t="s">
        <v>2225</v>
      </c>
      <c r="O301" s="10" t="s">
        <v>2226</v>
      </c>
      <c r="P301" s="39" t="s">
        <v>2227</v>
      </c>
    </row>
    <row r="302" spans="2:16" ht="18" customHeight="1" x14ac:dyDescent="0.25">
      <c r="B302" s="21" t="s">
        <v>0</v>
      </c>
      <c r="C302" s="22" t="s">
        <v>605</v>
      </c>
      <c r="D302" s="22" t="s">
        <v>18</v>
      </c>
      <c r="E302" s="21" t="s">
        <v>2222</v>
      </c>
      <c r="F302" s="23" t="s">
        <v>3</v>
      </c>
      <c r="G302" s="23" t="s">
        <v>4</v>
      </c>
      <c r="H302" s="21" t="str">
        <f t="shared" si="4"/>
        <v>AWR_73_PA3/APPLIED-WATER</v>
      </c>
      <c r="I302" s="24" t="s">
        <v>2223</v>
      </c>
      <c r="J302" s="10" t="str">
        <f>VLOOKUP(Table1[[#This Row],[UID]],CS3SVComposerConfig!$B$3:$D$1808,3,FALSE)</f>
        <v>RebalancedSJR_AW_TW_DP.dss</v>
      </c>
      <c r="K302" s="10" t="s">
        <v>2212</v>
      </c>
      <c r="L302" s="10" t="s">
        <v>2224</v>
      </c>
      <c r="M302" s="10" t="s">
        <v>2224</v>
      </c>
      <c r="N302" s="10" t="s">
        <v>2225</v>
      </c>
      <c r="O302" s="10" t="s">
        <v>2226</v>
      </c>
      <c r="P302" s="39" t="s">
        <v>2227</v>
      </c>
    </row>
    <row r="303" spans="2:16" ht="18" customHeight="1" x14ac:dyDescent="0.25">
      <c r="B303" s="21" t="s">
        <v>0</v>
      </c>
      <c r="C303" s="22" t="s">
        <v>606</v>
      </c>
      <c r="D303" s="22" t="s">
        <v>18</v>
      </c>
      <c r="E303" s="21" t="s">
        <v>2222</v>
      </c>
      <c r="F303" s="23" t="s">
        <v>3</v>
      </c>
      <c r="G303" s="23" t="s">
        <v>4</v>
      </c>
      <c r="H303" s="21" t="str">
        <f t="shared" si="4"/>
        <v>AWR_73_XA/APPLIED-WATER</v>
      </c>
      <c r="I303" s="24" t="s">
        <v>2223</v>
      </c>
      <c r="J303" s="10" t="str">
        <f>VLOOKUP(Table1[[#This Row],[UID]],CS3SVComposerConfig!$B$3:$D$1808,3,FALSE)</f>
        <v>RebalancedSJR_AW_TW_DP.dss</v>
      </c>
      <c r="K303" s="10" t="s">
        <v>2212</v>
      </c>
      <c r="L303" s="10" t="s">
        <v>2212</v>
      </c>
      <c r="M303" s="10" t="s">
        <v>2224</v>
      </c>
      <c r="N303" s="10" t="s">
        <v>2225</v>
      </c>
      <c r="O303" s="10" t="s">
        <v>2226</v>
      </c>
      <c r="P303" s="39" t="s">
        <v>2227</v>
      </c>
    </row>
    <row r="304" spans="2:16" ht="18" customHeight="1" x14ac:dyDescent="0.25">
      <c r="B304" s="21" t="s">
        <v>0</v>
      </c>
      <c r="C304" s="22" t="s">
        <v>607</v>
      </c>
      <c r="D304" s="22" t="s">
        <v>18</v>
      </c>
      <c r="E304" s="21" t="s">
        <v>2222</v>
      </c>
      <c r="F304" s="23" t="s">
        <v>3</v>
      </c>
      <c r="G304" s="23" t="s">
        <v>4</v>
      </c>
      <c r="H304" s="21" t="str">
        <f t="shared" si="4"/>
        <v>AWR_90_NA/APPLIED-WATER</v>
      </c>
      <c r="I304" s="24" t="s">
        <v>2223</v>
      </c>
      <c r="J304" s="10" t="str">
        <f>VLOOKUP(Table1[[#This Row],[UID]],CS3SVComposerConfig!$B$3:$D$1808,3,FALSE)</f>
        <v>CS3L2015V0Hydro_SV.dss</v>
      </c>
      <c r="K304" s="10" t="s">
        <v>2212</v>
      </c>
      <c r="L304" s="10" t="s">
        <v>2224</v>
      </c>
      <c r="M304" s="10" t="s">
        <v>2224</v>
      </c>
      <c r="N304" s="10" t="s">
        <v>2225</v>
      </c>
      <c r="O304" s="10" t="s">
        <v>2226</v>
      </c>
      <c r="P304" s="39" t="s">
        <v>2227</v>
      </c>
    </row>
    <row r="305" spans="2:16" ht="18" customHeight="1" x14ac:dyDescent="0.25">
      <c r="B305" s="21" t="s">
        <v>0</v>
      </c>
      <c r="C305" s="22" t="s">
        <v>608</v>
      </c>
      <c r="D305" s="22" t="s">
        <v>18</v>
      </c>
      <c r="E305" s="21" t="s">
        <v>2222</v>
      </c>
      <c r="F305" s="23" t="s">
        <v>3</v>
      </c>
      <c r="G305" s="23" t="s">
        <v>4</v>
      </c>
      <c r="H305" s="21" t="str">
        <f t="shared" si="4"/>
        <v>AWR_90_PA1/APPLIED-WATER</v>
      </c>
      <c r="I305" s="24" t="s">
        <v>2223</v>
      </c>
      <c r="J305" s="10" t="str">
        <f>VLOOKUP(Table1[[#This Row],[UID]],CS3SVComposerConfig!$B$3:$D$1808,3,FALSE)</f>
        <v>RebalancedSJR_AW_TW_DP.dss</v>
      </c>
      <c r="K305" s="10" t="s">
        <v>2212</v>
      </c>
      <c r="L305" s="10" t="s">
        <v>2224</v>
      </c>
      <c r="M305" s="10" t="s">
        <v>2224</v>
      </c>
      <c r="N305" s="10" t="s">
        <v>2225</v>
      </c>
      <c r="O305" s="10" t="s">
        <v>2226</v>
      </c>
      <c r="P305" s="39" t="s">
        <v>2227</v>
      </c>
    </row>
    <row r="306" spans="2:16" ht="18" customHeight="1" x14ac:dyDescent="0.25">
      <c r="B306" s="21" t="s">
        <v>0</v>
      </c>
      <c r="C306" s="22" t="s">
        <v>609</v>
      </c>
      <c r="D306" s="22" t="s">
        <v>18</v>
      </c>
      <c r="E306" s="21" t="s">
        <v>2222</v>
      </c>
      <c r="F306" s="23" t="s">
        <v>3</v>
      </c>
      <c r="G306" s="23" t="s">
        <v>4</v>
      </c>
      <c r="H306" s="21" t="str">
        <f t="shared" si="4"/>
        <v>AWR_90_PA2/APPLIED-WATER</v>
      </c>
      <c r="I306" s="24" t="s">
        <v>2223</v>
      </c>
      <c r="J306" s="10" t="str">
        <f>VLOOKUP(Table1[[#This Row],[UID]],CS3SVComposerConfig!$B$3:$D$1808,3,FALSE)</f>
        <v>RebalancedSJR_AW_TW_DP.dss</v>
      </c>
      <c r="K306" s="10" t="s">
        <v>2212</v>
      </c>
      <c r="L306" s="10" t="s">
        <v>2224</v>
      </c>
      <c r="M306" s="10" t="s">
        <v>2224</v>
      </c>
      <c r="N306" s="10" t="s">
        <v>2225</v>
      </c>
      <c r="O306" s="10" t="s">
        <v>2226</v>
      </c>
      <c r="P306" s="39" t="s">
        <v>2227</v>
      </c>
    </row>
    <row r="307" spans="2:16" ht="18" customHeight="1" x14ac:dyDescent="0.25">
      <c r="B307" s="21" t="s">
        <v>0</v>
      </c>
      <c r="C307" s="22" t="s">
        <v>610</v>
      </c>
      <c r="D307" s="22" t="s">
        <v>18</v>
      </c>
      <c r="E307" s="21" t="s">
        <v>2222</v>
      </c>
      <c r="F307" s="23" t="s">
        <v>3</v>
      </c>
      <c r="G307" s="23" t="s">
        <v>4</v>
      </c>
      <c r="H307" s="21" t="str">
        <f t="shared" si="4"/>
        <v>AWR_91_PA/APPLIED-WATER</v>
      </c>
      <c r="I307" s="24" t="s">
        <v>2223</v>
      </c>
      <c r="J307" s="10" t="str">
        <f>VLOOKUP(Table1[[#This Row],[UID]],CS3SVComposerConfig!$B$3:$D$1808,3,FALSE)</f>
        <v>RebalancedSJR_AW_TW_DP.dss</v>
      </c>
      <c r="K307" s="10" t="s">
        <v>2212</v>
      </c>
      <c r="L307" s="10" t="s">
        <v>2224</v>
      </c>
      <c r="M307" s="10" t="s">
        <v>2224</v>
      </c>
      <c r="N307" s="10" t="s">
        <v>2225</v>
      </c>
      <c r="O307" s="10" t="s">
        <v>2226</v>
      </c>
      <c r="P307" s="39" t="s">
        <v>2227</v>
      </c>
    </row>
    <row r="308" spans="2:16" ht="18" customHeight="1" x14ac:dyDescent="0.25">
      <c r="B308" s="21" t="s">
        <v>0</v>
      </c>
      <c r="C308" s="22" t="s">
        <v>611</v>
      </c>
      <c r="D308" s="22" t="s">
        <v>18</v>
      </c>
      <c r="E308" s="21" t="s">
        <v>2222</v>
      </c>
      <c r="F308" s="23" t="s">
        <v>3</v>
      </c>
      <c r="G308" s="23" t="s">
        <v>4</v>
      </c>
      <c r="H308" s="21" t="str">
        <f t="shared" si="4"/>
        <v>AWR_91_PR/APPLIED-WATER</v>
      </c>
      <c r="I308" s="24" t="s">
        <v>2223</v>
      </c>
      <c r="J308" s="10" t="str">
        <f>VLOOKUP(Table1[[#This Row],[UID]],CS3SVComposerConfig!$B$3:$D$1808,3,FALSE)</f>
        <v>RebalancedSJR_AW_TW_DP.dss</v>
      </c>
      <c r="K308" s="10" t="s">
        <v>2212</v>
      </c>
      <c r="L308" s="10" t="s">
        <v>2224</v>
      </c>
      <c r="M308" s="10" t="s">
        <v>2224</v>
      </c>
      <c r="N308" s="10" t="s">
        <v>2225</v>
      </c>
      <c r="O308" s="10" t="s">
        <v>2226</v>
      </c>
      <c r="P308" s="39" t="s">
        <v>2227</v>
      </c>
    </row>
    <row r="309" spans="2:16" ht="18" customHeight="1" x14ac:dyDescent="0.25">
      <c r="B309" s="21" t="s">
        <v>0</v>
      </c>
      <c r="C309" s="22" t="s">
        <v>612</v>
      </c>
      <c r="D309" s="22" t="s">
        <v>18</v>
      </c>
      <c r="E309" s="21" t="s">
        <v>2222</v>
      </c>
      <c r="F309" s="23" t="s">
        <v>3</v>
      </c>
      <c r="G309" s="23" t="s">
        <v>4</v>
      </c>
      <c r="H309" s="21" t="str">
        <f t="shared" si="4"/>
        <v>AWW_05_NA/APPLIED-WATER</v>
      </c>
      <c r="I309" s="24" t="s">
        <v>2223</v>
      </c>
      <c r="J309" s="10" t="str">
        <f>VLOOKUP(Table1[[#This Row],[UID]],CS3SVComposerConfig!$B$3:$D$1808,3,FALSE)</f>
        <v>CS3L2015V0Hydro_SV.dss</v>
      </c>
      <c r="K309" s="10" t="s">
        <v>2212</v>
      </c>
      <c r="L309" s="10" t="s">
        <v>2212</v>
      </c>
      <c r="M309" s="10" t="s">
        <v>2224</v>
      </c>
      <c r="N309" s="10" t="s">
        <v>2225</v>
      </c>
      <c r="O309" s="10" t="s">
        <v>2226</v>
      </c>
      <c r="P309" s="39" t="s">
        <v>2227</v>
      </c>
    </row>
    <row r="310" spans="2:16" ht="18" customHeight="1" x14ac:dyDescent="0.25">
      <c r="B310" s="21" t="s">
        <v>0</v>
      </c>
      <c r="C310" s="22" t="s">
        <v>613</v>
      </c>
      <c r="D310" s="22" t="s">
        <v>18</v>
      </c>
      <c r="E310" s="21" t="s">
        <v>2222</v>
      </c>
      <c r="F310" s="23" t="s">
        <v>3</v>
      </c>
      <c r="G310" s="23" t="s">
        <v>4</v>
      </c>
      <c r="H310" s="21" t="str">
        <f t="shared" si="4"/>
        <v>AWW_08N_PA/APPLIED-WATER</v>
      </c>
      <c r="I310" s="24" t="s">
        <v>2223</v>
      </c>
      <c r="J310" s="10" t="str">
        <f>VLOOKUP(Table1[[#This Row],[UID]],CS3SVComposerConfig!$B$3:$D$1808,3,FALSE)</f>
        <v>CS3L2015V0Hydro_SV.dss</v>
      </c>
      <c r="K310" s="10" t="s">
        <v>2212</v>
      </c>
      <c r="L310" s="10" t="s">
        <v>2212</v>
      </c>
      <c r="M310" s="10" t="s">
        <v>2224</v>
      </c>
      <c r="N310" s="10" t="s">
        <v>2225</v>
      </c>
      <c r="O310" s="10" t="s">
        <v>2226</v>
      </c>
      <c r="P310" s="39" t="s">
        <v>2227</v>
      </c>
    </row>
    <row r="311" spans="2:16" ht="18" customHeight="1" x14ac:dyDescent="0.25">
      <c r="B311" s="21" t="s">
        <v>0</v>
      </c>
      <c r="C311" s="22" t="s">
        <v>614</v>
      </c>
      <c r="D311" s="22" t="s">
        <v>18</v>
      </c>
      <c r="E311" s="21" t="s">
        <v>2222</v>
      </c>
      <c r="F311" s="23" t="s">
        <v>3</v>
      </c>
      <c r="G311" s="23" t="s">
        <v>4</v>
      </c>
      <c r="H311" s="21" t="str">
        <f t="shared" si="4"/>
        <v>AWW_08N_PR1/APPLIED-WATER</v>
      </c>
      <c r="I311" s="24" t="s">
        <v>2223</v>
      </c>
      <c r="J311" s="10" t="str">
        <f>VLOOKUP(Table1[[#This Row],[UID]],CS3SVComposerConfig!$B$3:$D$1808,3,FALSE)</f>
        <v>CS3L2015V0Hydro_SV.dss</v>
      </c>
      <c r="K311" s="10" t="s">
        <v>2212</v>
      </c>
      <c r="L311" s="10" t="s">
        <v>2212</v>
      </c>
      <c r="M311" s="10" t="s">
        <v>2224</v>
      </c>
      <c r="N311" s="10" t="s">
        <v>2225</v>
      </c>
      <c r="O311" s="10" t="s">
        <v>2226</v>
      </c>
      <c r="P311" s="39" t="s">
        <v>2227</v>
      </c>
    </row>
    <row r="312" spans="2:16" ht="18" customHeight="1" x14ac:dyDescent="0.25">
      <c r="B312" s="21" t="s">
        <v>0</v>
      </c>
      <c r="C312" s="22" t="s">
        <v>615</v>
      </c>
      <c r="D312" s="22" t="s">
        <v>18</v>
      </c>
      <c r="E312" s="21" t="s">
        <v>2222</v>
      </c>
      <c r="F312" s="23" t="s">
        <v>3</v>
      </c>
      <c r="G312" s="23" t="s">
        <v>4</v>
      </c>
      <c r="H312" s="21" t="str">
        <f t="shared" si="4"/>
        <v>AWW_08N_PR2/APPLIED-WATER</v>
      </c>
      <c r="I312" s="24" t="s">
        <v>2223</v>
      </c>
      <c r="J312" s="10" t="str">
        <f>VLOOKUP(Table1[[#This Row],[UID]],CS3SVComposerConfig!$B$3:$D$1808,3,FALSE)</f>
        <v>CS3L2015V0Hydro_SV.dss</v>
      </c>
      <c r="K312" s="10" t="s">
        <v>2212</v>
      </c>
      <c r="L312" s="10" t="s">
        <v>2212</v>
      </c>
      <c r="M312" s="10" t="s">
        <v>2224</v>
      </c>
      <c r="N312" s="10" t="s">
        <v>2225</v>
      </c>
      <c r="O312" s="10" t="s">
        <v>2226</v>
      </c>
      <c r="P312" s="39" t="s">
        <v>2227</v>
      </c>
    </row>
    <row r="313" spans="2:16" ht="18" customHeight="1" x14ac:dyDescent="0.25">
      <c r="B313" s="21" t="s">
        <v>0</v>
      </c>
      <c r="C313" s="22" t="s">
        <v>616</v>
      </c>
      <c r="D313" s="22" t="s">
        <v>18</v>
      </c>
      <c r="E313" s="21" t="s">
        <v>2222</v>
      </c>
      <c r="F313" s="23" t="s">
        <v>3</v>
      </c>
      <c r="G313" s="23" t="s">
        <v>4</v>
      </c>
      <c r="H313" s="21" t="str">
        <f t="shared" si="4"/>
        <v>AWW_08N_SA1/APPLIED-WATER</v>
      </c>
      <c r="I313" s="24" t="s">
        <v>2223</v>
      </c>
      <c r="J313" s="10" t="str">
        <f>VLOOKUP(Table1[[#This Row],[UID]],CS3SVComposerConfig!$B$3:$D$1808,3,FALSE)</f>
        <v>CS3L2015V0Hydro_SV.dss</v>
      </c>
      <c r="K313" s="10" t="s">
        <v>2212</v>
      </c>
      <c r="L313" s="10" t="s">
        <v>2212</v>
      </c>
      <c r="M313" s="10" t="s">
        <v>2224</v>
      </c>
      <c r="N313" s="10" t="s">
        <v>2225</v>
      </c>
      <c r="O313" s="10" t="s">
        <v>2226</v>
      </c>
      <c r="P313" s="39" t="s">
        <v>2227</v>
      </c>
    </row>
    <row r="314" spans="2:16" ht="18" customHeight="1" x14ac:dyDescent="0.25">
      <c r="B314" s="21" t="s">
        <v>0</v>
      </c>
      <c r="C314" s="22" t="s">
        <v>617</v>
      </c>
      <c r="D314" s="22" t="s">
        <v>18</v>
      </c>
      <c r="E314" s="21" t="s">
        <v>2222</v>
      </c>
      <c r="F314" s="23" t="s">
        <v>3</v>
      </c>
      <c r="G314" s="23" t="s">
        <v>4</v>
      </c>
      <c r="H314" s="21" t="str">
        <f t="shared" si="4"/>
        <v>AWW_08N_SA2/APPLIED-WATER</v>
      </c>
      <c r="I314" s="24" t="s">
        <v>2223</v>
      </c>
      <c r="J314" s="10" t="str">
        <f>VLOOKUP(Table1[[#This Row],[UID]],CS3SVComposerConfig!$B$3:$D$1808,3,FALSE)</f>
        <v>CS3L2015V0Hydro_SV.dss</v>
      </c>
      <c r="K314" s="10" t="s">
        <v>2212</v>
      </c>
      <c r="L314" s="10" t="s">
        <v>2212</v>
      </c>
      <c r="M314" s="10" t="s">
        <v>2224</v>
      </c>
      <c r="N314" s="10" t="s">
        <v>2225</v>
      </c>
      <c r="O314" s="10" t="s">
        <v>2226</v>
      </c>
      <c r="P314" s="39" t="s">
        <v>2227</v>
      </c>
    </row>
    <row r="315" spans="2:16" ht="18" customHeight="1" x14ac:dyDescent="0.25">
      <c r="B315" s="21" t="s">
        <v>0</v>
      </c>
      <c r="C315" s="22" t="s">
        <v>618</v>
      </c>
      <c r="D315" s="22" t="s">
        <v>18</v>
      </c>
      <c r="E315" s="21" t="s">
        <v>2222</v>
      </c>
      <c r="F315" s="23" t="s">
        <v>3</v>
      </c>
      <c r="G315" s="23" t="s">
        <v>4</v>
      </c>
      <c r="H315" s="21" t="str">
        <f t="shared" si="4"/>
        <v>AWW_08S_PA/APPLIED-WATER</v>
      </c>
      <c r="I315" s="24" t="s">
        <v>2223</v>
      </c>
      <c r="J315" s="10" t="str">
        <f>VLOOKUP(Table1[[#This Row],[UID]],CS3SVComposerConfig!$B$3:$D$1808,3,FALSE)</f>
        <v>CS3L2015V0Hydro_SV.dss</v>
      </c>
      <c r="K315" s="10" t="s">
        <v>2212</v>
      </c>
      <c r="L315" s="10" t="s">
        <v>2212</v>
      </c>
      <c r="M315" s="10" t="s">
        <v>2224</v>
      </c>
      <c r="N315" s="10" t="s">
        <v>2225</v>
      </c>
      <c r="O315" s="10" t="s">
        <v>2226</v>
      </c>
      <c r="P315" s="39" t="s">
        <v>2227</v>
      </c>
    </row>
    <row r="316" spans="2:16" ht="18" customHeight="1" x14ac:dyDescent="0.25">
      <c r="B316" s="21" t="s">
        <v>0</v>
      </c>
      <c r="C316" s="22" t="s">
        <v>619</v>
      </c>
      <c r="D316" s="22" t="s">
        <v>18</v>
      </c>
      <c r="E316" s="21" t="s">
        <v>2222</v>
      </c>
      <c r="F316" s="23" t="s">
        <v>3</v>
      </c>
      <c r="G316" s="23" t="s">
        <v>4</v>
      </c>
      <c r="H316" s="21" t="str">
        <f t="shared" si="4"/>
        <v>AWW_08S_PR/APPLIED-WATER</v>
      </c>
      <c r="I316" s="24" t="s">
        <v>2223</v>
      </c>
      <c r="J316" s="10" t="str">
        <f>VLOOKUP(Table1[[#This Row],[UID]],CS3SVComposerConfig!$B$3:$D$1808,3,FALSE)</f>
        <v>CS3L2015V0Hydro_SV.dss</v>
      </c>
      <c r="K316" s="10" t="s">
        <v>2212</v>
      </c>
      <c r="L316" s="10" t="s">
        <v>2212</v>
      </c>
      <c r="M316" s="10" t="s">
        <v>2224</v>
      </c>
      <c r="N316" s="10" t="s">
        <v>2225</v>
      </c>
      <c r="O316" s="10" t="s">
        <v>2226</v>
      </c>
      <c r="P316" s="39" t="s">
        <v>2227</v>
      </c>
    </row>
    <row r="317" spans="2:16" ht="18" customHeight="1" x14ac:dyDescent="0.25">
      <c r="B317" s="21" t="s">
        <v>0</v>
      </c>
      <c r="C317" s="22" t="s">
        <v>620</v>
      </c>
      <c r="D317" s="22" t="s">
        <v>18</v>
      </c>
      <c r="E317" s="21" t="s">
        <v>2222</v>
      </c>
      <c r="F317" s="23" t="s">
        <v>3</v>
      </c>
      <c r="G317" s="23" t="s">
        <v>4</v>
      </c>
      <c r="H317" s="21" t="str">
        <f t="shared" si="4"/>
        <v>AWW_08S_SA1/APPLIED-WATER</v>
      </c>
      <c r="I317" s="24" t="s">
        <v>2223</v>
      </c>
      <c r="J317" s="10" t="str">
        <f>VLOOKUP(Table1[[#This Row],[UID]],CS3SVComposerConfig!$B$3:$D$1808,3,FALSE)</f>
        <v>CS3L2015V0Hydro_SV.dss</v>
      </c>
      <c r="K317" s="10" t="s">
        <v>2212</v>
      </c>
      <c r="L317" s="10" t="s">
        <v>2212</v>
      </c>
      <c r="M317" s="10" t="s">
        <v>2224</v>
      </c>
      <c r="N317" s="10" t="s">
        <v>2225</v>
      </c>
      <c r="O317" s="10" t="s">
        <v>2226</v>
      </c>
      <c r="P317" s="39" t="s">
        <v>2227</v>
      </c>
    </row>
    <row r="318" spans="2:16" ht="18" customHeight="1" x14ac:dyDescent="0.25">
      <c r="B318" s="21" t="s">
        <v>0</v>
      </c>
      <c r="C318" s="22" t="s">
        <v>621</v>
      </c>
      <c r="D318" s="22" t="s">
        <v>18</v>
      </c>
      <c r="E318" s="21" t="s">
        <v>2222</v>
      </c>
      <c r="F318" s="23" t="s">
        <v>3</v>
      </c>
      <c r="G318" s="23" t="s">
        <v>4</v>
      </c>
      <c r="H318" s="21" t="str">
        <f t="shared" si="4"/>
        <v>AWW_08S_SA2/APPLIED-WATER</v>
      </c>
      <c r="I318" s="24" t="s">
        <v>2223</v>
      </c>
      <c r="J318" s="10" t="str">
        <f>VLOOKUP(Table1[[#This Row],[UID]],CS3SVComposerConfig!$B$3:$D$1808,3,FALSE)</f>
        <v>CS3L2015V0Hydro_SV.dss</v>
      </c>
      <c r="K318" s="10" t="s">
        <v>2212</v>
      </c>
      <c r="L318" s="10" t="s">
        <v>2212</v>
      </c>
      <c r="M318" s="10" t="s">
        <v>2224</v>
      </c>
      <c r="N318" s="10" t="s">
        <v>2225</v>
      </c>
      <c r="O318" s="10" t="s">
        <v>2226</v>
      </c>
      <c r="P318" s="39" t="s">
        <v>2227</v>
      </c>
    </row>
    <row r="319" spans="2:16" ht="18" customHeight="1" x14ac:dyDescent="0.25">
      <c r="B319" s="21" t="s">
        <v>0</v>
      </c>
      <c r="C319" s="22" t="s">
        <v>622</v>
      </c>
      <c r="D319" s="22" t="s">
        <v>18</v>
      </c>
      <c r="E319" s="21" t="s">
        <v>2222</v>
      </c>
      <c r="F319" s="23" t="s">
        <v>3</v>
      </c>
      <c r="G319" s="23" t="s">
        <v>4</v>
      </c>
      <c r="H319" s="21" t="str">
        <f t="shared" si="4"/>
        <v>AWW_09_NA/APPLIED-WATER</v>
      </c>
      <c r="I319" s="24" t="s">
        <v>2223</v>
      </c>
      <c r="J319" s="10" t="str">
        <f>VLOOKUP(Table1[[#This Row],[UID]],CS3SVComposerConfig!$B$3:$D$1808,3,FALSE)</f>
        <v>CS3L2015V0Hydro_SV.dss</v>
      </c>
      <c r="K319" s="10" t="s">
        <v>2212</v>
      </c>
      <c r="L319" s="10" t="s">
        <v>2212</v>
      </c>
      <c r="M319" s="10" t="s">
        <v>2224</v>
      </c>
      <c r="N319" s="10" t="s">
        <v>2225</v>
      </c>
      <c r="O319" s="10" t="s">
        <v>2226</v>
      </c>
      <c r="P319" s="39" t="s">
        <v>2227</v>
      </c>
    </row>
    <row r="320" spans="2:16" ht="18" customHeight="1" x14ac:dyDescent="0.25">
      <c r="B320" s="21" t="s">
        <v>0</v>
      </c>
      <c r="C320" s="22" t="s">
        <v>623</v>
      </c>
      <c r="D320" s="22" t="s">
        <v>18</v>
      </c>
      <c r="E320" s="21" t="s">
        <v>2222</v>
      </c>
      <c r="F320" s="23" t="s">
        <v>3</v>
      </c>
      <c r="G320" s="23" t="s">
        <v>4</v>
      </c>
      <c r="H320" s="21" t="str">
        <f t="shared" si="4"/>
        <v>AWW_09_PR/APPLIED-WATER</v>
      </c>
      <c r="I320" s="24" t="s">
        <v>2223</v>
      </c>
      <c r="J320" s="10" t="str">
        <f>VLOOKUP(Table1[[#This Row],[UID]],CS3SVComposerConfig!$B$3:$D$1808,3,FALSE)</f>
        <v>CS3L2015V0Hydro_SV.dss</v>
      </c>
      <c r="K320" s="10" t="s">
        <v>2212</v>
      </c>
      <c r="L320" s="10" t="s">
        <v>2212</v>
      </c>
      <c r="M320" s="10" t="s">
        <v>2224</v>
      </c>
      <c r="N320" s="10" t="s">
        <v>2225</v>
      </c>
      <c r="O320" s="10" t="s">
        <v>2226</v>
      </c>
      <c r="P320" s="39" t="s">
        <v>2227</v>
      </c>
    </row>
    <row r="321" spans="2:16" ht="18" customHeight="1" x14ac:dyDescent="0.25">
      <c r="B321" s="21" t="s">
        <v>0</v>
      </c>
      <c r="C321" s="22" t="s">
        <v>624</v>
      </c>
      <c r="D321" s="22" t="s">
        <v>18</v>
      </c>
      <c r="E321" s="21" t="s">
        <v>2222</v>
      </c>
      <c r="F321" s="23" t="s">
        <v>3</v>
      </c>
      <c r="G321" s="23" t="s">
        <v>4</v>
      </c>
      <c r="H321" s="21" t="str">
        <f t="shared" si="4"/>
        <v>AWW_09_SA2/APPLIED-WATER</v>
      </c>
      <c r="I321" s="24" t="s">
        <v>2223</v>
      </c>
      <c r="J321" s="10" t="str">
        <f>VLOOKUP(Table1[[#This Row],[UID]],CS3SVComposerConfig!$B$3:$D$1808,3,FALSE)</f>
        <v>CS3L2015V0Hydro_SV.dss</v>
      </c>
      <c r="K321" s="10" t="s">
        <v>2212</v>
      </c>
      <c r="L321" s="10" t="s">
        <v>2212</v>
      </c>
      <c r="M321" s="10" t="s">
        <v>2224</v>
      </c>
      <c r="N321" s="10" t="s">
        <v>2225</v>
      </c>
      <c r="O321" s="10" t="s">
        <v>2226</v>
      </c>
      <c r="P321" s="39" t="s">
        <v>2227</v>
      </c>
    </row>
    <row r="322" spans="2:16" ht="18" customHeight="1" x14ac:dyDescent="0.25">
      <c r="B322" s="21" t="s">
        <v>0</v>
      </c>
      <c r="C322" s="22" t="s">
        <v>625</v>
      </c>
      <c r="D322" s="22" t="s">
        <v>18</v>
      </c>
      <c r="E322" s="21" t="s">
        <v>2222</v>
      </c>
      <c r="F322" s="23" t="s">
        <v>3</v>
      </c>
      <c r="G322" s="23" t="s">
        <v>4</v>
      </c>
      <c r="H322" s="21" t="str">
        <f t="shared" si="4"/>
        <v>AWW_10_NA/APPLIED-WATER</v>
      </c>
      <c r="I322" s="24" t="s">
        <v>2223</v>
      </c>
      <c r="J322" s="10" t="str">
        <f>VLOOKUP(Table1[[#This Row],[UID]],CS3SVComposerConfig!$B$3:$D$1808,3,FALSE)</f>
        <v>CS3L2015V0Hydro_SV.dss</v>
      </c>
      <c r="K322" s="10" t="s">
        <v>2212</v>
      </c>
      <c r="L322" s="10" t="s">
        <v>2212</v>
      </c>
      <c r="M322" s="10" t="s">
        <v>2224</v>
      </c>
      <c r="N322" s="10" t="s">
        <v>2225</v>
      </c>
      <c r="O322" s="10" t="s">
        <v>2226</v>
      </c>
      <c r="P322" s="39" t="s">
        <v>2227</v>
      </c>
    </row>
    <row r="323" spans="2:16" ht="18" customHeight="1" x14ac:dyDescent="0.25">
      <c r="B323" s="21" t="s">
        <v>0</v>
      </c>
      <c r="C323" s="22" t="s">
        <v>626</v>
      </c>
      <c r="D323" s="22" t="s">
        <v>18</v>
      </c>
      <c r="E323" s="21" t="s">
        <v>2222</v>
      </c>
      <c r="F323" s="23" t="s">
        <v>3</v>
      </c>
      <c r="G323" s="23" t="s">
        <v>4</v>
      </c>
      <c r="H323" s="21" t="str">
        <f t="shared" ref="H323:H386" si="5">_xlfn.CONCAT(C323,"/",D323)</f>
        <v>AWW_11_NA/APPLIED-WATER</v>
      </c>
      <c r="I323" s="24" t="s">
        <v>2223</v>
      </c>
      <c r="J323" s="10" t="str">
        <f>VLOOKUP(Table1[[#This Row],[UID]],CS3SVComposerConfig!$B$3:$D$1808,3,FALSE)</f>
        <v>CS3L2015V0Hydro_SV.dss</v>
      </c>
      <c r="K323" s="10" t="s">
        <v>2212</v>
      </c>
      <c r="L323" s="10" t="s">
        <v>2212</v>
      </c>
      <c r="M323" s="10" t="s">
        <v>2224</v>
      </c>
      <c r="N323" s="10" t="s">
        <v>2225</v>
      </c>
      <c r="O323" s="10" t="s">
        <v>2226</v>
      </c>
      <c r="P323" s="39" t="s">
        <v>2227</v>
      </c>
    </row>
    <row r="324" spans="2:16" ht="18" customHeight="1" x14ac:dyDescent="0.25">
      <c r="B324" s="21" t="s">
        <v>0</v>
      </c>
      <c r="C324" s="22" t="s">
        <v>627</v>
      </c>
      <c r="D324" s="22" t="s">
        <v>18</v>
      </c>
      <c r="E324" s="21" t="s">
        <v>2222</v>
      </c>
      <c r="F324" s="23" t="s">
        <v>3</v>
      </c>
      <c r="G324" s="23" t="s">
        <v>4</v>
      </c>
      <c r="H324" s="21" t="str">
        <f t="shared" si="5"/>
        <v>AWW_11_PR/APPLIED-WATER</v>
      </c>
      <c r="I324" s="24" t="s">
        <v>2223</v>
      </c>
      <c r="J324" s="10" t="str">
        <f>VLOOKUP(Table1[[#This Row],[UID]],CS3SVComposerConfig!$B$3:$D$1808,3,FALSE)</f>
        <v>CS3L2015V0Hydro_SV.dss</v>
      </c>
      <c r="K324" s="10" t="s">
        <v>2212</v>
      </c>
      <c r="L324" s="10" t="s">
        <v>2212</v>
      </c>
      <c r="M324" s="10" t="s">
        <v>2224</v>
      </c>
      <c r="N324" s="10" t="s">
        <v>2225</v>
      </c>
      <c r="O324" s="10" t="s">
        <v>2226</v>
      </c>
      <c r="P324" s="39" t="s">
        <v>2227</v>
      </c>
    </row>
    <row r="325" spans="2:16" ht="18" customHeight="1" x14ac:dyDescent="0.25">
      <c r="B325" s="21" t="s">
        <v>0</v>
      </c>
      <c r="C325" s="22" t="s">
        <v>628</v>
      </c>
      <c r="D325" s="22" t="s">
        <v>18</v>
      </c>
      <c r="E325" s="21" t="s">
        <v>2222</v>
      </c>
      <c r="F325" s="23" t="s">
        <v>3</v>
      </c>
      <c r="G325" s="23" t="s">
        <v>4</v>
      </c>
      <c r="H325" s="21" t="str">
        <f t="shared" si="5"/>
        <v>AWW_11_SA1/APPLIED-WATER</v>
      </c>
      <c r="I325" s="24" t="s">
        <v>2223</v>
      </c>
      <c r="J325" s="10" t="str">
        <f>VLOOKUP(Table1[[#This Row],[UID]],CS3SVComposerConfig!$B$3:$D$1808,3,FALSE)</f>
        <v>CS3L2015V0Hydro_SV.dss</v>
      </c>
      <c r="K325" s="10" t="s">
        <v>2212</v>
      </c>
      <c r="L325" s="10" t="s">
        <v>2212</v>
      </c>
      <c r="M325" s="10" t="s">
        <v>2224</v>
      </c>
      <c r="N325" s="10" t="s">
        <v>2225</v>
      </c>
      <c r="O325" s="10" t="s">
        <v>2226</v>
      </c>
      <c r="P325" s="39" t="s">
        <v>2227</v>
      </c>
    </row>
    <row r="326" spans="2:16" ht="18" customHeight="1" x14ac:dyDescent="0.25">
      <c r="B326" s="21" t="s">
        <v>0</v>
      </c>
      <c r="C326" s="22" t="s">
        <v>629</v>
      </c>
      <c r="D326" s="22" t="s">
        <v>18</v>
      </c>
      <c r="E326" s="21" t="s">
        <v>2222</v>
      </c>
      <c r="F326" s="23" t="s">
        <v>3</v>
      </c>
      <c r="G326" s="23" t="s">
        <v>4</v>
      </c>
      <c r="H326" s="21" t="str">
        <f t="shared" si="5"/>
        <v>AWW_11_SA2/APPLIED-WATER</v>
      </c>
      <c r="I326" s="24" t="s">
        <v>2223</v>
      </c>
      <c r="J326" s="10" t="str">
        <f>VLOOKUP(Table1[[#This Row],[UID]],CS3SVComposerConfig!$B$3:$D$1808,3,FALSE)</f>
        <v>CS3L2015V0Hydro_SV.dss</v>
      </c>
      <c r="K326" s="10" t="s">
        <v>2212</v>
      </c>
      <c r="L326" s="10" t="s">
        <v>2212</v>
      </c>
      <c r="M326" s="10" t="s">
        <v>2224</v>
      </c>
      <c r="N326" s="10" t="s">
        <v>2225</v>
      </c>
      <c r="O326" s="10" t="s">
        <v>2226</v>
      </c>
      <c r="P326" s="39" t="s">
        <v>2227</v>
      </c>
    </row>
    <row r="327" spans="2:16" ht="18" customHeight="1" x14ac:dyDescent="0.25">
      <c r="B327" s="21" t="s">
        <v>0</v>
      </c>
      <c r="C327" s="22" t="s">
        <v>630</v>
      </c>
      <c r="D327" s="22" t="s">
        <v>18</v>
      </c>
      <c r="E327" s="21" t="s">
        <v>2222</v>
      </c>
      <c r="F327" s="23" t="s">
        <v>3</v>
      </c>
      <c r="G327" s="23" t="s">
        <v>4</v>
      </c>
      <c r="H327" s="21" t="str">
        <f t="shared" si="5"/>
        <v>AWW_11_SA3/APPLIED-WATER</v>
      </c>
      <c r="I327" s="24" t="s">
        <v>2223</v>
      </c>
      <c r="J327" s="10" t="str">
        <f>VLOOKUP(Table1[[#This Row],[UID]],CS3SVComposerConfig!$B$3:$D$1808,3,FALSE)</f>
        <v>CS3L2015V0Hydro_SV.dss</v>
      </c>
      <c r="K327" s="10" t="s">
        <v>2212</v>
      </c>
      <c r="L327" s="10" t="s">
        <v>2212</v>
      </c>
      <c r="M327" s="10" t="s">
        <v>2224</v>
      </c>
      <c r="N327" s="10" t="s">
        <v>2225</v>
      </c>
      <c r="O327" s="10" t="s">
        <v>2226</v>
      </c>
      <c r="P327" s="39" t="s">
        <v>2227</v>
      </c>
    </row>
    <row r="328" spans="2:16" ht="18" customHeight="1" x14ac:dyDescent="0.25">
      <c r="B328" s="21" t="s">
        <v>0</v>
      </c>
      <c r="C328" s="22" t="s">
        <v>631</v>
      </c>
      <c r="D328" s="22" t="s">
        <v>18</v>
      </c>
      <c r="E328" s="21" t="s">
        <v>2222</v>
      </c>
      <c r="F328" s="23" t="s">
        <v>3</v>
      </c>
      <c r="G328" s="23" t="s">
        <v>4</v>
      </c>
      <c r="H328" s="21" t="str">
        <f t="shared" si="5"/>
        <v>AWW_11_SA4/APPLIED-WATER</v>
      </c>
      <c r="I328" s="24" t="s">
        <v>2223</v>
      </c>
      <c r="J328" s="10" t="str">
        <f>VLOOKUP(Table1[[#This Row],[UID]],CS3SVComposerConfig!$B$3:$D$1808,3,FALSE)</f>
        <v>CS3L2015V0Hydro_SV.dss</v>
      </c>
      <c r="K328" s="10" t="s">
        <v>2212</v>
      </c>
      <c r="L328" s="10" t="s">
        <v>2212</v>
      </c>
      <c r="M328" s="10" t="s">
        <v>2224</v>
      </c>
      <c r="N328" s="10" t="s">
        <v>2225</v>
      </c>
      <c r="O328" s="10" t="s">
        <v>2226</v>
      </c>
      <c r="P328" s="39" t="s">
        <v>2227</v>
      </c>
    </row>
    <row r="329" spans="2:16" ht="18" customHeight="1" x14ac:dyDescent="0.25">
      <c r="B329" s="21" t="s">
        <v>0</v>
      </c>
      <c r="C329" s="22" t="s">
        <v>632</v>
      </c>
      <c r="D329" s="22" t="s">
        <v>18</v>
      </c>
      <c r="E329" s="21" t="s">
        <v>2222</v>
      </c>
      <c r="F329" s="23" t="s">
        <v>3</v>
      </c>
      <c r="G329" s="23" t="s">
        <v>4</v>
      </c>
      <c r="H329" s="21" t="str">
        <f t="shared" si="5"/>
        <v>AWW_12_NA/APPLIED-WATER</v>
      </c>
      <c r="I329" s="24" t="s">
        <v>2223</v>
      </c>
      <c r="J329" s="10" t="str">
        <f>VLOOKUP(Table1[[#This Row],[UID]],CS3SVComposerConfig!$B$3:$D$1808,3,FALSE)</f>
        <v>CS3L2015V0Hydro_SV.dss</v>
      </c>
      <c r="K329" s="10" t="s">
        <v>2212</v>
      </c>
      <c r="L329" s="10" t="s">
        <v>2212</v>
      </c>
      <c r="M329" s="10" t="s">
        <v>2224</v>
      </c>
      <c r="N329" s="10" t="s">
        <v>2225</v>
      </c>
      <c r="O329" s="10" t="s">
        <v>2226</v>
      </c>
      <c r="P329" s="39" t="s">
        <v>2227</v>
      </c>
    </row>
    <row r="330" spans="2:16" ht="18" customHeight="1" x14ac:dyDescent="0.25">
      <c r="B330" s="21" t="s">
        <v>0</v>
      </c>
      <c r="C330" s="22" t="s">
        <v>633</v>
      </c>
      <c r="D330" s="22" t="s">
        <v>18</v>
      </c>
      <c r="E330" s="21" t="s">
        <v>2222</v>
      </c>
      <c r="F330" s="23" t="s">
        <v>3</v>
      </c>
      <c r="G330" s="23" t="s">
        <v>4</v>
      </c>
      <c r="H330" s="21" t="str">
        <f t="shared" si="5"/>
        <v>AWW_17N_NR/APPLIED-WATER</v>
      </c>
      <c r="I330" s="24" t="s">
        <v>2223</v>
      </c>
      <c r="J330" s="10" t="str">
        <f>VLOOKUP(Table1[[#This Row],[UID]],CS3SVComposerConfig!$B$3:$D$1808,3,FALSE)</f>
        <v>CS3L2015V0Hydro_SV.dss</v>
      </c>
      <c r="K330" s="10" t="s">
        <v>2212</v>
      </c>
      <c r="L330" s="10" t="s">
        <v>2212</v>
      </c>
      <c r="M330" s="10" t="s">
        <v>2224</v>
      </c>
      <c r="N330" s="10" t="s">
        <v>2225</v>
      </c>
      <c r="O330" s="10" t="s">
        <v>2226</v>
      </c>
      <c r="P330" s="39" t="s">
        <v>2227</v>
      </c>
    </row>
    <row r="331" spans="2:16" ht="18" customHeight="1" x14ac:dyDescent="0.25">
      <c r="B331" s="21" t="s">
        <v>0</v>
      </c>
      <c r="C331" s="22" t="s">
        <v>634</v>
      </c>
      <c r="D331" s="22" t="s">
        <v>18</v>
      </c>
      <c r="E331" s="21" t="s">
        <v>2222</v>
      </c>
      <c r="F331" s="23" t="s">
        <v>3</v>
      </c>
      <c r="G331" s="23" t="s">
        <v>4</v>
      </c>
      <c r="H331" s="21" t="str">
        <f t="shared" si="5"/>
        <v>AWW_17N_PR/APPLIED-WATER</v>
      </c>
      <c r="I331" s="24" t="s">
        <v>2223</v>
      </c>
      <c r="J331" s="10" t="str">
        <f>VLOOKUP(Table1[[#This Row],[UID]],CS3SVComposerConfig!$B$3:$D$1808,3,FALSE)</f>
        <v>CS3L2015V0Hydro_SV.dss</v>
      </c>
      <c r="K331" s="10" t="s">
        <v>2212</v>
      </c>
      <c r="L331" s="10" t="s">
        <v>2212</v>
      </c>
      <c r="M331" s="10" t="s">
        <v>2224</v>
      </c>
      <c r="N331" s="10" t="s">
        <v>2225</v>
      </c>
      <c r="O331" s="10" t="s">
        <v>2226</v>
      </c>
      <c r="P331" s="39" t="s">
        <v>2227</v>
      </c>
    </row>
    <row r="332" spans="2:16" ht="18" customHeight="1" x14ac:dyDescent="0.25">
      <c r="B332" s="21" t="s">
        <v>0</v>
      </c>
      <c r="C332" s="22" t="s">
        <v>635</v>
      </c>
      <c r="D332" s="22" t="s">
        <v>18</v>
      </c>
      <c r="E332" s="21" t="s">
        <v>2222</v>
      </c>
      <c r="F332" s="23" t="s">
        <v>3</v>
      </c>
      <c r="G332" s="23" t="s">
        <v>4</v>
      </c>
      <c r="H332" s="21" t="str">
        <f t="shared" si="5"/>
        <v>AWW_17S_PR/APPLIED-WATER</v>
      </c>
      <c r="I332" s="24" t="s">
        <v>2223</v>
      </c>
      <c r="J332" s="10" t="str">
        <f>VLOOKUP(Table1[[#This Row],[UID]],CS3SVComposerConfig!$B$3:$D$1808,3,FALSE)</f>
        <v>CS3L2015V0Hydro_SV.dss</v>
      </c>
      <c r="K332" s="10" t="s">
        <v>2212</v>
      </c>
      <c r="L332" s="10" t="s">
        <v>2212</v>
      </c>
      <c r="M332" s="10" t="s">
        <v>2224</v>
      </c>
      <c r="N332" s="10" t="s">
        <v>2225</v>
      </c>
      <c r="O332" s="10" t="s">
        <v>2226</v>
      </c>
      <c r="P332" s="39" t="s">
        <v>2227</v>
      </c>
    </row>
    <row r="333" spans="2:16" ht="18" customHeight="1" x14ac:dyDescent="0.25">
      <c r="B333" s="21" t="s">
        <v>0</v>
      </c>
      <c r="C333" s="22" t="s">
        <v>636</v>
      </c>
      <c r="D333" s="22" t="s">
        <v>18</v>
      </c>
      <c r="E333" s="21" t="s">
        <v>2222</v>
      </c>
      <c r="F333" s="23" t="s">
        <v>3</v>
      </c>
      <c r="G333" s="23" t="s">
        <v>4</v>
      </c>
      <c r="H333" s="21" t="str">
        <f t="shared" si="5"/>
        <v>AWW_21_PA/APPLIED-WATER</v>
      </c>
      <c r="I333" s="24" t="s">
        <v>2223</v>
      </c>
      <c r="J333" s="10" t="str">
        <f>VLOOKUP(Table1[[#This Row],[UID]],CS3SVComposerConfig!$B$3:$D$1808,3,FALSE)</f>
        <v>CS3L2015V0Hydro_SV.dss</v>
      </c>
      <c r="K333" s="10" t="s">
        <v>2212</v>
      </c>
      <c r="L333" s="10" t="s">
        <v>2212</v>
      </c>
      <c r="M333" s="10" t="s">
        <v>2224</v>
      </c>
      <c r="N333" s="10" t="s">
        <v>2225</v>
      </c>
      <c r="O333" s="10" t="s">
        <v>2226</v>
      </c>
      <c r="P333" s="39" t="s">
        <v>2227</v>
      </c>
    </row>
    <row r="334" spans="2:16" ht="18" customHeight="1" x14ac:dyDescent="0.25">
      <c r="B334" s="21" t="s">
        <v>0</v>
      </c>
      <c r="C334" s="22" t="s">
        <v>637</v>
      </c>
      <c r="D334" s="22" t="s">
        <v>18</v>
      </c>
      <c r="E334" s="21" t="s">
        <v>2222</v>
      </c>
      <c r="F334" s="23" t="s">
        <v>3</v>
      </c>
      <c r="G334" s="23" t="s">
        <v>4</v>
      </c>
      <c r="H334" s="21" t="str">
        <f t="shared" si="5"/>
        <v>AWW_63_PR1/APPLIED-WATER</v>
      </c>
      <c r="I334" s="24" t="s">
        <v>2223</v>
      </c>
      <c r="J334" s="10" t="str">
        <f>VLOOKUP(Table1[[#This Row],[UID]],CS3SVComposerConfig!$B$3:$D$1808,3,FALSE)</f>
        <v>CS3L2015V0Hydro_SV.dss</v>
      </c>
      <c r="K334" s="10" t="s">
        <v>2212</v>
      </c>
      <c r="L334" s="10" t="s">
        <v>2224</v>
      </c>
      <c r="M334" s="10" t="s">
        <v>2224</v>
      </c>
      <c r="N334" s="10" t="s">
        <v>2225</v>
      </c>
      <c r="O334" s="10" t="s">
        <v>2226</v>
      </c>
      <c r="P334" s="39" t="s">
        <v>2227</v>
      </c>
    </row>
    <row r="335" spans="2:16" ht="18" customHeight="1" x14ac:dyDescent="0.25">
      <c r="B335" s="21" t="s">
        <v>0</v>
      </c>
      <c r="C335" s="22" t="s">
        <v>638</v>
      </c>
      <c r="D335" s="22" t="s">
        <v>18</v>
      </c>
      <c r="E335" s="21" t="s">
        <v>2222</v>
      </c>
      <c r="F335" s="23" t="s">
        <v>3</v>
      </c>
      <c r="G335" s="23" t="s">
        <v>4</v>
      </c>
      <c r="H335" s="21" t="str">
        <f t="shared" si="5"/>
        <v>AWW_63_PR2/APPLIED-WATER</v>
      </c>
      <c r="I335" s="24" t="s">
        <v>2223</v>
      </c>
      <c r="J335" s="10" t="str">
        <f>VLOOKUP(Table1[[#This Row],[UID]],CS3SVComposerConfig!$B$3:$D$1808,3,FALSE)</f>
        <v>CS3L2015V0Hydro_SV.dss</v>
      </c>
      <c r="K335" s="10" t="s">
        <v>2212</v>
      </c>
      <c r="L335" s="10" t="s">
        <v>2212</v>
      </c>
      <c r="M335" s="10" t="s">
        <v>2224</v>
      </c>
      <c r="N335" s="10" t="s">
        <v>2225</v>
      </c>
      <c r="O335" s="10" t="s">
        <v>2226</v>
      </c>
      <c r="P335" s="39" t="s">
        <v>2227</v>
      </c>
    </row>
    <row r="336" spans="2:16" ht="18" customHeight="1" x14ac:dyDescent="0.25">
      <c r="B336" s="21" t="s">
        <v>0</v>
      </c>
      <c r="C336" s="22" t="s">
        <v>639</v>
      </c>
      <c r="D336" s="22" t="s">
        <v>18</v>
      </c>
      <c r="E336" s="21" t="s">
        <v>2222</v>
      </c>
      <c r="F336" s="23" t="s">
        <v>3</v>
      </c>
      <c r="G336" s="23" t="s">
        <v>4</v>
      </c>
      <c r="H336" s="21" t="str">
        <f t="shared" si="5"/>
        <v>AWW_63_PR3/APPLIED-WATER</v>
      </c>
      <c r="I336" s="24" t="s">
        <v>2223</v>
      </c>
      <c r="J336" s="10" t="str">
        <f>VLOOKUP(Table1[[#This Row],[UID]],CS3SVComposerConfig!$B$3:$D$1808,3,FALSE)</f>
        <v>CS3L2015V0Hydro_SV.dss</v>
      </c>
      <c r="K336" s="10" t="s">
        <v>2212</v>
      </c>
      <c r="L336" s="10" t="s">
        <v>2224</v>
      </c>
      <c r="M336" s="10" t="s">
        <v>2224</v>
      </c>
      <c r="N336" s="10" t="s">
        <v>2225</v>
      </c>
      <c r="O336" s="10" t="s">
        <v>2226</v>
      </c>
      <c r="P336" s="39" t="s">
        <v>2227</v>
      </c>
    </row>
    <row r="337" spans="2:16" ht="18" customHeight="1" x14ac:dyDescent="0.25">
      <c r="B337" s="21" t="s">
        <v>0</v>
      </c>
      <c r="C337" s="22" t="s">
        <v>640</v>
      </c>
      <c r="D337" s="22" t="s">
        <v>18</v>
      </c>
      <c r="E337" s="21" t="s">
        <v>2222</v>
      </c>
      <c r="F337" s="23" t="s">
        <v>3</v>
      </c>
      <c r="G337" s="23" t="s">
        <v>4</v>
      </c>
      <c r="H337" s="21" t="str">
        <f t="shared" si="5"/>
        <v>AWW_72_PR1/APPLIED-WATER</v>
      </c>
      <c r="I337" s="24" t="s">
        <v>2223</v>
      </c>
      <c r="J337" s="10" t="str">
        <f>VLOOKUP(Table1[[#This Row],[UID]],CS3SVComposerConfig!$B$3:$D$1808,3,FALSE)</f>
        <v>RebalancedSJR_AW_TW_DP.dss</v>
      </c>
      <c r="K337" s="10" t="s">
        <v>2212</v>
      </c>
      <c r="L337" s="10" t="s">
        <v>2212</v>
      </c>
      <c r="M337" s="10" t="s">
        <v>2224</v>
      </c>
      <c r="N337" s="10" t="s">
        <v>2225</v>
      </c>
      <c r="O337" s="10" t="s">
        <v>2226</v>
      </c>
      <c r="P337" s="39" t="s">
        <v>2227</v>
      </c>
    </row>
    <row r="338" spans="2:16" ht="18" customHeight="1" x14ac:dyDescent="0.25">
      <c r="B338" s="21" t="s">
        <v>0</v>
      </c>
      <c r="C338" s="22" t="s">
        <v>641</v>
      </c>
      <c r="D338" s="22" t="s">
        <v>18</v>
      </c>
      <c r="E338" s="21" t="s">
        <v>2222</v>
      </c>
      <c r="F338" s="23" t="s">
        <v>3</v>
      </c>
      <c r="G338" s="23" t="s">
        <v>4</v>
      </c>
      <c r="H338" s="21" t="str">
        <f t="shared" si="5"/>
        <v>AWW_72_PR2/APPLIED-WATER</v>
      </c>
      <c r="I338" s="24" t="s">
        <v>2223</v>
      </c>
      <c r="J338" s="10" t="str">
        <f>VLOOKUP(Table1[[#This Row],[UID]],CS3SVComposerConfig!$B$3:$D$1808,3,FALSE)</f>
        <v>RebalancedSJR_AW_TW_DP.dss</v>
      </c>
      <c r="K338" s="10" t="s">
        <v>2212</v>
      </c>
      <c r="L338" s="10" t="s">
        <v>2212</v>
      </c>
      <c r="M338" s="10" t="s">
        <v>2224</v>
      </c>
      <c r="N338" s="10" t="s">
        <v>2225</v>
      </c>
      <c r="O338" s="10" t="s">
        <v>2226</v>
      </c>
      <c r="P338" s="39" t="s">
        <v>2227</v>
      </c>
    </row>
    <row r="339" spans="2:16" ht="18" customHeight="1" x14ac:dyDescent="0.25">
      <c r="B339" s="21" t="s">
        <v>0</v>
      </c>
      <c r="C339" s="22" t="s">
        <v>642</v>
      </c>
      <c r="D339" s="22" t="s">
        <v>18</v>
      </c>
      <c r="E339" s="21" t="s">
        <v>2222</v>
      </c>
      <c r="F339" s="23" t="s">
        <v>3</v>
      </c>
      <c r="G339" s="23" t="s">
        <v>4</v>
      </c>
      <c r="H339" s="21" t="str">
        <f t="shared" si="5"/>
        <v>AWW_72_PR3/APPLIED-WATER</v>
      </c>
      <c r="I339" s="24" t="s">
        <v>2223</v>
      </c>
      <c r="J339" s="10" t="str">
        <f>VLOOKUP(Table1[[#This Row],[UID]],CS3SVComposerConfig!$B$3:$D$1808,3,FALSE)</f>
        <v>RebalancedSJR_AW_TW_DP.dss</v>
      </c>
      <c r="K339" s="10" t="s">
        <v>2212</v>
      </c>
      <c r="L339" s="10" t="s">
        <v>2212</v>
      </c>
      <c r="M339" s="10" t="s">
        <v>2224</v>
      </c>
      <c r="N339" s="10" t="s">
        <v>2225</v>
      </c>
      <c r="O339" s="10" t="s">
        <v>2226</v>
      </c>
      <c r="P339" s="39" t="s">
        <v>2227</v>
      </c>
    </row>
    <row r="340" spans="2:16" ht="18" customHeight="1" x14ac:dyDescent="0.25">
      <c r="B340" s="21" t="s">
        <v>0</v>
      </c>
      <c r="C340" s="22" t="s">
        <v>643</v>
      </c>
      <c r="D340" s="22" t="s">
        <v>18</v>
      </c>
      <c r="E340" s="21" t="s">
        <v>2222</v>
      </c>
      <c r="F340" s="23" t="s">
        <v>3</v>
      </c>
      <c r="G340" s="23" t="s">
        <v>4</v>
      </c>
      <c r="H340" s="21" t="str">
        <f t="shared" si="5"/>
        <v>AWW_72_PR4/APPLIED-WATER</v>
      </c>
      <c r="I340" s="24" t="s">
        <v>2223</v>
      </c>
      <c r="J340" s="10" t="str">
        <f>VLOOKUP(Table1[[#This Row],[UID]],CS3SVComposerConfig!$B$3:$D$1808,3,FALSE)</f>
        <v>RebalancedSJR_AW_TW_DP.dss</v>
      </c>
      <c r="K340" s="10" t="s">
        <v>2212</v>
      </c>
      <c r="L340" s="10" t="s">
        <v>2212</v>
      </c>
      <c r="M340" s="10" t="s">
        <v>2224</v>
      </c>
      <c r="N340" s="10" t="s">
        <v>2225</v>
      </c>
      <c r="O340" s="10" t="s">
        <v>2226</v>
      </c>
      <c r="P340" s="39" t="s">
        <v>2227</v>
      </c>
    </row>
    <row r="341" spans="2:16" ht="18" customHeight="1" x14ac:dyDescent="0.25">
      <c r="B341" s="21" t="s">
        <v>0</v>
      </c>
      <c r="C341" s="22" t="s">
        <v>644</v>
      </c>
      <c r="D341" s="22" t="s">
        <v>18</v>
      </c>
      <c r="E341" s="21" t="s">
        <v>2222</v>
      </c>
      <c r="F341" s="23" t="s">
        <v>3</v>
      </c>
      <c r="G341" s="23" t="s">
        <v>4</v>
      </c>
      <c r="H341" s="21" t="str">
        <f t="shared" si="5"/>
        <v>AWW_72_PR5/APPLIED-WATER</v>
      </c>
      <c r="I341" s="24" t="s">
        <v>2223</v>
      </c>
      <c r="J341" s="10" t="str">
        <f>VLOOKUP(Table1[[#This Row],[UID]],CS3SVComposerConfig!$B$3:$D$1808,3,FALSE)</f>
        <v>RebalancedSJR_AW_TW_DP.dss</v>
      </c>
      <c r="K341" s="10" t="s">
        <v>2212</v>
      </c>
      <c r="L341" s="10" t="s">
        <v>2212</v>
      </c>
      <c r="M341" s="10" t="s">
        <v>2224</v>
      </c>
      <c r="N341" s="10" t="s">
        <v>2225</v>
      </c>
      <c r="O341" s="10" t="s">
        <v>2226</v>
      </c>
      <c r="P341" s="39" t="s">
        <v>2227</v>
      </c>
    </row>
    <row r="342" spans="2:16" ht="18" customHeight="1" x14ac:dyDescent="0.25">
      <c r="B342" s="21" t="s">
        <v>0</v>
      </c>
      <c r="C342" s="22" t="s">
        <v>645</v>
      </c>
      <c r="D342" s="22" t="s">
        <v>18</v>
      </c>
      <c r="E342" s="21" t="s">
        <v>2222</v>
      </c>
      <c r="F342" s="23" t="s">
        <v>3</v>
      </c>
      <c r="G342" s="23" t="s">
        <v>4</v>
      </c>
      <c r="H342" s="21" t="str">
        <f t="shared" si="5"/>
        <v>AWW_72_PR6/APPLIED-WATER</v>
      </c>
      <c r="I342" s="24" t="s">
        <v>2223</v>
      </c>
      <c r="J342" s="10" t="str">
        <f>VLOOKUP(Table1[[#This Row],[UID]],CS3SVComposerConfig!$B$3:$D$1808,3,FALSE)</f>
        <v>RebalancedSJR_AW_TW_DP.dss</v>
      </c>
      <c r="K342" s="10" t="s">
        <v>2212</v>
      </c>
      <c r="L342" s="10" t="s">
        <v>2212</v>
      </c>
      <c r="M342" s="10" t="s">
        <v>2224</v>
      </c>
      <c r="N342" s="10" t="s">
        <v>2225</v>
      </c>
      <c r="O342" s="10" t="s">
        <v>2226</v>
      </c>
      <c r="P342" s="39" t="s">
        <v>2227</v>
      </c>
    </row>
    <row r="343" spans="2:16" ht="18" customHeight="1" x14ac:dyDescent="0.25">
      <c r="B343" s="21" t="s">
        <v>0</v>
      </c>
      <c r="C343" s="22" t="s">
        <v>646</v>
      </c>
      <c r="D343" s="22" t="s">
        <v>18</v>
      </c>
      <c r="E343" s="21" t="s">
        <v>2222</v>
      </c>
      <c r="F343" s="23" t="s">
        <v>3</v>
      </c>
      <c r="G343" s="23" t="s">
        <v>4</v>
      </c>
      <c r="H343" s="21" t="str">
        <f t="shared" si="5"/>
        <v>AWW_91_PR/APPLIED-WATER</v>
      </c>
      <c r="I343" s="24" t="s">
        <v>2223</v>
      </c>
      <c r="J343" s="10" t="str">
        <f>VLOOKUP(Table1[[#This Row],[UID]],CS3SVComposerConfig!$B$3:$D$1808,3,FALSE)</f>
        <v>RebalancedSJR_AW_TW_DP.dss</v>
      </c>
      <c r="K343" s="10" t="s">
        <v>2212</v>
      </c>
      <c r="L343" s="10" t="s">
        <v>2212</v>
      </c>
      <c r="M343" s="10" t="s">
        <v>2224</v>
      </c>
      <c r="N343" s="10" t="s">
        <v>2225</v>
      </c>
      <c r="O343" s="10" t="s">
        <v>2226</v>
      </c>
      <c r="P343" s="39" t="s">
        <v>2227</v>
      </c>
    </row>
    <row r="344" spans="2:16" ht="18" customHeight="1" x14ac:dyDescent="0.25">
      <c r="B344" s="21" t="s">
        <v>0</v>
      </c>
      <c r="C344" s="22" t="s">
        <v>647</v>
      </c>
      <c r="D344" s="22" t="s">
        <v>51</v>
      </c>
      <c r="E344" s="21" t="s">
        <v>2222</v>
      </c>
      <c r="F344" s="23" t="s">
        <v>3</v>
      </c>
      <c r="G344" s="23" t="s">
        <v>4</v>
      </c>
      <c r="H344" s="21" t="str">
        <f t="shared" si="5"/>
        <v>DP_02_INT/DEEP-PERCOLATION</v>
      </c>
      <c r="I344" s="24" t="s">
        <v>2223</v>
      </c>
      <c r="J344" s="10" t="str">
        <f>VLOOKUP(Table1[[#This Row],[UID]],CS3SVComposerConfig!$B$3:$D$1808,3,FALSE)</f>
        <v>CS3L2015V0Hydro_SV.dss</v>
      </c>
      <c r="K344" s="10" t="s">
        <v>2212</v>
      </c>
      <c r="L344" s="10" t="s">
        <v>2212</v>
      </c>
      <c r="M344" s="10" t="s">
        <v>2224</v>
      </c>
      <c r="N344" s="10" t="s">
        <v>2225</v>
      </c>
      <c r="O344" s="10" t="s">
        <v>2226</v>
      </c>
      <c r="P344" s="39" t="s">
        <v>2227</v>
      </c>
    </row>
    <row r="345" spans="2:16" ht="18" customHeight="1" x14ac:dyDescent="0.25">
      <c r="B345" s="21" t="s">
        <v>0</v>
      </c>
      <c r="C345" s="22" t="s">
        <v>648</v>
      </c>
      <c r="D345" s="22" t="s">
        <v>51</v>
      </c>
      <c r="E345" s="21" t="s">
        <v>2222</v>
      </c>
      <c r="F345" s="23" t="s">
        <v>3</v>
      </c>
      <c r="G345" s="23" t="s">
        <v>4</v>
      </c>
      <c r="H345" s="21" t="str">
        <f t="shared" si="5"/>
        <v>DP_03_INT/DEEP-PERCOLATION</v>
      </c>
      <c r="I345" s="24" t="s">
        <v>2223</v>
      </c>
      <c r="J345" s="10" t="str">
        <f>VLOOKUP(Table1[[#This Row],[UID]],CS3SVComposerConfig!$B$3:$D$1808,3,FALSE)</f>
        <v>CS3L2015V0Hydro_SV.dss</v>
      </c>
      <c r="K345" s="10" t="s">
        <v>2212</v>
      </c>
      <c r="L345" s="10" t="s">
        <v>2212</v>
      </c>
      <c r="M345" s="10" t="s">
        <v>2224</v>
      </c>
      <c r="N345" s="10" t="s">
        <v>2225</v>
      </c>
      <c r="O345" s="10" t="s">
        <v>2226</v>
      </c>
      <c r="P345" s="39" t="s">
        <v>2227</v>
      </c>
    </row>
    <row r="346" spans="2:16" ht="18" customHeight="1" x14ac:dyDescent="0.25">
      <c r="B346" s="21" t="s">
        <v>0</v>
      </c>
      <c r="C346" s="22" t="s">
        <v>649</v>
      </c>
      <c r="D346" s="22" t="s">
        <v>51</v>
      </c>
      <c r="E346" s="21" t="s">
        <v>2222</v>
      </c>
      <c r="F346" s="23" t="s">
        <v>3</v>
      </c>
      <c r="G346" s="23" t="s">
        <v>4</v>
      </c>
      <c r="H346" s="21" t="str">
        <f t="shared" si="5"/>
        <v>DP_04_INT/DEEP-PERCOLATION</v>
      </c>
      <c r="I346" s="24" t="s">
        <v>2223</v>
      </c>
      <c r="J346" s="10" t="str">
        <f>VLOOKUP(Table1[[#This Row],[UID]],CS3SVComposerConfig!$B$3:$D$1808,3,FALSE)</f>
        <v>CS3L2015V0Hydro_SV.dss</v>
      </c>
      <c r="K346" s="10" t="s">
        <v>2212</v>
      </c>
      <c r="L346" s="10" t="s">
        <v>2212</v>
      </c>
      <c r="M346" s="10" t="s">
        <v>2224</v>
      </c>
      <c r="N346" s="10" t="s">
        <v>2225</v>
      </c>
      <c r="O346" s="10" t="s">
        <v>2226</v>
      </c>
      <c r="P346" s="39" t="s">
        <v>2227</v>
      </c>
    </row>
    <row r="347" spans="2:16" ht="18" customHeight="1" x14ac:dyDescent="0.25">
      <c r="B347" s="21" t="s">
        <v>0</v>
      </c>
      <c r="C347" s="22" t="s">
        <v>650</v>
      </c>
      <c r="D347" s="22" t="s">
        <v>51</v>
      </c>
      <c r="E347" s="21" t="s">
        <v>2222</v>
      </c>
      <c r="F347" s="23" t="s">
        <v>3</v>
      </c>
      <c r="G347" s="23" t="s">
        <v>4</v>
      </c>
      <c r="H347" s="21" t="str">
        <f t="shared" si="5"/>
        <v>DP_05_INT/DEEP-PERCOLATION</v>
      </c>
      <c r="I347" s="24" t="s">
        <v>2223</v>
      </c>
      <c r="J347" s="10" t="str">
        <f>VLOOKUP(Table1[[#This Row],[UID]],CS3SVComposerConfig!$B$3:$D$1808,3,FALSE)</f>
        <v>CS3L2015V0Hydro_SV.dss</v>
      </c>
      <c r="K347" s="10" t="s">
        <v>2212</v>
      </c>
      <c r="L347" s="10" t="s">
        <v>2212</v>
      </c>
      <c r="M347" s="10" t="s">
        <v>2224</v>
      </c>
      <c r="N347" s="10" t="s">
        <v>2225</v>
      </c>
      <c r="O347" s="10" t="s">
        <v>2226</v>
      </c>
      <c r="P347" s="39" t="s">
        <v>2227</v>
      </c>
    </row>
    <row r="348" spans="2:16" ht="18" customHeight="1" x14ac:dyDescent="0.25">
      <c r="B348" s="21" t="s">
        <v>0</v>
      </c>
      <c r="C348" s="22" t="s">
        <v>651</v>
      </c>
      <c r="D348" s="22" t="s">
        <v>51</v>
      </c>
      <c r="E348" s="21" t="s">
        <v>2222</v>
      </c>
      <c r="F348" s="23" t="s">
        <v>3</v>
      </c>
      <c r="G348" s="23" t="s">
        <v>4</v>
      </c>
      <c r="H348" s="21" t="str">
        <f t="shared" si="5"/>
        <v>DP_06_INT/DEEP-PERCOLATION</v>
      </c>
      <c r="I348" s="24" t="s">
        <v>2223</v>
      </c>
      <c r="J348" s="10" t="str">
        <f>VLOOKUP(Table1[[#This Row],[UID]],CS3SVComposerConfig!$B$3:$D$1808,3,FALSE)</f>
        <v>CS3L2015V0Hydro_SV.dss</v>
      </c>
      <c r="K348" s="10" t="s">
        <v>2212</v>
      </c>
      <c r="L348" s="10" t="s">
        <v>2212</v>
      </c>
      <c r="M348" s="10" t="s">
        <v>2224</v>
      </c>
      <c r="N348" s="10" t="s">
        <v>2225</v>
      </c>
      <c r="O348" s="10" t="s">
        <v>2226</v>
      </c>
      <c r="P348" s="39" t="s">
        <v>2227</v>
      </c>
    </row>
    <row r="349" spans="2:16" ht="18" customHeight="1" x14ac:dyDescent="0.25">
      <c r="B349" s="21" t="s">
        <v>0</v>
      </c>
      <c r="C349" s="22" t="s">
        <v>652</v>
      </c>
      <c r="D349" s="22" t="s">
        <v>51</v>
      </c>
      <c r="E349" s="21" t="s">
        <v>2222</v>
      </c>
      <c r="F349" s="23" t="s">
        <v>3</v>
      </c>
      <c r="G349" s="23" t="s">
        <v>4</v>
      </c>
      <c r="H349" s="21" t="str">
        <f t="shared" si="5"/>
        <v>DP_07N_INT/DEEP-PERCOLATION</v>
      </c>
      <c r="I349" s="24" t="s">
        <v>2223</v>
      </c>
      <c r="J349" s="10" t="str">
        <f>VLOOKUP(Table1[[#This Row],[UID]],CS3SVComposerConfig!$B$3:$D$1808,3,FALSE)</f>
        <v>CS3L2015V0Hydro_SV.dss</v>
      </c>
      <c r="K349" s="10" t="s">
        <v>2212</v>
      </c>
      <c r="L349" s="10" t="s">
        <v>2212</v>
      </c>
      <c r="M349" s="10" t="s">
        <v>2224</v>
      </c>
      <c r="N349" s="10" t="s">
        <v>2225</v>
      </c>
      <c r="O349" s="10" t="s">
        <v>2226</v>
      </c>
      <c r="P349" s="39" t="s">
        <v>2227</v>
      </c>
    </row>
    <row r="350" spans="2:16" ht="18" customHeight="1" x14ac:dyDescent="0.25">
      <c r="B350" s="21" t="s">
        <v>0</v>
      </c>
      <c r="C350" s="22" t="s">
        <v>653</v>
      </c>
      <c r="D350" s="22" t="s">
        <v>51</v>
      </c>
      <c r="E350" s="21" t="s">
        <v>2222</v>
      </c>
      <c r="F350" s="23" t="s">
        <v>3</v>
      </c>
      <c r="G350" s="23" t="s">
        <v>4</v>
      </c>
      <c r="H350" s="21" t="str">
        <f t="shared" si="5"/>
        <v>DP_07S_INT/DEEP-PERCOLATION</v>
      </c>
      <c r="I350" s="24" t="s">
        <v>2223</v>
      </c>
      <c r="J350" s="10" t="str">
        <f>VLOOKUP(Table1[[#This Row],[UID]],CS3SVComposerConfig!$B$3:$D$1808,3,FALSE)</f>
        <v>CS3L2015V0Hydro_SV.dss</v>
      </c>
      <c r="K350" s="10" t="s">
        <v>2212</v>
      </c>
      <c r="L350" s="10" t="s">
        <v>2212</v>
      </c>
      <c r="M350" s="10" t="s">
        <v>2224</v>
      </c>
      <c r="N350" s="10" t="s">
        <v>2225</v>
      </c>
      <c r="O350" s="10" t="s">
        <v>2226</v>
      </c>
      <c r="P350" s="39" t="s">
        <v>2227</v>
      </c>
    </row>
    <row r="351" spans="2:16" ht="18" customHeight="1" x14ac:dyDescent="0.25">
      <c r="B351" s="21" t="s">
        <v>0</v>
      </c>
      <c r="C351" s="22" t="s">
        <v>654</v>
      </c>
      <c r="D351" s="22" t="s">
        <v>51</v>
      </c>
      <c r="E351" s="21" t="s">
        <v>2222</v>
      </c>
      <c r="F351" s="23" t="s">
        <v>3</v>
      </c>
      <c r="G351" s="23" t="s">
        <v>4</v>
      </c>
      <c r="H351" s="21" t="str">
        <f t="shared" si="5"/>
        <v>DP_08N_INT/DEEP-PERCOLATION</v>
      </c>
      <c r="I351" s="24" t="s">
        <v>2223</v>
      </c>
      <c r="J351" s="10" t="str">
        <f>VLOOKUP(Table1[[#This Row],[UID]],CS3SVComposerConfig!$B$3:$D$1808,3,FALSE)</f>
        <v>CS3L2015V0Hydro_SV.dss</v>
      </c>
      <c r="K351" s="10" t="s">
        <v>2212</v>
      </c>
      <c r="L351" s="10" t="s">
        <v>2212</v>
      </c>
      <c r="M351" s="10" t="s">
        <v>2224</v>
      </c>
      <c r="N351" s="10" t="s">
        <v>2225</v>
      </c>
      <c r="O351" s="10" t="s">
        <v>2226</v>
      </c>
      <c r="P351" s="39" t="s">
        <v>2227</v>
      </c>
    </row>
    <row r="352" spans="2:16" ht="18" customHeight="1" x14ac:dyDescent="0.25">
      <c r="B352" s="21" t="s">
        <v>0</v>
      </c>
      <c r="C352" s="22" t="s">
        <v>655</v>
      </c>
      <c r="D352" s="22" t="s">
        <v>51</v>
      </c>
      <c r="E352" s="21" t="s">
        <v>2222</v>
      </c>
      <c r="F352" s="23" t="s">
        <v>3</v>
      </c>
      <c r="G352" s="23" t="s">
        <v>4</v>
      </c>
      <c r="H352" s="21" t="str">
        <f t="shared" si="5"/>
        <v>DP_08S_INT/DEEP-PERCOLATION</v>
      </c>
      <c r="I352" s="24" t="s">
        <v>2223</v>
      </c>
      <c r="J352" s="10" t="str">
        <f>VLOOKUP(Table1[[#This Row],[UID]],CS3SVComposerConfig!$B$3:$D$1808,3,FALSE)</f>
        <v>CS3L2015V0Hydro_SV.dss</v>
      </c>
      <c r="K352" s="10" t="s">
        <v>2212</v>
      </c>
      <c r="L352" s="10" t="s">
        <v>2212</v>
      </c>
      <c r="M352" s="10" t="s">
        <v>2224</v>
      </c>
      <c r="N352" s="10" t="s">
        <v>2225</v>
      </c>
      <c r="O352" s="10" t="s">
        <v>2226</v>
      </c>
      <c r="P352" s="39" t="s">
        <v>2227</v>
      </c>
    </row>
    <row r="353" spans="2:16" ht="18" customHeight="1" x14ac:dyDescent="0.25">
      <c r="B353" s="21" t="s">
        <v>0</v>
      </c>
      <c r="C353" s="22" t="s">
        <v>656</v>
      </c>
      <c r="D353" s="22" t="s">
        <v>51</v>
      </c>
      <c r="E353" s="21" t="s">
        <v>2222</v>
      </c>
      <c r="F353" s="23" t="s">
        <v>3</v>
      </c>
      <c r="G353" s="23" t="s">
        <v>4</v>
      </c>
      <c r="H353" s="21" t="str">
        <f t="shared" si="5"/>
        <v>DP_09_INT/DEEP-PERCOLATION</v>
      </c>
      <c r="I353" s="24" t="s">
        <v>2223</v>
      </c>
      <c r="J353" s="10" t="str">
        <f>VLOOKUP(Table1[[#This Row],[UID]],CS3SVComposerConfig!$B$3:$D$1808,3,FALSE)</f>
        <v>CS3L2015V0Hydro_SV.dss</v>
      </c>
      <c r="K353" s="10" t="s">
        <v>2212</v>
      </c>
      <c r="L353" s="10" t="s">
        <v>2212</v>
      </c>
      <c r="M353" s="10" t="s">
        <v>2224</v>
      </c>
      <c r="N353" s="10" t="s">
        <v>2225</v>
      </c>
      <c r="O353" s="10" t="s">
        <v>2226</v>
      </c>
      <c r="P353" s="39" t="s">
        <v>2227</v>
      </c>
    </row>
    <row r="354" spans="2:16" ht="18" customHeight="1" x14ac:dyDescent="0.25">
      <c r="B354" s="21" t="s">
        <v>0</v>
      </c>
      <c r="C354" s="22" t="s">
        <v>657</v>
      </c>
      <c r="D354" s="22" t="s">
        <v>51</v>
      </c>
      <c r="E354" s="21" t="s">
        <v>2222</v>
      </c>
      <c r="F354" s="23" t="s">
        <v>3</v>
      </c>
      <c r="G354" s="23" t="s">
        <v>4</v>
      </c>
      <c r="H354" s="21" t="str">
        <f t="shared" si="5"/>
        <v>DP_10_INT/DEEP-PERCOLATION</v>
      </c>
      <c r="I354" s="24" t="s">
        <v>2223</v>
      </c>
      <c r="J354" s="10" t="str">
        <f>VLOOKUP(Table1[[#This Row],[UID]],CS3SVComposerConfig!$B$3:$D$1808,3,FALSE)</f>
        <v>CS3L2015V0Hydro_SV.dss</v>
      </c>
      <c r="K354" s="10" t="s">
        <v>2212</v>
      </c>
      <c r="L354" s="10" t="s">
        <v>2212</v>
      </c>
      <c r="M354" s="10" t="s">
        <v>2224</v>
      </c>
      <c r="N354" s="10" t="s">
        <v>2225</v>
      </c>
      <c r="O354" s="10" t="s">
        <v>2226</v>
      </c>
      <c r="P354" s="39" t="s">
        <v>2227</v>
      </c>
    </row>
    <row r="355" spans="2:16" ht="18" customHeight="1" x14ac:dyDescent="0.25">
      <c r="B355" s="21" t="s">
        <v>0</v>
      </c>
      <c r="C355" s="22" t="s">
        <v>658</v>
      </c>
      <c r="D355" s="22" t="s">
        <v>51</v>
      </c>
      <c r="E355" s="21" t="s">
        <v>2222</v>
      </c>
      <c r="F355" s="23" t="s">
        <v>3</v>
      </c>
      <c r="G355" s="23" t="s">
        <v>4</v>
      </c>
      <c r="H355" s="21" t="str">
        <f t="shared" si="5"/>
        <v>DP_11_INT/DEEP-PERCOLATION</v>
      </c>
      <c r="I355" s="24" t="s">
        <v>2223</v>
      </c>
      <c r="J355" s="10" t="str">
        <f>VLOOKUP(Table1[[#This Row],[UID]],CS3SVComposerConfig!$B$3:$D$1808,3,FALSE)</f>
        <v>CS3L2015V0Hydro_SV.dss</v>
      </c>
      <c r="K355" s="10" t="s">
        <v>2212</v>
      </c>
      <c r="L355" s="10" t="s">
        <v>2212</v>
      </c>
      <c r="M355" s="10" t="s">
        <v>2224</v>
      </c>
      <c r="N355" s="10" t="s">
        <v>2225</v>
      </c>
      <c r="O355" s="10" t="s">
        <v>2226</v>
      </c>
      <c r="P355" s="39" t="s">
        <v>2227</v>
      </c>
    </row>
    <row r="356" spans="2:16" ht="18" customHeight="1" x14ac:dyDescent="0.25">
      <c r="B356" s="21" t="s">
        <v>0</v>
      </c>
      <c r="C356" s="22" t="s">
        <v>659</v>
      </c>
      <c r="D356" s="22" t="s">
        <v>51</v>
      </c>
      <c r="E356" s="21" t="s">
        <v>2222</v>
      </c>
      <c r="F356" s="23" t="s">
        <v>3</v>
      </c>
      <c r="G356" s="23" t="s">
        <v>4</v>
      </c>
      <c r="H356" s="21" t="str">
        <f t="shared" si="5"/>
        <v>DP_12_INT/DEEP-PERCOLATION</v>
      </c>
      <c r="I356" s="24" t="s">
        <v>2223</v>
      </c>
      <c r="J356" s="10" t="str">
        <f>VLOOKUP(Table1[[#This Row],[UID]],CS3SVComposerConfig!$B$3:$D$1808,3,FALSE)</f>
        <v>CS3L2015V0Hydro_SV.dss</v>
      </c>
      <c r="K356" s="10" t="s">
        <v>2212</v>
      </c>
      <c r="L356" s="10" t="s">
        <v>2212</v>
      </c>
      <c r="M356" s="10" t="s">
        <v>2224</v>
      </c>
      <c r="N356" s="10" t="s">
        <v>2225</v>
      </c>
      <c r="O356" s="10" t="s">
        <v>2226</v>
      </c>
      <c r="P356" s="39" t="s">
        <v>2227</v>
      </c>
    </row>
    <row r="357" spans="2:16" ht="18" customHeight="1" x14ac:dyDescent="0.25">
      <c r="B357" s="21" t="s">
        <v>0</v>
      </c>
      <c r="C357" s="22" t="s">
        <v>660</v>
      </c>
      <c r="D357" s="22" t="s">
        <v>51</v>
      </c>
      <c r="E357" s="21" t="s">
        <v>2222</v>
      </c>
      <c r="F357" s="23" t="s">
        <v>3</v>
      </c>
      <c r="G357" s="23" t="s">
        <v>4</v>
      </c>
      <c r="H357" s="21" t="str">
        <f t="shared" si="5"/>
        <v>DP_13_INT/DEEP-PERCOLATION</v>
      </c>
      <c r="I357" s="24" t="s">
        <v>2223</v>
      </c>
      <c r="J357" s="10" t="str">
        <f>VLOOKUP(Table1[[#This Row],[UID]],CS3SVComposerConfig!$B$3:$D$1808,3,FALSE)</f>
        <v>CS3L2015V0Hydro_SV.dss</v>
      </c>
      <c r="K357" s="10" t="s">
        <v>2212</v>
      </c>
      <c r="L357" s="10" t="s">
        <v>2212</v>
      </c>
      <c r="M357" s="10" t="s">
        <v>2224</v>
      </c>
      <c r="N357" s="10" t="s">
        <v>2225</v>
      </c>
      <c r="O357" s="10" t="s">
        <v>2226</v>
      </c>
      <c r="P357" s="39" t="s">
        <v>2227</v>
      </c>
    </row>
    <row r="358" spans="2:16" ht="18" customHeight="1" x14ac:dyDescent="0.25">
      <c r="B358" s="21" t="s">
        <v>0</v>
      </c>
      <c r="C358" s="22" t="s">
        <v>661</v>
      </c>
      <c r="D358" s="22" t="s">
        <v>51</v>
      </c>
      <c r="E358" s="21" t="s">
        <v>2222</v>
      </c>
      <c r="F358" s="23" t="s">
        <v>3</v>
      </c>
      <c r="G358" s="23" t="s">
        <v>4</v>
      </c>
      <c r="H358" s="21" t="str">
        <f t="shared" si="5"/>
        <v>DP_14_INT/DEEP-PERCOLATION</v>
      </c>
      <c r="I358" s="24" t="s">
        <v>2223</v>
      </c>
      <c r="J358" s="10" t="str">
        <f>VLOOKUP(Table1[[#This Row],[UID]],CS3SVComposerConfig!$B$3:$D$1808,3,FALSE)</f>
        <v>CS3L2015V0Hydro_SV.dss</v>
      </c>
      <c r="K358" s="10" t="s">
        <v>2212</v>
      </c>
      <c r="L358" s="10" t="s">
        <v>2212</v>
      </c>
      <c r="M358" s="10" t="s">
        <v>2224</v>
      </c>
      <c r="N358" s="10" t="s">
        <v>2225</v>
      </c>
      <c r="O358" s="10" t="s">
        <v>2226</v>
      </c>
      <c r="P358" s="39" t="s">
        <v>2227</v>
      </c>
    </row>
    <row r="359" spans="2:16" ht="18" customHeight="1" x14ac:dyDescent="0.25">
      <c r="B359" s="21" t="s">
        <v>0</v>
      </c>
      <c r="C359" s="22" t="s">
        <v>662</v>
      </c>
      <c r="D359" s="22" t="s">
        <v>51</v>
      </c>
      <c r="E359" s="21" t="s">
        <v>2222</v>
      </c>
      <c r="F359" s="23" t="s">
        <v>3</v>
      </c>
      <c r="G359" s="23" t="s">
        <v>4</v>
      </c>
      <c r="H359" s="21" t="str">
        <f t="shared" si="5"/>
        <v>DP_15N_INT/DEEP-PERCOLATION</v>
      </c>
      <c r="I359" s="24" t="s">
        <v>2223</v>
      </c>
      <c r="J359" s="10" t="str">
        <f>VLOOKUP(Table1[[#This Row],[UID]],CS3SVComposerConfig!$B$3:$D$1808,3,FALSE)</f>
        <v>CS3L2015V0Hydro_SV.dss</v>
      </c>
      <c r="K359" s="10" t="s">
        <v>2212</v>
      </c>
      <c r="L359" s="10" t="s">
        <v>2212</v>
      </c>
      <c r="M359" s="10" t="s">
        <v>2224</v>
      </c>
      <c r="N359" s="10" t="s">
        <v>2225</v>
      </c>
      <c r="O359" s="10" t="s">
        <v>2226</v>
      </c>
      <c r="P359" s="39" t="s">
        <v>2227</v>
      </c>
    </row>
    <row r="360" spans="2:16" ht="18" customHeight="1" x14ac:dyDescent="0.25">
      <c r="B360" s="21" t="s">
        <v>0</v>
      </c>
      <c r="C360" s="22" t="s">
        <v>663</v>
      </c>
      <c r="D360" s="22" t="s">
        <v>51</v>
      </c>
      <c r="E360" s="21" t="s">
        <v>2222</v>
      </c>
      <c r="F360" s="23" t="s">
        <v>3</v>
      </c>
      <c r="G360" s="23" t="s">
        <v>4</v>
      </c>
      <c r="H360" s="21" t="str">
        <f t="shared" si="5"/>
        <v>DP_15S_INT/DEEP-PERCOLATION</v>
      </c>
      <c r="I360" s="24" t="s">
        <v>2223</v>
      </c>
      <c r="J360" s="10" t="str">
        <f>VLOOKUP(Table1[[#This Row],[UID]],CS3SVComposerConfig!$B$3:$D$1808,3,FALSE)</f>
        <v>CS3L2015V0Hydro_SV.dss</v>
      </c>
      <c r="K360" s="10" t="s">
        <v>2212</v>
      </c>
      <c r="L360" s="10" t="s">
        <v>2212</v>
      </c>
      <c r="M360" s="10" t="s">
        <v>2224</v>
      </c>
      <c r="N360" s="10" t="s">
        <v>2225</v>
      </c>
      <c r="O360" s="10" t="s">
        <v>2226</v>
      </c>
      <c r="P360" s="39" t="s">
        <v>2227</v>
      </c>
    </row>
    <row r="361" spans="2:16" ht="18" customHeight="1" x14ac:dyDescent="0.25">
      <c r="B361" s="21" t="s">
        <v>0</v>
      </c>
      <c r="C361" s="22" t="s">
        <v>664</v>
      </c>
      <c r="D361" s="22" t="s">
        <v>51</v>
      </c>
      <c r="E361" s="21" t="s">
        <v>2222</v>
      </c>
      <c r="F361" s="23" t="s">
        <v>3</v>
      </c>
      <c r="G361" s="23" t="s">
        <v>4</v>
      </c>
      <c r="H361" s="21" t="str">
        <f t="shared" si="5"/>
        <v>DP_16_INT/DEEP-PERCOLATION</v>
      </c>
      <c r="I361" s="24" t="s">
        <v>2223</v>
      </c>
      <c r="J361" s="10" t="str">
        <f>VLOOKUP(Table1[[#This Row],[UID]],CS3SVComposerConfig!$B$3:$D$1808,3,FALSE)</f>
        <v>CS3L2015V0Hydro_SV.dss</v>
      </c>
      <c r="K361" s="10" t="s">
        <v>2212</v>
      </c>
      <c r="L361" s="10" t="s">
        <v>2212</v>
      </c>
      <c r="M361" s="10" t="s">
        <v>2224</v>
      </c>
      <c r="N361" s="10" t="s">
        <v>2225</v>
      </c>
      <c r="O361" s="10" t="s">
        <v>2226</v>
      </c>
      <c r="P361" s="39" t="s">
        <v>2227</v>
      </c>
    </row>
    <row r="362" spans="2:16" ht="18" customHeight="1" x14ac:dyDescent="0.25">
      <c r="B362" s="21" t="s">
        <v>0</v>
      </c>
      <c r="C362" s="22" t="s">
        <v>665</v>
      </c>
      <c r="D362" s="22" t="s">
        <v>51</v>
      </c>
      <c r="E362" s="21" t="s">
        <v>2222</v>
      </c>
      <c r="F362" s="23" t="s">
        <v>3</v>
      </c>
      <c r="G362" s="23" t="s">
        <v>4</v>
      </c>
      <c r="H362" s="21" t="str">
        <f t="shared" si="5"/>
        <v>DP_17N_INT/DEEP-PERCOLATION</v>
      </c>
      <c r="I362" s="24" t="s">
        <v>2223</v>
      </c>
      <c r="J362" s="10" t="str">
        <f>VLOOKUP(Table1[[#This Row],[UID]],CS3SVComposerConfig!$B$3:$D$1808,3,FALSE)</f>
        <v>CS3L2015V0Hydro_SV.dss</v>
      </c>
      <c r="K362" s="10" t="s">
        <v>2212</v>
      </c>
      <c r="L362" s="10" t="s">
        <v>2212</v>
      </c>
      <c r="M362" s="10" t="s">
        <v>2224</v>
      </c>
      <c r="N362" s="10" t="s">
        <v>2225</v>
      </c>
      <c r="O362" s="10" t="s">
        <v>2226</v>
      </c>
      <c r="P362" s="39" t="s">
        <v>2227</v>
      </c>
    </row>
    <row r="363" spans="2:16" ht="18" customHeight="1" x14ac:dyDescent="0.25">
      <c r="B363" s="21" t="s">
        <v>0</v>
      </c>
      <c r="C363" s="22" t="s">
        <v>666</v>
      </c>
      <c r="D363" s="22" t="s">
        <v>51</v>
      </c>
      <c r="E363" s="21" t="s">
        <v>2222</v>
      </c>
      <c r="F363" s="23" t="s">
        <v>3</v>
      </c>
      <c r="G363" s="23" t="s">
        <v>4</v>
      </c>
      <c r="H363" s="21" t="str">
        <f t="shared" si="5"/>
        <v>DP_17S_INT/DEEP-PERCOLATION</v>
      </c>
      <c r="I363" s="24" t="s">
        <v>2223</v>
      </c>
      <c r="J363" s="10" t="str">
        <f>VLOOKUP(Table1[[#This Row],[UID]],CS3SVComposerConfig!$B$3:$D$1808,3,FALSE)</f>
        <v>CS3L2015V0Hydro_SV.dss</v>
      </c>
      <c r="K363" s="10" t="s">
        <v>2212</v>
      </c>
      <c r="L363" s="10" t="s">
        <v>2212</v>
      </c>
      <c r="M363" s="10" t="s">
        <v>2224</v>
      </c>
      <c r="N363" s="10" t="s">
        <v>2225</v>
      </c>
      <c r="O363" s="10" t="s">
        <v>2226</v>
      </c>
      <c r="P363" s="39" t="s">
        <v>2227</v>
      </c>
    </row>
    <row r="364" spans="2:16" ht="18" customHeight="1" x14ac:dyDescent="0.25">
      <c r="B364" s="21" t="s">
        <v>0</v>
      </c>
      <c r="C364" s="22" t="s">
        <v>667</v>
      </c>
      <c r="D364" s="22" t="s">
        <v>51</v>
      </c>
      <c r="E364" s="21" t="s">
        <v>2222</v>
      </c>
      <c r="F364" s="23" t="s">
        <v>3</v>
      </c>
      <c r="G364" s="23" t="s">
        <v>4</v>
      </c>
      <c r="H364" s="21" t="str">
        <f t="shared" si="5"/>
        <v>DP_18_INT/DEEP-PERCOLATION</v>
      </c>
      <c r="I364" s="24" t="s">
        <v>2223</v>
      </c>
      <c r="J364" s="10" t="str">
        <f>VLOOKUP(Table1[[#This Row],[UID]],CS3SVComposerConfig!$B$3:$D$1808,3,FALSE)</f>
        <v>CS3L2015V0Hydro_SV.dss</v>
      </c>
      <c r="K364" s="10" t="s">
        <v>2212</v>
      </c>
      <c r="L364" s="10" t="s">
        <v>2212</v>
      </c>
      <c r="M364" s="10" t="s">
        <v>2224</v>
      </c>
      <c r="N364" s="10" t="s">
        <v>2225</v>
      </c>
      <c r="O364" s="10" t="s">
        <v>2226</v>
      </c>
      <c r="P364" s="39" t="s">
        <v>2227</v>
      </c>
    </row>
    <row r="365" spans="2:16" ht="18" customHeight="1" x14ac:dyDescent="0.25">
      <c r="B365" s="21" t="s">
        <v>0</v>
      </c>
      <c r="C365" s="22" t="s">
        <v>668</v>
      </c>
      <c r="D365" s="22" t="s">
        <v>51</v>
      </c>
      <c r="E365" s="21" t="s">
        <v>2222</v>
      </c>
      <c r="F365" s="23" t="s">
        <v>3</v>
      </c>
      <c r="G365" s="23" t="s">
        <v>4</v>
      </c>
      <c r="H365" s="21" t="str">
        <f t="shared" si="5"/>
        <v>DP_19_INT/DEEP-PERCOLATION</v>
      </c>
      <c r="I365" s="24" t="s">
        <v>2223</v>
      </c>
      <c r="J365" s="10" t="str">
        <f>VLOOKUP(Table1[[#This Row],[UID]],CS3SVComposerConfig!$B$3:$D$1808,3,FALSE)</f>
        <v>CS3L2015V0Hydro_SV.dss</v>
      </c>
      <c r="K365" s="10" t="s">
        <v>2212</v>
      </c>
      <c r="L365" s="10" t="s">
        <v>2212</v>
      </c>
      <c r="M365" s="10" t="s">
        <v>2224</v>
      </c>
      <c r="N365" s="10" t="s">
        <v>2225</v>
      </c>
      <c r="O365" s="10" t="s">
        <v>2226</v>
      </c>
      <c r="P365" s="39" t="s">
        <v>2227</v>
      </c>
    </row>
    <row r="366" spans="2:16" ht="18" customHeight="1" x14ac:dyDescent="0.25">
      <c r="B366" s="21" t="s">
        <v>0</v>
      </c>
      <c r="C366" s="22" t="s">
        <v>669</v>
      </c>
      <c r="D366" s="22" t="s">
        <v>51</v>
      </c>
      <c r="E366" s="21" t="s">
        <v>2222</v>
      </c>
      <c r="F366" s="23" t="s">
        <v>3</v>
      </c>
      <c r="G366" s="23" t="s">
        <v>4</v>
      </c>
      <c r="H366" s="21" t="str">
        <f t="shared" si="5"/>
        <v>DP_20_INT/DEEP-PERCOLATION</v>
      </c>
      <c r="I366" s="24" t="s">
        <v>2223</v>
      </c>
      <c r="J366" s="10" t="str">
        <f>VLOOKUP(Table1[[#This Row],[UID]],CS3SVComposerConfig!$B$3:$D$1808,3,FALSE)</f>
        <v>CS3L2015V0Hydro_SV.dss</v>
      </c>
      <c r="K366" s="10" t="s">
        <v>2212</v>
      </c>
      <c r="L366" s="10" t="s">
        <v>2212</v>
      </c>
      <c r="M366" s="10" t="s">
        <v>2224</v>
      </c>
      <c r="N366" s="10" t="s">
        <v>2225</v>
      </c>
      <c r="O366" s="10" t="s">
        <v>2226</v>
      </c>
      <c r="P366" s="39" t="s">
        <v>2227</v>
      </c>
    </row>
    <row r="367" spans="2:16" ht="18" customHeight="1" x14ac:dyDescent="0.25">
      <c r="B367" s="21" t="s">
        <v>0</v>
      </c>
      <c r="C367" s="22" t="s">
        <v>670</v>
      </c>
      <c r="D367" s="22" t="s">
        <v>51</v>
      </c>
      <c r="E367" s="21" t="s">
        <v>2222</v>
      </c>
      <c r="F367" s="23" t="s">
        <v>3</v>
      </c>
      <c r="G367" s="23" t="s">
        <v>4</v>
      </c>
      <c r="H367" s="21" t="str">
        <f t="shared" si="5"/>
        <v>DP_21_INT/DEEP-PERCOLATION</v>
      </c>
      <c r="I367" s="24" t="s">
        <v>2223</v>
      </c>
      <c r="J367" s="10" t="str">
        <f>VLOOKUP(Table1[[#This Row],[UID]],CS3SVComposerConfig!$B$3:$D$1808,3,FALSE)</f>
        <v>CS3L2015V0Hydro_SV.dss</v>
      </c>
      <c r="K367" s="10" t="s">
        <v>2212</v>
      </c>
      <c r="L367" s="10" t="s">
        <v>2212</v>
      </c>
      <c r="M367" s="10" t="s">
        <v>2224</v>
      </c>
      <c r="N367" s="10" t="s">
        <v>2225</v>
      </c>
      <c r="O367" s="10" t="s">
        <v>2226</v>
      </c>
      <c r="P367" s="39" t="s">
        <v>2227</v>
      </c>
    </row>
    <row r="368" spans="2:16" ht="18" customHeight="1" x14ac:dyDescent="0.25">
      <c r="B368" s="21" t="s">
        <v>0</v>
      </c>
      <c r="C368" s="22" t="s">
        <v>671</v>
      </c>
      <c r="D368" s="22" t="s">
        <v>51</v>
      </c>
      <c r="E368" s="21" t="s">
        <v>2222</v>
      </c>
      <c r="F368" s="23" t="s">
        <v>3</v>
      </c>
      <c r="G368" s="23" t="s">
        <v>4</v>
      </c>
      <c r="H368" s="21" t="str">
        <f t="shared" si="5"/>
        <v>DP_22_INT/DEEP-PERCOLATION</v>
      </c>
      <c r="I368" s="24" t="s">
        <v>2223</v>
      </c>
      <c r="J368" s="10" t="str">
        <f>VLOOKUP(Table1[[#This Row],[UID]],CS3SVComposerConfig!$B$3:$D$1808,3,FALSE)</f>
        <v>CS3L2015V0Hydro_SV.dss</v>
      </c>
      <c r="K368" s="10" t="s">
        <v>2212</v>
      </c>
      <c r="L368" s="10" t="s">
        <v>2212</v>
      </c>
      <c r="M368" s="10" t="s">
        <v>2224</v>
      </c>
      <c r="N368" s="10" t="s">
        <v>2225</v>
      </c>
      <c r="O368" s="10" t="s">
        <v>2226</v>
      </c>
      <c r="P368" s="39" t="s">
        <v>2227</v>
      </c>
    </row>
    <row r="369" spans="2:16" ht="18" customHeight="1" x14ac:dyDescent="0.25">
      <c r="B369" s="21" t="s">
        <v>0</v>
      </c>
      <c r="C369" s="22" t="s">
        <v>672</v>
      </c>
      <c r="D369" s="22" t="s">
        <v>51</v>
      </c>
      <c r="E369" s="21" t="s">
        <v>2222</v>
      </c>
      <c r="F369" s="23" t="s">
        <v>3</v>
      </c>
      <c r="G369" s="23" t="s">
        <v>4</v>
      </c>
      <c r="H369" s="21" t="str">
        <f t="shared" si="5"/>
        <v>DP_23_INT/DEEP-PERCOLATION</v>
      </c>
      <c r="I369" s="24" t="s">
        <v>2223</v>
      </c>
      <c r="J369" s="10" t="str">
        <f>VLOOKUP(Table1[[#This Row],[UID]],CS3SVComposerConfig!$B$3:$D$1808,3,FALSE)</f>
        <v>CS3L2015V0Hydro_SV.dss</v>
      </c>
      <c r="K369" s="10" t="s">
        <v>2212</v>
      </c>
      <c r="L369" s="10" t="s">
        <v>2212</v>
      </c>
      <c r="M369" s="10" t="s">
        <v>2224</v>
      </c>
      <c r="N369" s="10" t="s">
        <v>2225</v>
      </c>
      <c r="O369" s="10" t="s">
        <v>2226</v>
      </c>
      <c r="P369" s="39" t="s">
        <v>2227</v>
      </c>
    </row>
    <row r="370" spans="2:16" ht="18" customHeight="1" x14ac:dyDescent="0.25">
      <c r="B370" s="21" t="s">
        <v>0</v>
      </c>
      <c r="C370" s="22" t="s">
        <v>673</v>
      </c>
      <c r="D370" s="22" t="s">
        <v>51</v>
      </c>
      <c r="E370" s="21" t="s">
        <v>2222</v>
      </c>
      <c r="F370" s="23" t="s">
        <v>3</v>
      </c>
      <c r="G370" s="23" t="s">
        <v>4</v>
      </c>
      <c r="H370" s="21" t="str">
        <f t="shared" si="5"/>
        <v>DP_24_INT/DEEP-PERCOLATION</v>
      </c>
      <c r="I370" s="24" t="s">
        <v>2223</v>
      </c>
      <c r="J370" s="10" t="str">
        <f>VLOOKUP(Table1[[#This Row],[UID]],CS3SVComposerConfig!$B$3:$D$1808,3,FALSE)</f>
        <v>CS3L2015V0Hydro_SV.dss</v>
      </c>
      <c r="K370" s="10" t="s">
        <v>2212</v>
      </c>
      <c r="L370" s="10" t="s">
        <v>2212</v>
      </c>
      <c r="M370" s="10" t="s">
        <v>2224</v>
      </c>
      <c r="N370" s="10" t="s">
        <v>2225</v>
      </c>
      <c r="O370" s="10" t="s">
        <v>2226</v>
      </c>
      <c r="P370" s="39" t="s">
        <v>2227</v>
      </c>
    </row>
    <row r="371" spans="2:16" ht="18" customHeight="1" x14ac:dyDescent="0.25">
      <c r="B371" s="21" t="s">
        <v>0</v>
      </c>
      <c r="C371" s="22" t="s">
        <v>674</v>
      </c>
      <c r="D371" s="22" t="s">
        <v>51</v>
      </c>
      <c r="E371" s="21" t="s">
        <v>2222</v>
      </c>
      <c r="F371" s="23" t="s">
        <v>3</v>
      </c>
      <c r="G371" s="23" t="s">
        <v>4</v>
      </c>
      <c r="H371" s="21" t="str">
        <f t="shared" si="5"/>
        <v>DP_25_INT/DEEP-PERCOLATION</v>
      </c>
      <c r="I371" s="24" t="s">
        <v>2223</v>
      </c>
      <c r="J371" s="10" t="str">
        <f>VLOOKUP(Table1[[#This Row],[UID]],CS3SVComposerConfig!$B$3:$D$1808,3,FALSE)</f>
        <v>CS3L2015V0Hydro_SV.dss</v>
      </c>
      <c r="K371" s="10" t="s">
        <v>2212</v>
      </c>
      <c r="L371" s="10" t="s">
        <v>2212</v>
      </c>
      <c r="M371" s="10" t="s">
        <v>2224</v>
      </c>
      <c r="N371" s="10" t="s">
        <v>2225</v>
      </c>
      <c r="O371" s="10" t="s">
        <v>2226</v>
      </c>
      <c r="P371" s="39" t="s">
        <v>2227</v>
      </c>
    </row>
    <row r="372" spans="2:16" ht="18" customHeight="1" x14ac:dyDescent="0.25">
      <c r="B372" s="21" t="s">
        <v>0</v>
      </c>
      <c r="C372" s="22" t="s">
        <v>675</v>
      </c>
      <c r="D372" s="22" t="s">
        <v>51</v>
      </c>
      <c r="E372" s="21" t="s">
        <v>2222</v>
      </c>
      <c r="F372" s="23" t="s">
        <v>3</v>
      </c>
      <c r="G372" s="23" t="s">
        <v>4</v>
      </c>
      <c r="H372" s="21" t="str">
        <f t="shared" si="5"/>
        <v>DP_26N_INT/DEEP-PERCOLATION</v>
      </c>
      <c r="I372" s="24" t="s">
        <v>2223</v>
      </c>
      <c r="J372" s="10" t="str">
        <f>VLOOKUP(Table1[[#This Row],[UID]],CS3SVComposerConfig!$B$3:$D$1808,3,FALSE)</f>
        <v>CS3L2015V0Hydro_SV.dss</v>
      </c>
      <c r="K372" s="10" t="s">
        <v>2212</v>
      </c>
      <c r="L372" s="10" t="s">
        <v>2212</v>
      </c>
      <c r="M372" s="10" t="s">
        <v>2224</v>
      </c>
      <c r="N372" s="10" t="s">
        <v>2225</v>
      </c>
      <c r="O372" s="10" t="s">
        <v>2226</v>
      </c>
      <c r="P372" s="39" t="s">
        <v>2227</v>
      </c>
    </row>
    <row r="373" spans="2:16" ht="18" customHeight="1" x14ac:dyDescent="0.25">
      <c r="B373" s="21" t="s">
        <v>0</v>
      </c>
      <c r="C373" s="22" t="s">
        <v>676</v>
      </c>
      <c r="D373" s="22" t="s">
        <v>51</v>
      </c>
      <c r="E373" s="21" t="s">
        <v>2222</v>
      </c>
      <c r="F373" s="23" t="s">
        <v>3</v>
      </c>
      <c r="G373" s="23" t="s">
        <v>4</v>
      </c>
      <c r="H373" s="21" t="str">
        <f t="shared" si="5"/>
        <v>DP_26S_INT/DEEP-PERCOLATION</v>
      </c>
      <c r="I373" s="24" t="s">
        <v>2223</v>
      </c>
      <c r="J373" s="10" t="str">
        <f>VLOOKUP(Table1[[#This Row],[UID]],CS3SVComposerConfig!$B$3:$D$1808,3,FALSE)</f>
        <v>CS3L2015V0Hydro_SV.dss</v>
      </c>
      <c r="K373" s="10" t="s">
        <v>2212</v>
      </c>
      <c r="L373" s="10" t="s">
        <v>2212</v>
      </c>
      <c r="M373" s="10" t="s">
        <v>2224</v>
      </c>
      <c r="N373" s="10" t="s">
        <v>2225</v>
      </c>
      <c r="O373" s="10" t="s">
        <v>2226</v>
      </c>
      <c r="P373" s="39" t="s">
        <v>2227</v>
      </c>
    </row>
    <row r="374" spans="2:16" ht="18" customHeight="1" x14ac:dyDescent="0.25">
      <c r="B374" s="21" t="s">
        <v>0</v>
      </c>
      <c r="C374" s="22" t="s">
        <v>677</v>
      </c>
      <c r="D374" s="22" t="s">
        <v>51</v>
      </c>
      <c r="E374" s="21" t="s">
        <v>2222</v>
      </c>
      <c r="F374" s="23" t="s">
        <v>3</v>
      </c>
      <c r="G374" s="23" t="s">
        <v>4</v>
      </c>
      <c r="H374" s="21" t="str">
        <f t="shared" si="5"/>
        <v>DP_50_INT/DEEP-PERCOLATION</v>
      </c>
      <c r="I374" s="24" t="s">
        <v>2223</v>
      </c>
      <c r="J374" s="10" t="str">
        <f>VLOOKUP(Table1[[#This Row],[UID]],CS3SVComposerConfig!$B$3:$D$1808,3,FALSE)</f>
        <v>RebalancedSJR_AW_TW_DP.dss</v>
      </c>
      <c r="K374" s="10" t="s">
        <v>2212</v>
      </c>
      <c r="L374" s="10" t="s">
        <v>2212</v>
      </c>
      <c r="M374" s="10" t="s">
        <v>2224</v>
      </c>
      <c r="N374" s="10" t="s">
        <v>2225</v>
      </c>
      <c r="O374" s="10" t="s">
        <v>2226</v>
      </c>
      <c r="P374" s="39" t="s">
        <v>2227</v>
      </c>
    </row>
    <row r="375" spans="2:16" ht="18" customHeight="1" x14ac:dyDescent="0.25">
      <c r="B375" s="21" t="s">
        <v>0</v>
      </c>
      <c r="C375" s="22" t="s">
        <v>678</v>
      </c>
      <c r="D375" s="22" t="s">
        <v>51</v>
      </c>
      <c r="E375" s="21" t="s">
        <v>2222</v>
      </c>
      <c r="F375" s="23" t="s">
        <v>3</v>
      </c>
      <c r="G375" s="23" t="s">
        <v>4</v>
      </c>
      <c r="H375" s="21" t="str">
        <f t="shared" si="5"/>
        <v>DP_60N_INT/DEEP-PERCOLATION</v>
      </c>
      <c r="I375" s="24" t="s">
        <v>2223</v>
      </c>
      <c r="J375" s="10" t="str">
        <f>VLOOKUP(Table1[[#This Row],[UID]],CS3SVComposerConfig!$B$3:$D$1808,3,FALSE)</f>
        <v>CS3L2015V0Hydro_SV.dss</v>
      </c>
      <c r="K375" s="10" t="s">
        <v>2212</v>
      </c>
      <c r="L375" s="10" t="s">
        <v>2212</v>
      </c>
      <c r="M375" s="10" t="s">
        <v>2224</v>
      </c>
      <c r="N375" s="10" t="s">
        <v>2225</v>
      </c>
      <c r="O375" s="10" t="s">
        <v>2226</v>
      </c>
      <c r="P375" s="39" t="s">
        <v>2227</v>
      </c>
    </row>
    <row r="376" spans="2:16" ht="18" customHeight="1" x14ac:dyDescent="0.25">
      <c r="B376" s="21" t="s">
        <v>0</v>
      </c>
      <c r="C376" s="22" t="s">
        <v>679</v>
      </c>
      <c r="D376" s="22" t="s">
        <v>51</v>
      </c>
      <c r="E376" s="21" t="s">
        <v>2222</v>
      </c>
      <c r="F376" s="23" t="s">
        <v>3</v>
      </c>
      <c r="G376" s="23" t="s">
        <v>4</v>
      </c>
      <c r="H376" s="21" t="str">
        <f t="shared" si="5"/>
        <v>DP_60S_INT/DEEP-PERCOLATION</v>
      </c>
      <c r="I376" s="24" t="s">
        <v>2223</v>
      </c>
      <c r="J376" s="10" t="str">
        <f>VLOOKUP(Table1[[#This Row],[UID]],CS3SVComposerConfig!$B$3:$D$1808,3,FALSE)</f>
        <v>CS3L2015V0Hydro_SV.dss</v>
      </c>
      <c r="K376" s="10" t="s">
        <v>2212</v>
      </c>
      <c r="L376" s="10" t="s">
        <v>2212</v>
      </c>
      <c r="M376" s="10" t="s">
        <v>2224</v>
      </c>
      <c r="N376" s="10" t="s">
        <v>2225</v>
      </c>
      <c r="O376" s="10" t="s">
        <v>2226</v>
      </c>
      <c r="P376" s="39" t="s">
        <v>2227</v>
      </c>
    </row>
    <row r="377" spans="2:16" ht="18" customHeight="1" x14ac:dyDescent="0.25">
      <c r="B377" s="21" t="s">
        <v>0</v>
      </c>
      <c r="C377" s="22" t="s">
        <v>680</v>
      </c>
      <c r="D377" s="22" t="s">
        <v>51</v>
      </c>
      <c r="E377" s="21" t="s">
        <v>2222</v>
      </c>
      <c r="F377" s="23" t="s">
        <v>3</v>
      </c>
      <c r="G377" s="23" t="s">
        <v>4</v>
      </c>
      <c r="H377" s="21" t="str">
        <f t="shared" si="5"/>
        <v>DP_61_INT/DEEP-PERCOLATION</v>
      </c>
      <c r="I377" s="24" t="s">
        <v>2223</v>
      </c>
      <c r="J377" s="10" t="str">
        <f>VLOOKUP(Table1[[#This Row],[UID]],CS3SVComposerConfig!$B$3:$D$1808,3,FALSE)</f>
        <v>CS3L2015V0Hydro_SV.dss</v>
      </c>
      <c r="K377" s="10" t="s">
        <v>2212</v>
      </c>
      <c r="L377" s="10" t="s">
        <v>2212</v>
      </c>
      <c r="M377" s="10" t="s">
        <v>2224</v>
      </c>
      <c r="N377" s="10" t="s">
        <v>2225</v>
      </c>
      <c r="O377" s="10" t="s">
        <v>2226</v>
      </c>
      <c r="P377" s="39" t="s">
        <v>2227</v>
      </c>
    </row>
    <row r="378" spans="2:16" ht="18" customHeight="1" x14ac:dyDescent="0.25">
      <c r="B378" s="21" t="s">
        <v>0</v>
      </c>
      <c r="C378" s="22" t="s">
        <v>681</v>
      </c>
      <c r="D378" s="22" t="s">
        <v>51</v>
      </c>
      <c r="E378" s="21" t="s">
        <v>2222</v>
      </c>
      <c r="F378" s="23" t="s">
        <v>3</v>
      </c>
      <c r="G378" s="23" t="s">
        <v>4</v>
      </c>
      <c r="H378" s="21" t="str">
        <f t="shared" si="5"/>
        <v>DP_62_INT/DEEP-PERCOLATION</v>
      </c>
      <c r="I378" s="24" t="s">
        <v>2223</v>
      </c>
      <c r="J378" s="10" t="str">
        <f>VLOOKUP(Table1[[#This Row],[UID]],CS3SVComposerConfig!$B$3:$D$1808,3,FALSE)</f>
        <v>CS3L2015V0Hydro_SV.dss</v>
      </c>
      <c r="K378" s="10" t="s">
        <v>2212</v>
      </c>
      <c r="L378" s="10" t="s">
        <v>2212</v>
      </c>
      <c r="M378" s="10" t="s">
        <v>2224</v>
      </c>
      <c r="N378" s="10" t="s">
        <v>2225</v>
      </c>
      <c r="O378" s="10" t="s">
        <v>2226</v>
      </c>
      <c r="P378" s="39" t="s">
        <v>2227</v>
      </c>
    </row>
    <row r="379" spans="2:16" ht="18" customHeight="1" x14ac:dyDescent="0.25">
      <c r="B379" s="21" t="s">
        <v>0</v>
      </c>
      <c r="C379" s="22" t="s">
        <v>682</v>
      </c>
      <c r="D379" s="22" t="s">
        <v>51</v>
      </c>
      <c r="E379" s="21" t="s">
        <v>2222</v>
      </c>
      <c r="F379" s="23" t="s">
        <v>3</v>
      </c>
      <c r="G379" s="23" t="s">
        <v>4</v>
      </c>
      <c r="H379" s="21" t="str">
        <f t="shared" si="5"/>
        <v>DP_63_INT/DEEP-PERCOLATION</v>
      </c>
      <c r="I379" s="24" t="s">
        <v>2223</v>
      </c>
      <c r="J379" s="10" t="str">
        <f>VLOOKUP(Table1[[#This Row],[UID]],CS3SVComposerConfig!$B$3:$D$1808,3,FALSE)</f>
        <v>CS3L2015V0Hydro_SV.dss</v>
      </c>
      <c r="K379" s="10" t="s">
        <v>2212</v>
      </c>
      <c r="L379" s="10" t="s">
        <v>2212</v>
      </c>
      <c r="M379" s="10" t="s">
        <v>2224</v>
      </c>
      <c r="N379" s="10" t="s">
        <v>2225</v>
      </c>
      <c r="O379" s="10" t="s">
        <v>2226</v>
      </c>
      <c r="P379" s="39" t="s">
        <v>2227</v>
      </c>
    </row>
    <row r="380" spans="2:16" ht="18" customHeight="1" x14ac:dyDescent="0.25">
      <c r="B380" s="21" t="s">
        <v>0</v>
      </c>
      <c r="C380" s="22" t="s">
        <v>683</v>
      </c>
      <c r="D380" s="22" t="s">
        <v>51</v>
      </c>
      <c r="E380" s="21" t="s">
        <v>2222</v>
      </c>
      <c r="F380" s="23" t="s">
        <v>3</v>
      </c>
      <c r="G380" s="23" t="s">
        <v>4</v>
      </c>
      <c r="H380" s="21" t="str">
        <f t="shared" si="5"/>
        <v>DP_64_INT/DEEP-PERCOLATION</v>
      </c>
      <c r="I380" s="24" t="s">
        <v>2223</v>
      </c>
      <c r="J380" s="10" t="str">
        <f>VLOOKUP(Table1[[#This Row],[UID]],CS3SVComposerConfig!$B$3:$D$1808,3,FALSE)</f>
        <v>CS3L2015V0Hydro_SV.dss</v>
      </c>
      <c r="K380" s="10" t="s">
        <v>2212</v>
      </c>
      <c r="L380" s="10" t="s">
        <v>2212</v>
      </c>
      <c r="M380" s="10" t="s">
        <v>2224</v>
      </c>
      <c r="N380" s="10" t="s">
        <v>2225</v>
      </c>
      <c r="O380" s="10" t="s">
        <v>2226</v>
      </c>
      <c r="P380" s="39" t="s">
        <v>2227</v>
      </c>
    </row>
    <row r="381" spans="2:16" ht="18" customHeight="1" x14ac:dyDescent="0.25">
      <c r="B381" s="21" t="s">
        <v>0</v>
      </c>
      <c r="C381" s="22" t="s">
        <v>684</v>
      </c>
      <c r="D381" s="22" t="s">
        <v>51</v>
      </c>
      <c r="E381" s="21" t="s">
        <v>2222</v>
      </c>
      <c r="F381" s="23" t="s">
        <v>3</v>
      </c>
      <c r="G381" s="23" t="s">
        <v>4</v>
      </c>
      <c r="H381" s="21" t="str">
        <f t="shared" si="5"/>
        <v>DP_71_INT/DEEP-PERCOLATION</v>
      </c>
      <c r="I381" s="24" t="s">
        <v>2223</v>
      </c>
      <c r="J381" s="10" t="str">
        <f>VLOOKUP(Table1[[#This Row],[UID]],CS3SVComposerConfig!$B$3:$D$1808,3,FALSE)</f>
        <v>RebalancedSJR_AW_TW_DP.dss</v>
      </c>
      <c r="K381" s="10" t="s">
        <v>2212</v>
      </c>
      <c r="L381" s="10" t="s">
        <v>2212</v>
      </c>
      <c r="M381" s="10" t="s">
        <v>2224</v>
      </c>
      <c r="N381" s="10" t="s">
        <v>2225</v>
      </c>
      <c r="O381" s="10" t="s">
        <v>2226</v>
      </c>
      <c r="P381" s="39" t="s">
        <v>2227</v>
      </c>
    </row>
    <row r="382" spans="2:16" ht="18" customHeight="1" x14ac:dyDescent="0.25">
      <c r="B382" s="21" t="s">
        <v>0</v>
      </c>
      <c r="C382" s="22" t="s">
        <v>685</v>
      </c>
      <c r="D382" s="22" t="s">
        <v>51</v>
      </c>
      <c r="E382" s="21" t="s">
        <v>2222</v>
      </c>
      <c r="F382" s="23" t="s">
        <v>3</v>
      </c>
      <c r="G382" s="23" t="s">
        <v>4</v>
      </c>
      <c r="H382" s="21" t="str">
        <f t="shared" si="5"/>
        <v>DP_72_INT/DEEP-PERCOLATION</v>
      </c>
      <c r="I382" s="24" t="s">
        <v>2223</v>
      </c>
      <c r="J382" s="10" t="str">
        <f>VLOOKUP(Table1[[#This Row],[UID]],CS3SVComposerConfig!$B$3:$D$1808,3,FALSE)</f>
        <v>RebalancedSJR_AW_TW_DP.dss</v>
      </c>
      <c r="K382" s="10" t="s">
        <v>2212</v>
      </c>
      <c r="L382" s="10" t="s">
        <v>2212</v>
      </c>
      <c r="M382" s="10" t="s">
        <v>2224</v>
      </c>
      <c r="N382" s="10" t="s">
        <v>2225</v>
      </c>
      <c r="O382" s="10" t="s">
        <v>2226</v>
      </c>
      <c r="P382" s="39" t="s">
        <v>2227</v>
      </c>
    </row>
    <row r="383" spans="2:16" ht="18" customHeight="1" x14ac:dyDescent="0.25">
      <c r="B383" s="21" t="s">
        <v>0</v>
      </c>
      <c r="C383" s="22" t="s">
        <v>686</v>
      </c>
      <c r="D383" s="22" t="s">
        <v>51</v>
      </c>
      <c r="E383" s="21" t="s">
        <v>2222</v>
      </c>
      <c r="F383" s="23" t="s">
        <v>3</v>
      </c>
      <c r="G383" s="23" t="s">
        <v>4</v>
      </c>
      <c r="H383" s="21" t="str">
        <f t="shared" si="5"/>
        <v>DP_73_INT/DEEP-PERCOLATION</v>
      </c>
      <c r="I383" s="24" t="s">
        <v>2223</v>
      </c>
      <c r="J383" s="10" t="str">
        <f>VLOOKUP(Table1[[#This Row],[UID]],CS3SVComposerConfig!$B$3:$D$1808,3,FALSE)</f>
        <v>RebalancedSJR_AW_TW_DP.dss</v>
      </c>
      <c r="K383" s="10" t="s">
        <v>2212</v>
      </c>
      <c r="L383" s="10" t="s">
        <v>2212</v>
      </c>
      <c r="M383" s="10" t="s">
        <v>2224</v>
      </c>
      <c r="N383" s="10" t="s">
        <v>2225</v>
      </c>
      <c r="O383" s="10" t="s">
        <v>2226</v>
      </c>
      <c r="P383" s="39" t="s">
        <v>2227</v>
      </c>
    </row>
    <row r="384" spans="2:16" ht="18" customHeight="1" x14ac:dyDescent="0.25">
      <c r="B384" s="21" t="s">
        <v>0</v>
      </c>
      <c r="C384" s="22" t="s">
        <v>687</v>
      </c>
      <c r="D384" s="22" t="s">
        <v>51</v>
      </c>
      <c r="E384" s="21" t="s">
        <v>2222</v>
      </c>
      <c r="F384" s="23" t="s">
        <v>3</v>
      </c>
      <c r="G384" s="23" t="s">
        <v>4</v>
      </c>
      <c r="H384" s="21" t="str">
        <f t="shared" si="5"/>
        <v>DP_90_INT/DEEP-PERCOLATION</v>
      </c>
      <c r="I384" s="24" t="s">
        <v>2223</v>
      </c>
      <c r="J384" s="10" t="str">
        <f>VLOOKUP(Table1[[#This Row],[UID]],CS3SVComposerConfig!$B$3:$D$1808,3,FALSE)</f>
        <v>RebalancedSJR_AW_TW_DP.dss</v>
      </c>
      <c r="K384" s="10" t="s">
        <v>2212</v>
      </c>
      <c r="L384" s="10" t="s">
        <v>2212</v>
      </c>
      <c r="M384" s="10" t="s">
        <v>2224</v>
      </c>
      <c r="N384" s="10" t="s">
        <v>2225</v>
      </c>
      <c r="O384" s="10" t="s">
        <v>2226</v>
      </c>
      <c r="P384" s="39" t="s">
        <v>2227</v>
      </c>
    </row>
    <row r="385" spans="2:16" ht="18" customHeight="1" x14ac:dyDescent="0.25">
      <c r="B385" s="21" t="s">
        <v>0</v>
      </c>
      <c r="C385" s="22" t="s">
        <v>688</v>
      </c>
      <c r="D385" s="22" t="s">
        <v>51</v>
      </c>
      <c r="E385" s="21" t="s">
        <v>2222</v>
      </c>
      <c r="F385" s="23" t="s">
        <v>3</v>
      </c>
      <c r="G385" s="23" t="s">
        <v>4</v>
      </c>
      <c r="H385" s="21" t="str">
        <f t="shared" si="5"/>
        <v>DP_91_INT/DEEP-PERCOLATION</v>
      </c>
      <c r="I385" s="24" t="s">
        <v>2223</v>
      </c>
      <c r="J385" s="10" t="str">
        <f>VLOOKUP(Table1[[#This Row],[UID]],CS3SVComposerConfig!$B$3:$D$1808,3,FALSE)</f>
        <v>RebalancedSJR_AW_TW_DP.dss</v>
      </c>
      <c r="K385" s="10" t="s">
        <v>2212</v>
      </c>
      <c r="L385" s="10" t="s">
        <v>2212</v>
      </c>
      <c r="M385" s="10" t="s">
        <v>2224</v>
      </c>
      <c r="N385" s="10" t="s">
        <v>2225</v>
      </c>
      <c r="O385" s="10" t="s">
        <v>2226</v>
      </c>
      <c r="P385" s="39" t="s">
        <v>2227</v>
      </c>
    </row>
    <row r="386" spans="2:16" ht="18" customHeight="1" x14ac:dyDescent="0.25">
      <c r="B386" s="21" t="s">
        <v>0</v>
      </c>
      <c r="C386" s="22" t="s">
        <v>689</v>
      </c>
      <c r="D386" s="22" t="s">
        <v>690</v>
      </c>
      <c r="E386" s="21" t="s">
        <v>2222</v>
      </c>
      <c r="F386" s="23" t="s">
        <v>3</v>
      </c>
      <c r="G386" s="23" t="s">
        <v>4</v>
      </c>
      <c r="H386" s="21" t="str">
        <f t="shared" si="5"/>
        <v>R_11_SA1/RETURN-FLOW</v>
      </c>
      <c r="I386" s="24" t="s">
        <v>2223</v>
      </c>
      <c r="J386" s="10" t="str">
        <f>VLOOKUP(Table1[[#This Row],[UID]],CS3SVComposerConfig!$B$3:$D$1808,3,FALSE)</f>
        <v>RiceOutput.dss</v>
      </c>
      <c r="K386" s="10" t="s">
        <v>2212</v>
      </c>
      <c r="L386" s="10" t="s">
        <v>2212</v>
      </c>
      <c r="M386" s="10" t="s">
        <v>2224</v>
      </c>
      <c r="N386" s="10" t="s">
        <v>2225</v>
      </c>
      <c r="O386" s="10" t="s">
        <v>2226</v>
      </c>
      <c r="P386" s="39" t="s">
        <v>2227</v>
      </c>
    </row>
    <row r="387" spans="2:16" ht="18" customHeight="1" x14ac:dyDescent="0.25">
      <c r="B387" s="21" t="s">
        <v>0</v>
      </c>
      <c r="C387" s="22" t="s">
        <v>691</v>
      </c>
      <c r="D387" s="22" t="s">
        <v>690</v>
      </c>
      <c r="E387" s="21" t="s">
        <v>2222</v>
      </c>
      <c r="F387" s="23" t="s">
        <v>3</v>
      </c>
      <c r="G387" s="23" t="s">
        <v>4</v>
      </c>
      <c r="H387" s="21" t="str">
        <f t="shared" ref="H387:H450" si="6">_xlfn.CONCAT(C387,"/",D387)</f>
        <v>R_11_SA2/RETURN-FLOW</v>
      </c>
      <c r="I387" s="24" t="s">
        <v>2223</v>
      </c>
      <c r="J387" s="10" t="str">
        <f>VLOOKUP(Table1[[#This Row],[UID]],CS3SVComposerConfig!$B$3:$D$1808,3,FALSE)</f>
        <v>RiceOutput.dss</v>
      </c>
      <c r="K387" s="10" t="s">
        <v>2212</v>
      </c>
      <c r="L387" s="10" t="s">
        <v>2212</v>
      </c>
      <c r="M387" s="10" t="s">
        <v>2224</v>
      </c>
      <c r="N387" s="10" t="s">
        <v>2225</v>
      </c>
      <c r="O387" s="10" t="s">
        <v>2226</v>
      </c>
      <c r="P387" s="39" t="s">
        <v>2227</v>
      </c>
    </row>
    <row r="388" spans="2:16" ht="18" customHeight="1" x14ac:dyDescent="0.25">
      <c r="B388" s="21" t="s">
        <v>0</v>
      </c>
      <c r="C388" s="22" t="s">
        <v>692</v>
      </c>
      <c r="D388" s="22" t="s">
        <v>690</v>
      </c>
      <c r="E388" s="21" t="s">
        <v>2222</v>
      </c>
      <c r="F388" s="23" t="s">
        <v>3</v>
      </c>
      <c r="G388" s="23" t="s">
        <v>4</v>
      </c>
      <c r="H388" s="21" t="str">
        <f t="shared" si="6"/>
        <v>R_11_SA3/RETURN-FLOW</v>
      </c>
      <c r="I388" s="24" t="s">
        <v>2223</v>
      </c>
      <c r="J388" s="10" t="str">
        <f>VLOOKUP(Table1[[#This Row],[UID]],CS3SVComposerConfig!$B$3:$D$1808,3,FALSE)</f>
        <v>RiceOutput.dss</v>
      </c>
      <c r="K388" s="10" t="s">
        <v>2212</v>
      </c>
      <c r="L388" s="10" t="s">
        <v>2212</v>
      </c>
      <c r="M388" s="10" t="s">
        <v>2224</v>
      </c>
      <c r="N388" s="10" t="s">
        <v>2225</v>
      </c>
      <c r="O388" s="10" t="s">
        <v>2226</v>
      </c>
      <c r="P388" s="39" t="s">
        <v>2227</v>
      </c>
    </row>
    <row r="389" spans="2:16" ht="18" customHeight="1" x14ac:dyDescent="0.25">
      <c r="B389" s="21" t="s">
        <v>0</v>
      </c>
      <c r="C389" s="22" t="s">
        <v>693</v>
      </c>
      <c r="D389" s="22" t="s">
        <v>690</v>
      </c>
      <c r="E389" s="21" t="s">
        <v>2222</v>
      </c>
      <c r="F389" s="23" t="s">
        <v>3</v>
      </c>
      <c r="G389" s="23" t="s">
        <v>4</v>
      </c>
      <c r="H389" s="21" t="str">
        <f t="shared" si="6"/>
        <v>R_11_SA4/RETURN-FLOW</v>
      </c>
      <c r="I389" s="24" t="s">
        <v>2223</v>
      </c>
      <c r="J389" s="10" t="str">
        <f>VLOOKUP(Table1[[#This Row],[UID]],CS3SVComposerConfig!$B$3:$D$1808,3,FALSE)</f>
        <v>RiceOutput.dss</v>
      </c>
      <c r="K389" s="10" t="s">
        <v>2212</v>
      </c>
      <c r="L389" s="10" t="s">
        <v>2212</v>
      </c>
      <c r="M389" s="10" t="s">
        <v>2224</v>
      </c>
      <c r="N389" s="10" t="s">
        <v>2225</v>
      </c>
      <c r="O389" s="10" t="s">
        <v>2226</v>
      </c>
      <c r="P389" s="39" t="s">
        <v>2227</v>
      </c>
    </row>
    <row r="390" spans="2:16" ht="18" customHeight="1" x14ac:dyDescent="0.25">
      <c r="B390" s="21" t="s">
        <v>0</v>
      </c>
      <c r="C390" s="22" t="s">
        <v>694</v>
      </c>
      <c r="D390" s="22" t="s">
        <v>695</v>
      </c>
      <c r="E390" s="21" t="s">
        <v>2222</v>
      </c>
      <c r="F390" s="23" t="s">
        <v>3</v>
      </c>
      <c r="G390" s="23" t="s">
        <v>4</v>
      </c>
      <c r="H390" s="21" t="str">
        <f t="shared" si="6"/>
        <v>SR_02/SURFACE-RUNOFF</v>
      </c>
      <c r="I390" s="24" t="s">
        <v>2223</v>
      </c>
      <c r="J390" s="10" t="str">
        <f>VLOOKUP(Table1[[#This Row],[UID]],CS3SVComposerConfig!$B$3:$D$1808,3,FALSE)</f>
        <v>CS3L2015V0Hydro_SV.dss</v>
      </c>
      <c r="K390" s="10" t="s">
        <v>2212</v>
      </c>
      <c r="L390" s="10" t="s">
        <v>2212</v>
      </c>
      <c r="M390" s="10" t="s">
        <v>2224</v>
      </c>
      <c r="N390" s="10" t="s">
        <v>2225</v>
      </c>
      <c r="O390" s="10" t="s">
        <v>2226</v>
      </c>
      <c r="P390" s="39" t="s">
        <v>2227</v>
      </c>
    </row>
    <row r="391" spans="2:16" ht="18" customHeight="1" x14ac:dyDescent="0.25">
      <c r="B391" s="21" t="s">
        <v>0</v>
      </c>
      <c r="C391" s="22" t="s">
        <v>696</v>
      </c>
      <c r="D391" s="22" t="s">
        <v>695</v>
      </c>
      <c r="E391" s="21" t="s">
        <v>2222</v>
      </c>
      <c r="F391" s="23" t="s">
        <v>3</v>
      </c>
      <c r="G391" s="23" t="s">
        <v>4</v>
      </c>
      <c r="H391" s="21" t="str">
        <f t="shared" si="6"/>
        <v>SR_03/SURFACE-RUNOFF</v>
      </c>
      <c r="I391" s="24" t="s">
        <v>2223</v>
      </c>
      <c r="J391" s="10" t="str">
        <f>VLOOKUP(Table1[[#This Row],[UID]],CS3SVComposerConfig!$B$3:$D$1808,3,FALSE)</f>
        <v>CS3L2015V0Hydro_SV.dss</v>
      </c>
      <c r="K391" s="10" t="s">
        <v>2212</v>
      </c>
      <c r="L391" s="10" t="s">
        <v>2212</v>
      </c>
      <c r="M391" s="10" t="s">
        <v>2224</v>
      </c>
      <c r="N391" s="10" t="s">
        <v>2225</v>
      </c>
      <c r="O391" s="10" t="s">
        <v>2226</v>
      </c>
      <c r="P391" s="39" t="s">
        <v>2227</v>
      </c>
    </row>
    <row r="392" spans="2:16" ht="18" customHeight="1" x14ac:dyDescent="0.25">
      <c r="B392" s="21" t="s">
        <v>0</v>
      </c>
      <c r="C392" s="22" t="s">
        <v>697</v>
      </c>
      <c r="D392" s="22" t="s">
        <v>695</v>
      </c>
      <c r="E392" s="21" t="s">
        <v>2222</v>
      </c>
      <c r="F392" s="23" t="s">
        <v>3</v>
      </c>
      <c r="G392" s="23" t="s">
        <v>4</v>
      </c>
      <c r="H392" s="21" t="str">
        <f t="shared" si="6"/>
        <v>SR_04/SURFACE-RUNOFF</v>
      </c>
      <c r="I392" s="24" t="s">
        <v>2223</v>
      </c>
      <c r="J392" s="10" t="str">
        <f>VLOOKUP(Table1[[#This Row],[UID]],CS3SVComposerConfig!$B$3:$D$1808,3,FALSE)</f>
        <v>CS3L2015V0Hydro_SV.dss</v>
      </c>
      <c r="K392" s="10" t="s">
        <v>2212</v>
      </c>
      <c r="L392" s="10" t="s">
        <v>2212</v>
      </c>
      <c r="M392" s="10" t="s">
        <v>2224</v>
      </c>
      <c r="N392" s="10" t="s">
        <v>2225</v>
      </c>
      <c r="O392" s="10" t="s">
        <v>2226</v>
      </c>
      <c r="P392" s="39" t="s">
        <v>2227</v>
      </c>
    </row>
    <row r="393" spans="2:16" ht="18" customHeight="1" x14ac:dyDescent="0.25">
      <c r="B393" s="21" t="s">
        <v>0</v>
      </c>
      <c r="C393" s="22" t="s">
        <v>698</v>
      </c>
      <c r="D393" s="22" t="s">
        <v>695</v>
      </c>
      <c r="E393" s="21" t="s">
        <v>2222</v>
      </c>
      <c r="F393" s="23" t="s">
        <v>3</v>
      </c>
      <c r="G393" s="23" t="s">
        <v>4</v>
      </c>
      <c r="H393" s="21" t="str">
        <f t="shared" si="6"/>
        <v>SR_05/SURFACE-RUNOFF</v>
      </c>
      <c r="I393" s="24" t="s">
        <v>2223</v>
      </c>
      <c r="J393" s="10" t="str">
        <f>VLOOKUP(Table1[[#This Row],[UID]],CS3SVComposerConfig!$B$3:$D$1808,3,FALSE)</f>
        <v>CS3L2015V0Hydro_SV.dss</v>
      </c>
      <c r="K393" s="10" t="s">
        <v>2212</v>
      </c>
      <c r="L393" s="10" t="s">
        <v>2212</v>
      </c>
      <c r="M393" s="10" t="s">
        <v>2224</v>
      </c>
      <c r="N393" s="10" t="s">
        <v>2225</v>
      </c>
      <c r="O393" s="10" t="s">
        <v>2226</v>
      </c>
      <c r="P393" s="39" t="s">
        <v>2227</v>
      </c>
    </row>
    <row r="394" spans="2:16" ht="18" customHeight="1" x14ac:dyDescent="0.25">
      <c r="B394" s="21" t="s">
        <v>0</v>
      </c>
      <c r="C394" s="22" t="s">
        <v>699</v>
      </c>
      <c r="D394" s="22" t="s">
        <v>695</v>
      </c>
      <c r="E394" s="21" t="s">
        <v>2222</v>
      </c>
      <c r="F394" s="23" t="s">
        <v>3</v>
      </c>
      <c r="G394" s="23" t="s">
        <v>4</v>
      </c>
      <c r="H394" s="21" t="str">
        <f t="shared" si="6"/>
        <v>SR_06/SURFACE-RUNOFF</v>
      </c>
      <c r="I394" s="24" t="s">
        <v>2223</v>
      </c>
      <c r="J394" s="10" t="str">
        <f>VLOOKUP(Table1[[#This Row],[UID]],CS3SVComposerConfig!$B$3:$D$1808,3,FALSE)</f>
        <v>CS3L2015V0Hydro_SV.dss</v>
      </c>
      <c r="K394" s="10" t="s">
        <v>2212</v>
      </c>
      <c r="L394" s="10" t="s">
        <v>2212</v>
      </c>
      <c r="M394" s="10" t="s">
        <v>2224</v>
      </c>
      <c r="N394" s="10" t="s">
        <v>2225</v>
      </c>
      <c r="O394" s="10" t="s">
        <v>2226</v>
      </c>
      <c r="P394" s="39" t="s">
        <v>2227</v>
      </c>
    </row>
    <row r="395" spans="2:16" ht="18" customHeight="1" x14ac:dyDescent="0.25">
      <c r="B395" s="21" t="s">
        <v>0</v>
      </c>
      <c r="C395" s="22" t="s">
        <v>700</v>
      </c>
      <c r="D395" s="22" t="s">
        <v>695</v>
      </c>
      <c r="E395" s="21" t="s">
        <v>2222</v>
      </c>
      <c r="F395" s="23" t="s">
        <v>3</v>
      </c>
      <c r="G395" s="23" t="s">
        <v>4</v>
      </c>
      <c r="H395" s="21" t="str">
        <f t="shared" si="6"/>
        <v>SR_07N/SURFACE-RUNOFF</v>
      </c>
      <c r="I395" s="24" t="s">
        <v>2223</v>
      </c>
      <c r="J395" s="10" t="str">
        <f>VLOOKUP(Table1[[#This Row],[UID]],CS3SVComposerConfig!$B$3:$D$1808,3,FALSE)</f>
        <v>CS3L2015V0Hydro_SV.dss</v>
      </c>
      <c r="K395" s="10" t="s">
        <v>2212</v>
      </c>
      <c r="L395" s="10" t="s">
        <v>2212</v>
      </c>
      <c r="M395" s="10" t="s">
        <v>2224</v>
      </c>
      <c r="N395" s="10" t="s">
        <v>2225</v>
      </c>
      <c r="O395" s="10" t="s">
        <v>2226</v>
      </c>
      <c r="P395" s="39" t="s">
        <v>2227</v>
      </c>
    </row>
    <row r="396" spans="2:16" ht="18" customHeight="1" x14ac:dyDescent="0.25">
      <c r="B396" s="21" t="s">
        <v>0</v>
      </c>
      <c r="C396" s="22" t="s">
        <v>701</v>
      </c>
      <c r="D396" s="22" t="s">
        <v>695</v>
      </c>
      <c r="E396" s="21" t="s">
        <v>2222</v>
      </c>
      <c r="F396" s="23" t="s">
        <v>3</v>
      </c>
      <c r="G396" s="23" t="s">
        <v>4</v>
      </c>
      <c r="H396" s="21" t="str">
        <f t="shared" si="6"/>
        <v>SR_07S/SURFACE-RUNOFF</v>
      </c>
      <c r="I396" s="24" t="s">
        <v>2223</v>
      </c>
      <c r="J396" s="10" t="str">
        <f>VLOOKUP(Table1[[#This Row],[UID]],CS3SVComposerConfig!$B$3:$D$1808,3,FALSE)</f>
        <v>CS3L2015V0Hydro_SV.dss</v>
      </c>
      <c r="K396" s="10" t="s">
        <v>2212</v>
      </c>
      <c r="L396" s="10" t="s">
        <v>2212</v>
      </c>
      <c r="M396" s="10" t="s">
        <v>2224</v>
      </c>
      <c r="N396" s="10" t="s">
        <v>2225</v>
      </c>
      <c r="O396" s="10" t="s">
        <v>2226</v>
      </c>
      <c r="P396" s="39" t="s">
        <v>2227</v>
      </c>
    </row>
    <row r="397" spans="2:16" ht="18" customHeight="1" x14ac:dyDescent="0.25">
      <c r="B397" s="21" t="s">
        <v>0</v>
      </c>
      <c r="C397" s="22" t="s">
        <v>702</v>
      </c>
      <c r="D397" s="22" t="s">
        <v>695</v>
      </c>
      <c r="E397" s="21" t="s">
        <v>2222</v>
      </c>
      <c r="F397" s="23" t="s">
        <v>3</v>
      </c>
      <c r="G397" s="23" t="s">
        <v>4</v>
      </c>
      <c r="H397" s="21" t="str">
        <f t="shared" si="6"/>
        <v>SR_08N/SURFACE-RUNOFF</v>
      </c>
      <c r="I397" s="24" t="s">
        <v>2223</v>
      </c>
      <c r="J397" s="10" t="str">
        <f>VLOOKUP(Table1[[#This Row],[UID]],CS3SVComposerConfig!$B$3:$D$1808,3,FALSE)</f>
        <v>CS3L2015V0Hydro_SV.dss</v>
      </c>
      <c r="K397" s="10" t="s">
        <v>2212</v>
      </c>
      <c r="L397" s="10" t="s">
        <v>2212</v>
      </c>
      <c r="M397" s="10" t="s">
        <v>2224</v>
      </c>
      <c r="N397" s="10" t="s">
        <v>2225</v>
      </c>
      <c r="O397" s="10" t="s">
        <v>2226</v>
      </c>
      <c r="P397" s="39" t="s">
        <v>2227</v>
      </c>
    </row>
    <row r="398" spans="2:16" ht="18" customHeight="1" x14ac:dyDescent="0.25">
      <c r="B398" s="21" t="s">
        <v>0</v>
      </c>
      <c r="C398" s="22" t="s">
        <v>703</v>
      </c>
      <c r="D398" s="22" t="s">
        <v>695</v>
      </c>
      <c r="E398" s="21" t="s">
        <v>2222</v>
      </c>
      <c r="F398" s="23" t="s">
        <v>3</v>
      </c>
      <c r="G398" s="23" t="s">
        <v>4</v>
      </c>
      <c r="H398" s="21" t="str">
        <f t="shared" si="6"/>
        <v>SR_08S/SURFACE-RUNOFF</v>
      </c>
      <c r="I398" s="24" t="s">
        <v>2223</v>
      </c>
      <c r="J398" s="10" t="str">
        <f>VLOOKUP(Table1[[#This Row],[UID]],CS3SVComposerConfig!$B$3:$D$1808,3,FALSE)</f>
        <v>CS3L2015V0Hydro_SV.dss</v>
      </c>
      <c r="K398" s="10" t="s">
        <v>2212</v>
      </c>
      <c r="L398" s="10" t="s">
        <v>2212</v>
      </c>
      <c r="M398" s="10" t="s">
        <v>2224</v>
      </c>
      <c r="N398" s="10" t="s">
        <v>2225</v>
      </c>
      <c r="O398" s="10" t="s">
        <v>2226</v>
      </c>
      <c r="P398" s="39" t="s">
        <v>2227</v>
      </c>
    </row>
    <row r="399" spans="2:16" ht="18" customHeight="1" x14ac:dyDescent="0.25">
      <c r="B399" s="21" t="s">
        <v>0</v>
      </c>
      <c r="C399" s="22" t="s">
        <v>704</v>
      </c>
      <c r="D399" s="22" t="s">
        <v>695</v>
      </c>
      <c r="E399" s="21" t="s">
        <v>2222</v>
      </c>
      <c r="F399" s="23" t="s">
        <v>3</v>
      </c>
      <c r="G399" s="23" t="s">
        <v>4</v>
      </c>
      <c r="H399" s="21" t="str">
        <f t="shared" si="6"/>
        <v>SR_09/SURFACE-RUNOFF</v>
      </c>
      <c r="I399" s="24" t="s">
        <v>2223</v>
      </c>
      <c r="J399" s="10" t="str">
        <f>VLOOKUP(Table1[[#This Row],[UID]],CS3SVComposerConfig!$B$3:$D$1808,3,FALSE)</f>
        <v>CS3L2015V0Hydro_SV.dss</v>
      </c>
      <c r="K399" s="10" t="s">
        <v>2212</v>
      </c>
      <c r="L399" s="10" t="s">
        <v>2212</v>
      </c>
      <c r="M399" s="10" t="s">
        <v>2224</v>
      </c>
      <c r="N399" s="10" t="s">
        <v>2225</v>
      </c>
      <c r="O399" s="10" t="s">
        <v>2226</v>
      </c>
      <c r="P399" s="39" t="s">
        <v>2227</v>
      </c>
    </row>
    <row r="400" spans="2:16" ht="18" customHeight="1" x14ac:dyDescent="0.25">
      <c r="B400" s="21" t="s">
        <v>0</v>
      </c>
      <c r="C400" s="22" t="s">
        <v>705</v>
      </c>
      <c r="D400" s="22" t="s">
        <v>695</v>
      </c>
      <c r="E400" s="21" t="s">
        <v>2222</v>
      </c>
      <c r="F400" s="23" t="s">
        <v>3</v>
      </c>
      <c r="G400" s="23" t="s">
        <v>4</v>
      </c>
      <c r="H400" s="21" t="str">
        <f t="shared" si="6"/>
        <v>SR_10/SURFACE-RUNOFF</v>
      </c>
      <c r="I400" s="24" t="s">
        <v>2223</v>
      </c>
      <c r="J400" s="10" t="str">
        <f>VLOOKUP(Table1[[#This Row],[UID]],CS3SVComposerConfig!$B$3:$D$1808,3,FALSE)</f>
        <v>CS3L2015V0Hydro_SV.dss</v>
      </c>
      <c r="K400" s="10" t="s">
        <v>2212</v>
      </c>
      <c r="L400" s="10" t="s">
        <v>2212</v>
      </c>
      <c r="M400" s="10" t="s">
        <v>2224</v>
      </c>
      <c r="N400" s="10" t="s">
        <v>2225</v>
      </c>
      <c r="O400" s="10" t="s">
        <v>2226</v>
      </c>
      <c r="P400" s="39" t="s">
        <v>2227</v>
      </c>
    </row>
    <row r="401" spans="2:16" ht="18" customHeight="1" x14ac:dyDescent="0.25">
      <c r="B401" s="21" t="s">
        <v>0</v>
      </c>
      <c r="C401" s="22" t="s">
        <v>706</v>
      </c>
      <c r="D401" s="22" t="s">
        <v>695</v>
      </c>
      <c r="E401" s="21" t="s">
        <v>2222</v>
      </c>
      <c r="F401" s="23" t="s">
        <v>3</v>
      </c>
      <c r="G401" s="23" t="s">
        <v>4</v>
      </c>
      <c r="H401" s="21" t="str">
        <f t="shared" si="6"/>
        <v>SR_11/SURFACE-RUNOFF</v>
      </c>
      <c r="I401" s="24" t="s">
        <v>2223</v>
      </c>
      <c r="J401" s="10" t="str">
        <f>VLOOKUP(Table1[[#This Row],[UID]],CS3SVComposerConfig!$B$3:$D$1808,3,FALSE)</f>
        <v>CS3L2015V0Hydro_SV.dss</v>
      </c>
      <c r="K401" s="10" t="s">
        <v>2212</v>
      </c>
      <c r="L401" s="10" t="s">
        <v>2212</v>
      </c>
      <c r="M401" s="10" t="s">
        <v>2224</v>
      </c>
      <c r="N401" s="10" t="s">
        <v>2225</v>
      </c>
      <c r="O401" s="10" t="s">
        <v>2226</v>
      </c>
      <c r="P401" s="39" t="s">
        <v>2227</v>
      </c>
    </row>
    <row r="402" spans="2:16" ht="18" customHeight="1" x14ac:dyDescent="0.25">
      <c r="B402" s="21" t="s">
        <v>0</v>
      </c>
      <c r="C402" s="22" t="s">
        <v>707</v>
      </c>
      <c r="D402" s="22" t="s">
        <v>695</v>
      </c>
      <c r="E402" s="21" t="s">
        <v>2222</v>
      </c>
      <c r="F402" s="23" t="s">
        <v>3</v>
      </c>
      <c r="G402" s="23" t="s">
        <v>4</v>
      </c>
      <c r="H402" s="21" t="str">
        <f t="shared" si="6"/>
        <v>SR_12/SURFACE-RUNOFF</v>
      </c>
      <c r="I402" s="24" t="s">
        <v>2223</v>
      </c>
      <c r="J402" s="10" t="str">
        <f>VLOOKUP(Table1[[#This Row],[UID]],CS3SVComposerConfig!$B$3:$D$1808,3,FALSE)</f>
        <v>CS3L2015V0Hydro_SV.dss</v>
      </c>
      <c r="K402" s="10" t="s">
        <v>2212</v>
      </c>
      <c r="L402" s="10" t="s">
        <v>2212</v>
      </c>
      <c r="M402" s="10" t="s">
        <v>2224</v>
      </c>
      <c r="N402" s="10" t="s">
        <v>2225</v>
      </c>
      <c r="O402" s="10" t="s">
        <v>2226</v>
      </c>
      <c r="P402" s="39" t="s">
        <v>2227</v>
      </c>
    </row>
    <row r="403" spans="2:16" ht="18" customHeight="1" x14ac:dyDescent="0.25">
      <c r="B403" s="21" t="s">
        <v>0</v>
      </c>
      <c r="C403" s="22" t="s">
        <v>708</v>
      </c>
      <c r="D403" s="22" t="s">
        <v>695</v>
      </c>
      <c r="E403" s="21" t="s">
        <v>2222</v>
      </c>
      <c r="F403" s="23" t="s">
        <v>3</v>
      </c>
      <c r="G403" s="23" t="s">
        <v>4</v>
      </c>
      <c r="H403" s="21" t="str">
        <f t="shared" si="6"/>
        <v>SR_13/SURFACE-RUNOFF</v>
      </c>
      <c r="I403" s="24" t="s">
        <v>2223</v>
      </c>
      <c r="J403" s="10" t="str">
        <f>VLOOKUP(Table1[[#This Row],[UID]],CS3SVComposerConfig!$B$3:$D$1808,3,FALSE)</f>
        <v>CS3L2015V0Hydro_SV.dss</v>
      </c>
      <c r="K403" s="10" t="s">
        <v>2212</v>
      </c>
      <c r="L403" s="10" t="s">
        <v>2212</v>
      </c>
      <c r="M403" s="10" t="s">
        <v>2224</v>
      </c>
      <c r="N403" s="10" t="s">
        <v>2225</v>
      </c>
      <c r="O403" s="10" t="s">
        <v>2226</v>
      </c>
      <c r="P403" s="39" t="s">
        <v>2227</v>
      </c>
    </row>
    <row r="404" spans="2:16" ht="18" customHeight="1" x14ac:dyDescent="0.25">
      <c r="B404" s="21" t="s">
        <v>0</v>
      </c>
      <c r="C404" s="22" t="s">
        <v>709</v>
      </c>
      <c r="D404" s="22" t="s">
        <v>695</v>
      </c>
      <c r="E404" s="21" t="s">
        <v>2222</v>
      </c>
      <c r="F404" s="23" t="s">
        <v>3</v>
      </c>
      <c r="G404" s="23" t="s">
        <v>4</v>
      </c>
      <c r="H404" s="21" t="str">
        <f t="shared" si="6"/>
        <v>SR_14/SURFACE-RUNOFF</v>
      </c>
      <c r="I404" s="24" t="s">
        <v>2223</v>
      </c>
      <c r="J404" s="10" t="str">
        <f>VLOOKUP(Table1[[#This Row],[UID]],CS3SVComposerConfig!$B$3:$D$1808,3,FALSE)</f>
        <v>CS3L2015V0Hydro_SV.dss</v>
      </c>
      <c r="K404" s="10" t="s">
        <v>2212</v>
      </c>
      <c r="L404" s="10" t="s">
        <v>2212</v>
      </c>
      <c r="M404" s="10" t="s">
        <v>2224</v>
      </c>
      <c r="N404" s="10" t="s">
        <v>2225</v>
      </c>
      <c r="O404" s="10" t="s">
        <v>2226</v>
      </c>
      <c r="P404" s="39" t="s">
        <v>2227</v>
      </c>
    </row>
    <row r="405" spans="2:16" ht="18" customHeight="1" x14ac:dyDescent="0.25">
      <c r="B405" s="21" t="s">
        <v>0</v>
      </c>
      <c r="C405" s="22" t="s">
        <v>710</v>
      </c>
      <c r="D405" s="22" t="s">
        <v>695</v>
      </c>
      <c r="E405" s="21" t="s">
        <v>2222</v>
      </c>
      <c r="F405" s="23" t="s">
        <v>3</v>
      </c>
      <c r="G405" s="23" t="s">
        <v>4</v>
      </c>
      <c r="H405" s="21" t="str">
        <f t="shared" si="6"/>
        <v>SR_15N/SURFACE-RUNOFF</v>
      </c>
      <c r="I405" s="24" t="s">
        <v>2223</v>
      </c>
      <c r="J405" s="10" t="str">
        <f>VLOOKUP(Table1[[#This Row],[UID]],CS3SVComposerConfig!$B$3:$D$1808,3,FALSE)</f>
        <v>CS3L2015V0Hydro_SV.dss</v>
      </c>
      <c r="K405" s="10" t="s">
        <v>2212</v>
      </c>
      <c r="L405" s="10" t="s">
        <v>2212</v>
      </c>
      <c r="M405" s="10" t="s">
        <v>2224</v>
      </c>
      <c r="N405" s="10" t="s">
        <v>2225</v>
      </c>
      <c r="O405" s="10" t="s">
        <v>2226</v>
      </c>
      <c r="P405" s="39" t="s">
        <v>2227</v>
      </c>
    </row>
    <row r="406" spans="2:16" ht="18" customHeight="1" x14ac:dyDescent="0.25">
      <c r="B406" s="21" t="s">
        <v>0</v>
      </c>
      <c r="C406" s="22" t="s">
        <v>711</v>
      </c>
      <c r="D406" s="22" t="s">
        <v>695</v>
      </c>
      <c r="E406" s="21" t="s">
        <v>2222</v>
      </c>
      <c r="F406" s="23" t="s">
        <v>3</v>
      </c>
      <c r="G406" s="23" t="s">
        <v>4</v>
      </c>
      <c r="H406" s="21" t="str">
        <f t="shared" si="6"/>
        <v>SR_15S/SURFACE-RUNOFF</v>
      </c>
      <c r="I406" s="24" t="s">
        <v>2223</v>
      </c>
      <c r="J406" s="10" t="str">
        <f>VLOOKUP(Table1[[#This Row],[UID]],CS3SVComposerConfig!$B$3:$D$1808,3,FALSE)</f>
        <v>CS3L2015V0Hydro_SV.dss</v>
      </c>
      <c r="K406" s="10" t="s">
        <v>2212</v>
      </c>
      <c r="L406" s="10" t="s">
        <v>2212</v>
      </c>
      <c r="M406" s="10" t="s">
        <v>2224</v>
      </c>
      <c r="N406" s="10" t="s">
        <v>2225</v>
      </c>
      <c r="O406" s="10" t="s">
        <v>2226</v>
      </c>
      <c r="P406" s="39" t="s">
        <v>2227</v>
      </c>
    </row>
    <row r="407" spans="2:16" ht="18" customHeight="1" x14ac:dyDescent="0.25">
      <c r="B407" s="21" t="s">
        <v>0</v>
      </c>
      <c r="C407" s="22" t="s">
        <v>712</v>
      </c>
      <c r="D407" s="22" t="s">
        <v>695</v>
      </c>
      <c r="E407" s="21" t="s">
        <v>2222</v>
      </c>
      <c r="F407" s="23" t="s">
        <v>3</v>
      </c>
      <c r="G407" s="23" t="s">
        <v>4</v>
      </c>
      <c r="H407" s="21" t="str">
        <f t="shared" si="6"/>
        <v>SR_16/SURFACE-RUNOFF</v>
      </c>
      <c r="I407" s="24" t="s">
        <v>2223</v>
      </c>
      <c r="J407" s="10" t="str">
        <f>VLOOKUP(Table1[[#This Row],[UID]],CS3SVComposerConfig!$B$3:$D$1808,3,FALSE)</f>
        <v>CS3L2015V0Hydro_SV.dss</v>
      </c>
      <c r="K407" s="10" t="s">
        <v>2212</v>
      </c>
      <c r="L407" s="10" t="s">
        <v>2212</v>
      </c>
      <c r="M407" s="10" t="s">
        <v>2224</v>
      </c>
      <c r="N407" s="10" t="s">
        <v>2225</v>
      </c>
      <c r="O407" s="10" t="s">
        <v>2226</v>
      </c>
      <c r="P407" s="39" t="s">
        <v>2227</v>
      </c>
    </row>
    <row r="408" spans="2:16" ht="18" customHeight="1" x14ac:dyDescent="0.25">
      <c r="B408" s="21" t="s">
        <v>0</v>
      </c>
      <c r="C408" s="22" t="s">
        <v>713</v>
      </c>
      <c r="D408" s="22" t="s">
        <v>695</v>
      </c>
      <c r="E408" s="21" t="s">
        <v>2222</v>
      </c>
      <c r="F408" s="23" t="s">
        <v>3</v>
      </c>
      <c r="G408" s="23" t="s">
        <v>4</v>
      </c>
      <c r="H408" s="21" t="str">
        <f t="shared" si="6"/>
        <v>SR_17N/SURFACE-RUNOFF</v>
      </c>
      <c r="I408" s="24" t="s">
        <v>2223</v>
      </c>
      <c r="J408" s="10" t="str">
        <f>VLOOKUP(Table1[[#This Row],[UID]],CS3SVComposerConfig!$B$3:$D$1808,3,FALSE)</f>
        <v>CS3L2015V0Hydro_SV.dss</v>
      </c>
      <c r="K408" s="10" t="s">
        <v>2212</v>
      </c>
      <c r="L408" s="10" t="s">
        <v>2212</v>
      </c>
      <c r="M408" s="10" t="s">
        <v>2224</v>
      </c>
      <c r="N408" s="10" t="s">
        <v>2225</v>
      </c>
      <c r="O408" s="10" t="s">
        <v>2226</v>
      </c>
      <c r="P408" s="39" t="s">
        <v>2227</v>
      </c>
    </row>
    <row r="409" spans="2:16" ht="18" customHeight="1" x14ac:dyDescent="0.25">
      <c r="B409" s="21" t="s">
        <v>0</v>
      </c>
      <c r="C409" s="22" t="s">
        <v>714</v>
      </c>
      <c r="D409" s="22" t="s">
        <v>695</v>
      </c>
      <c r="E409" s="21" t="s">
        <v>2222</v>
      </c>
      <c r="F409" s="23" t="s">
        <v>3</v>
      </c>
      <c r="G409" s="23" t="s">
        <v>4</v>
      </c>
      <c r="H409" s="21" t="str">
        <f t="shared" si="6"/>
        <v>SR_17S/SURFACE-RUNOFF</v>
      </c>
      <c r="I409" s="24" t="s">
        <v>2223</v>
      </c>
      <c r="J409" s="10" t="str">
        <f>VLOOKUP(Table1[[#This Row],[UID]],CS3SVComposerConfig!$B$3:$D$1808,3,FALSE)</f>
        <v>CS3L2015V0Hydro_SV.dss</v>
      </c>
      <c r="K409" s="10" t="s">
        <v>2212</v>
      </c>
      <c r="L409" s="10" t="s">
        <v>2212</v>
      </c>
      <c r="M409" s="10" t="s">
        <v>2224</v>
      </c>
      <c r="N409" s="10" t="s">
        <v>2225</v>
      </c>
      <c r="O409" s="10" t="s">
        <v>2226</v>
      </c>
      <c r="P409" s="39" t="s">
        <v>2227</v>
      </c>
    </row>
    <row r="410" spans="2:16" ht="18" customHeight="1" x14ac:dyDescent="0.25">
      <c r="B410" s="21" t="s">
        <v>0</v>
      </c>
      <c r="C410" s="22" t="s">
        <v>715</v>
      </c>
      <c r="D410" s="22" t="s">
        <v>695</v>
      </c>
      <c r="E410" s="21" t="s">
        <v>2222</v>
      </c>
      <c r="F410" s="23" t="s">
        <v>3</v>
      </c>
      <c r="G410" s="23" t="s">
        <v>4</v>
      </c>
      <c r="H410" s="21" t="str">
        <f t="shared" si="6"/>
        <v>SR_18/SURFACE-RUNOFF</v>
      </c>
      <c r="I410" s="24" t="s">
        <v>2223</v>
      </c>
      <c r="J410" s="10" t="str">
        <f>VLOOKUP(Table1[[#This Row],[UID]],CS3SVComposerConfig!$B$3:$D$1808,3,FALSE)</f>
        <v>CS3L2015V0Hydro_SV.dss</v>
      </c>
      <c r="K410" s="10" t="s">
        <v>2212</v>
      </c>
      <c r="L410" s="10" t="s">
        <v>2212</v>
      </c>
      <c r="M410" s="10" t="s">
        <v>2224</v>
      </c>
      <c r="N410" s="10" t="s">
        <v>2225</v>
      </c>
      <c r="O410" s="10" t="s">
        <v>2226</v>
      </c>
      <c r="P410" s="39" t="s">
        <v>2227</v>
      </c>
    </row>
    <row r="411" spans="2:16" ht="18" customHeight="1" x14ac:dyDescent="0.25">
      <c r="B411" s="21" t="s">
        <v>0</v>
      </c>
      <c r="C411" s="22" t="s">
        <v>716</v>
      </c>
      <c r="D411" s="22" t="s">
        <v>695</v>
      </c>
      <c r="E411" s="21" t="s">
        <v>2222</v>
      </c>
      <c r="F411" s="23" t="s">
        <v>3</v>
      </c>
      <c r="G411" s="23" t="s">
        <v>4</v>
      </c>
      <c r="H411" s="21" t="str">
        <f t="shared" si="6"/>
        <v>SR_19/SURFACE-RUNOFF</v>
      </c>
      <c r="I411" s="24" t="s">
        <v>2223</v>
      </c>
      <c r="J411" s="10" t="str">
        <f>VLOOKUP(Table1[[#This Row],[UID]],CS3SVComposerConfig!$B$3:$D$1808,3,FALSE)</f>
        <v>CS3L2015V0Hydro_SV.dss</v>
      </c>
      <c r="K411" s="10" t="s">
        <v>2212</v>
      </c>
      <c r="L411" s="10" t="s">
        <v>2212</v>
      </c>
      <c r="M411" s="10" t="s">
        <v>2224</v>
      </c>
      <c r="N411" s="10" t="s">
        <v>2225</v>
      </c>
      <c r="O411" s="10" t="s">
        <v>2226</v>
      </c>
      <c r="P411" s="39" t="s">
        <v>2227</v>
      </c>
    </row>
    <row r="412" spans="2:16" ht="18" customHeight="1" x14ac:dyDescent="0.25">
      <c r="B412" s="21" t="s">
        <v>0</v>
      </c>
      <c r="C412" s="22" t="s">
        <v>717</v>
      </c>
      <c r="D412" s="22" t="s">
        <v>695</v>
      </c>
      <c r="E412" s="21" t="s">
        <v>2222</v>
      </c>
      <c r="F412" s="23" t="s">
        <v>3</v>
      </c>
      <c r="G412" s="23" t="s">
        <v>4</v>
      </c>
      <c r="H412" s="21" t="str">
        <f t="shared" si="6"/>
        <v>SR_20/SURFACE-RUNOFF</v>
      </c>
      <c r="I412" s="24" t="s">
        <v>2223</v>
      </c>
      <c r="J412" s="10" t="str">
        <f>VLOOKUP(Table1[[#This Row],[UID]],CS3SVComposerConfig!$B$3:$D$1808,3,FALSE)</f>
        <v>CS3L2015V0Hydro_SV.dss</v>
      </c>
      <c r="K412" s="10" t="s">
        <v>2212</v>
      </c>
      <c r="L412" s="10" t="s">
        <v>2212</v>
      </c>
      <c r="M412" s="10" t="s">
        <v>2224</v>
      </c>
      <c r="N412" s="10" t="s">
        <v>2225</v>
      </c>
      <c r="O412" s="10" t="s">
        <v>2226</v>
      </c>
      <c r="P412" s="39" t="s">
        <v>2227</v>
      </c>
    </row>
    <row r="413" spans="2:16" ht="18" customHeight="1" x14ac:dyDescent="0.25">
      <c r="B413" s="21" t="s">
        <v>0</v>
      </c>
      <c r="C413" s="22" t="s">
        <v>718</v>
      </c>
      <c r="D413" s="22" t="s">
        <v>695</v>
      </c>
      <c r="E413" s="21" t="s">
        <v>2222</v>
      </c>
      <c r="F413" s="23" t="s">
        <v>3</v>
      </c>
      <c r="G413" s="23" t="s">
        <v>4</v>
      </c>
      <c r="H413" s="21" t="str">
        <f t="shared" si="6"/>
        <v>SR_21/SURFACE-RUNOFF</v>
      </c>
      <c r="I413" s="24" t="s">
        <v>2223</v>
      </c>
      <c r="J413" s="10" t="str">
        <f>VLOOKUP(Table1[[#This Row],[UID]],CS3SVComposerConfig!$B$3:$D$1808,3,FALSE)</f>
        <v>CS3L2015V0Hydro_SV.dss</v>
      </c>
      <c r="K413" s="10" t="s">
        <v>2212</v>
      </c>
      <c r="L413" s="10" t="s">
        <v>2212</v>
      </c>
      <c r="M413" s="10" t="s">
        <v>2224</v>
      </c>
      <c r="N413" s="10" t="s">
        <v>2225</v>
      </c>
      <c r="O413" s="10" t="s">
        <v>2226</v>
      </c>
      <c r="P413" s="39" t="s">
        <v>2227</v>
      </c>
    </row>
    <row r="414" spans="2:16" ht="18" customHeight="1" x14ac:dyDescent="0.25">
      <c r="B414" s="21" t="s">
        <v>0</v>
      </c>
      <c r="C414" s="22" t="s">
        <v>719</v>
      </c>
      <c r="D414" s="22" t="s">
        <v>695</v>
      </c>
      <c r="E414" s="21" t="s">
        <v>2222</v>
      </c>
      <c r="F414" s="23" t="s">
        <v>3</v>
      </c>
      <c r="G414" s="23" t="s">
        <v>4</v>
      </c>
      <c r="H414" s="21" t="str">
        <f t="shared" si="6"/>
        <v>SR_22/SURFACE-RUNOFF</v>
      </c>
      <c r="I414" s="24" t="s">
        <v>2223</v>
      </c>
      <c r="J414" s="10" t="str">
        <f>VLOOKUP(Table1[[#This Row],[UID]],CS3SVComposerConfig!$B$3:$D$1808,3,FALSE)</f>
        <v>CS3L2015V0Hydro_SV.dss</v>
      </c>
      <c r="K414" s="10" t="s">
        <v>2212</v>
      </c>
      <c r="L414" s="10" t="s">
        <v>2212</v>
      </c>
      <c r="M414" s="10" t="s">
        <v>2224</v>
      </c>
      <c r="N414" s="10" t="s">
        <v>2225</v>
      </c>
      <c r="O414" s="10" t="s">
        <v>2226</v>
      </c>
      <c r="P414" s="39" t="s">
        <v>2227</v>
      </c>
    </row>
    <row r="415" spans="2:16" ht="18" customHeight="1" x14ac:dyDescent="0.25">
      <c r="B415" s="21" t="s">
        <v>0</v>
      </c>
      <c r="C415" s="22" t="s">
        <v>720</v>
      </c>
      <c r="D415" s="22" t="s">
        <v>695</v>
      </c>
      <c r="E415" s="21" t="s">
        <v>2222</v>
      </c>
      <c r="F415" s="23" t="s">
        <v>3</v>
      </c>
      <c r="G415" s="23" t="s">
        <v>4</v>
      </c>
      <c r="H415" s="21" t="str">
        <f t="shared" si="6"/>
        <v>SR_23/SURFACE-RUNOFF</v>
      </c>
      <c r="I415" s="24" t="s">
        <v>2223</v>
      </c>
      <c r="J415" s="10" t="str">
        <f>VLOOKUP(Table1[[#This Row],[UID]],CS3SVComposerConfig!$B$3:$D$1808,3,FALSE)</f>
        <v>CS3L2015V0Hydro_SV.dss</v>
      </c>
      <c r="K415" s="10" t="s">
        <v>2212</v>
      </c>
      <c r="L415" s="10" t="s">
        <v>2212</v>
      </c>
      <c r="M415" s="10" t="s">
        <v>2224</v>
      </c>
      <c r="N415" s="10" t="s">
        <v>2225</v>
      </c>
      <c r="O415" s="10" t="s">
        <v>2226</v>
      </c>
      <c r="P415" s="39" t="s">
        <v>2227</v>
      </c>
    </row>
    <row r="416" spans="2:16" ht="18" customHeight="1" x14ac:dyDescent="0.25">
      <c r="B416" s="21" t="s">
        <v>0</v>
      </c>
      <c r="C416" s="22" t="s">
        <v>721</v>
      </c>
      <c r="D416" s="22" t="s">
        <v>695</v>
      </c>
      <c r="E416" s="21" t="s">
        <v>2222</v>
      </c>
      <c r="F416" s="23" t="s">
        <v>3</v>
      </c>
      <c r="G416" s="23" t="s">
        <v>4</v>
      </c>
      <c r="H416" s="21" t="str">
        <f t="shared" si="6"/>
        <v>SR_24/SURFACE-RUNOFF</v>
      </c>
      <c r="I416" s="24" t="s">
        <v>2223</v>
      </c>
      <c r="J416" s="10" t="str">
        <f>VLOOKUP(Table1[[#This Row],[UID]],CS3SVComposerConfig!$B$3:$D$1808,3,FALSE)</f>
        <v>CS3L2015V0Hydro_SV.dss</v>
      </c>
      <c r="K416" s="10" t="s">
        <v>2212</v>
      </c>
      <c r="L416" s="10" t="s">
        <v>2212</v>
      </c>
      <c r="M416" s="10" t="s">
        <v>2224</v>
      </c>
      <c r="N416" s="10" t="s">
        <v>2225</v>
      </c>
      <c r="O416" s="10" t="s">
        <v>2226</v>
      </c>
      <c r="P416" s="39" t="s">
        <v>2227</v>
      </c>
    </row>
    <row r="417" spans="2:16" ht="18" customHeight="1" x14ac:dyDescent="0.25">
      <c r="B417" s="21" t="s">
        <v>0</v>
      </c>
      <c r="C417" s="22" t="s">
        <v>722</v>
      </c>
      <c r="D417" s="22" t="s">
        <v>695</v>
      </c>
      <c r="E417" s="21" t="s">
        <v>2222</v>
      </c>
      <c r="F417" s="23" t="s">
        <v>3</v>
      </c>
      <c r="G417" s="23" t="s">
        <v>4</v>
      </c>
      <c r="H417" s="21" t="str">
        <f t="shared" si="6"/>
        <v>SR_25/SURFACE-RUNOFF</v>
      </c>
      <c r="I417" s="24" t="s">
        <v>2223</v>
      </c>
      <c r="J417" s="10" t="str">
        <f>VLOOKUP(Table1[[#This Row],[UID]],CS3SVComposerConfig!$B$3:$D$1808,3,FALSE)</f>
        <v>CS3L2015V0Hydro_SV.dss</v>
      </c>
      <c r="K417" s="10" t="s">
        <v>2212</v>
      </c>
      <c r="L417" s="10" t="s">
        <v>2212</v>
      </c>
      <c r="M417" s="10" t="s">
        <v>2224</v>
      </c>
      <c r="N417" s="10" t="s">
        <v>2225</v>
      </c>
      <c r="O417" s="10" t="s">
        <v>2226</v>
      </c>
      <c r="P417" s="39" t="s">
        <v>2227</v>
      </c>
    </row>
    <row r="418" spans="2:16" ht="18" customHeight="1" x14ac:dyDescent="0.25">
      <c r="B418" s="21" t="s">
        <v>0</v>
      </c>
      <c r="C418" s="22" t="s">
        <v>723</v>
      </c>
      <c r="D418" s="22" t="s">
        <v>695</v>
      </c>
      <c r="E418" s="21" t="s">
        <v>2222</v>
      </c>
      <c r="F418" s="23" t="s">
        <v>3</v>
      </c>
      <c r="G418" s="23" t="s">
        <v>4</v>
      </c>
      <c r="H418" s="21" t="str">
        <f t="shared" si="6"/>
        <v>SR_26N/SURFACE-RUNOFF</v>
      </c>
      <c r="I418" s="24" t="s">
        <v>2223</v>
      </c>
      <c r="J418" s="10" t="str">
        <f>VLOOKUP(Table1[[#This Row],[UID]],CS3SVComposerConfig!$B$3:$D$1808,3,FALSE)</f>
        <v>CS3L2015V0Hydro_SV.dss</v>
      </c>
      <c r="K418" s="10" t="s">
        <v>2212</v>
      </c>
      <c r="L418" s="10" t="s">
        <v>2212</v>
      </c>
      <c r="M418" s="10" t="s">
        <v>2224</v>
      </c>
      <c r="N418" s="10" t="s">
        <v>2225</v>
      </c>
      <c r="O418" s="10" t="s">
        <v>2226</v>
      </c>
      <c r="P418" s="39" t="s">
        <v>2227</v>
      </c>
    </row>
    <row r="419" spans="2:16" ht="18" customHeight="1" x14ac:dyDescent="0.25">
      <c r="B419" s="21" t="s">
        <v>0</v>
      </c>
      <c r="C419" s="22" t="s">
        <v>724</v>
      </c>
      <c r="D419" s="22" t="s">
        <v>695</v>
      </c>
      <c r="E419" s="21" t="s">
        <v>2222</v>
      </c>
      <c r="F419" s="23" t="s">
        <v>3</v>
      </c>
      <c r="G419" s="23" t="s">
        <v>4</v>
      </c>
      <c r="H419" s="21" t="str">
        <f t="shared" si="6"/>
        <v>SR_26S/SURFACE-RUNOFF</v>
      </c>
      <c r="I419" s="24" t="s">
        <v>2223</v>
      </c>
      <c r="J419" s="10" t="str">
        <f>VLOOKUP(Table1[[#This Row],[UID]],CS3SVComposerConfig!$B$3:$D$1808,3,FALSE)</f>
        <v>CS3L2015V0Hydro_SV.dss</v>
      </c>
      <c r="K419" s="10" t="s">
        <v>2212</v>
      </c>
      <c r="L419" s="10" t="s">
        <v>2212</v>
      </c>
      <c r="M419" s="10" t="s">
        <v>2224</v>
      </c>
      <c r="N419" s="10" t="s">
        <v>2225</v>
      </c>
      <c r="O419" s="10" t="s">
        <v>2226</v>
      </c>
      <c r="P419" s="39" t="s">
        <v>2227</v>
      </c>
    </row>
    <row r="420" spans="2:16" ht="18" customHeight="1" x14ac:dyDescent="0.25">
      <c r="B420" s="21" t="s">
        <v>0</v>
      </c>
      <c r="C420" s="22" t="s">
        <v>725</v>
      </c>
      <c r="D420" s="22" t="s">
        <v>695</v>
      </c>
      <c r="E420" s="21" t="s">
        <v>2222</v>
      </c>
      <c r="F420" s="23" t="s">
        <v>3</v>
      </c>
      <c r="G420" s="23" t="s">
        <v>4</v>
      </c>
      <c r="H420" s="21" t="str">
        <f t="shared" si="6"/>
        <v>SR_50/SURFACE-RUNOFF</v>
      </c>
      <c r="I420" s="24" t="s">
        <v>2223</v>
      </c>
      <c r="J420" s="10" t="str">
        <f>VLOOKUP(Table1[[#This Row],[UID]],CS3SVComposerConfig!$B$3:$D$1808,3,FALSE)</f>
        <v>CS3L2015V0Hydro_SV.dss</v>
      </c>
      <c r="K420" s="10" t="s">
        <v>2212</v>
      </c>
      <c r="L420" s="10" t="s">
        <v>2212</v>
      </c>
      <c r="M420" s="10" t="s">
        <v>2224</v>
      </c>
      <c r="N420" s="10" t="s">
        <v>2225</v>
      </c>
      <c r="O420" s="10" t="s">
        <v>2226</v>
      </c>
      <c r="P420" s="39" t="s">
        <v>2227</v>
      </c>
    </row>
    <row r="421" spans="2:16" ht="18" customHeight="1" x14ac:dyDescent="0.25">
      <c r="B421" s="21" t="s">
        <v>0</v>
      </c>
      <c r="C421" s="22" t="s">
        <v>726</v>
      </c>
      <c r="D421" s="22" t="s">
        <v>695</v>
      </c>
      <c r="E421" s="21" t="s">
        <v>2222</v>
      </c>
      <c r="F421" s="23" t="s">
        <v>3</v>
      </c>
      <c r="G421" s="23" t="s">
        <v>4</v>
      </c>
      <c r="H421" s="21" t="str">
        <f t="shared" si="6"/>
        <v>SR_60N/SURFACE-RUNOFF</v>
      </c>
      <c r="I421" s="24" t="s">
        <v>2223</v>
      </c>
      <c r="J421" s="10" t="str">
        <f>VLOOKUP(Table1[[#This Row],[UID]],CS3SVComposerConfig!$B$3:$D$1808,3,FALSE)</f>
        <v>CS3L2015V0Hydro_SV.dss</v>
      </c>
      <c r="K421" s="10" t="s">
        <v>2212</v>
      </c>
      <c r="L421" s="10" t="s">
        <v>2212</v>
      </c>
      <c r="M421" s="10" t="s">
        <v>2224</v>
      </c>
      <c r="N421" s="10" t="s">
        <v>2225</v>
      </c>
      <c r="O421" s="10" t="s">
        <v>2226</v>
      </c>
      <c r="P421" s="39" t="s">
        <v>2227</v>
      </c>
    </row>
    <row r="422" spans="2:16" ht="18" customHeight="1" x14ac:dyDescent="0.25">
      <c r="B422" s="21" t="s">
        <v>0</v>
      </c>
      <c r="C422" s="22" t="s">
        <v>727</v>
      </c>
      <c r="D422" s="22" t="s">
        <v>695</v>
      </c>
      <c r="E422" s="21" t="s">
        <v>2222</v>
      </c>
      <c r="F422" s="23" t="s">
        <v>3</v>
      </c>
      <c r="G422" s="23" t="s">
        <v>4</v>
      </c>
      <c r="H422" s="21" t="str">
        <f t="shared" si="6"/>
        <v>SR_60S/SURFACE-RUNOFF</v>
      </c>
      <c r="I422" s="24" t="s">
        <v>2223</v>
      </c>
      <c r="J422" s="10" t="str">
        <f>VLOOKUP(Table1[[#This Row],[UID]],CS3SVComposerConfig!$B$3:$D$1808,3,FALSE)</f>
        <v>CS3L2015V0Hydro_SV.dss</v>
      </c>
      <c r="K422" s="10" t="s">
        <v>2212</v>
      </c>
      <c r="L422" s="10" t="s">
        <v>2212</v>
      </c>
      <c r="M422" s="10" t="s">
        <v>2224</v>
      </c>
      <c r="N422" s="10" t="s">
        <v>2225</v>
      </c>
      <c r="O422" s="10" t="s">
        <v>2226</v>
      </c>
      <c r="P422" s="39" t="s">
        <v>2227</v>
      </c>
    </row>
    <row r="423" spans="2:16" ht="18" customHeight="1" x14ac:dyDescent="0.25">
      <c r="B423" s="21" t="s">
        <v>0</v>
      </c>
      <c r="C423" s="22" t="s">
        <v>728</v>
      </c>
      <c r="D423" s="22" t="s">
        <v>695</v>
      </c>
      <c r="E423" s="21" t="s">
        <v>2222</v>
      </c>
      <c r="F423" s="23" t="s">
        <v>3</v>
      </c>
      <c r="G423" s="23" t="s">
        <v>4</v>
      </c>
      <c r="H423" s="21" t="str">
        <f t="shared" si="6"/>
        <v>SR_61/SURFACE-RUNOFF</v>
      </c>
      <c r="I423" s="24" t="s">
        <v>2223</v>
      </c>
      <c r="J423" s="10" t="str">
        <f>VLOOKUP(Table1[[#This Row],[UID]],CS3SVComposerConfig!$B$3:$D$1808,3,FALSE)</f>
        <v>CS3L2015V0Hydro_SV.dss</v>
      </c>
      <c r="K423" s="10" t="s">
        <v>2212</v>
      </c>
      <c r="L423" s="10" t="s">
        <v>2212</v>
      </c>
      <c r="M423" s="10" t="s">
        <v>2224</v>
      </c>
      <c r="N423" s="10" t="s">
        <v>2225</v>
      </c>
      <c r="O423" s="10" t="s">
        <v>2226</v>
      </c>
      <c r="P423" s="39" t="s">
        <v>2227</v>
      </c>
    </row>
    <row r="424" spans="2:16" ht="18" customHeight="1" x14ac:dyDescent="0.25">
      <c r="B424" s="21" t="s">
        <v>0</v>
      </c>
      <c r="C424" s="22" t="s">
        <v>729</v>
      </c>
      <c r="D424" s="22" t="s">
        <v>695</v>
      </c>
      <c r="E424" s="21" t="s">
        <v>2222</v>
      </c>
      <c r="F424" s="23" t="s">
        <v>3</v>
      </c>
      <c r="G424" s="23" t="s">
        <v>4</v>
      </c>
      <c r="H424" s="21" t="str">
        <f t="shared" si="6"/>
        <v>SR_62/SURFACE-RUNOFF</v>
      </c>
      <c r="I424" s="24" t="s">
        <v>2223</v>
      </c>
      <c r="J424" s="10" t="str">
        <f>VLOOKUP(Table1[[#This Row],[UID]],CS3SVComposerConfig!$B$3:$D$1808,3,FALSE)</f>
        <v>CS3L2015V0Hydro_SV.dss</v>
      </c>
      <c r="K424" s="10" t="s">
        <v>2212</v>
      </c>
      <c r="L424" s="10" t="s">
        <v>2212</v>
      </c>
      <c r="M424" s="10" t="s">
        <v>2224</v>
      </c>
      <c r="N424" s="10" t="s">
        <v>2225</v>
      </c>
      <c r="O424" s="10" t="s">
        <v>2226</v>
      </c>
      <c r="P424" s="39" t="s">
        <v>2227</v>
      </c>
    </row>
    <row r="425" spans="2:16" ht="18" customHeight="1" x14ac:dyDescent="0.25">
      <c r="B425" s="21" t="s">
        <v>0</v>
      </c>
      <c r="C425" s="22" t="s">
        <v>730</v>
      </c>
      <c r="D425" s="22" t="s">
        <v>695</v>
      </c>
      <c r="E425" s="21" t="s">
        <v>2222</v>
      </c>
      <c r="F425" s="23" t="s">
        <v>3</v>
      </c>
      <c r="G425" s="23" t="s">
        <v>4</v>
      </c>
      <c r="H425" s="21" t="str">
        <f t="shared" si="6"/>
        <v>SR_63/SURFACE-RUNOFF</v>
      </c>
      <c r="I425" s="24" t="s">
        <v>2223</v>
      </c>
      <c r="J425" s="10" t="str">
        <f>VLOOKUP(Table1[[#This Row],[UID]],CS3SVComposerConfig!$B$3:$D$1808,3,FALSE)</f>
        <v>CS3L2015V0Hydro_SV.dss</v>
      </c>
      <c r="K425" s="10" t="s">
        <v>2212</v>
      </c>
      <c r="L425" s="10" t="s">
        <v>2212</v>
      </c>
      <c r="M425" s="10" t="s">
        <v>2224</v>
      </c>
      <c r="N425" s="10" t="s">
        <v>2225</v>
      </c>
      <c r="O425" s="10" t="s">
        <v>2226</v>
      </c>
      <c r="P425" s="39" t="s">
        <v>2227</v>
      </c>
    </row>
    <row r="426" spans="2:16" ht="18" customHeight="1" x14ac:dyDescent="0.25">
      <c r="B426" s="21" t="s">
        <v>0</v>
      </c>
      <c r="C426" s="22" t="s">
        <v>731</v>
      </c>
      <c r="D426" s="22" t="s">
        <v>695</v>
      </c>
      <c r="E426" s="21" t="s">
        <v>2222</v>
      </c>
      <c r="F426" s="23" t="s">
        <v>3</v>
      </c>
      <c r="G426" s="23" t="s">
        <v>4</v>
      </c>
      <c r="H426" s="21" t="str">
        <f t="shared" si="6"/>
        <v>SR_64/SURFACE-RUNOFF</v>
      </c>
      <c r="I426" s="24" t="s">
        <v>2223</v>
      </c>
      <c r="J426" s="10" t="str">
        <f>VLOOKUP(Table1[[#This Row],[UID]],CS3SVComposerConfig!$B$3:$D$1808,3,FALSE)</f>
        <v>CS3L2015V0Hydro_SV.dss</v>
      </c>
      <c r="K426" s="10" t="s">
        <v>2212</v>
      </c>
      <c r="L426" s="10" t="s">
        <v>2212</v>
      </c>
      <c r="M426" s="10" t="s">
        <v>2224</v>
      </c>
      <c r="N426" s="10" t="s">
        <v>2225</v>
      </c>
      <c r="O426" s="10" t="s">
        <v>2226</v>
      </c>
      <c r="P426" s="39" t="s">
        <v>2227</v>
      </c>
    </row>
    <row r="427" spans="2:16" ht="18" customHeight="1" x14ac:dyDescent="0.25">
      <c r="B427" s="21" t="s">
        <v>0</v>
      </c>
      <c r="C427" s="22" t="s">
        <v>732</v>
      </c>
      <c r="D427" s="22" t="s">
        <v>695</v>
      </c>
      <c r="E427" s="21" t="s">
        <v>2222</v>
      </c>
      <c r="F427" s="23" t="s">
        <v>3</v>
      </c>
      <c r="G427" s="23" t="s">
        <v>4</v>
      </c>
      <c r="H427" s="21" t="str">
        <f t="shared" si="6"/>
        <v>SR_71/SURFACE-RUNOFF</v>
      </c>
      <c r="I427" s="24" t="s">
        <v>2223</v>
      </c>
      <c r="J427" s="10" t="str">
        <f>VLOOKUP(Table1[[#This Row],[UID]],CS3SVComposerConfig!$B$3:$D$1808,3,FALSE)</f>
        <v>CS3L2015V0Hydro_SV.dss</v>
      </c>
      <c r="K427" s="10" t="s">
        <v>2212</v>
      </c>
      <c r="L427" s="10" t="s">
        <v>2212</v>
      </c>
      <c r="M427" s="10" t="s">
        <v>2224</v>
      </c>
      <c r="N427" s="10" t="s">
        <v>2225</v>
      </c>
      <c r="O427" s="10" t="s">
        <v>2226</v>
      </c>
      <c r="P427" s="39" t="s">
        <v>2227</v>
      </c>
    </row>
    <row r="428" spans="2:16" ht="18" customHeight="1" x14ac:dyDescent="0.25">
      <c r="B428" s="21" t="s">
        <v>0</v>
      </c>
      <c r="C428" s="22" t="s">
        <v>733</v>
      </c>
      <c r="D428" s="22" t="s">
        <v>695</v>
      </c>
      <c r="E428" s="21" t="s">
        <v>2222</v>
      </c>
      <c r="F428" s="23" t="s">
        <v>3</v>
      </c>
      <c r="G428" s="23" t="s">
        <v>4</v>
      </c>
      <c r="H428" s="21" t="str">
        <f t="shared" si="6"/>
        <v>SR_72/SURFACE-RUNOFF</v>
      </c>
      <c r="I428" s="24" t="s">
        <v>2223</v>
      </c>
      <c r="J428" s="10" t="str">
        <f>VLOOKUP(Table1[[#This Row],[UID]],CS3SVComposerConfig!$B$3:$D$1808,3,FALSE)</f>
        <v>CS3L2015V0Hydro_SV.dss</v>
      </c>
      <c r="K428" s="10" t="s">
        <v>2212</v>
      </c>
      <c r="L428" s="10" t="s">
        <v>2212</v>
      </c>
      <c r="M428" s="10" t="s">
        <v>2224</v>
      </c>
      <c r="N428" s="10" t="s">
        <v>2225</v>
      </c>
      <c r="O428" s="10" t="s">
        <v>2226</v>
      </c>
      <c r="P428" s="39" t="s">
        <v>2227</v>
      </c>
    </row>
    <row r="429" spans="2:16" ht="18" customHeight="1" x14ac:dyDescent="0.25">
      <c r="B429" s="21" t="s">
        <v>0</v>
      </c>
      <c r="C429" s="22" t="s">
        <v>734</v>
      </c>
      <c r="D429" s="22" t="s">
        <v>695</v>
      </c>
      <c r="E429" s="21" t="s">
        <v>2222</v>
      </c>
      <c r="F429" s="23" t="s">
        <v>3</v>
      </c>
      <c r="G429" s="23" t="s">
        <v>4</v>
      </c>
      <c r="H429" s="21" t="str">
        <f t="shared" si="6"/>
        <v>SR_73/SURFACE-RUNOFF</v>
      </c>
      <c r="I429" s="24" t="s">
        <v>2223</v>
      </c>
      <c r="J429" s="10" t="str">
        <f>VLOOKUP(Table1[[#This Row],[UID]],CS3SVComposerConfig!$B$3:$D$1808,3,FALSE)</f>
        <v>CS3L2015V0Hydro_SV.dss</v>
      </c>
      <c r="K429" s="10" t="s">
        <v>2212</v>
      </c>
      <c r="L429" s="10" t="s">
        <v>2212</v>
      </c>
      <c r="M429" s="10" t="s">
        <v>2224</v>
      </c>
      <c r="N429" s="10" t="s">
        <v>2225</v>
      </c>
      <c r="O429" s="10" t="s">
        <v>2226</v>
      </c>
      <c r="P429" s="39" t="s">
        <v>2227</v>
      </c>
    </row>
    <row r="430" spans="2:16" ht="18" customHeight="1" x14ac:dyDescent="0.25">
      <c r="B430" s="21" t="s">
        <v>0</v>
      </c>
      <c r="C430" s="22" t="s">
        <v>735</v>
      </c>
      <c r="D430" s="22" t="s">
        <v>695</v>
      </c>
      <c r="E430" s="21" t="s">
        <v>2222</v>
      </c>
      <c r="F430" s="23" t="s">
        <v>3</v>
      </c>
      <c r="G430" s="23" t="s">
        <v>4</v>
      </c>
      <c r="H430" s="21" t="str">
        <f t="shared" si="6"/>
        <v>SR_90/SURFACE-RUNOFF</v>
      </c>
      <c r="I430" s="24" t="s">
        <v>2223</v>
      </c>
      <c r="J430" s="10" t="str">
        <f>VLOOKUP(Table1[[#This Row],[UID]],CS3SVComposerConfig!$B$3:$D$1808,3,FALSE)</f>
        <v>CS3L2015V0Hydro_SV.dss</v>
      </c>
      <c r="K430" s="10" t="s">
        <v>2212</v>
      </c>
      <c r="L430" s="10" t="s">
        <v>2212</v>
      </c>
      <c r="M430" s="10" t="s">
        <v>2224</v>
      </c>
      <c r="N430" s="10" t="s">
        <v>2225</v>
      </c>
      <c r="O430" s="10" t="s">
        <v>2226</v>
      </c>
      <c r="P430" s="39" t="s">
        <v>2227</v>
      </c>
    </row>
    <row r="431" spans="2:16" ht="18" customHeight="1" x14ac:dyDescent="0.25">
      <c r="B431" s="21" t="s">
        <v>0</v>
      </c>
      <c r="C431" s="22" t="s">
        <v>736</v>
      </c>
      <c r="D431" s="22" t="s">
        <v>695</v>
      </c>
      <c r="E431" s="21" t="s">
        <v>2222</v>
      </c>
      <c r="F431" s="23" t="s">
        <v>3</v>
      </c>
      <c r="G431" s="23" t="s">
        <v>4</v>
      </c>
      <c r="H431" s="21" t="str">
        <f t="shared" si="6"/>
        <v>SR_91/SURFACE-RUNOFF</v>
      </c>
      <c r="I431" s="24" t="s">
        <v>2223</v>
      </c>
      <c r="J431" s="10" t="str">
        <f>VLOOKUP(Table1[[#This Row],[UID]],CS3SVComposerConfig!$B$3:$D$1808,3,FALSE)</f>
        <v>CS3L2015V0Hydro_SV.dss</v>
      </c>
      <c r="K431" s="10" t="s">
        <v>2212</v>
      </c>
      <c r="L431" s="10" t="s">
        <v>2212</v>
      </c>
      <c r="M431" s="10" t="s">
        <v>2224</v>
      </c>
      <c r="N431" s="10" t="s">
        <v>2225</v>
      </c>
      <c r="O431" s="10" t="s">
        <v>2226</v>
      </c>
      <c r="P431" s="39" t="s">
        <v>2227</v>
      </c>
    </row>
    <row r="432" spans="2:16" ht="18" customHeight="1" x14ac:dyDescent="0.25">
      <c r="B432" s="21" t="s">
        <v>0</v>
      </c>
      <c r="C432" s="22" t="s">
        <v>737</v>
      </c>
      <c r="D432" s="22" t="s">
        <v>738</v>
      </c>
      <c r="E432" s="21" t="s">
        <v>2222</v>
      </c>
      <c r="F432" s="23" t="s">
        <v>3</v>
      </c>
      <c r="G432" s="23" t="s">
        <v>4</v>
      </c>
      <c r="H432" s="21" t="str">
        <f t="shared" si="6"/>
        <v>TW_02_NA/TAILWATER</v>
      </c>
      <c r="I432" s="24" t="s">
        <v>2223</v>
      </c>
      <c r="J432" s="10" t="str">
        <f>VLOOKUP(Table1[[#This Row],[UID]],CS3SVComposerConfig!$B$3:$D$1808,3,FALSE)</f>
        <v>CS3L2015V0Hydro_SV.dss</v>
      </c>
      <c r="K432" s="10" t="s">
        <v>2212</v>
      </c>
      <c r="L432" s="10" t="s">
        <v>2212</v>
      </c>
      <c r="M432" s="10" t="s">
        <v>2224</v>
      </c>
      <c r="N432" s="10" t="s">
        <v>2225</v>
      </c>
      <c r="O432" s="10" t="s">
        <v>2226</v>
      </c>
      <c r="P432" s="39" t="s">
        <v>2227</v>
      </c>
    </row>
    <row r="433" spans="2:16" ht="18" customHeight="1" x14ac:dyDescent="0.25">
      <c r="B433" s="21" t="s">
        <v>0</v>
      </c>
      <c r="C433" s="22" t="s">
        <v>739</v>
      </c>
      <c r="D433" s="22" t="s">
        <v>738</v>
      </c>
      <c r="E433" s="21" t="s">
        <v>2222</v>
      </c>
      <c r="F433" s="23" t="s">
        <v>3</v>
      </c>
      <c r="G433" s="23" t="s">
        <v>4</v>
      </c>
      <c r="H433" s="21" t="str">
        <f t="shared" si="6"/>
        <v>TW_02_PA/TAILWATER</v>
      </c>
      <c r="I433" s="24" t="s">
        <v>2223</v>
      </c>
      <c r="J433" s="10" t="str">
        <f>VLOOKUP(Table1[[#This Row],[UID]],CS3SVComposerConfig!$B$3:$D$1808,3,FALSE)</f>
        <v>CS3L2015V0Hydro_SV.dss</v>
      </c>
      <c r="K433" s="10" t="s">
        <v>2212</v>
      </c>
      <c r="L433" s="10" t="s">
        <v>2212</v>
      </c>
      <c r="M433" s="10" t="s">
        <v>2224</v>
      </c>
      <c r="N433" s="10" t="s">
        <v>2225</v>
      </c>
      <c r="O433" s="10" t="s">
        <v>2226</v>
      </c>
      <c r="P433" s="39" t="s">
        <v>2227</v>
      </c>
    </row>
    <row r="434" spans="2:16" ht="18" customHeight="1" x14ac:dyDescent="0.25">
      <c r="B434" s="21" t="s">
        <v>0</v>
      </c>
      <c r="C434" s="22" t="s">
        <v>740</v>
      </c>
      <c r="D434" s="22" t="s">
        <v>738</v>
      </c>
      <c r="E434" s="21" t="s">
        <v>2222</v>
      </c>
      <c r="F434" s="23" t="s">
        <v>3</v>
      </c>
      <c r="G434" s="23" t="s">
        <v>4</v>
      </c>
      <c r="H434" s="21" t="str">
        <f t="shared" si="6"/>
        <v>TW_02_SA/TAILWATER</v>
      </c>
      <c r="I434" s="24" t="s">
        <v>2223</v>
      </c>
      <c r="J434" s="10" t="str">
        <f>VLOOKUP(Table1[[#This Row],[UID]],CS3SVComposerConfig!$B$3:$D$1808,3,FALSE)</f>
        <v>CS3L2015V0Hydro_SV.dss</v>
      </c>
      <c r="K434" s="10" t="s">
        <v>2212</v>
      </c>
      <c r="L434" s="10" t="s">
        <v>2212</v>
      </c>
      <c r="M434" s="10" t="s">
        <v>2224</v>
      </c>
      <c r="N434" s="10" t="s">
        <v>2225</v>
      </c>
      <c r="O434" s="10" t="s">
        <v>2226</v>
      </c>
      <c r="P434" s="39" t="s">
        <v>2227</v>
      </c>
    </row>
    <row r="435" spans="2:16" ht="18" customHeight="1" x14ac:dyDescent="0.25">
      <c r="B435" s="21" t="s">
        <v>0</v>
      </c>
      <c r="C435" s="22" t="s">
        <v>741</v>
      </c>
      <c r="D435" s="22" t="s">
        <v>738</v>
      </c>
      <c r="E435" s="21" t="s">
        <v>2222</v>
      </c>
      <c r="F435" s="23" t="s">
        <v>3</v>
      </c>
      <c r="G435" s="23" t="s">
        <v>4</v>
      </c>
      <c r="H435" s="21" t="str">
        <f t="shared" si="6"/>
        <v>TW_03_NA/TAILWATER</v>
      </c>
      <c r="I435" s="24" t="s">
        <v>2223</v>
      </c>
      <c r="J435" s="10" t="str">
        <f>VLOOKUP(Table1[[#This Row],[UID]],CS3SVComposerConfig!$B$3:$D$1808,3,FALSE)</f>
        <v>CS3L2015V0Hydro_SV.dss</v>
      </c>
      <c r="K435" s="10" t="s">
        <v>2212</v>
      </c>
      <c r="L435" s="10" t="s">
        <v>2212</v>
      </c>
      <c r="M435" s="10" t="s">
        <v>2224</v>
      </c>
      <c r="N435" s="10" t="s">
        <v>2225</v>
      </c>
      <c r="O435" s="10" t="s">
        <v>2226</v>
      </c>
      <c r="P435" s="39" t="s">
        <v>2227</v>
      </c>
    </row>
    <row r="436" spans="2:16" ht="18" customHeight="1" x14ac:dyDescent="0.25">
      <c r="B436" s="21" t="s">
        <v>0</v>
      </c>
      <c r="C436" s="22" t="s">
        <v>742</v>
      </c>
      <c r="D436" s="22" t="s">
        <v>738</v>
      </c>
      <c r="E436" s="21" t="s">
        <v>2222</v>
      </c>
      <c r="F436" s="23" t="s">
        <v>3</v>
      </c>
      <c r="G436" s="23" t="s">
        <v>4</v>
      </c>
      <c r="H436" s="21" t="str">
        <f t="shared" si="6"/>
        <v>TW_03_PA/TAILWATER</v>
      </c>
      <c r="I436" s="24" t="s">
        <v>2223</v>
      </c>
      <c r="J436" s="10" t="str">
        <f>VLOOKUP(Table1[[#This Row],[UID]],CS3SVComposerConfig!$B$3:$D$1808,3,FALSE)</f>
        <v>CS3L2015V0Hydro_SV.dss</v>
      </c>
      <c r="K436" s="10" t="s">
        <v>2212</v>
      </c>
      <c r="L436" s="10" t="s">
        <v>2212</v>
      </c>
      <c r="M436" s="10" t="s">
        <v>2224</v>
      </c>
      <c r="N436" s="10" t="s">
        <v>2225</v>
      </c>
      <c r="O436" s="10" t="s">
        <v>2226</v>
      </c>
      <c r="P436" s="39" t="s">
        <v>2227</v>
      </c>
    </row>
    <row r="437" spans="2:16" ht="18" customHeight="1" x14ac:dyDescent="0.25">
      <c r="B437" s="21" t="s">
        <v>0</v>
      </c>
      <c r="C437" s="22" t="s">
        <v>743</v>
      </c>
      <c r="D437" s="22" t="s">
        <v>738</v>
      </c>
      <c r="E437" s="21" t="s">
        <v>2222</v>
      </c>
      <c r="F437" s="23" t="s">
        <v>3</v>
      </c>
      <c r="G437" s="23" t="s">
        <v>4</v>
      </c>
      <c r="H437" s="21" t="str">
        <f t="shared" si="6"/>
        <v>TW_03_SA/TAILWATER</v>
      </c>
      <c r="I437" s="24" t="s">
        <v>2223</v>
      </c>
      <c r="J437" s="10" t="str">
        <f>VLOOKUP(Table1[[#This Row],[UID]],CS3SVComposerConfig!$B$3:$D$1808,3,FALSE)</f>
        <v>CS3L2015V0Hydro_SV.dss</v>
      </c>
      <c r="K437" s="10" t="s">
        <v>2212</v>
      </c>
      <c r="L437" s="10" t="s">
        <v>2212</v>
      </c>
      <c r="M437" s="10" t="s">
        <v>2224</v>
      </c>
      <c r="N437" s="10" t="s">
        <v>2225</v>
      </c>
      <c r="O437" s="10" t="s">
        <v>2226</v>
      </c>
      <c r="P437" s="39" t="s">
        <v>2227</v>
      </c>
    </row>
    <row r="438" spans="2:16" ht="18" customHeight="1" x14ac:dyDescent="0.25">
      <c r="B438" s="21" t="s">
        <v>0</v>
      </c>
      <c r="C438" s="22" t="s">
        <v>744</v>
      </c>
      <c r="D438" s="22" t="s">
        <v>738</v>
      </c>
      <c r="E438" s="21" t="s">
        <v>2222</v>
      </c>
      <c r="F438" s="23" t="s">
        <v>3</v>
      </c>
      <c r="G438" s="23" t="s">
        <v>4</v>
      </c>
      <c r="H438" s="21" t="str">
        <f t="shared" si="6"/>
        <v>TW_04_NA/TAILWATER</v>
      </c>
      <c r="I438" s="24" t="s">
        <v>2223</v>
      </c>
      <c r="J438" s="10" t="str">
        <f>VLOOKUP(Table1[[#This Row],[UID]],CS3SVComposerConfig!$B$3:$D$1808,3,FALSE)</f>
        <v>CS3L2015V0Hydro_SV.dss</v>
      </c>
      <c r="K438" s="10" t="s">
        <v>2212</v>
      </c>
      <c r="L438" s="10" t="s">
        <v>2212</v>
      </c>
      <c r="M438" s="10" t="s">
        <v>2224</v>
      </c>
      <c r="N438" s="10" t="s">
        <v>2225</v>
      </c>
      <c r="O438" s="10" t="s">
        <v>2226</v>
      </c>
      <c r="P438" s="39" t="s">
        <v>2227</v>
      </c>
    </row>
    <row r="439" spans="2:16" ht="18" customHeight="1" x14ac:dyDescent="0.25">
      <c r="B439" s="21" t="s">
        <v>0</v>
      </c>
      <c r="C439" s="22" t="s">
        <v>745</v>
      </c>
      <c r="D439" s="22" t="s">
        <v>738</v>
      </c>
      <c r="E439" s="21" t="s">
        <v>2222</v>
      </c>
      <c r="F439" s="23" t="s">
        <v>3</v>
      </c>
      <c r="G439" s="23" t="s">
        <v>4</v>
      </c>
      <c r="H439" s="21" t="str">
        <f t="shared" si="6"/>
        <v>TW_04_PA1/TAILWATER</v>
      </c>
      <c r="I439" s="24" t="s">
        <v>2223</v>
      </c>
      <c r="J439" s="10" t="str">
        <f>VLOOKUP(Table1[[#This Row],[UID]],CS3SVComposerConfig!$B$3:$D$1808,3,FALSE)</f>
        <v>CS3L2015V0Hydro_SV.dss</v>
      </c>
      <c r="K439" s="10" t="s">
        <v>2212</v>
      </c>
      <c r="L439" s="10" t="s">
        <v>2212</v>
      </c>
      <c r="M439" s="10" t="s">
        <v>2224</v>
      </c>
      <c r="N439" s="10" t="s">
        <v>2225</v>
      </c>
      <c r="O439" s="10" t="s">
        <v>2226</v>
      </c>
      <c r="P439" s="39" t="s">
        <v>2227</v>
      </c>
    </row>
    <row r="440" spans="2:16" ht="18" customHeight="1" x14ac:dyDescent="0.25">
      <c r="B440" s="21" t="s">
        <v>0</v>
      </c>
      <c r="C440" s="22" t="s">
        <v>746</v>
      </c>
      <c r="D440" s="22" t="s">
        <v>738</v>
      </c>
      <c r="E440" s="21" t="s">
        <v>2222</v>
      </c>
      <c r="F440" s="23" t="s">
        <v>3</v>
      </c>
      <c r="G440" s="23" t="s">
        <v>4</v>
      </c>
      <c r="H440" s="21" t="str">
        <f t="shared" si="6"/>
        <v>TW_04_PA2/TAILWATER</v>
      </c>
      <c r="I440" s="24" t="s">
        <v>2223</v>
      </c>
      <c r="J440" s="10" t="str">
        <f>VLOOKUP(Table1[[#This Row],[UID]],CS3SVComposerConfig!$B$3:$D$1808,3,FALSE)</f>
        <v>CS3L2015V0Hydro_SV.dss</v>
      </c>
      <c r="K440" s="10" t="s">
        <v>2212</v>
      </c>
      <c r="L440" s="10" t="s">
        <v>2212</v>
      </c>
      <c r="M440" s="10" t="s">
        <v>2224</v>
      </c>
      <c r="N440" s="10" t="s">
        <v>2225</v>
      </c>
      <c r="O440" s="10" t="s">
        <v>2226</v>
      </c>
      <c r="P440" s="39" t="s">
        <v>2227</v>
      </c>
    </row>
    <row r="441" spans="2:16" ht="18" customHeight="1" x14ac:dyDescent="0.25">
      <c r="B441" s="21" t="s">
        <v>0</v>
      </c>
      <c r="C441" s="22" t="s">
        <v>747</v>
      </c>
      <c r="D441" s="22" t="s">
        <v>738</v>
      </c>
      <c r="E441" s="21" t="s">
        <v>2222</v>
      </c>
      <c r="F441" s="23" t="s">
        <v>3</v>
      </c>
      <c r="G441" s="23" t="s">
        <v>4</v>
      </c>
      <c r="H441" s="21" t="str">
        <f t="shared" si="6"/>
        <v>TW_05_NA/TAILWATER</v>
      </c>
      <c r="I441" s="24" t="s">
        <v>2223</v>
      </c>
      <c r="J441" s="10" t="str">
        <f>VLOOKUP(Table1[[#This Row],[UID]],CS3SVComposerConfig!$B$3:$D$1808,3,FALSE)</f>
        <v>CS3L2015V0Hydro_SV.dss</v>
      </c>
      <c r="K441" s="10" t="s">
        <v>2212</v>
      </c>
      <c r="L441" s="10" t="s">
        <v>2212</v>
      </c>
      <c r="M441" s="10" t="s">
        <v>2224</v>
      </c>
      <c r="N441" s="10" t="s">
        <v>2225</v>
      </c>
      <c r="O441" s="10" t="s">
        <v>2226</v>
      </c>
      <c r="P441" s="39" t="s">
        <v>2227</v>
      </c>
    </row>
    <row r="442" spans="2:16" ht="18" customHeight="1" x14ac:dyDescent="0.25">
      <c r="B442" s="21" t="s">
        <v>0</v>
      </c>
      <c r="C442" s="22" t="s">
        <v>748</v>
      </c>
      <c r="D442" s="22" t="s">
        <v>738</v>
      </c>
      <c r="E442" s="21" t="s">
        <v>2222</v>
      </c>
      <c r="F442" s="23" t="s">
        <v>3</v>
      </c>
      <c r="G442" s="23" t="s">
        <v>4</v>
      </c>
      <c r="H442" s="21" t="str">
        <f t="shared" si="6"/>
        <v>TW_06_NA/TAILWATER</v>
      </c>
      <c r="I442" s="24" t="s">
        <v>2223</v>
      </c>
      <c r="J442" s="10" t="str">
        <f>VLOOKUP(Table1[[#This Row],[UID]],CS3SVComposerConfig!$B$3:$D$1808,3,FALSE)</f>
        <v>CS3L2015V0Hydro_SV.dss</v>
      </c>
      <c r="K442" s="10" t="s">
        <v>2212</v>
      </c>
      <c r="L442" s="10" t="s">
        <v>2212</v>
      </c>
      <c r="M442" s="10" t="s">
        <v>2224</v>
      </c>
      <c r="N442" s="10" t="s">
        <v>2225</v>
      </c>
      <c r="O442" s="10" t="s">
        <v>2226</v>
      </c>
      <c r="P442" s="39" t="s">
        <v>2227</v>
      </c>
    </row>
    <row r="443" spans="2:16" ht="18" customHeight="1" x14ac:dyDescent="0.25">
      <c r="B443" s="21" t="s">
        <v>0</v>
      </c>
      <c r="C443" s="22" t="s">
        <v>749</v>
      </c>
      <c r="D443" s="22" t="s">
        <v>738</v>
      </c>
      <c r="E443" s="21" t="s">
        <v>2222</v>
      </c>
      <c r="F443" s="23" t="s">
        <v>3</v>
      </c>
      <c r="G443" s="23" t="s">
        <v>4</v>
      </c>
      <c r="H443" s="21" t="str">
        <f t="shared" si="6"/>
        <v>TW_06_PA/TAILWATER</v>
      </c>
      <c r="I443" s="24" t="s">
        <v>2223</v>
      </c>
      <c r="J443" s="10" t="str">
        <f>VLOOKUP(Table1[[#This Row],[UID]],CS3SVComposerConfig!$B$3:$D$1808,3,FALSE)</f>
        <v>CS3L2015V0Hydro_SV.dss</v>
      </c>
      <c r="K443" s="10" t="s">
        <v>2212</v>
      </c>
      <c r="L443" s="10" t="s">
        <v>2212</v>
      </c>
      <c r="M443" s="10" t="s">
        <v>2224</v>
      </c>
      <c r="N443" s="10" t="s">
        <v>2225</v>
      </c>
      <c r="O443" s="10" t="s">
        <v>2226</v>
      </c>
      <c r="P443" s="39" t="s">
        <v>2227</v>
      </c>
    </row>
    <row r="444" spans="2:16" ht="18" customHeight="1" x14ac:dyDescent="0.25">
      <c r="B444" s="21" t="s">
        <v>0</v>
      </c>
      <c r="C444" s="22" t="s">
        <v>750</v>
      </c>
      <c r="D444" s="22" t="s">
        <v>738</v>
      </c>
      <c r="E444" s="21" t="s">
        <v>2222</v>
      </c>
      <c r="F444" s="23" t="s">
        <v>3</v>
      </c>
      <c r="G444" s="23" t="s">
        <v>4</v>
      </c>
      <c r="H444" s="21" t="str">
        <f t="shared" si="6"/>
        <v>TW_07N_NA/TAILWATER</v>
      </c>
      <c r="I444" s="24" t="s">
        <v>2223</v>
      </c>
      <c r="J444" s="10" t="str">
        <f>VLOOKUP(Table1[[#This Row],[UID]],CS3SVComposerConfig!$B$3:$D$1808,3,FALSE)</f>
        <v>CS3L2015V0Hydro_SV.dss</v>
      </c>
      <c r="K444" s="10" t="s">
        <v>2212</v>
      </c>
      <c r="L444" s="10" t="s">
        <v>2212</v>
      </c>
      <c r="M444" s="10" t="s">
        <v>2224</v>
      </c>
      <c r="N444" s="10" t="s">
        <v>2225</v>
      </c>
      <c r="O444" s="10" t="s">
        <v>2226</v>
      </c>
      <c r="P444" s="39" t="s">
        <v>2227</v>
      </c>
    </row>
    <row r="445" spans="2:16" ht="18" customHeight="1" x14ac:dyDescent="0.25">
      <c r="B445" s="21" t="s">
        <v>0</v>
      </c>
      <c r="C445" s="22" t="s">
        <v>751</v>
      </c>
      <c r="D445" s="22" t="s">
        <v>738</v>
      </c>
      <c r="E445" s="21" t="s">
        <v>2222</v>
      </c>
      <c r="F445" s="23" t="s">
        <v>3</v>
      </c>
      <c r="G445" s="23" t="s">
        <v>4</v>
      </c>
      <c r="H445" s="21" t="str">
        <f t="shared" si="6"/>
        <v>TW_07N_PA/TAILWATER</v>
      </c>
      <c r="I445" s="24" t="s">
        <v>2223</v>
      </c>
      <c r="J445" s="10" t="str">
        <f>VLOOKUP(Table1[[#This Row],[UID]],CS3SVComposerConfig!$B$3:$D$1808,3,FALSE)</f>
        <v>CS3L2015V0Hydro_SV.dss</v>
      </c>
      <c r="K445" s="10" t="s">
        <v>2212</v>
      </c>
      <c r="L445" s="10" t="s">
        <v>2212</v>
      </c>
      <c r="M445" s="10" t="s">
        <v>2224</v>
      </c>
      <c r="N445" s="10" t="s">
        <v>2225</v>
      </c>
      <c r="O445" s="10" t="s">
        <v>2226</v>
      </c>
      <c r="P445" s="39" t="s">
        <v>2227</v>
      </c>
    </row>
    <row r="446" spans="2:16" ht="18" customHeight="1" x14ac:dyDescent="0.25">
      <c r="B446" s="21" t="s">
        <v>0</v>
      </c>
      <c r="C446" s="22" t="s">
        <v>752</v>
      </c>
      <c r="D446" s="22" t="s">
        <v>738</v>
      </c>
      <c r="E446" s="21" t="s">
        <v>2222</v>
      </c>
      <c r="F446" s="23" t="s">
        <v>3</v>
      </c>
      <c r="G446" s="23" t="s">
        <v>4</v>
      </c>
      <c r="H446" s="21" t="str">
        <f t="shared" si="6"/>
        <v>TW_07S_NA/TAILWATER</v>
      </c>
      <c r="I446" s="24" t="s">
        <v>2223</v>
      </c>
      <c r="J446" s="10" t="str">
        <f>VLOOKUP(Table1[[#This Row],[UID]],CS3SVComposerConfig!$B$3:$D$1808,3,FALSE)</f>
        <v>CS3L2015V0Hydro_SV.dss</v>
      </c>
      <c r="K446" s="10" t="s">
        <v>2212</v>
      </c>
      <c r="L446" s="10" t="s">
        <v>2212</v>
      </c>
      <c r="M446" s="10" t="s">
        <v>2224</v>
      </c>
      <c r="N446" s="10" t="s">
        <v>2225</v>
      </c>
      <c r="O446" s="10" t="s">
        <v>2226</v>
      </c>
      <c r="P446" s="39" t="s">
        <v>2227</v>
      </c>
    </row>
    <row r="447" spans="2:16" ht="18" customHeight="1" x14ac:dyDescent="0.25">
      <c r="B447" s="21" t="s">
        <v>0</v>
      </c>
      <c r="C447" s="22" t="s">
        <v>753</v>
      </c>
      <c r="D447" s="22" t="s">
        <v>738</v>
      </c>
      <c r="E447" s="21" t="s">
        <v>2222</v>
      </c>
      <c r="F447" s="23" t="s">
        <v>3</v>
      </c>
      <c r="G447" s="23" t="s">
        <v>4</v>
      </c>
      <c r="H447" s="21" t="str">
        <f t="shared" si="6"/>
        <v>TW_07S_PA/TAILWATER</v>
      </c>
      <c r="I447" s="24" t="s">
        <v>2223</v>
      </c>
      <c r="J447" s="10" t="str">
        <f>VLOOKUP(Table1[[#This Row],[UID]],CS3SVComposerConfig!$B$3:$D$1808,3,FALSE)</f>
        <v>CS3L2015V0Hydro_SV.dss</v>
      </c>
      <c r="K447" s="10" t="s">
        <v>2212</v>
      </c>
      <c r="L447" s="10" t="s">
        <v>2212</v>
      </c>
      <c r="M447" s="10" t="s">
        <v>2224</v>
      </c>
      <c r="N447" s="10" t="s">
        <v>2225</v>
      </c>
      <c r="O447" s="10" t="s">
        <v>2226</v>
      </c>
      <c r="P447" s="39" t="s">
        <v>2227</v>
      </c>
    </row>
    <row r="448" spans="2:16" ht="18" customHeight="1" x14ac:dyDescent="0.25">
      <c r="B448" s="21" t="s">
        <v>0</v>
      </c>
      <c r="C448" s="22" t="s">
        <v>754</v>
      </c>
      <c r="D448" s="22" t="s">
        <v>738</v>
      </c>
      <c r="E448" s="21" t="s">
        <v>2222</v>
      </c>
      <c r="F448" s="23" t="s">
        <v>3</v>
      </c>
      <c r="G448" s="23" t="s">
        <v>4</v>
      </c>
      <c r="H448" s="21" t="str">
        <f t="shared" si="6"/>
        <v>TW_08N_NA/TAILWATER</v>
      </c>
      <c r="I448" s="24" t="s">
        <v>2223</v>
      </c>
      <c r="J448" s="10" t="str">
        <f>VLOOKUP(Table1[[#This Row],[UID]],CS3SVComposerConfig!$B$3:$D$1808,3,FALSE)</f>
        <v>CS3L2015V0Hydro_SV.dss</v>
      </c>
      <c r="K448" s="10" t="s">
        <v>2212</v>
      </c>
      <c r="L448" s="10" t="s">
        <v>2212</v>
      </c>
      <c r="M448" s="10" t="s">
        <v>2224</v>
      </c>
      <c r="N448" s="10" t="s">
        <v>2225</v>
      </c>
      <c r="O448" s="10" t="s">
        <v>2226</v>
      </c>
      <c r="P448" s="39" t="s">
        <v>2227</v>
      </c>
    </row>
    <row r="449" spans="2:16" ht="18" customHeight="1" x14ac:dyDescent="0.25">
      <c r="B449" s="21" t="s">
        <v>0</v>
      </c>
      <c r="C449" s="22" t="s">
        <v>755</v>
      </c>
      <c r="D449" s="22" t="s">
        <v>738</v>
      </c>
      <c r="E449" s="21" t="s">
        <v>2222</v>
      </c>
      <c r="F449" s="23" t="s">
        <v>3</v>
      </c>
      <c r="G449" s="23" t="s">
        <v>4</v>
      </c>
      <c r="H449" s="21" t="str">
        <f t="shared" si="6"/>
        <v>TW_08N_PA/TAILWATER</v>
      </c>
      <c r="I449" s="24" t="s">
        <v>2223</v>
      </c>
      <c r="J449" s="10" t="str">
        <f>VLOOKUP(Table1[[#This Row],[UID]],CS3SVComposerConfig!$B$3:$D$1808,3,FALSE)</f>
        <v>CS3L2015V0Hydro_SV.dss</v>
      </c>
      <c r="K449" s="10" t="s">
        <v>2212</v>
      </c>
      <c r="L449" s="10" t="s">
        <v>2212</v>
      </c>
      <c r="M449" s="10" t="s">
        <v>2224</v>
      </c>
      <c r="N449" s="10" t="s">
        <v>2225</v>
      </c>
      <c r="O449" s="10" t="s">
        <v>2226</v>
      </c>
      <c r="P449" s="39" t="s">
        <v>2227</v>
      </c>
    </row>
    <row r="450" spans="2:16" ht="18" customHeight="1" x14ac:dyDescent="0.25">
      <c r="B450" s="21" t="s">
        <v>0</v>
      </c>
      <c r="C450" s="22" t="s">
        <v>756</v>
      </c>
      <c r="D450" s="22" t="s">
        <v>738</v>
      </c>
      <c r="E450" s="21" t="s">
        <v>2222</v>
      </c>
      <c r="F450" s="23" t="s">
        <v>3</v>
      </c>
      <c r="G450" s="23" t="s">
        <v>4</v>
      </c>
      <c r="H450" s="21" t="str">
        <f t="shared" si="6"/>
        <v>TW_08N_PR1/TAILWATER</v>
      </c>
      <c r="I450" s="24" t="s">
        <v>2223</v>
      </c>
      <c r="J450" s="10" t="str">
        <f>VLOOKUP(Table1[[#This Row],[UID]],CS3SVComposerConfig!$B$3:$D$1808,3,FALSE)</f>
        <v>CS3L2015V0Hydro_SV.dss</v>
      </c>
      <c r="K450" s="10" t="s">
        <v>2212</v>
      </c>
      <c r="L450" s="10" t="s">
        <v>2212</v>
      </c>
      <c r="M450" s="10" t="s">
        <v>2224</v>
      </c>
      <c r="N450" s="10" t="s">
        <v>2225</v>
      </c>
      <c r="O450" s="10" t="s">
        <v>2226</v>
      </c>
      <c r="P450" s="39" t="s">
        <v>2227</v>
      </c>
    </row>
    <row r="451" spans="2:16" ht="18" customHeight="1" x14ac:dyDescent="0.25">
      <c r="B451" s="21" t="s">
        <v>0</v>
      </c>
      <c r="C451" s="22" t="s">
        <v>757</v>
      </c>
      <c r="D451" s="22" t="s">
        <v>738</v>
      </c>
      <c r="E451" s="21" t="s">
        <v>2222</v>
      </c>
      <c r="F451" s="23" t="s">
        <v>3</v>
      </c>
      <c r="G451" s="23" t="s">
        <v>4</v>
      </c>
      <c r="H451" s="21" t="str">
        <f t="shared" ref="H451:H514" si="7">_xlfn.CONCAT(C451,"/",D451)</f>
        <v>TW_08N_PR2/TAILWATER</v>
      </c>
      <c r="I451" s="24" t="s">
        <v>2223</v>
      </c>
      <c r="J451" s="10" t="str">
        <f>VLOOKUP(Table1[[#This Row],[UID]],CS3SVComposerConfig!$B$3:$D$1808,3,FALSE)</f>
        <v>CS3L2015V0Hydro_SV.dss</v>
      </c>
      <c r="K451" s="10" t="s">
        <v>2212</v>
      </c>
      <c r="L451" s="10" t="s">
        <v>2212</v>
      </c>
      <c r="M451" s="10" t="s">
        <v>2224</v>
      </c>
      <c r="N451" s="10" t="s">
        <v>2225</v>
      </c>
      <c r="O451" s="10" t="s">
        <v>2226</v>
      </c>
      <c r="P451" s="39" t="s">
        <v>2227</v>
      </c>
    </row>
    <row r="452" spans="2:16" ht="18" customHeight="1" x14ac:dyDescent="0.25">
      <c r="B452" s="21" t="s">
        <v>0</v>
      </c>
      <c r="C452" s="22" t="s">
        <v>758</v>
      </c>
      <c r="D452" s="22" t="s">
        <v>738</v>
      </c>
      <c r="E452" s="21" t="s">
        <v>2222</v>
      </c>
      <c r="F452" s="23" t="s">
        <v>3</v>
      </c>
      <c r="G452" s="23" t="s">
        <v>4</v>
      </c>
      <c r="H452" s="21" t="str">
        <f t="shared" si="7"/>
        <v>TW_08N_SA1/TAILWATER</v>
      </c>
      <c r="I452" s="24" t="s">
        <v>2223</v>
      </c>
      <c r="J452" s="10" t="str">
        <f>VLOOKUP(Table1[[#This Row],[UID]],CS3SVComposerConfig!$B$3:$D$1808,3,FALSE)</f>
        <v>CS3L2015V0Hydro_SV.dss</v>
      </c>
      <c r="K452" s="10" t="s">
        <v>2212</v>
      </c>
      <c r="L452" s="10" t="s">
        <v>2212</v>
      </c>
      <c r="M452" s="10" t="s">
        <v>2224</v>
      </c>
      <c r="N452" s="10" t="s">
        <v>2225</v>
      </c>
      <c r="O452" s="10" t="s">
        <v>2226</v>
      </c>
      <c r="P452" s="39" t="s">
        <v>2227</v>
      </c>
    </row>
    <row r="453" spans="2:16" ht="18" customHeight="1" x14ac:dyDescent="0.25">
      <c r="B453" s="21" t="s">
        <v>0</v>
      </c>
      <c r="C453" s="22" t="s">
        <v>759</v>
      </c>
      <c r="D453" s="22" t="s">
        <v>738</v>
      </c>
      <c r="E453" s="21" t="s">
        <v>2222</v>
      </c>
      <c r="F453" s="23" t="s">
        <v>3</v>
      </c>
      <c r="G453" s="23" t="s">
        <v>4</v>
      </c>
      <c r="H453" s="21" t="str">
        <f t="shared" si="7"/>
        <v>TW_08N_SA2/TAILWATER</v>
      </c>
      <c r="I453" s="24" t="s">
        <v>2223</v>
      </c>
      <c r="J453" s="10" t="str">
        <f>VLOOKUP(Table1[[#This Row],[UID]],CS3SVComposerConfig!$B$3:$D$1808,3,FALSE)</f>
        <v>CS3L2015V0Hydro_SV.dss</v>
      </c>
      <c r="K453" s="10" t="s">
        <v>2212</v>
      </c>
      <c r="L453" s="10" t="s">
        <v>2212</v>
      </c>
      <c r="M453" s="10" t="s">
        <v>2224</v>
      </c>
      <c r="N453" s="10" t="s">
        <v>2225</v>
      </c>
      <c r="O453" s="10" t="s">
        <v>2226</v>
      </c>
      <c r="P453" s="39" t="s">
        <v>2227</v>
      </c>
    </row>
    <row r="454" spans="2:16" ht="18" customHeight="1" x14ac:dyDescent="0.25">
      <c r="B454" s="21" t="s">
        <v>0</v>
      </c>
      <c r="C454" s="22" t="s">
        <v>760</v>
      </c>
      <c r="D454" s="22" t="s">
        <v>738</v>
      </c>
      <c r="E454" s="21" t="s">
        <v>2222</v>
      </c>
      <c r="F454" s="23" t="s">
        <v>3</v>
      </c>
      <c r="G454" s="23" t="s">
        <v>4</v>
      </c>
      <c r="H454" s="21" t="str">
        <f t="shared" si="7"/>
        <v>TW_08S_NA1/TAILWATER</v>
      </c>
      <c r="I454" s="24" t="s">
        <v>2223</v>
      </c>
      <c r="J454" s="10" t="str">
        <f>VLOOKUP(Table1[[#This Row],[UID]],CS3SVComposerConfig!$B$3:$D$1808,3,FALSE)</f>
        <v>CS3L2015V0Hydro_SV.dss</v>
      </c>
      <c r="K454" s="10" t="s">
        <v>2212</v>
      </c>
      <c r="L454" s="10" t="s">
        <v>2212</v>
      </c>
      <c r="M454" s="10" t="s">
        <v>2224</v>
      </c>
      <c r="N454" s="10" t="s">
        <v>2225</v>
      </c>
      <c r="O454" s="10" t="s">
        <v>2226</v>
      </c>
      <c r="P454" s="39" t="s">
        <v>2227</v>
      </c>
    </row>
    <row r="455" spans="2:16" ht="18" customHeight="1" x14ac:dyDescent="0.25">
      <c r="B455" s="21" t="s">
        <v>0</v>
      </c>
      <c r="C455" s="22" t="s">
        <v>761</v>
      </c>
      <c r="D455" s="22" t="s">
        <v>738</v>
      </c>
      <c r="E455" s="21" t="s">
        <v>2222</v>
      </c>
      <c r="F455" s="23" t="s">
        <v>3</v>
      </c>
      <c r="G455" s="23" t="s">
        <v>4</v>
      </c>
      <c r="H455" s="21" t="str">
        <f t="shared" si="7"/>
        <v>TW_08S_NA2/TAILWATER</v>
      </c>
      <c r="I455" s="24" t="s">
        <v>2223</v>
      </c>
      <c r="J455" s="10" t="str">
        <f>VLOOKUP(Table1[[#This Row],[UID]],CS3SVComposerConfig!$B$3:$D$1808,3,FALSE)</f>
        <v>CS3L2015V0Hydro_SV.dss</v>
      </c>
      <c r="K455" s="10" t="s">
        <v>2212</v>
      </c>
      <c r="L455" s="10" t="s">
        <v>2212</v>
      </c>
      <c r="M455" s="10" t="s">
        <v>2224</v>
      </c>
      <c r="N455" s="10" t="s">
        <v>2225</v>
      </c>
      <c r="O455" s="10" t="s">
        <v>2226</v>
      </c>
      <c r="P455" s="39" t="s">
        <v>2227</v>
      </c>
    </row>
    <row r="456" spans="2:16" ht="18" customHeight="1" x14ac:dyDescent="0.25">
      <c r="B456" s="21" t="s">
        <v>0</v>
      </c>
      <c r="C456" s="22" t="s">
        <v>762</v>
      </c>
      <c r="D456" s="22" t="s">
        <v>738</v>
      </c>
      <c r="E456" s="21" t="s">
        <v>2222</v>
      </c>
      <c r="F456" s="23" t="s">
        <v>3</v>
      </c>
      <c r="G456" s="23" t="s">
        <v>4</v>
      </c>
      <c r="H456" s="21" t="str">
        <f t="shared" si="7"/>
        <v>TW_08S_PA/TAILWATER</v>
      </c>
      <c r="I456" s="24" t="s">
        <v>2223</v>
      </c>
      <c r="J456" s="10" t="str">
        <f>VLOOKUP(Table1[[#This Row],[UID]],CS3SVComposerConfig!$B$3:$D$1808,3,FALSE)</f>
        <v>CS3L2015V0Hydro_SV.dss</v>
      </c>
      <c r="K456" s="10" t="s">
        <v>2212</v>
      </c>
      <c r="L456" s="10" t="s">
        <v>2212</v>
      </c>
      <c r="M456" s="10" t="s">
        <v>2224</v>
      </c>
      <c r="N456" s="10" t="s">
        <v>2225</v>
      </c>
      <c r="O456" s="10" t="s">
        <v>2226</v>
      </c>
      <c r="P456" s="39" t="s">
        <v>2227</v>
      </c>
    </row>
    <row r="457" spans="2:16" ht="18" customHeight="1" x14ac:dyDescent="0.25">
      <c r="B457" s="21" t="s">
        <v>0</v>
      </c>
      <c r="C457" s="22" t="s">
        <v>763</v>
      </c>
      <c r="D457" s="22" t="s">
        <v>738</v>
      </c>
      <c r="E457" s="21" t="s">
        <v>2222</v>
      </c>
      <c r="F457" s="23" t="s">
        <v>3</v>
      </c>
      <c r="G457" s="23" t="s">
        <v>4</v>
      </c>
      <c r="H457" s="21" t="str">
        <f t="shared" si="7"/>
        <v>TW_08S_PR/TAILWATER</v>
      </c>
      <c r="I457" s="24" t="s">
        <v>2223</v>
      </c>
      <c r="J457" s="10" t="str">
        <f>VLOOKUP(Table1[[#This Row],[UID]],CS3SVComposerConfig!$B$3:$D$1808,3,FALSE)</f>
        <v>CS3L2015V0Hydro_SV.dss</v>
      </c>
      <c r="K457" s="10" t="s">
        <v>2212</v>
      </c>
      <c r="L457" s="10" t="s">
        <v>2212</v>
      </c>
      <c r="M457" s="10" t="s">
        <v>2224</v>
      </c>
      <c r="N457" s="10" t="s">
        <v>2225</v>
      </c>
      <c r="O457" s="10" t="s">
        <v>2226</v>
      </c>
      <c r="P457" s="39" t="s">
        <v>2227</v>
      </c>
    </row>
    <row r="458" spans="2:16" ht="18" customHeight="1" x14ac:dyDescent="0.25">
      <c r="B458" s="21" t="s">
        <v>0</v>
      </c>
      <c r="C458" s="22" t="s">
        <v>764</v>
      </c>
      <c r="D458" s="22" t="s">
        <v>738</v>
      </c>
      <c r="E458" s="21" t="s">
        <v>2222</v>
      </c>
      <c r="F458" s="23" t="s">
        <v>3</v>
      </c>
      <c r="G458" s="23" t="s">
        <v>4</v>
      </c>
      <c r="H458" s="21" t="str">
        <f t="shared" si="7"/>
        <v>TW_08S_SA1/TAILWATER</v>
      </c>
      <c r="I458" s="24" t="s">
        <v>2223</v>
      </c>
      <c r="J458" s="10" t="str">
        <f>VLOOKUP(Table1[[#This Row],[UID]],CS3SVComposerConfig!$B$3:$D$1808,3,FALSE)</f>
        <v>CS3L2015V0Hydro_SV.dss</v>
      </c>
      <c r="K458" s="10" t="s">
        <v>2212</v>
      </c>
      <c r="L458" s="10" t="s">
        <v>2212</v>
      </c>
      <c r="M458" s="10" t="s">
        <v>2224</v>
      </c>
      <c r="N458" s="10" t="s">
        <v>2225</v>
      </c>
      <c r="O458" s="10" t="s">
        <v>2226</v>
      </c>
      <c r="P458" s="39" t="s">
        <v>2227</v>
      </c>
    </row>
    <row r="459" spans="2:16" ht="18" customHeight="1" x14ac:dyDescent="0.25">
      <c r="B459" s="21" t="s">
        <v>0</v>
      </c>
      <c r="C459" s="22" t="s">
        <v>765</v>
      </c>
      <c r="D459" s="22" t="s">
        <v>738</v>
      </c>
      <c r="E459" s="21" t="s">
        <v>2222</v>
      </c>
      <c r="F459" s="23" t="s">
        <v>3</v>
      </c>
      <c r="G459" s="23" t="s">
        <v>4</v>
      </c>
      <c r="H459" s="21" t="str">
        <f t="shared" si="7"/>
        <v>TW_08S_SA2/TAILWATER</v>
      </c>
      <c r="I459" s="24" t="s">
        <v>2223</v>
      </c>
      <c r="J459" s="10" t="str">
        <f>VLOOKUP(Table1[[#This Row],[UID]],CS3SVComposerConfig!$B$3:$D$1808,3,FALSE)</f>
        <v>CS3L2015V0Hydro_SV.dss</v>
      </c>
      <c r="K459" s="10" t="s">
        <v>2212</v>
      </c>
      <c r="L459" s="10" t="s">
        <v>2212</v>
      </c>
      <c r="M459" s="10" t="s">
        <v>2224</v>
      </c>
      <c r="N459" s="10" t="s">
        <v>2225</v>
      </c>
      <c r="O459" s="10" t="s">
        <v>2226</v>
      </c>
      <c r="P459" s="39" t="s">
        <v>2227</v>
      </c>
    </row>
    <row r="460" spans="2:16" ht="18" customHeight="1" x14ac:dyDescent="0.25">
      <c r="B460" s="21" t="s">
        <v>0</v>
      </c>
      <c r="C460" s="22" t="s">
        <v>766</v>
      </c>
      <c r="D460" s="22" t="s">
        <v>738</v>
      </c>
      <c r="E460" s="21" t="s">
        <v>2222</v>
      </c>
      <c r="F460" s="23" t="s">
        <v>3</v>
      </c>
      <c r="G460" s="23" t="s">
        <v>4</v>
      </c>
      <c r="H460" s="21" t="str">
        <f t="shared" si="7"/>
        <v>TW_08S_SA3/TAILWATER</v>
      </c>
      <c r="I460" s="24" t="s">
        <v>2223</v>
      </c>
      <c r="J460" s="10" t="str">
        <f>VLOOKUP(Table1[[#This Row],[UID]],CS3SVComposerConfig!$B$3:$D$1808,3,FALSE)</f>
        <v>CS3L2015V0Hydro_SV.dss</v>
      </c>
      <c r="K460" s="10" t="s">
        <v>2212</v>
      </c>
      <c r="L460" s="10" t="s">
        <v>2212</v>
      </c>
      <c r="M460" s="10" t="s">
        <v>2224</v>
      </c>
      <c r="N460" s="10" t="s">
        <v>2225</v>
      </c>
      <c r="O460" s="10" t="s">
        <v>2226</v>
      </c>
      <c r="P460" s="39" t="s">
        <v>2227</v>
      </c>
    </row>
    <row r="461" spans="2:16" ht="18" customHeight="1" x14ac:dyDescent="0.25">
      <c r="B461" s="21" t="s">
        <v>0</v>
      </c>
      <c r="C461" s="22" t="s">
        <v>767</v>
      </c>
      <c r="D461" s="22" t="s">
        <v>738</v>
      </c>
      <c r="E461" s="21" t="s">
        <v>2222</v>
      </c>
      <c r="F461" s="23" t="s">
        <v>3</v>
      </c>
      <c r="G461" s="23" t="s">
        <v>4</v>
      </c>
      <c r="H461" s="21" t="str">
        <f t="shared" si="7"/>
        <v>TW_09_NA/TAILWATER</v>
      </c>
      <c r="I461" s="24" t="s">
        <v>2223</v>
      </c>
      <c r="J461" s="10" t="str">
        <f>VLOOKUP(Table1[[#This Row],[UID]],CS3SVComposerConfig!$B$3:$D$1808,3,FALSE)</f>
        <v>CS3L2015V0Hydro_SV.dss</v>
      </c>
      <c r="K461" s="10" t="s">
        <v>2212</v>
      </c>
      <c r="L461" s="10" t="s">
        <v>2212</v>
      </c>
      <c r="M461" s="10" t="s">
        <v>2224</v>
      </c>
      <c r="N461" s="10" t="s">
        <v>2225</v>
      </c>
      <c r="O461" s="10" t="s">
        <v>2226</v>
      </c>
      <c r="P461" s="39" t="s">
        <v>2227</v>
      </c>
    </row>
    <row r="462" spans="2:16" ht="18" customHeight="1" x14ac:dyDescent="0.25">
      <c r="B462" s="21" t="s">
        <v>0</v>
      </c>
      <c r="C462" s="22" t="s">
        <v>768</v>
      </c>
      <c r="D462" s="22" t="s">
        <v>738</v>
      </c>
      <c r="E462" s="21" t="s">
        <v>2222</v>
      </c>
      <c r="F462" s="23" t="s">
        <v>3</v>
      </c>
      <c r="G462" s="23" t="s">
        <v>4</v>
      </c>
      <c r="H462" s="21" t="str">
        <f t="shared" si="7"/>
        <v>TW_09_PR/TAILWATER</v>
      </c>
      <c r="I462" s="24" t="s">
        <v>2223</v>
      </c>
      <c r="J462" s="10" t="str">
        <f>VLOOKUP(Table1[[#This Row],[UID]],CS3SVComposerConfig!$B$3:$D$1808,3,FALSE)</f>
        <v>CS3L2015V0Hydro_SV.dss</v>
      </c>
      <c r="K462" s="10" t="s">
        <v>2212</v>
      </c>
      <c r="L462" s="10" t="s">
        <v>2212</v>
      </c>
      <c r="M462" s="10" t="s">
        <v>2224</v>
      </c>
      <c r="N462" s="10" t="s">
        <v>2225</v>
      </c>
      <c r="O462" s="10" t="s">
        <v>2226</v>
      </c>
      <c r="P462" s="39" t="s">
        <v>2227</v>
      </c>
    </row>
    <row r="463" spans="2:16" ht="18" customHeight="1" x14ac:dyDescent="0.25">
      <c r="B463" s="21" t="s">
        <v>0</v>
      </c>
      <c r="C463" s="22" t="s">
        <v>769</v>
      </c>
      <c r="D463" s="22" t="s">
        <v>738</v>
      </c>
      <c r="E463" s="21" t="s">
        <v>2222</v>
      </c>
      <c r="F463" s="23" t="s">
        <v>3</v>
      </c>
      <c r="G463" s="23" t="s">
        <v>4</v>
      </c>
      <c r="H463" s="21" t="str">
        <f t="shared" si="7"/>
        <v>TW_09_SA1/TAILWATER</v>
      </c>
      <c r="I463" s="24" t="s">
        <v>2223</v>
      </c>
      <c r="J463" s="10" t="str">
        <f>VLOOKUP(Table1[[#This Row],[UID]],CS3SVComposerConfig!$B$3:$D$1808,3,FALSE)</f>
        <v>CS3L2015V0Hydro_SV.dss</v>
      </c>
      <c r="K463" s="10" t="s">
        <v>2212</v>
      </c>
      <c r="L463" s="10" t="s">
        <v>2212</v>
      </c>
      <c r="M463" s="10" t="s">
        <v>2224</v>
      </c>
      <c r="N463" s="10" t="s">
        <v>2225</v>
      </c>
      <c r="O463" s="10" t="s">
        <v>2226</v>
      </c>
      <c r="P463" s="39" t="s">
        <v>2227</v>
      </c>
    </row>
    <row r="464" spans="2:16" ht="18" customHeight="1" x14ac:dyDescent="0.25">
      <c r="B464" s="21" t="s">
        <v>0</v>
      </c>
      <c r="C464" s="22" t="s">
        <v>770</v>
      </c>
      <c r="D464" s="22" t="s">
        <v>738</v>
      </c>
      <c r="E464" s="21" t="s">
        <v>2222</v>
      </c>
      <c r="F464" s="23" t="s">
        <v>3</v>
      </c>
      <c r="G464" s="23" t="s">
        <v>4</v>
      </c>
      <c r="H464" s="21" t="str">
        <f t="shared" si="7"/>
        <v>TW_09_SA2/TAILWATER</v>
      </c>
      <c r="I464" s="24" t="s">
        <v>2223</v>
      </c>
      <c r="J464" s="10" t="str">
        <f>VLOOKUP(Table1[[#This Row],[UID]],CS3SVComposerConfig!$B$3:$D$1808,3,FALSE)</f>
        <v>CS3L2015V0Hydro_SV.dss</v>
      </c>
      <c r="K464" s="10" t="s">
        <v>2212</v>
      </c>
      <c r="L464" s="10" t="s">
        <v>2212</v>
      </c>
      <c r="M464" s="10" t="s">
        <v>2224</v>
      </c>
      <c r="N464" s="10" t="s">
        <v>2225</v>
      </c>
      <c r="O464" s="10" t="s">
        <v>2226</v>
      </c>
      <c r="P464" s="39" t="s">
        <v>2227</v>
      </c>
    </row>
    <row r="465" spans="2:16" ht="18" customHeight="1" x14ac:dyDescent="0.25">
      <c r="B465" s="21" t="s">
        <v>0</v>
      </c>
      <c r="C465" s="22" t="s">
        <v>771</v>
      </c>
      <c r="D465" s="22" t="s">
        <v>738</v>
      </c>
      <c r="E465" s="21" t="s">
        <v>2222</v>
      </c>
      <c r="F465" s="23" t="s">
        <v>3</v>
      </c>
      <c r="G465" s="23" t="s">
        <v>4</v>
      </c>
      <c r="H465" s="21" t="str">
        <f t="shared" si="7"/>
        <v>TW_10_NA/TAILWATER</v>
      </c>
      <c r="I465" s="24" t="s">
        <v>2223</v>
      </c>
      <c r="J465" s="10" t="str">
        <f>VLOOKUP(Table1[[#This Row],[UID]],CS3SVComposerConfig!$B$3:$D$1808,3,FALSE)</f>
        <v>CS3L2015V0Hydro_SV.dss</v>
      </c>
      <c r="K465" s="10" t="s">
        <v>2212</v>
      </c>
      <c r="L465" s="10" t="s">
        <v>2212</v>
      </c>
      <c r="M465" s="10" t="s">
        <v>2224</v>
      </c>
      <c r="N465" s="10" t="s">
        <v>2225</v>
      </c>
      <c r="O465" s="10" t="s">
        <v>2226</v>
      </c>
      <c r="P465" s="39" t="s">
        <v>2227</v>
      </c>
    </row>
    <row r="466" spans="2:16" ht="18" customHeight="1" x14ac:dyDescent="0.25">
      <c r="B466" s="21" t="s">
        <v>0</v>
      </c>
      <c r="C466" s="22" t="s">
        <v>772</v>
      </c>
      <c r="D466" s="22" t="s">
        <v>738</v>
      </c>
      <c r="E466" s="21" t="s">
        <v>2222</v>
      </c>
      <c r="F466" s="23" t="s">
        <v>3</v>
      </c>
      <c r="G466" s="23" t="s">
        <v>4</v>
      </c>
      <c r="H466" s="21" t="str">
        <f t="shared" si="7"/>
        <v>TW_11_NA/TAILWATER</v>
      </c>
      <c r="I466" s="24" t="s">
        <v>2223</v>
      </c>
      <c r="J466" s="10" t="str">
        <f>VLOOKUP(Table1[[#This Row],[UID]],CS3SVComposerConfig!$B$3:$D$1808,3,FALSE)</f>
        <v>CS3L2015V0Hydro_SV.dss</v>
      </c>
      <c r="K466" s="10" t="s">
        <v>2212</v>
      </c>
      <c r="L466" s="10" t="s">
        <v>2212</v>
      </c>
      <c r="M466" s="10" t="s">
        <v>2224</v>
      </c>
      <c r="N466" s="10" t="s">
        <v>2225</v>
      </c>
      <c r="O466" s="10" t="s">
        <v>2226</v>
      </c>
      <c r="P466" s="39" t="s">
        <v>2227</v>
      </c>
    </row>
    <row r="467" spans="2:16" ht="18" customHeight="1" x14ac:dyDescent="0.25">
      <c r="B467" s="21" t="s">
        <v>0</v>
      </c>
      <c r="C467" s="22" t="s">
        <v>773</v>
      </c>
      <c r="D467" s="22" t="s">
        <v>738</v>
      </c>
      <c r="E467" s="21" t="s">
        <v>2222</v>
      </c>
      <c r="F467" s="23" t="s">
        <v>3</v>
      </c>
      <c r="G467" s="23" t="s">
        <v>4</v>
      </c>
      <c r="H467" s="21" t="str">
        <f t="shared" si="7"/>
        <v>TW_11_PR/TAILWATER</v>
      </c>
      <c r="I467" s="24" t="s">
        <v>2223</v>
      </c>
      <c r="J467" s="10" t="str">
        <f>VLOOKUP(Table1[[#This Row],[UID]],CS3SVComposerConfig!$B$3:$D$1808,3,FALSE)</f>
        <v>CS3L2015V0Hydro_SV.dss</v>
      </c>
      <c r="K467" s="10" t="s">
        <v>2212</v>
      </c>
      <c r="L467" s="10" t="s">
        <v>2212</v>
      </c>
      <c r="M467" s="10" t="s">
        <v>2224</v>
      </c>
      <c r="N467" s="10" t="s">
        <v>2225</v>
      </c>
      <c r="O467" s="10" t="s">
        <v>2226</v>
      </c>
      <c r="P467" s="39" t="s">
        <v>2227</v>
      </c>
    </row>
    <row r="468" spans="2:16" ht="18" customHeight="1" x14ac:dyDescent="0.25">
      <c r="B468" s="21" t="s">
        <v>0</v>
      </c>
      <c r="C468" s="22" t="s">
        <v>774</v>
      </c>
      <c r="D468" s="22" t="s">
        <v>738</v>
      </c>
      <c r="E468" s="21" t="s">
        <v>2222</v>
      </c>
      <c r="F468" s="23" t="s">
        <v>3</v>
      </c>
      <c r="G468" s="23" t="s">
        <v>4</v>
      </c>
      <c r="H468" s="21" t="str">
        <f t="shared" si="7"/>
        <v>TW_11_SA1/TAILWATER</v>
      </c>
      <c r="I468" s="24" t="s">
        <v>2223</v>
      </c>
      <c r="J468" s="10" t="str">
        <f>VLOOKUP(Table1[[#This Row],[UID]],CS3SVComposerConfig!$B$3:$D$1808,3,FALSE)</f>
        <v>CS3L2015V0Hydro_SV.dss</v>
      </c>
      <c r="K468" s="10" t="s">
        <v>2212</v>
      </c>
      <c r="L468" s="10" t="s">
        <v>2212</v>
      </c>
      <c r="M468" s="10" t="s">
        <v>2224</v>
      </c>
      <c r="N468" s="10" t="s">
        <v>2225</v>
      </c>
      <c r="O468" s="10" t="s">
        <v>2226</v>
      </c>
      <c r="P468" s="39" t="s">
        <v>2227</v>
      </c>
    </row>
    <row r="469" spans="2:16" ht="18" customHeight="1" x14ac:dyDescent="0.25">
      <c r="B469" s="21" t="s">
        <v>0</v>
      </c>
      <c r="C469" s="22" t="s">
        <v>775</v>
      </c>
      <c r="D469" s="22" t="s">
        <v>738</v>
      </c>
      <c r="E469" s="21" t="s">
        <v>2222</v>
      </c>
      <c r="F469" s="23" t="s">
        <v>3</v>
      </c>
      <c r="G469" s="23" t="s">
        <v>4</v>
      </c>
      <c r="H469" s="21" t="str">
        <f t="shared" si="7"/>
        <v>TW_11_SA2/TAILWATER</v>
      </c>
      <c r="I469" s="24" t="s">
        <v>2223</v>
      </c>
      <c r="J469" s="10" t="str">
        <f>VLOOKUP(Table1[[#This Row],[UID]],CS3SVComposerConfig!$B$3:$D$1808,3,FALSE)</f>
        <v>CS3L2015V0Hydro_SV.dss</v>
      </c>
      <c r="K469" s="10" t="s">
        <v>2212</v>
      </c>
      <c r="L469" s="10" t="s">
        <v>2212</v>
      </c>
      <c r="M469" s="10" t="s">
        <v>2224</v>
      </c>
      <c r="N469" s="10" t="s">
        <v>2225</v>
      </c>
      <c r="O469" s="10" t="s">
        <v>2226</v>
      </c>
      <c r="P469" s="39" t="s">
        <v>2227</v>
      </c>
    </row>
    <row r="470" spans="2:16" ht="18" customHeight="1" x14ac:dyDescent="0.25">
      <c r="B470" s="21" t="s">
        <v>0</v>
      </c>
      <c r="C470" s="22" t="s">
        <v>776</v>
      </c>
      <c r="D470" s="22" t="s">
        <v>738</v>
      </c>
      <c r="E470" s="21" t="s">
        <v>2222</v>
      </c>
      <c r="F470" s="23" t="s">
        <v>3</v>
      </c>
      <c r="G470" s="23" t="s">
        <v>4</v>
      </c>
      <c r="H470" s="21" t="str">
        <f t="shared" si="7"/>
        <v>TW_11_SA3/TAILWATER</v>
      </c>
      <c r="I470" s="24" t="s">
        <v>2223</v>
      </c>
      <c r="J470" s="10" t="str">
        <f>VLOOKUP(Table1[[#This Row],[UID]],CS3SVComposerConfig!$B$3:$D$1808,3,FALSE)</f>
        <v>CS3L2015V0Hydro_SV.dss</v>
      </c>
      <c r="K470" s="10" t="s">
        <v>2212</v>
      </c>
      <c r="L470" s="10" t="s">
        <v>2212</v>
      </c>
      <c r="M470" s="10" t="s">
        <v>2224</v>
      </c>
      <c r="N470" s="10" t="s">
        <v>2225</v>
      </c>
      <c r="O470" s="10" t="s">
        <v>2226</v>
      </c>
      <c r="P470" s="39" t="s">
        <v>2227</v>
      </c>
    </row>
    <row r="471" spans="2:16" ht="18" customHeight="1" x14ac:dyDescent="0.25">
      <c r="B471" s="21" t="s">
        <v>0</v>
      </c>
      <c r="C471" s="22" t="s">
        <v>777</v>
      </c>
      <c r="D471" s="22" t="s">
        <v>738</v>
      </c>
      <c r="E471" s="21" t="s">
        <v>2222</v>
      </c>
      <c r="F471" s="23" t="s">
        <v>3</v>
      </c>
      <c r="G471" s="23" t="s">
        <v>4</v>
      </c>
      <c r="H471" s="21" t="str">
        <f t="shared" si="7"/>
        <v>TW_11_SA4/TAILWATER</v>
      </c>
      <c r="I471" s="24" t="s">
        <v>2223</v>
      </c>
      <c r="J471" s="10" t="str">
        <f>VLOOKUP(Table1[[#This Row],[UID]],CS3SVComposerConfig!$B$3:$D$1808,3,FALSE)</f>
        <v>CS3L2015V0Hydro_SV.dss</v>
      </c>
      <c r="K471" s="10" t="s">
        <v>2212</v>
      </c>
      <c r="L471" s="10" t="s">
        <v>2212</v>
      </c>
      <c r="M471" s="10" t="s">
        <v>2224</v>
      </c>
      <c r="N471" s="10" t="s">
        <v>2225</v>
      </c>
      <c r="O471" s="10" t="s">
        <v>2226</v>
      </c>
      <c r="P471" s="39" t="s">
        <v>2227</v>
      </c>
    </row>
    <row r="472" spans="2:16" ht="18" customHeight="1" x14ac:dyDescent="0.25">
      <c r="B472" s="21" t="s">
        <v>0</v>
      </c>
      <c r="C472" s="22" t="s">
        <v>778</v>
      </c>
      <c r="D472" s="22" t="s">
        <v>738</v>
      </c>
      <c r="E472" s="21" t="s">
        <v>2222</v>
      </c>
      <c r="F472" s="23" t="s">
        <v>3</v>
      </c>
      <c r="G472" s="23" t="s">
        <v>4</v>
      </c>
      <c r="H472" s="21" t="str">
        <f t="shared" si="7"/>
        <v>TW_12_NA/TAILWATER</v>
      </c>
      <c r="I472" s="24" t="s">
        <v>2223</v>
      </c>
      <c r="J472" s="10" t="str">
        <f>VLOOKUP(Table1[[#This Row],[UID]],CS3SVComposerConfig!$B$3:$D$1808,3,FALSE)</f>
        <v>CS3L2015V0Hydro_SV.dss</v>
      </c>
      <c r="K472" s="10" t="s">
        <v>2212</v>
      </c>
      <c r="L472" s="10" t="s">
        <v>2212</v>
      </c>
      <c r="M472" s="10" t="s">
        <v>2224</v>
      </c>
      <c r="N472" s="10" t="s">
        <v>2225</v>
      </c>
      <c r="O472" s="10" t="s">
        <v>2226</v>
      </c>
      <c r="P472" s="39" t="s">
        <v>2227</v>
      </c>
    </row>
    <row r="473" spans="2:16" ht="18" customHeight="1" x14ac:dyDescent="0.25">
      <c r="B473" s="21" t="s">
        <v>0</v>
      </c>
      <c r="C473" s="22" t="s">
        <v>779</v>
      </c>
      <c r="D473" s="22" t="s">
        <v>738</v>
      </c>
      <c r="E473" s="21" t="s">
        <v>2222</v>
      </c>
      <c r="F473" s="23" t="s">
        <v>3</v>
      </c>
      <c r="G473" s="23" t="s">
        <v>4</v>
      </c>
      <c r="H473" s="21" t="str">
        <f t="shared" si="7"/>
        <v>TW_12_SA/TAILWATER</v>
      </c>
      <c r="I473" s="24" t="s">
        <v>2223</v>
      </c>
      <c r="J473" s="10" t="str">
        <f>VLOOKUP(Table1[[#This Row],[UID]],CS3SVComposerConfig!$B$3:$D$1808,3,FALSE)</f>
        <v>CS3L2015V0Hydro_SV.dss</v>
      </c>
      <c r="K473" s="10" t="s">
        <v>2212</v>
      </c>
      <c r="L473" s="10" t="s">
        <v>2212</v>
      </c>
      <c r="M473" s="10" t="s">
        <v>2224</v>
      </c>
      <c r="N473" s="10" t="s">
        <v>2225</v>
      </c>
      <c r="O473" s="10" t="s">
        <v>2226</v>
      </c>
      <c r="P473" s="39" t="s">
        <v>2227</v>
      </c>
    </row>
    <row r="474" spans="2:16" ht="18" customHeight="1" x14ac:dyDescent="0.25">
      <c r="B474" s="21" t="s">
        <v>0</v>
      </c>
      <c r="C474" s="22" t="s">
        <v>780</v>
      </c>
      <c r="D474" s="22" t="s">
        <v>738</v>
      </c>
      <c r="E474" s="21" t="s">
        <v>2222</v>
      </c>
      <c r="F474" s="23" t="s">
        <v>3</v>
      </c>
      <c r="G474" s="23" t="s">
        <v>4</v>
      </c>
      <c r="H474" s="21" t="str">
        <f t="shared" si="7"/>
        <v>TW_13_NA/TAILWATER</v>
      </c>
      <c r="I474" s="24" t="s">
        <v>2223</v>
      </c>
      <c r="J474" s="10" t="str">
        <f>VLOOKUP(Table1[[#This Row],[UID]],CS3SVComposerConfig!$B$3:$D$1808,3,FALSE)</f>
        <v>CS3L2015V0Hydro_SV.dss</v>
      </c>
      <c r="K474" s="10" t="s">
        <v>2212</v>
      </c>
      <c r="L474" s="10" t="s">
        <v>2212</v>
      </c>
      <c r="M474" s="10" t="s">
        <v>2224</v>
      </c>
      <c r="N474" s="10" t="s">
        <v>2225</v>
      </c>
      <c r="O474" s="10" t="s">
        <v>2226</v>
      </c>
      <c r="P474" s="39" t="s">
        <v>2227</v>
      </c>
    </row>
    <row r="475" spans="2:16" ht="18" customHeight="1" x14ac:dyDescent="0.25">
      <c r="B475" s="21" t="s">
        <v>0</v>
      </c>
      <c r="C475" s="22" t="s">
        <v>781</v>
      </c>
      <c r="D475" s="22" t="s">
        <v>738</v>
      </c>
      <c r="E475" s="21" t="s">
        <v>2222</v>
      </c>
      <c r="F475" s="23" t="s">
        <v>3</v>
      </c>
      <c r="G475" s="23" t="s">
        <v>4</v>
      </c>
      <c r="H475" s="21" t="str">
        <f t="shared" si="7"/>
        <v>TW_14_NA/TAILWATER</v>
      </c>
      <c r="I475" s="24" t="s">
        <v>2223</v>
      </c>
      <c r="J475" s="10" t="str">
        <f>VLOOKUP(Table1[[#This Row],[UID]],CS3SVComposerConfig!$B$3:$D$1808,3,FALSE)</f>
        <v>CS3L2015V0Hydro_SV.dss</v>
      </c>
      <c r="K475" s="10" t="s">
        <v>2212</v>
      </c>
      <c r="L475" s="10" t="s">
        <v>2212</v>
      </c>
      <c r="M475" s="10" t="s">
        <v>2224</v>
      </c>
      <c r="N475" s="10" t="s">
        <v>2225</v>
      </c>
      <c r="O475" s="10" t="s">
        <v>2226</v>
      </c>
      <c r="P475" s="39" t="s">
        <v>2227</v>
      </c>
    </row>
    <row r="476" spans="2:16" ht="18" customHeight="1" x14ac:dyDescent="0.25">
      <c r="B476" s="21" t="s">
        <v>0</v>
      </c>
      <c r="C476" s="22" t="s">
        <v>782</v>
      </c>
      <c r="D476" s="22" t="s">
        <v>738</v>
      </c>
      <c r="E476" s="21" t="s">
        <v>2222</v>
      </c>
      <c r="F476" s="23" t="s">
        <v>3</v>
      </c>
      <c r="G476" s="23" t="s">
        <v>4</v>
      </c>
      <c r="H476" s="21" t="str">
        <f t="shared" si="7"/>
        <v>TW_15N_NA1/TAILWATER</v>
      </c>
      <c r="I476" s="24" t="s">
        <v>2223</v>
      </c>
      <c r="J476" s="10" t="str">
        <f>VLOOKUP(Table1[[#This Row],[UID]],CS3SVComposerConfig!$B$3:$D$1808,3,FALSE)</f>
        <v>CS3L2015V0Hydro_SV.dss</v>
      </c>
      <c r="K476" s="10" t="s">
        <v>2212</v>
      </c>
      <c r="L476" s="10" t="s">
        <v>2212</v>
      </c>
      <c r="M476" s="10" t="s">
        <v>2224</v>
      </c>
      <c r="N476" s="10" t="s">
        <v>2225</v>
      </c>
      <c r="O476" s="10" t="s">
        <v>2226</v>
      </c>
      <c r="P476" s="39" t="s">
        <v>2227</v>
      </c>
    </row>
    <row r="477" spans="2:16" ht="18" customHeight="1" x14ac:dyDescent="0.25">
      <c r="B477" s="21" t="s">
        <v>0</v>
      </c>
      <c r="C477" s="22" t="s">
        <v>783</v>
      </c>
      <c r="D477" s="22" t="s">
        <v>738</v>
      </c>
      <c r="E477" s="21" t="s">
        <v>2222</v>
      </c>
      <c r="F477" s="23" t="s">
        <v>3</v>
      </c>
      <c r="G477" s="23" t="s">
        <v>4</v>
      </c>
      <c r="H477" s="21" t="str">
        <f t="shared" si="7"/>
        <v>TW_15N_NA2/TAILWATER</v>
      </c>
      <c r="I477" s="24" t="s">
        <v>2223</v>
      </c>
      <c r="J477" s="10" t="str">
        <f>VLOOKUP(Table1[[#This Row],[UID]],CS3SVComposerConfig!$B$3:$D$1808,3,FALSE)</f>
        <v>CS3L2015V0Hydro_SV.dss</v>
      </c>
      <c r="K477" s="10" t="s">
        <v>2212</v>
      </c>
      <c r="L477" s="10" t="s">
        <v>2212</v>
      </c>
      <c r="M477" s="10" t="s">
        <v>2224</v>
      </c>
      <c r="N477" s="10" t="s">
        <v>2225</v>
      </c>
      <c r="O477" s="10" t="s">
        <v>2226</v>
      </c>
      <c r="P477" s="39" t="s">
        <v>2227</v>
      </c>
    </row>
    <row r="478" spans="2:16" ht="18" customHeight="1" x14ac:dyDescent="0.25">
      <c r="B478" s="21" t="s">
        <v>0</v>
      </c>
      <c r="C478" s="22" t="s">
        <v>784</v>
      </c>
      <c r="D478" s="22" t="s">
        <v>738</v>
      </c>
      <c r="E478" s="21" t="s">
        <v>2222</v>
      </c>
      <c r="F478" s="23" t="s">
        <v>3</v>
      </c>
      <c r="G478" s="23" t="s">
        <v>4</v>
      </c>
      <c r="H478" s="21" t="str">
        <f t="shared" si="7"/>
        <v>TW_15N_SA/TAILWATER</v>
      </c>
      <c r="I478" s="24" t="s">
        <v>2223</v>
      </c>
      <c r="J478" s="10" t="str">
        <f>VLOOKUP(Table1[[#This Row],[UID]],CS3SVComposerConfig!$B$3:$D$1808,3,FALSE)</f>
        <v>CS3L2015V0Hydro_SV.dss</v>
      </c>
      <c r="K478" s="10" t="s">
        <v>2212</v>
      </c>
      <c r="L478" s="10" t="s">
        <v>2212</v>
      </c>
      <c r="M478" s="10" t="s">
        <v>2224</v>
      </c>
      <c r="N478" s="10" t="s">
        <v>2225</v>
      </c>
      <c r="O478" s="10" t="s">
        <v>2226</v>
      </c>
      <c r="P478" s="39" t="s">
        <v>2227</v>
      </c>
    </row>
    <row r="479" spans="2:16" ht="18" customHeight="1" x14ac:dyDescent="0.25">
      <c r="B479" s="21" t="s">
        <v>0</v>
      </c>
      <c r="C479" s="22" t="s">
        <v>785</v>
      </c>
      <c r="D479" s="22" t="s">
        <v>738</v>
      </c>
      <c r="E479" s="21" t="s">
        <v>2222</v>
      </c>
      <c r="F479" s="23" t="s">
        <v>3</v>
      </c>
      <c r="G479" s="23" t="s">
        <v>4</v>
      </c>
      <c r="H479" s="21" t="str">
        <f t="shared" si="7"/>
        <v>TW_15S_NA1/TAILWATER</v>
      </c>
      <c r="I479" s="24" t="s">
        <v>2223</v>
      </c>
      <c r="J479" s="10" t="str">
        <f>VLOOKUP(Table1[[#This Row],[UID]],CS3SVComposerConfig!$B$3:$D$1808,3,FALSE)</f>
        <v>CS3L2015V0Hydro_SV.dss</v>
      </c>
      <c r="K479" s="10" t="s">
        <v>2212</v>
      </c>
      <c r="L479" s="10" t="s">
        <v>2212</v>
      </c>
      <c r="M479" s="10" t="s">
        <v>2224</v>
      </c>
      <c r="N479" s="10" t="s">
        <v>2225</v>
      </c>
      <c r="O479" s="10" t="s">
        <v>2226</v>
      </c>
      <c r="P479" s="39" t="s">
        <v>2227</v>
      </c>
    </row>
    <row r="480" spans="2:16" ht="18" customHeight="1" x14ac:dyDescent="0.25">
      <c r="B480" s="21" t="s">
        <v>0</v>
      </c>
      <c r="C480" s="22" t="s">
        <v>786</v>
      </c>
      <c r="D480" s="22" t="s">
        <v>738</v>
      </c>
      <c r="E480" s="21" t="s">
        <v>2222</v>
      </c>
      <c r="F480" s="23" t="s">
        <v>3</v>
      </c>
      <c r="G480" s="23" t="s">
        <v>4</v>
      </c>
      <c r="H480" s="21" t="str">
        <f t="shared" si="7"/>
        <v>TW_15S_NA2/TAILWATER</v>
      </c>
      <c r="I480" s="24" t="s">
        <v>2223</v>
      </c>
      <c r="J480" s="10" t="str">
        <f>VLOOKUP(Table1[[#This Row],[UID]],CS3SVComposerConfig!$B$3:$D$1808,3,FALSE)</f>
        <v>CS3L2015V0Hydro_SV.dss</v>
      </c>
      <c r="K480" s="10" t="s">
        <v>2212</v>
      </c>
      <c r="L480" s="10" t="s">
        <v>2212</v>
      </c>
      <c r="M480" s="10" t="s">
        <v>2224</v>
      </c>
      <c r="N480" s="10" t="s">
        <v>2225</v>
      </c>
      <c r="O480" s="10" t="s">
        <v>2226</v>
      </c>
      <c r="P480" s="39" t="s">
        <v>2227</v>
      </c>
    </row>
    <row r="481" spans="2:16" ht="18" customHeight="1" x14ac:dyDescent="0.25">
      <c r="B481" s="21" t="s">
        <v>0</v>
      </c>
      <c r="C481" s="22" t="s">
        <v>787</v>
      </c>
      <c r="D481" s="22" t="s">
        <v>738</v>
      </c>
      <c r="E481" s="21" t="s">
        <v>2222</v>
      </c>
      <c r="F481" s="23" t="s">
        <v>3</v>
      </c>
      <c r="G481" s="23" t="s">
        <v>4</v>
      </c>
      <c r="H481" s="21" t="str">
        <f t="shared" si="7"/>
        <v>TW_15S_SA/TAILWATER</v>
      </c>
      <c r="I481" s="24" t="s">
        <v>2223</v>
      </c>
      <c r="J481" s="10" t="str">
        <f>VLOOKUP(Table1[[#This Row],[UID]],CS3SVComposerConfig!$B$3:$D$1808,3,FALSE)</f>
        <v>CS3L2015V0Hydro_SV.dss</v>
      </c>
      <c r="K481" s="10" t="s">
        <v>2212</v>
      </c>
      <c r="L481" s="10" t="s">
        <v>2212</v>
      </c>
      <c r="M481" s="10" t="s">
        <v>2224</v>
      </c>
      <c r="N481" s="10" t="s">
        <v>2225</v>
      </c>
      <c r="O481" s="10" t="s">
        <v>2226</v>
      </c>
      <c r="P481" s="39" t="s">
        <v>2227</v>
      </c>
    </row>
    <row r="482" spans="2:16" ht="18" customHeight="1" x14ac:dyDescent="0.25">
      <c r="B482" s="21" t="s">
        <v>0</v>
      </c>
      <c r="C482" s="22" t="s">
        <v>788</v>
      </c>
      <c r="D482" s="22" t="s">
        <v>738</v>
      </c>
      <c r="E482" s="21" t="s">
        <v>2222</v>
      </c>
      <c r="F482" s="23" t="s">
        <v>3</v>
      </c>
      <c r="G482" s="23" t="s">
        <v>4</v>
      </c>
      <c r="H482" s="21" t="str">
        <f t="shared" si="7"/>
        <v>TW_16_NA1/TAILWATER</v>
      </c>
      <c r="I482" s="24" t="s">
        <v>2223</v>
      </c>
      <c r="J482" s="10" t="str">
        <f>VLOOKUP(Table1[[#This Row],[UID]],CS3SVComposerConfig!$B$3:$D$1808,3,FALSE)</f>
        <v>CS3L2015V0Hydro_SV.dss</v>
      </c>
      <c r="K482" s="10" t="s">
        <v>2212</v>
      </c>
      <c r="L482" s="10" t="s">
        <v>2212</v>
      </c>
      <c r="M482" s="10" t="s">
        <v>2224</v>
      </c>
      <c r="N482" s="10" t="s">
        <v>2225</v>
      </c>
      <c r="O482" s="10" t="s">
        <v>2226</v>
      </c>
      <c r="P482" s="39" t="s">
        <v>2227</v>
      </c>
    </row>
    <row r="483" spans="2:16" ht="18" customHeight="1" x14ac:dyDescent="0.25">
      <c r="B483" s="21" t="s">
        <v>0</v>
      </c>
      <c r="C483" s="22" t="s">
        <v>789</v>
      </c>
      <c r="D483" s="22" t="s">
        <v>738</v>
      </c>
      <c r="E483" s="21" t="s">
        <v>2222</v>
      </c>
      <c r="F483" s="23" t="s">
        <v>3</v>
      </c>
      <c r="G483" s="23" t="s">
        <v>4</v>
      </c>
      <c r="H483" s="21" t="str">
        <f t="shared" si="7"/>
        <v>TW_16_NA2/TAILWATER</v>
      </c>
      <c r="I483" s="24" t="s">
        <v>2223</v>
      </c>
      <c r="J483" s="10" t="str">
        <f>VLOOKUP(Table1[[#This Row],[UID]],CS3SVComposerConfig!$B$3:$D$1808,3,FALSE)</f>
        <v>CS3L2015V0Hydro_SV.dss</v>
      </c>
      <c r="K483" s="10" t="s">
        <v>2212</v>
      </c>
      <c r="L483" s="10" t="s">
        <v>2212</v>
      </c>
      <c r="M483" s="10" t="s">
        <v>2224</v>
      </c>
      <c r="N483" s="10" t="s">
        <v>2225</v>
      </c>
      <c r="O483" s="10" t="s">
        <v>2226</v>
      </c>
      <c r="P483" s="39" t="s">
        <v>2227</v>
      </c>
    </row>
    <row r="484" spans="2:16" ht="18" customHeight="1" x14ac:dyDescent="0.25">
      <c r="B484" s="21" t="s">
        <v>0</v>
      </c>
      <c r="C484" s="22" t="s">
        <v>790</v>
      </c>
      <c r="D484" s="22" t="s">
        <v>738</v>
      </c>
      <c r="E484" s="21" t="s">
        <v>2222</v>
      </c>
      <c r="F484" s="23" t="s">
        <v>3</v>
      </c>
      <c r="G484" s="23" t="s">
        <v>4</v>
      </c>
      <c r="H484" s="21" t="str">
        <f t="shared" si="7"/>
        <v>TW_16_PA/TAILWATER</v>
      </c>
      <c r="I484" s="24" t="s">
        <v>2223</v>
      </c>
      <c r="J484" s="10" t="str">
        <f>VLOOKUP(Table1[[#This Row],[UID]],CS3SVComposerConfig!$B$3:$D$1808,3,FALSE)</f>
        <v>CS3L2015V0Hydro_SV.dss</v>
      </c>
      <c r="K484" s="10" t="s">
        <v>2212</v>
      </c>
      <c r="L484" s="10" t="s">
        <v>2212</v>
      </c>
      <c r="M484" s="10" t="s">
        <v>2224</v>
      </c>
      <c r="N484" s="10" t="s">
        <v>2225</v>
      </c>
      <c r="O484" s="10" t="s">
        <v>2226</v>
      </c>
      <c r="P484" s="39" t="s">
        <v>2227</v>
      </c>
    </row>
    <row r="485" spans="2:16" ht="18" customHeight="1" x14ac:dyDescent="0.25">
      <c r="B485" s="21" t="s">
        <v>0</v>
      </c>
      <c r="C485" s="22" t="s">
        <v>791</v>
      </c>
      <c r="D485" s="22" t="s">
        <v>738</v>
      </c>
      <c r="E485" s="21" t="s">
        <v>2222</v>
      </c>
      <c r="F485" s="23" t="s">
        <v>3</v>
      </c>
      <c r="G485" s="23" t="s">
        <v>4</v>
      </c>
      <c r="H485" s="21" t="str">
        <f t="shared" si="7"/>
        <v>TW_16_SA/TAILWATER</v>
      </c>
      <c r="I485" s="24" t="s">
        <v>2223</v>
      </c>
      <c r="J485" s="10" t="str">
        <f>VLOOKUP(Table1[[#This Row],[UID]],CS3SVComposerConfig!$B$3:$D$1808,3,FALSE)</f>
        <v>CS3L2015V0Hydro_SV.dss</v>
      </c>
      <c r="K485" s="10" t="s">
        <v>2212</v>
      </c>
      <c r="L485" s="10" t="s">
        <v>2212</v>
      </c>
      <c r="M485" s="10" t="s">
        <v>2224</v>
      </c>
      <c r="N485" s="10" t="s">
        <v>2225</v>
      </c>
      <c r="O485" s="10" t="s">
        <v>2226</v>
      </c>
      <c r="P485" s="39" t="s">
        <v>2227</v>
      </c>
    </row>
    <row r="486" spans="2:16" ht="18" customHeight="1" x14ac:dyDescent="0.25">
      <c r="B486" s="21" t="s">
        <v>0</v>
      </c>
      <c r="C486" s="22" t="s">
        <v>792</v>
      </c>
      <c r="D486" s="22" t="s">
        <v>738</v>
      </c>
      <c r="E486" s="21" t="s">
        <v>2222</v>
      </c>
      <c r="F486" s="23" t="s">
        <v>3</v>
      </c>
      <c r="G486" s="23" t="s">
        <v>4</v>
      </c>
      <c r="H486" s="21" t="str">
        <f t="shared" si="7"/>
        <v>TW_17N_NA/TAILWATER</v>
      </c>
      <c r="I486" s="24" t="s">
        <v>2223</v>
      </c>
      <c r="J486" s="10" t="str">
        <f>VLOOKUP(Table1[[#This Row],[UID]],CS3SVComposerConfig!$B$3:$D$1808,3,FALSE)</f>
        <v>CS3L2015V0Hydro_SV.dss</v>
      </c>
      <c r="K486" s="10" t="s">
        <v>2212</v>
      </c>
      <c r="L486" s="10" t="s">
        <v>2212</v>
      </c>
      <c r="M486" s="10" t="s">
        <v>2224</v>
      </c>
      <c r="N486" s="10" t="s">
        <v>2225</v>
      </c>
      <c r="O486" s="10" t="s">
        <v>2226</v>
      </c>
      <c r="P486" s="39" t="s">
        <v>2227</v>
      </c>
    </row>
    <row r="487" spans="2:16" ht="18" customHeight="1" x14ac:dyDescent="0.25">
      <c r="B487" s="21" t="s">
        <v>0</v>
      </c>
      <c r="C487" s="22" t="s">
        <v>793</v>
      </c>
      <c r="D487" s="22" t="s">
        <v>738</v>
      </c>
      <c r="E487" s="21" t="s">
        <v>2222</v>
      </c>
      <c r="F487" s="23" t="s">
        <v>3</v>
      </c>
      <c r="G487" s="23" t="s">
        <v>4</v>
      </c>
      <c r="H487" s="21" t="str">
        <f t="shared" si="7"/>
        <v>TW_17N_NR/TAILWATER</v>
      </c>
      <c r="I487" s="24" t="s">
        <v>2223</v>
      </c>
      <c r="J487" s="10" t="str">
        <f>VLOOKUP(Table1[[#This Row],[UID]],CS3SVComposerConfig!$B$3:$D$1808,3,FALSE)</f>
        <v>CS3L2015V0Hydro_SV.dss</v>
      </c>
      <c r="K487" s="10" t="s">
        <v>2212</v>
      </c>
      <c r="L487" s="10" t="s">
        <v>2212</v>
      </c>
      <c r="M487" s="10" t="s">
        <v>2224</v>
      </c>
      <c r="N487" s="10" t="s">
        <v>2225</v>
      </c>
      <c r="O487" s="10" t="s">
        <v>2226</v>
      </c>
      <c r="P487" s="39" t="s">
        <v>2227</v>
      </c>
    </row>
    <row r="488" spans="2:16" ht="18" customHeight="1" x14ac:dyDescent="0.25">
      <c r="B488" s="21" t="s">
        <v>0</v>
      </c>
      <c r="C488" s="22" t="s">
        <v>794</v>
      </c>
      <c r="D488" s="22" t="s">
        <v>738</v>
      </c>
      <c r="E488" s="21" t="s">
        <v>2222</v>
      </c>
      <c r="F488" s="23" t="s">
        <v>3</v>
      </c>
      <c r="G488" s="23" t="s">
        <v>4</v>
      </c>
      <c r="H488" s="21" t="str">
        <f t="shared" si="7"/>
        <v>TW_17N_PR/TAILWATER</v>
      </c>
      <c r="I488" s="24" t="s">
        <v>2223</v>
      </c>
      <c r="J488" s="10" t="str">
        <f>VLOOKUP(Table1[[#This Row],[UID]],CS3SVComposerConfig!$B$3:$D$1808,3,FALSE)</f>
        <v>CS3L2015V0Hydro_SV.dss</v>
      </c>
      <c r="K488" s="10" t="s">
        <v>2212</v>
      </c>
      <c r="L488" s="10" t="s">
        <v>2212</v>
      </c>
      <c r="M488" s="10" t="s">
        <v>2224</v>
      </c>
      <c r="N488" s="10" t="s">
        <v>2225</v>
      </c>
      <c r="O488" s="10" t="s">
        <v>2226</v>
      </c>
      <c r="P488" s="39" t="s">
        <v>2227</v>
      </c>
    </row>
    <row r="489" spans="2:16" ht="18" customHeight="1" x14ac:dyDescent="0.25">
      <c r="B489" s="21" t="s">
        <v>0</v>
      </c>
      <c r="C489" s="22" t="s">
        <v>795</v>
      </c>
      <c r="D489" s="22" t="s">
        <v>738</v>
      </c>
      <c r="E489" s="21" t="s">
        <v>2222</v>
      </c>
      <c r="F489" s="23" t="s">
        <v>3</v>
      </c>
      <c r="G489" s="23" t="s">
        <v>4</v>
      </c>
      <c r="H489" s="21" t="str">
        <f t="shared" si="7"/>
        <v>TW_17S_NA/TAILWATER</v>
      </c>
      <c r="I489" s="24" t="s">
        <v>2223</v>
      </c>
      <c r="J489" s="10" t="str">
        <f>VLOOKUP(Table1[[#This Row],[UID]],CS3SVComposerConfig!$B$3:$D$1808,3,FALSE)</f>
        <v>CS3L2015V0Hydro_SV.dss</v>
      </c>
      <c r="K489" s="10" t="s">
        <v>2212</v>
      </c>
      <c r="L489" s="10" t="s">
        <v>2212</v>
      </c>
      <c r="M489" s="10" t="s">
        <v>2224</v>
      </c>
      <c r="N489" s="10" t="s">
        <v>2225</v>
      </c>
      <c r="O489" s="10" t="s">
        <v>2226</v>
      </c>
      <c r="P489" s="39" t="s">
        <v>2227</v>
      </c>
    </row>
    <row r="490" spans="2:16" ht="18" customHeight="1" x14ac:dyDescent="0.25">
      <c r="B490" s="21" t="s">
        <v>0</v>
      </c>
      <c r="C490" s="22" t="s">
        <v>796</v>
      </c>
      <c r="D490" s="22" t="s">
        <v>738</v>
      </c>
      <c r="E490" s="21" t="s">
        <v>2222</v>
      </c>
      <c r="F490" s="23" t="s">
        <v>3</v>
      </c>
      <c r="G490" s="23" t="s">
        <v>4</v>
      </c>
      <c r="H490" s="21" t="str">
        <f t="shared" si="7"/>
        <v>TW_17S_PR/TAILWATER</v>
      </c>
      <c r="I490" s="24" t="s">
        <v>2223</v>
      </c>
      <c r="J490" s="10" t="str">
        <f>VLOOKUP(Table1[[#This Row],[UID]],CS3SVComposerConfig!$B$3:$D$1808,3,FALSE)</f>
        <v>CS3L2015V0Hydro_SV.dss</v>
      </c>
      <c r="K490" s="10" t="s">
        <v>2212</v>
      </c>
      <c r="L490" s="10" t="s">
        <v>2212</v>
      </c>
      <c r="M490" s="10" t="s">
        <v>2224</v>
      </c>
      <c r="N490" s="10" t="s">
        <v>2225</v>
      </c>
      <c r="O490" s="10" t="s">
        <v>2226</v>
      </c>
      <c r="P490" s="39" t="s">
        <v>2227</v>
      </c>
    </row>
    <row r="491" spans="2:16" ht="18" customHeight="1" x14ac:dyDescent="0.25">
      <c r="B491" s="21" t="s">
        <v>0</v>
      </c>
      <c r="C491" s="22" t="s">
        <v>797</v>
      </c>
      <c r="D491" s="22" t="s">
        <v>738</v>
      </c>
      <c r="E491" s="21" t="s">
        <v>2222</v>
      </c>
      <c r="F491" s="23" t="s">
        <v>3</v>
      </c>
      <c r="G491" s="23" t="s">
        <v>4</v>
      </c>
      <c r="H491" s="21" t="str">
        <f t="shared" si="7"/>
        <v>TW_17S_SA/TAILWATER</v>
      </c>
      <c r="I491" s="24" t="s">
        <v>2223</v>
      </c>
      <c r="J491" s="10" t="str">
        <f>VLOOKUP(Table1[[#This Row],[UID]],CS3SVComposerConfig!$B$3:$D$1808,3,FALSE)</f>
        <v>CS3L2015V0Hydro_SV.dss</v>
      </c>
      <c r="K491" s="10" t="s">
        <v>2212</v>
      </c>
      <c r="L491" s="10" t="s">
        <v>2212</v>
      </c>
      <c r="M491" s="10" t="s">
        <v>2224</v>
      </c>
      <c r="N491" s="10" t="s">
        <v>2225</v>
      </c>
      <c r="O491" s="10" t="s">
        <v>2226</v>
      </c>
      <c r="P491" s="39" t="s">
        <v>2227</v>
      </c>
    </row>
    <row r="492" spans="2:16" ht="18" customHeight="1" x14ac:dyDescent="0.25">
      <c r="B492" s="21" t="s">
        <v>0</v>
      </c>
      <c r="C492" s="22" t="s">
        <v>798</v>
      </c>
      <c r="D492" s="22" t="s">
        <v>738</v>
      </c>
      <c r="E492" s="21" t="s">
        <v>2222</v>
      </c>
      <c r="F492" s="23" t="s">
        <v>3</v>
      </c>
      <c r="G492" s="23" t="s">
        <v>4</v>
      </c>
      <c r="H492" s="21" t="str">
        <f t="shared" si="7"/>
        <v>TW_18_NA/TAILWATER</v>
      </c>
      <c r="I492" s="24" t="s">
        <v>2223</v>
      </c>
      <c r="J492" s="10" t="str">
        <f>VLOOKUP(Table1[[#This Row],[UID]],CS3SVComposerConfig!$B$3:$D$1808,3,FALSE)</f>
        <v>CS3L2015V0Hydro_SV.dss</v>
      </c>
      <c r="K492" s="10" t="s">
        <v>2212</v>
      </c>
      <c r="L492" s="10" t="s">
        <v>2212</v>
      </c>
      <c r="M492" s="10" t="s">
        <v>2224</v>
      </c>
      <c r="N492" s="10" t="s">
        <v>2225</v>
      </c>
      <c r="O492" s="10" t="s">
        <v>2226</v>
      </c>
      <c r="P492" s="39" t="s">
        <v>2227</v>
      </c>
    </row>
    <row r="493" spans="2:16" ht="18" customHeight="1" x14ac:dyDescent="0.25">
      <c r="B493" s="21" t="s">
        <v>0</v>
      </c>
      <c r="C493" s="22" t="s">
        <v>799</v>
      </c>
      <c r="D493" s="22" t="s">
        <v>738</v>
      </c>
      <c r="E493" s="21" t="s">
        <v>2222</v>
      </c>
      <c r="F493" s="23" t="s">
        <v>3</v>
      </c>
      <c r="G493" s="23" t="s">
        <v>4</v>
      </c>
      <c r="H493" s="21" t="str">
        <f t="shared" si="7"/>
        <v>TW_18_SA/TAILWATER</v>
      </c>
      <c r="I493" s="24" t="s">
        <v>2223</v>
      </c>
      <c r="J493" s="10" t="str">
        <f>VLOOKUP(Table1[[#This Row],[UID]],CS3SVComposerConfig!$B$3:$D$1808,3,FALSE)</f>
        <v>CS3L2015V0Hydro_SV.dss</v>
      </c>
      <c r="K493" s="10" t="s">
        <v>2212</v>
      </c>
      <c r="L493" s="10" t="s">
        <v>2212</v>
      </c>
      <c r="M493" s="10" t="s">
        <v>2224</v>
      </c>
      <c r="N493" s="10" t="s">
        <v>2225</v>
      </c>
      <c r="O493" s="10" t="s">
        <v>2226</v>
      </c>
      <c r="P493" s="39" t="s">
        <v>2227</v>
      </c>
    </row>
    <row r="494" spans="2:16" ht="18" customHeight="1" x14ac:dyDescent="0.25">
      <c r="B494" s="21" t="s">
        <v>0</v>
      </c>
      <c r="C494" s="22" t="s">
        <v>800</v>
      </c>
      <c r="D494" s="22" t="s">
        <v>738</v>
      </c>
      <c r="E494" s="21" t="s">
        <v>2222</v>
      </c>
      <c r="F494" s="23" t="s">
        <v>3</v>
      </c>
      <c r="G494" s="23" t="s">
        <v>4</v>
      </c>
      <c r="H494" s="21" t="str">
        <f t="shared" si="7"/>
        <v>TW_19_SA/TAILWATER</v>
      </c>
      <c r="I494" s="24" t="s">
        <v>2223</v>
      </c>
      <c r="J494" s="10" t="str">
        <f>VLOOKUP(Table1[[#This Row],[UID]],CS3SVComposerConfig!$B$3:$D$1808,3,FALSE)</f>
        <v>CS3L2015V0Hydro_SV.dss</v>
      </c>
      <c r="K494" s="10" t="s">
        <v>2212</v>
      </c>
      <c r="L494" s="10" t="s">
        <v>2212</v>
      </c>
      <c r="M494" s="10" t="s">
        <v>2224</v>
      </c>
      <c r="N494" s="10" t="s">
        <v>2225</v>
      </c>
      <c r="O494" s="10" t="s">
        <v>2226</v>
      </c>
      <c r="P494" s="39" t="s">
        <v>2227</v>
      </c>
    </row>
    <row r="495" spans="2:16" ht="18" customHeight="1" x14ac:dyDescent="0.25">
      <c r="B495" s="21" t="s">
        <v>0</v>
      </c>
      <c r="C495" s="22" t="s">
        <v>801</v>
      </c>
      <c r="D495" s="22" t="s">
        <v>738</v>
      </c>
      <c r="E495" s="21" t="s">
        <v>2222</v>
      </c>
      <c r="F495" s="23" t="s">
        <v>3</v>
      </c>
      <c r="G495" s="23" t="s">
        <v>4</v>
      </c>
      <c r="H495" s="21" t="str">
        <f t="shared" si="7"/>
        <v>TW_20_NA1/TAILWATER</v>
      </c>
      <c r="I495" s="24" t="s">
        <v>2223</v>
      </c>
      <c r="J495" s="10" t="str">
        <f>VLOOKUP(Table1[[#This Row],[UID]],CS3SVComposerConfig!$B$3:$D$1808,3,FALSE)</f>
        <v>CS3L2015V0Hydro_SV.dss</v>
      </c>
      <c r="K495" s="10" t="s">
        <v>2212</v>
      </c>
      <c r="L495" s="10" t="s">
        <v>2212</v>
      </c>
      <c r="M495" s="10" t="s">
        <v>2224</v>
      </c>
      <c r="N495" s="10" t="s">
        <v>2225</v>
      </c>
      <c r="O495" s="10" t="s">
        <v>2226</v>
      </c>
      <c r="P495" s="39" t="s">
        <v>2227</v>
      </c>
    </row>
    <row r="496" spans="2:16" ht="18" customHeight="1" x14ac:dyDescent="0.25">
      <c r="B496" s="21" t="s">
        <v>0</v>
      </c>
      <c r="C496" s="22" t="s">
        <v>802</v>
      </c>
      <c r="D496" s="22" t="s">
        <v>738</v>
      </c>
      <c r="E496" s="21" t="s">
        <v>2222</v>
      </c>
      <c r="F496" s="23" t="s">
        <v>3</v>
      </c>
      <c r="G496" s="23" t="s">
        <v>4</v>
      </c>
      <c r="H496" s="21" t="str">
        <f t="shared" si="7"/>
        <v>TW_20_NA2/TAILWATER</v>
      </c>
      <c r="I496" s="24" t="s">
        <v>2223</v>
      </c>
      <c r="J496" s="10" t="str">
        <f>VLOOKUP(Table1[[#This Row],[UID]],CS3SVComposerConfig!$B$3:$D$1808,3,FALSE)</f>
        <v>CS3L2015V0Hydro_SV.dss</v>
      </c>
      <c r="K496" s="10" t="s">
        <v>2212</v>
      </c>
      <c r="L496" s="10" t="s">
        <v>2212</v>
      </c>
      <c r="M496" s="10" t="s">
        <v>2224</v>
      </c>
      <c r="N496" s="10" t="s">
        <v>2225</v>
      </c>
      <c r="O496" s="10" t="s">
        <v>2226</v>
      </c>
      <c r="P496" s="39" t="s">
        <v>2227</v>
      </c>
    </row>
    <row r="497" spans="2:16" ht="18" customHeight="1" x14ac:dyDescent="0.25">
      <c r="B497" s="21" t="s">
        <v>0</v>
      </c>
      <c r="C497" s="22" t="s">
        <v>803</v>
      </c>
      <c r="D497" s="22" t="s">
        <v>738</v>
      </c>
      <c r="E497" s="21" t="s">
        <v>2222</v>
      </c>
      <c r="F497" s="23" t="s">
        <v>3</v>
      </c>
      <c r="G497" s="23" t="s">
        <v>4</v>
      </c>
      <c r="H497" s="21" t="str">
        <f t="shared" si="7"/>
        <v>TW_20_PA/TAILWATER</v>
      </c>
      <c r="I497" s="24" t="s">
        <v>2223</v>
      </c>
      <c r="J497" s="10" t="str">
        <f>VLOOKUP(Table1[[#This Row],[UID]],CS3SVComposerConfig!$B$3:$D$1808,3,FALSE)</f>
        <v>CS3L2015V0Hydro_SV.dss</v>
      </c>
      <c r="K497" s="10" t="s">
        <v>2212</v>
      </c>
      <c r="L497" s="10" t="s">
        <v>2212</v>
      </c>
      <c r="M497" s="10" t="s">
        <v>2224</v>
      </c>
      <c r="N497" s="10" t="s">
        <v>2225</v>
      </c>
      <c r="O497" s="10" t="s">
        <v>2226</v>
      </c>
      <c r="P497" s="39" t="s">
        <v>2227</v>
      </c>
    </row>
    <row r="498" spans="2:16" ht="18" customHeight="1" x14ac:dyDescent="0.25">
      <c r="B498" s="21" t="s">
        <v>0</v>
      </c>
      <c r="C498" s="22" t="s">
        <v>804</v>
      </c>
      <c r="D498" s="22" t="s">
        <v>738</v>
      </c>
      <c r="E498" s="21" t="s">
        <v>2222</v>
      </c>
      <c r="F498" s="23" t="s">
        <v>3</v>
      </c>
      <c r="G498" s="23" t="s">
        <v>4</v>
      </c>
      <c r="H498" s="21" t="str">
        <f t="shared" si="7"/>
        <v>TW_21_NA/TAILWATER</v>
      </c>
      <c r="I498" s="24" t="s">
        <v>2223</v>
      </c>
      <c r="J498" s="10" t="str">
        <f>VLOOKUP(Table1[[#This Row],[UID]],CS3SVComposerConfig!$B$3:$D$1808,3,FALSE)</f>
        <v>CS3L2015V0Hydro_SV.dss</v>
      </c>
      <c r="K498" s="10" t="s">
        <v>2212</v>
      </c>
      <c r="L498" s="10" t="s">
        <v>2212</v>
      </c>
      <c r="M498" s="10" t="s">
        <v>2224</v>
      </c>
      <c r="N498" s="10" t="s">
        <v>2225</v>
      </c>
      <c r="O498" s="10" t="s">
        <v>2226</v>
      </c>
      <c r="P498" s="39" t="s">
        <v>2227</v>
      </c>
    </row>
    <row r="499" spans="2:16" ht="18" customHeight="1" x14ac:dyDescent="0.25">
      <c r="B499" s="21" t="s">
        <v>0</v>
      </c>
      <c r="C499" s="22" t="s">
        <v>805</v>
      </c>
      <c r="D499" s="22" t="s">
        <v>738</v>
      </c>
      <c r="E499" s="21" t="s">
        <v>2222</v>
      </c>
      <c r="F499" s="23" t="s">
        <v>3</v>
      </c>
      <c r="G499" s="23" t="s">
        <v>4</v>
      </c>
      <c r="H499" s="21" t="str">
        <f t="shared" si="7"/>
        <v>TW_21_PA/TAILWATER</v>
      </c>
      <c r="I499" s="24" t="s">
        <v>2223</v>
      </c>
      <c r="J499" s="10" t="str">
        <f>VLOOKUP(Table1[[#This Row],[UID]],CS3SVComposerConfig!$B$3:$D$1808,3,FALSE)</f>
        <v>CS3L2015V0Hydro_SV.dss</v>
      </c>
      <c r="K499" s="10" t="s">
        <v>2212</v>
      </c>
      <c r="L499" s="10" t="s">
        <v>2212</v>
      </c>
      <c r="M499" s="10" t="s">
        <v>2224</v>
      </c>
      <c r="N499" s="10" t="s">
        <v>2225</v>
      </c>
      <c r="O499" s="10" t="s">
        <v>2226</v>
      </c>
      <c r="P499" s="39" t="s">
        <v>2227</v>
      </c>
    </row>
    <row r="500" spans="2:16" ht="18" customHeight="1" x14ac:dyDescent="0.25">
      <c r="B500" s="21" t="s">
        <v>0</v>
      </c>
      <c r="C500" s="22" t="s">
        <v>806</v>
      </c>
      <c r="D500" s="22" t="s">
        <v>738</v>
      </c>
      <c r="E500" s="21" t="s">
        <v>2222</v>
      </c>
      <c r="F500" s="23" t="s">
        <v>3</v>
      </c>
      <c r="G500" s="23" t="s">
        <v>4</v>
      </c>
      <c r="H500" s="21" t="str">
        <f t="shared" si="7"/>
        <v>TW_21_SA/TAILWATER</v>
      </c>
      <c r="I500" s="24" t="s">
        <v>2223</v>
      </c>
      <c r="J500" s="10" t="str">
        <f>VLOOKUP(Table1[[#This Row],[UID]],CS3SVComposerConfig!$B$3:$D$1808,3,FALSE)</f>
        <v>CS3L2015V0Hydro_SV.dss</v>
      </c>
      <c r="K500" s="10" t="s">
        <v>2212</v>
      </c>
      <c r="L500" s="10" t="s">
        <v>2212</v>
      </c>
      <c r="M500" s="10" t="s">
        <v>2224</v>
      </c>
      <c r="N500" s="10" t="s">
        <v>2225</v>
      </c>
      <c r="O500" s="10" t="s">
        <v>2226</v>
      </c>
      <c r="P500" s="39" t="s">
        <v>2227</v>
      </c>
    </row>
    <row r="501" spans="2:16" ht="18" customHeight="1" x14ac:dyDescent="0.25">
      <c r="B501" s="21" t="s">
        <v>0</v>
      </c>
      <c r="C501" s="22" t="s">
        <v>807</v>
      </c>
      <c r="D501" s="22" t="s">
        <v>738</v>
      </c>
      <c r="E501" s="21" t="s">
        <v>2222</v>
      </c>
      <c r="F501" s="23" t="s">
        <v>3</v>
      </c>
      <c r="G501" s="23" t="s">
        <v>4</v>
      </c>
      <c r="H501" s="21" t="str">
        <f t="shared" si="7"/>
        <v>TW_22_NA/TAILWATER</v>
      </c>
      <c r="I501" s="24" t="s">
        <v>2223</v>
      </c>
      <c r="J501" s="10" t="str">
        <f>VLOOKUP(Table1[[#This Row],[UID]],CS3SVComposerConfig!$B$3:$D$1808,3,FALSE)</f>
        <v>CS3L2015V0Hydro_SV.dss</v>
      </c>
      <c r="K501" s="10" t="s">
        <v>2212</v>
      </c>
      <c r="L501" s="10" t="s">
        <v>2212</v>
      </c>
      <c r="M501" s="10" t="s">
        <v>2224</v>
      </c>
      <c r="N501" s="10" t="s">
        <v>2225</v>
      </c>
      <c r="O501" s="10" t="s">
        <v>2226</v>
      </c>
      <c r="P501" s="39" t="s">
        <v>2227</v>
      </c>
    </row>
    <row r="502" spans="2:16" ht="18" customHeight="1" x14ac:dyDescent="0.25">
      <c r="B502" s="21" t="s">
        <v>0</v>
      </c>
      <c r="C502" s="22" t="s">
        <v>808</v>
      </c>
      <c r="D502" s="22" t="s">
        <v>738</v>
      </c>
      <c r="E502" s="21" t="s">
        <v>2222</v>
      </c>
      <c r="F502" s="23" t="s">
        <v>3</v>
      </c>
      <c r="G502" s="23" t="s">
        <v>4</v>
      </c>
      <c r="H502" s="21" t="str">
        <f t="shared" si="7"/>
        <v>TW_22_SA1/TAILWATER</v>
      </c>
      <c r="I502" s="24" t="s">
        <v>2223</v>
      </c>
      <c r="J502" s="10" t="str">
        <f>VLOOKUP(Table1[[#This Row],[UID]],CS3SVComposerConfig!$B$3:$D$1808,3,FALSE)</f>
        <v>CS3L2015V0Hydro_SV.dss</v>
      </c>
      <c r="K502" s="10" t="s">
        <v>2212</v>
      </c>
      <c r="L502" s="10" t="s">
        <v>2212</v>
      </c>
      <c r="M502" s="10" t="s">
        <v>2224</v>
      </c>
      <c r="N502" s="10" t="s">
        <v>2225</v>
      </c>
      <c r="O502" s="10" t="s">
        <v>2226</v>
      </c>
      <c r="P502" s="39" t="s">
        <v>2227</v>
      </c>
    </row>
    <row r="503" spans="2:16" ht="18" customHeight="1" x14ac:dyDescent="0.25">
      <c r="B503" s="21" t="s">
        <v>0</v>
      </c>
      <c r="C503" s="22" t="s">
        <v>809</v>
      </c>
      <c r="D503" s="22" t="s">
        <v>738</v>
      </c>
      <c r="E503" s="21" t="s">
        <v>2222</v>
      </c>
      <c r="F503" s="23" t="s">
        <v>3</v>
      </c>
      <c r="G503" s="23" t="s">
        <v>4</v>
      </c>
      <c r="H503" s="21" t="str">
        <f t="shared" si="7"/>
        <v>TW_22_SA2/TAILWATER</v>
      </c>
      <c r="I503" s="24" t="s">
        <v>2223</v>
      </c>
      <c r="J503" s="10" t="str">
        <f>VLOOKUP(Table1[[#This Row],[UID]],CS3SVComposerConfig!$B$3:$D$1808,3,FALSE)</f>
        <v>CS3L2015V0Hydro_SV.dss</v>
      </c>
      <c r="K503" s="10" t="s">
        <v>2212</v>
      </c>
      <c r="L503" s="10" t="s">
        <v>2212</v>
      </c>
      <c r="M503" s="10" t="s">
        <v>2224</v>
      </c>
      <c r="N503" s="10" t="s">
        <v>2225</v>
      </c>
      <c r="O503" s="10" t="s">
        <v>2226</v>
      </c>
      <c r="P503" s="39" t="s">
        <v>2227</v>
      </c>
    </row>
    <row r="504" spans="2:16" ht="18" customHeight="1" x14ac:dyDescent="0.25">
      <c r="B504" s="21" t="s">
        <v>0</v>
      </c>
      <c r="C504" s="22" t="s">
        <v>810</v>
      </c>
      <c r="D504" s="22" t="s">
        <v>738</v>
      </c>
      <c r="E504" s="21" t="s">
        <v>2222</v>
      </c>
      <c r="F504" s="23" t="s">
        <v>3</v>
      </c>
      <c r="G504" s="23" t="s">
        <v>4</v>
      </c>
      <c r="H504" s="21" t="str">
        <f t="shared" si="7"/>
        <v>TW_23_NA/TAILWATER</v>
      </c>
      <c r="I504" s="24" t="s">
        <v>2223</v>
      </c>
      <c r="J504" s="10" t="str">
        <f>VLOOKUP(Table1[[#This Row],[UID]],CS3SVComposerConfig!$B$3:$D$1808,3,FALSE)</f>
        <v>CS3L2015V0Hydro_SV.dss</v>
      </c>
      <c r="K504" s="10" t="s">
        <v>2212</v>
      </c>
      <c r="L504" s="10" t="s">
        <v>2212</v>
      </c>
      <c r="M504" s="10" t="s">
        <v>2224</v>
      </c>
      <c r="N504" s="10" t="s">
        <v>2225</v>
      </c>
      <c r="O504" s="10" t="s">
        <v>2226</v>
      </c>
      <c r="P504" s="39" t="s">
        <v>2227</v>
      </c>
    </row>
    <row r="505" spans="2:16" ht="18" customHeight="1" x14ac:dyDescent="0.25">
      <c r="B505" s="21" t="s">
        <v>0</v>
      </c>
      <c r="C505" s="22" t="s">
        <v>811</v>
      </c>
      <c r="D505" s="22" t="s">
        <v>738</v>
      </c>
      <c r="E505" s="21" t="s">
        <v>2222</v>
      </c>
      <c r="F505" s="23" t="s">
        <v>3</v>
      </c>
      <c r="G505" s="23" t="s">
        <v>4</v>
      </c>
      <c r="H505" s="21" t="str">
        <f t="shared" si="7"/>
        <v>TW_24_NA1/TAILWATER</v>
      </c>
      <c r="I505" s="24" t="s">
        <v>2223</v>
      </c>
      <c r="J505" s="10" t="str">
        <f>VLOOKUP(Table1[[#This Row],[UID]],CS3SVComposerConfig!$B$3:$D$1808,3,FALSE)</f>
        <v>CS3L2015V0Hydro_SV.dss</v>
      </c>
      <c r="K505" s="10" t="s">
        <v>2212</v>
      </c>
      <c r="L505" s="10" t="s">
        <v>2212</v>
      </c>
      <c r="M505" s="10" t="s">
        <v>2224</v>
      </c>
      <c r="N505" s="10" t="s">
        <v>2225</v>
      </c>
      <c r="O505" s="10" t="s">
        <v>2226</v>
      </c>
      <c r="P505" s="39" t="s">
        <v>2227</v>
      </c>
    </row>
    <row r="506" spans="2:16" ht="18" customHeight="1" x14ac:dyDescent="0.25">
      <c r="B506" s="21" t="s">
        <v>0</v>
      </c>
      <c r="C506" s="22" t="s">
        <v>812</v>
      </c>
      <c r="D506" s="22" t="s">
        <v>738</v>
      </c>
      <c r="E506" s="21" t="s">
        <v>2222</v>
      </c>
      <c r="F506" s="23" t="s">
        <v>3</v>
      </c>
      <c r="G506" s="23" t="s">
        <v>4</v>
      </c>
      <c r="H506" s="21" t="str">
        <f t="shared" si="7"/>
        <v>TW_24_NA2/TAILWATER</v>
      </c>
      <c r="I506" s="24" t="s">
        <v>2223</v>
      </c>
      <c r="J506" s="10" t="str">
        <f>VLOOKUP(Table1[[#This Row],[UID]],CS3SVComposerConfig!$B$3:$D$1808,3,FALSE)</f>
        <v>CS3L2015V0Hydro_SV.dss</v>
      </c>
      <c r="K506" s="10" t="s">
        <v>2212</v>
      </c>
      <c r="L506" s="10" t="s">
        <v>2212</v>
      </c>
      <c r="M506" s="10" t="s">
        <v>2224</v>
      </c>
      <c r="N506" s="10" t="s">
        <v>2225</v>
      </c>
      <c r="O506" s="10" t="s">
        <v>2226</v>
      </c>
      <c r="P506" s="39" t="s">
        <v>2227</v>
      </c>
    </row>
    <row r="507" spans="2:16" ht="18" customHeight="1" x14ac:dyDescent="0.25">
      <c r="B507" s="21" t="s">
        <v>0</v>
      </c>
      <c r="C507" s="22" t="s">
        <v>813</v>
      </c>
      <c r="D507" s="22" t="s">
        <v>738</v>
      </c>
      <c r="E507" s="21" t="s">
        <v>2222</v>
      </c>
      <c r="F507" s="23" t="s">
        <v>3</v>
      </c>
      <c r="G507" s="23" t="s">
        <v>4</v>
      </c>
      <c r="H507" s="21" t="str">
        <f t="shared" si="7"/>
        <v>TW_24_NA3/TAILWATER</v>
      </c>
      <c r="I507" s="24" t="s">
        <v>2223</v>
      </c>
      <c r="J507" s="10" t="str">
        <f>VLOOKUP(Table1[[#This Row],[UID]],CS3SVComposerConfig!$B$3:$D$1808,3,FALSE)</f>
        <v>CS3L2015V0Hydro_SV.dss</v>
      </c>
      <c r="K507" s="10" t="s">
        <v>2212</v>
      </c>
      <c r="L507" s="10" t="s">
        <v>2212</v>
      </c>
      <c r="M507" s="10" t="s">
        <v>2224</v>
      </c>
      <c r="N507" s="10" t="s">
        <v>2225</v>
      </c>
      <c r="O507" s="10" t="s">
        <v>2226</v>
      </c>
      <c r="P507" s="39" t="s">
        <v>2227</v>
      </c>
    </row>
    <row r="508" spans="2:16" ht="18" customHeight="1" x14ac:dyDescent="0.25">
      <c r="B508" s="21" t="s">
        <v>0</v>
      </c>
      <c r="C508" s="22" t="s">
        <v>814</v>
      </c>
      <c r="D508" s="22" t="s">
        <v>738</v>
      </c>
      <c r="E508" s="21" t="s">
        <v>2222</v>
      </c>
      <c r="F508" s="23" t="s">
        <v>3</v>
      </c>
      <c r="G508" s="23" t="s">
        <v>4</v>
      </c>
      <c r="H508" s="21" t="str">
        <f t="shared" si="7"/>
        <v>TW_25_NA/TAILWATER</v>
      </c>
      <c r="I508" s="24" t="s">
        <v>2223</v>
      </c>
      <c r="J508" s="10" t="str">
        <f>VLOOKUP(Table1[[#This Row],[UID]],CS3SVComposerConfig!$B$3:$D$1808,3,FALSE)</f>
        <v>CS3L2015V0Hydro_SV.dss</v>
      </c>
      <c r="K508" s="10" t="s">
        <v>2212</v>
      </c>
      <c r="L508" s="10" t="s">
        <v>2212</v>
      </c>
      <c r="M508" s="10" t="s">
        <v>2224</v>
      </c>
      <c r="N508" s="10" t="s">
        <v>2225</v>
      </c>
      <c r="O508" s="10" t="s">
        <v>2226</v>
      </c>
      <c r="P508" s="39" t="s">
        <v>2227</v>
      </c>
    </row>
    <row r="509" spans="2:16" ht="18" customHeight="1" x14ac:dyDescent="0.25">
      <c r="B509" s="21" t="s">
        <v>0</v>
      </c>
      <c r="C509" s="22" t="s">
        <v>815</v>
      </c>
      <c r="D509" s="22" t="s">
        <v>738</v>
      </c>
      <c r="E509" s="21" t="s">
        <v>2222</v>
      </c>
      <c r="F509" s="23" t="s">
        <v>3</v>
      </c>
      <c r="G509" s="23" t="s">
        <v>4</v>
      </c>
      <c r="H509" s="21" t="str">
        <f t="shared" si="7"/>
        <v>TW_25_PA1/TAILWATER</v>
      </c>
      <c r="I509" s="24" t="s">
        <v>2223</v>
      </c>
      <c r="J509" s="10" t="str">
        <f>VLOOKUP(Table1[[#This Row],[UID]],CS3SVComposerConfig!$B$3:$D$1808,3,FALSE)</f>
        <v>CS3L2015V0Hydro_SV.dss</v>
      </c>
      <c r="K509" s="10" t="s">
        <v>2212</v>
      </c>
      <c r="L509" s="10" t="s">
        <v>2212</v>
      </c>
      <c r="M509" s="10" t="s">
        <v>2224</v>
      </c>
      <c r="N509" s="10" t="s">
        <v>2225</v>
      </c>
      <c r="O509" s="10" t="s">
        <v>2226</v>
      </c>
      <c r="P509" s="39" t="s">
        <v>2227</v>
      </c>
    </row>
    <row r="510" spans="2:16" ht="18" customHeight="1" x14ac:dyDescent="0.25">
      <c r="B510" s="21" t="s">
        <v>0</v>
      </c>
      <c r="C510" s="22" t="s">
        <v>816</v>
      </c>
      <c r="D510" s="22" t="s">
        <v>738</v>
      </c>
      <c r="E510" s="21" t="s">
        <v>2222</v>
      </c>
      <c r="F510" s="23" t="s">
        <v>3</v>
      </c>
      <c r="G510" s="23" t="s">
        <v>4</v>
      </c>
      <c r="H510" s="21" t="str">
        <f t="shared" si="7"/>
        <v>TW_25_PA2/TAILWATER</v>
      </c>
      <c r="I510" s="24" t="s">
        <v>2223</v>
      </c>
      <c r="J510" s="10" t="str">
        <f>VLOOKUP(Table1[[#This Row],[UID]],CS3SVComposerConfig!$B$3:$D$1808,3,FALSE)</f>
        <v>CS3L2015V0Hydro_SV.dss</v>
      </c>
      <c r="K510" s="10" t="s">
        <v>2212</v>
      </c>
      <c r="L510" s="10" t="s">
        <v>2212</v>
      </c>
      <c r="M510" s="10" t="s">
        <v>2224</v>
      </c>
      <c r="N510" s="10" t="s">
        <v>2225</v>
      </c>
      <c r="O510" s="10" t="s">
        <v>2226</v>
      </c>
      <c r="P510" s="39" t="s">
        <v>2227</v>
      </c>
    </row>
    <row r="511" spans="2:16" ht="18" customHeight="1" x14ac:dyDescent="0.25">
      <c r="B511" s="21" t="s">
        <v>0</v>
      </c>
      <c r="C511" s="22" t="s">
        <v>817</v>
      </c>
      <c r="D511" s="22" t="s">
        <v>738</v>
      </c>
      <c r="E511" s="21" t="s">
        <v>2222</v>
      </c>
      <c r="F511" s="23" t="s">
        <v>3</v>
      </c>
      <c r="G511" s="23" t="s">
        <v>4</v>
      </c>
      <c r="H511" s="21" t="str">
        <f t="shared" si="7"/>
        <v>TW_26N_NA/TAILWATER</v>
      </c>
      <c r="I511" s="24" t="s">
        <v>2223</v>
      </c>
      <c r="J511" s="10" t="str">
        <f>VLOOKUP(Table1[[#This Row],[UID]],CS3SVComposerConfig!$B$3:$D$1808,3,FALSE)</f>
        <v>CS3L2015V0Hydro_SV.dss</v>
      </c>
      <c r="K511" s="10" t="s">
        <v>2212</v>
      </c>
      <c r="L511" s="10" t="s">
        <v>2212</v>
      </c>
      <c r="M511" s="10" t="s">
        <v>2224</v>
      </c>
      <c r="N511" s="10" t="s">
        <v>2225</v>
      </c>
      <c r="O511" s="10" t="s">
        <v>2226</v>
      </c>
      <c r="P511" s="39" t="s">
        <v>2227</v>
      </c>
    </row>
    <row r="512" spans="2:16" ht="18" customHeight="1" x14ac:dyDescent="0.25">
      <c r="B512" s="21" t="s">
        <v>0</v>
      </c>
      <c r="C512" s="22" t="s">
        <v>818</v>
      </c>
      <c r="D512" s="22" t="s">
        <v>738</v>
      </c>
      <c r="E512" s="21" t="s">
        <v>2222</v>
      </c>
      <c r="F512" s="23" t="s">
        <v>3</v>
      </c>
      <c r="G512" s="23" t="s">
        <v>4</v>
      </c>
      <c r="H512" s="21" t="str">
        <f t="shared" si="7"/>
        <v>TW_26S_NA/TAILWATER</v>
      </c>
      <c r="I512" s="24" t="s">
        <v>2223</v>
      </c>
      <c r="J512" s="10" t="str">
        <f>VLOOKUP(Table1[[#This Row],[UID]],CS3SVComposerConfig!$B$3:$D$1808,3,FALSE)</f>
        <v>CS3L2015V0Hydro_SV.dss</v>
      </c>
      <c r="K512" s="10" t="s">
        <v>2212</v>
      </c>
      <c r="L512" s="10" t="s">
        <v>2212</v>
      </c>
      <c r="M512" s="10" t="s">
        <v>2224</v>
      </c>
      <c r="N512" s="10" t="s">
        <v>2225</v>
      </c>
      <c r="O512" s="10" t="s">
        <v>2226</v>
      </c>
      <c r="P512" s="39" t="s">
        <v>2227</v>
      </c>
    </row>
    <row r="513" spans="2:16" ht="18" customHeight="1" x14ac:dyDescent="0.25">
      <c r="B513" s="21" t="s">
        <v>0</v>
      </c>
      <c r="C513" s="22" t="s">
        <v>819</v>
      </c>
      <c r="D513" s="22" t="s">
        <v>738</v>
      </c>
      <c r="E513" s="21" t="s">
        <v>2222</v>
      </c>
      <c r="F513" s="23" t="s">
        <v>3</v>
      </c>
      <c r="G513" s="23" t="s">
        <v>4</v>
      </c>
      <c r="H513" s="21" t="str">
        <f t="shared" si="7"/>
        <v>TW_50_PA1/TAILWATER</v>
      </c>
      <c r="I513" s="24" t="s">
        <v>2223</v>
      </c>
      <c r="J513" s="10" t="str">
        <f>VLOOKUP(Table1[[#This Row],[UID]],CS3SVComposerConfig!$B$3:$D$1808,3,FALSE)</f>
        <v>RebalancedSJR_AW_TW_DP.dss</v>
      </c>
      <c r="K513" s="10" t="s">
        <v>2212</v>
      </c>
      <c r="L513" s="10" t="s">
        <v>2212</v>
      </c>
      <c r="M513" s="10" t="s">
        <v>2224</v>
      </c>
      <c r="N513" s="10" t="s">
        <v>2225</v>
      </c>
      <c r="O513" s="10" t="s">
        <v>2226</v>
      </c>
      <c r="P513" s="39" t="s">
        <v>2227</v>
      </c>
    </row>
    <row r="514" spans="2:16" ht="18" customHeight="1" x14ac:dyDescent="0.25">
      <c r="B514" s="21" t="s">
        <v>0</v>
      </c>
      <c r="C514" s="22" t="s">
        <v>820</v>
      </c>
      <c r="D514" s="22" t="s">
        <v>738</v>
      </c>
      <c r="E514" s="21" t="s">
        <v>2222</v>
      </c>
      <c r="F514" s="23" t="s">
        <v>3</v>
      </c>
      <c r="G514" s="23" t="s">
        <v>4</v>
      </c>
      <c r="H514" s="21" t="str">
        <f t="shared" si="7"/>
        <v>TW_60N_NA1/TAILWATER</v>
      </c>
      <c r="I514" s="24" t="s">
        <v>2223</v>
      </c>
      <c r="J514" s="10" t="str">
        <f>VLOOKUP(Table1[[#This Row],[UID]],CS3SVComposerConfig!$B$3:$D$1808,3,FALSE)</f>
        <v>CS3L2015V0Hydro_SV.dss</v>
      </c>
      <c r="K514" s="10" t="s">
        <v>2212</v>
      </c>
      <c r="L514" s="10" t="s">
        <v>2212</v>
      </c>
      <c r="M514" s="10" t="s">
        <v>2224</v>
      </c>
      <c r="N514" s="10" t="s">
        <v>2225</v>
      </c>
      <c r="O514" s="10" t="s">
        <v>2226</v>
      </c>
      <c r="P514" s="39" t="s">
        <v>2227</v>
      </c>
    </row>
    <row r="515" spans="2:16" ht="18" customHeight="1" x14ac:dyDescent="0.25">
      <c r="B515" s="21" t="s">
        <v>0</v>
      </c>
      <c r="C515" s="22" t="s">
        <v>821</v>
      </c>
      <c r="D515" s="22" t="s">
        <v>738</v>
      </c>
      <c r="E515" s="21" t="s">
        <v>2222</v>
      </c>
      <c r="F515" s="23" t="s">
        <v>3</v>
      </c>
      <c r="G515" s="23" t="s">
        <v>4</v>
      </c>
      <c r="H515" s="21" t="str">
        <f t="shared" ref="H515:H578" si="8">_xlfn.CONCAT(C515,"/",D515)</f>
        <v>TW_60N_NA2/TAILWATER</v>
      </c>
      <c r="I515" s="24" t="s">
        <v>2223</v>
      </c>
      <c r="J515" s="10" t="str">
        <f>VLOOKUP(Table1[[#This Row],[UID]],CS3SVComposerConfig!$B$3:$D$1808,3,FALSE)</f>
        <v>CS3L2015V0Hydro_SV.dss</v>
      </c>
      <c r="K515" s="10" t="s">
        <v>2212</v>
      </c>
      <c r="L515" s="10" t="s">
        <v>2212</v>
      </c>
      <c r="M515" s="10" t="s">
        <v>2224</v>
      </c>
      <c r="N515" s="10" t="s">
        <v>2225</v>
      </c>
      <c r="O515" s="10" t="s">
        <v>2226</v>
      </c>
      <c r="P515" s="39" t="s">
        <v>2227</v>
      </c>
    </row>
    <row r="516" spans="2:16" ht="18" customHeight="1" x14ac:dyDescent="0.25">
      <c r="B516" s="21" t="s">
        <v>0</v>
      </c>
      <c r="C516" s="22" t="s">
        <v>822</v>
      </c>
      <c r="D516" s="22" t="s">
        <v>738</v>
      </c>
      <c r="E516" s="21" t="s">
        <v>2222</v>
      </c>
      <c r="F516" s="23" t="s">
        <v>3</v>
      </c>
      <c r="G516" s="23" t="s">
        <v>4</v>
      </c>
      <c r="H516" s="21" t="str">
        <f t="shared" si="8"/>
        <v>TW_60N_NA3/TAILWATER</v>
      </c>
      <c r="I516" s="24" t="s">
        <v>2223</v>
      </c>
      <c r="J516" s="10" t="str">
        <f>VLOOKUP(Table1[[#This Row],[UID]],CS3SVComposerConfig!$B$3:$D$1808,3,FALSE)</f>
        <v>CS3L2015V0Hydro_SV.dss</v>
      </c>
      <c r="K516" s="10" t="s">
        <v>2212</v>
      </c>
      <c r="L516" s="10" t="s">
        <v>2212</v>
      </c>
      <c r="M516" s="10" t="s">
        <v>2224</v>
      </c>
      <c r="N516" s="10" t="s">
        <v>2225</v>
      </c>
      <c r="O516" s="10" t="s">
        <v>2226</v>
      </c>
      <c r="P516" s="39" t="s">
        <v>2227</v>
      </c>
    </row>
    <row r="517" spans="2:16" ht="18" customHeight="1" x14ac:dyDescent="0.25">
      <c r="B517" s="21" t="s">
        <v>0</v>
      </c>
      <c r="C517" s="22" t="s">
        <v>823</v>
      </c>
      <c r="D517" s="22" t="s">
        <v>738</v>
      </c>
      <c r="E517" s="21" t="s">
        <v>2222</v>
      </c>
      <c r="F517" s="23" t="s">
        <v>3</v>
      </c>
      <c r="G517" s="23" t="s">
        <v>4</v>
      </c>
      <c r="H517" s="21" t="str">
        <f t="shared" si="8"/>
        <v>TW_60N_NA4/TAILWATER</v>
      </c>
      <c r="I517" s="24" t="s">
        <v>2223</v>
      </c>
      <c r="J517" s="10" t="str">
        <f>VLOOKUP(Table1[[#This Row],[UID]],CS3SVComposerConfig!$B$3:$D$1808,3,FALSE)</f>
        <v>CS3L2015V0Hydro_SV.dss</v>
      </c>
      <c r="K517" s="10" t="s">
        <v>2212</v>
      </c>
      <c r="L517" s="10" t="s">
        <v>2212</v>
      </c>
      <c r="M517" s="10" t="s">
        <v>2224</v>
      </c>
      <c r="N517" s="10" t="s">
        <v>2225</v>
      </c>
      <c r="O517" s="10" t="s">
        <v>2226</v>
      </c>
      <c r="P517" s="39" t="s">
        <v>2227</v>
      </c>
    </row>
    <row r="518" spans="2:16" ht="18" customHeight="1" x14ac:dyDescent="0.25">
      <c r="B518" s="21" t="s">
        <v>0</v>
      </c>
      <c r="C518" s="22" t="s">
        <v>824</v>
      </c>
      <c r="D518" s="22" t="s">
        <v>738</v>
      </c>
      <c r="E518" s="21" t="s">
        <v>2222</v>
      </c>
      <c r="F518" s="23" t="s">
        <v>3</v>
      </c>
      <c r="G518" s="23" t="s">
        <v>4</v>
      </c>
      <c r="H518" s="21" t="str">
        <f t="shared" si="8"/>
        <v>TW_60N_NA5/TAILWATER</v>
      </c>
      <c r="I518" s="24" t="s">
        <v>2223</v>
      </c>
      <c r="J518" s="10" t="str">
        <f>VLOOKUP(Table1[[#This Row],[UID]],CS3SVComposerConfig!$B$3:$D$1808,3,FALSE)</f>
        <v>CS3L2015V0Hydro_SV.dss</v>
      </c>
      <c r="K518" s="10" t="s">
        <v>2212</v>
      </c>
      <c r="L518" s="10" t="s">
        <v>2212</v>
      </c>
      <c r="M518" s="10" t="s">
        <v>2224</v>
      </c>
      <c r="N518" s="10" t="s">
        <v>2225</v>
      </c>
      <c r="O518" s="10" t="s">
        <v>2226</v>
      </c>
      <c r="P518" s="39" t="s">
        <v>2227</v>
      </c>
    </row>
    <row r="519" spans="2:16" ht="18" customHeight="1" x14ac:dyDescent="0.25">
      <c r="B519" s="21" t="s">
        <v>0</v>
      </c>
      <c r="C519" s="22" t="s">
        <v>825</v>
      </c>
      <c r="D519" s="22" t="s">
        <v>738</v>
      </c>
      <c r="E519" s="21" t="s">
        <v>2222</v>
      </c>
      <c r="F519" s="23" t="s">
        <v>3</v>
      </c>
      <c r="G519" s="23" t="s">
        <v>4</v>
      </c>
      <c r="H519" s="21" t="str">
        <f t="shared" si="8"/>
        <v>TW_60S_NA1/TAILWATER</v>
      </c>
      <c r="I519" s="24" t="s">
        <v>2223</v>
      </c>
      <c r="J519" s="10" t="str">
        <f>VLOOKUP(Table1[[#This Row],[UID]],CS3SVComposerConfig!$B$3:$D$1808,3,FALSE)</f>
        <v>CS3L2015V0Hydro_SV.dss</v>
      </c>
      <c r="K519" s="10" t="s">
        <v>2212</v>
      </c>
      <c r="L519" s="10" t="s">
        <v>2212</v>
      </c>
      <c r="M519" s="10" t="s">
        <v>2224</v>
      </c>
      <c r="N519" s="10" t="s">
        <v>2225</v>
      </c>
      <c r="O519" s="10" t="s">
        <v>2226</v>
      </c>
      <c r="P519" s="39" t="s">
        <v>2227</v>
      </c>
    </row>
    <row r="520" spans="2:16" ht="18" customHeight="1" x14ac:dyDescent="0.25">
      <c r="B520" s="21" t="s">
        <v>0</v>
      </c>
      <c r="C520" s="22" t="s">
        <v>826</v>
      </c>
      <c r="D520" s="22" t="s">
        <v>738</v>
      </c>
      <c r="E520" s="21" t="s">
        <v>2222</v>
      </c>
      <c r="F520" s="23" t="s">
        <v>3</v>
      </c>
      <c r="G520" s="23" t="s">
        <v>4</v>
      </c>
      <c r="H520" s="21" t="str">
        <f t="shared" si="8"/>
        <v>TW_60S_NA2/TAILWATER</v>
      </c>
      <c r="I520" s="24" t="s">
        <v>2223</v>
      </c>
      <c r="J520" s="10" t="str">
        <f>VLOOKUP(Table1[[#This Row],[UID]],CS3SVComposerConfig!$B$3:$D$1808,3,FALSE)</f>
        <v>CS3L2015V0Hydro_SV.dss</v>
      </c>
      <c r="K520" s="10" t="s">
        <v>2212</v>
      </c>
      <c r="L520" s="10" t="s">
        <v>2212</v>
      </c>
      <c r="M520" s="10" t="s">
        <v>2224</v>
      </c>
      <c r="N520" s="10" t="s">
        <v>2225</v>
      </c>
      <c r="O520" s="10" t="s">
        <v>2226</v>
      </c>
      <c r="P520" s="39" t="s">
        <v>2227</v>
      </c>
    </row>
    <row r="521" spans="2:16" ht="18" customHeight="1" x14ac:dyDescent="0.25">
      <c r="B521" s="21" t="s">
        <v>0</v>
      </c>
      <c r="C521" s="22" t="s">
        <v>827</v>
      </c>
      <c r="D521" s="22" t="s">
        <v>738</v>
      </c>
      <c r="E521" s="21" t="s">
        <v>2222</v>
      </c>
      <c r="F521" s="23" t="s">
        <v>3</v>
      </c>
      <c r="G521" s="23" t="s">
        <v>4</v>
      </c>
      <c r="H521" s="21" t="str">
        <f t="shared" si="8"/>
        <v>TW_60S_PA1/TAILWATER</v>
      </c>
      <c r="I521" s="24" t="s">
        <v>2223</v>
      </c>
      <c r="J521" s="10" t="str">
        <f>VLOOKUP(Table1[[#This Row],[UID]],CS3SVComposerConfig!$B$3:$D$1808,3,FALSE)</f>
        <v>CS3L2015V0Hydro_SV.dss</v>
      </c>
      <c r="K521" s="10" t="s">
        <v>2212</v>
      </c>
      <c r="L521" s="10" t="s">
        <v>2212</v>
      </c>
      <c r="M521" s="10" t="s">
        <v>2224</v>
      </c>
      <c r="N521" s="10" t="s">
        <v>2225</v>
      </c>
      <c r="O521" s="10" t="s">
        <v>2226</v>
      </c>
      <c r="P521" s="39" t="s">
        <v>2227</v>
      </c>
    </row>
    <row r="522" spans="2:16" ht="18" customHeight="1" x14ac:dyDescent="0.25">
      <c r="B522" s="21" t="s">
        <v>0</v>
      </c>
      <c r="C522" s="22" t="s">
        <v>828</v>
      </c>
      <c r="D522" s="22" t="s">
        <v>738</v>
      </c>
      <c r="E522" s="21" t="s">
        <v>2222</v>
      </c>
      <c r="F522" s="23" t="s">
        <v>3</v>
      </c>
      <c r="G522" s="23" t="s">
        <v>4</v>
      </c>
      <c r="H522" s="21" t="str">
        <f t="shared" si="8"/>
        <v>TW_60S_PA2/TAILWATER</v>
      </c>
      <c r="I522" s="24" t="s">
        <v>2223</v>
      </c>
      <c r="J522" s="10" t="str">
        <f>VLOOKUP(Table1[[#This Row],[UID]],CS3SVComposerConfig!$B$3:$D$1808,3,FALSE)</f>
        <v>CS3L2015V0Hydro_SV.dss</v>
      </c>
      <c r="K522" s="10" t="s">
        <v>2212</v>
      </c>
      <c r="L522" s="10" t="s">
        <v>2212</v>
      </c>
      <c r="M522" s="10" t="s">
        <v>2224</v>
      </c>
      <c r="N522" s="10" t="s">
        <v>2225</v>
      </c>
      <c r="O522" s="10" t="s">
        <v>2226</v>
      </c>
      <c r="P522" s="39" t="s">
        <v>2227</v>
      </c>
    </row>
    <row r="523" spans="2:16" ht="18" customHeight="1" x14ac:dyDescent="0.25">
      <c r="B523" s="21" t="s">
        <v>0</v>
      </c>
      <c r="C523" s="22" t="s">
        <v>829</v>
      </c>
      <c r="D523" s="22" t="s">
        <v>738</v>
      </c>
      <c r="E523" s="21" t="s">
        <v>2222</v>
      </c>
      <c r="F523" s="23" t="s">
        <v>3</v>
      </c>
      <c r="G523" s="23" t="s">
        <v>4</v>
      </c>
      <c r="H523" s="21" t="str">
        <f t="shared" si="8"/>
        <v>TW_61_NA1/TAILWATER</v>
      </c>
      <c r="I523" s="24" t="s">
        <v>2223</v>
      </c>
      <c r="J523" s="10" t="str">
        <f>VLOOKUP(Table1[[#This Row],[UID]],CS3SVComposerConfig!$B$3:$D$1808,3,FALSE)</f>
        <v>CS3L2015V0Hydro_SV.dss</v>
      </c>
      <c r="K523" s="10" t="s">
        <v>2212</v>
      </c>
      <c r="L523" s="10" t="s">
        <v>2212</v>
      </c>
      <c r="M523" s="10" t="s">
        <v>2224</v>
      </c>
      <c r="N523" s="10" t="s">
        <v>2225</v>
      </c>
      <c r="O523" s="10" t="s">
        <v>2226</v>
      </c>
      <c r="P523" s="39" t="s">
        <v>2227</v>
      </c>
    </row>
    <row r="524" spans="2:16" ht="18" customHeight="1" x14ac:dyDescent="0.25">
      <c r="B524" s="21" t="s">
        <v>0</v>
      </c>
      <c r="C524" s="22" t="s">
        <v>830</v>
      </c>
      <c r="D524" s="22" t="s">
        <v>738</v>
      </c>
      <c r="E524" s="21" t="s">
        <v>2222</v>
      </c>
      <c r="F524" s="23" t="s">
        <v>3</v>
      </c>
      <c r="G524" s="23" t="s">
        <v>4</v>
      </c>
      <c r="H524" s="21" t="str">
        <f t="shared" si="8"/>
        <v>TW_61_NA2/TAILWATER</v>
      </c>
      <c r="I524" s="24" t="s">
        <v>2223</v>
      </c>
      <c r="J524" s="10" t="str">
        <f>VLOOKUP(Table1[[#This Row],[UID]],CS3SVComposerConfig!$B$3:$D$1808,3,FALSE)</f>
        <v>CS3L2015V0Hydro_SV.dss</v>
      </c>
      <c r="K524" s="10" t="s">
        <v>2212</v>
      </c>
      <c r="L524" s="10" t="s">
        <v>2212</v>
      </c>
      <c r="M524" s="10" t="s">
        <v>2224</v>
      </c>
      <c r="N524" s="10" t="s">
        <v>2225</v>
      </c>
      <c r="O524" s="10" t="s">
        <v>2226</v>
      </c>
      <c r="P524" s="39" t="s">
        <v>2227</v>
      </c>
    </row>
    <row r="525" spans="2:16" ht="18" customHeight="1" x14ac:dyDescent="0.25">
      <c r="B525" s="21" t="s">
        <v>0</v>
      </c>
      <c r="C525" s="22" t="s">
        <v>831</v>
      </c>
      <c r="D525" s="22" t="s">
        <v>738</v>
      </c>
      <c r="E525" s="21" t="s">
        <v>2222</v>
      </c>
      <c r="F525" s="23" t="s">
        <v>3</v>
      </c>
      <c r="G525" s="23" t="s">
        <v>4</v>
      </c>
      <c r="H525" s="21" t="str">
        <f t="shared" si="8"/>
        <v>TW_61_NA3/TAILWATER</v>
      </c>
      <c r="I525" s="24" t="s">
        <v>2223</v>
      </c>
      <c r="J525" s="10" t="str">
        <f>VLOOKUP(Table1[[#This Row],[UID]],CS3SVComposerConfig!$B$3:$D$1808,3,FALSE)</f>
        <v>CS3L2015V0Hydro_SV.dss</v>
      </c>
      <c r="K525" s="10" t="s">
        <v>2212</v>
      </c>
      <c r="L525" s="10" t="s">
        <v>2212</v>
      </c>
      <c r="M525" s="10" t="s">
        <v>2224</v>
      </c>
      <c r="N525" s="10" t="s">
        <v>2225</v>
      </c>
      <c r="O525" s="10" t="s">
        <v>2226</v>
      </c>
      <c r="P525" s="39" t="s">
        <v>2227</v>
      </c>
    </row>
    <row r="526" spans="2:16" ht="18" customHeight="1" x14ac:dyDescent="0.25">
      <c r="B526" s="21" t="s">
        <v>0</v>
      </c>
      <c r="C526" s="22" t="s">
        <v>832</v>
      </c>
      <c r="D526" s="22" t="s">
        <v>738</v>
      </c>
      <c r="E526" s="21" t="s">
        <v>2222</v>
      </c>
      <c r="F526" s="23" t="s">
        <v>3</v>
      </c>
      <c r="G526" s="23" t="s">
        <v>4</v>
      </c>
      <c r="H526" s="21" t="str">
        <f t="shared" si="8"/>
        <v>TW_61_NA4/TAILWATER</v>
      </c>
      <c r="I526" s="24" t="s">
        <v>2223</v>
      </c>
      <c r="J526" s="10" t="str">
        <f>VLOOKUP(Table1[[#This Row],[UID]],CS3SVComposerConfig!$B$3:$D$1808,3,FALSE)</f>
        <v>CS3L2015V0Hydro_SV.dss</v>
      </c>
      <c r="K526" s="10" t="s">
        <v>2212</v>
      </c>
      <c r="L526" s="10" t="s">
        <v>2212</v>
      </c>
      <c r="M526" s="10" t="s">
        <v>2224</v>
      </c>
      <c r="N526" s="10" t="s">
        <v>2225</v>
      </c>
      <c r="O526" s="10" t="s">
        <v>2226</v>
      </c>
      <c r="P526" s="39" t="s">
        <v>2227</v>
      </c>
    </row>
    <row r="527" spans="2:16" ht="18" customHeight="1" x14ac:dyDescent="0.25">
      <c r="B527" s="21" t="s">
        <v>0</v>
      </c>
      <c r="C527" s="22" t="s">
        <v>833</v>
      </c>
      <c r="D527" s="22" t="s">
        <v>738</v>
      </c>
      <c r="E527" s="21" t="s">
        <v>2222</v>
      </c>
      <c r="F527" s="23" t="s">
        <v>3</v>
      </c>
      <c r="G527" s="23" t="s">
        <v>4</v>
      </c>
      <c r="H527" s="21" t="str">
        <f t="shared" si="8"/>
        <v>TW_61_NA5/TAILWATER</v>
      </c>
      <c r="I527" s="24" t="s">
        <v>2223</v>
      </c>
      <c r="J527" s="10" t="str">
        <f>VLOOKUP(Table1[[#This Row],[UID]],CS3SVComposerConfig!$B$3:$D$1808,3,FALSE)</f>
        <v>CS3L2015V0Hydro_SV.dss</v>
      </c>
      <c r="K527" s="10" t="s">
        <v>2212</v>
      </c>
      <c r="L527" s="10" t="s">
        <v>2212</v>
      </c>
      <c r="M527" s="10" t="s">
        <v>2224</v>
      </c>
      <c r="N527" s="10" t="s">
        <v>2225</v>
      </c>
      <c r="O527" s="10" t="s">
        <v>2226</v>
      </c>
      <c r="P527" s="39" t="s">
        <v>2227</v>
      </c>
    </row>
    <row r="528" spans="2:16" ht="18" customHeight="1" x14ac:dyDescent="0.25">
      <c r="B528" s="21" t="s">
        <v>0</v>
      </c>
      <c r="C528" s="22" t="s">
        <v>834</v>
      </c>
      <c r="D528" s="22" t="s">
        <v>738</v>
      </c>
      <c r="E528" s="21" t="s">
        <v>2222</v>
      </c>
      <c r="F528" s="23" t="s">
        <v>3</v>
      </c>
      <c r="G528" s="23" t="s">
        <v>4</v>
      </c>
      <c r="H528" s="21" t="str">
        <f t="shared" si="8"/>
        <v>TW_61_NA6/TAILWATER</v>
      </c>
      <c r="I528" s="24" t="s">
        <v>2223</v>
      </c>
      <c r="J528" s="10" t="str">
        <f>VLOOKUP(Table1[[#This Row],[UID]],CS3SVComposerConfig!$B$3:$D$1808,3,FALSE)</f>
        <v>CS3L2015V0Hydro_SV.dss</v>
      </c>
      <c r="K528" s="10" t="s">
        <v>2212</v>
      </c>
      <c r="L528" s="10" t="s">
        <v>2212</v>
      </c>
      <c r="M528" s="10" t="s">
        <v>2224</v>
      </c>
      <c r="N528" s="10" t="s">
        <v>2225</v>
      </c>
      <c r="O528" s="10" t="s">
        <v>2226</v>
      </c>
      <c r="P528" s="39" t="s">
        <v>2227</v>
      </c>
    </row>
    <row r="529" spans="2:16" ht="18" customHeight="1" x14ac:dyDescent="0.25">
      <c r="B529" s="21" t="s">
        <v>0</v>
      </c>
      <c r="C529" s="22" t="s">
        <v>835</v>
      </c>
      <c r="D529" s="22" t="s">
        <v>738</v>
      </c>
      <c r="E529" s="21" t="s">
        <v>2222</v>
      </c>
      <c r="F529" s="23" t="s">
        <v>3</v>
      </c>
      <c r="G529" s="23" t="s">
        <v>4</v>
      </c>
      <c r="H529" s="21" t="str">
        <f t="shared" si="8"/>
        <v>TW_61_PA1/TAILWATER</v>
      </c>
      <c r="I529" s="24" t="s">
        <v>2223</v>
      </c>
      <c r="J529" s="10" t="str">
        <f>VLOOKUP(Table1[[#This Row],[UID]],CS3SVComposerConfig!$B$3:$D$1808,3,FALSE)</f>
        <v>CS3L2015V0Hydro_SV.dss</v>
      </c>
      <c r="K529" s="10" t="s">
        <v>2212</v>
      </c>
      <c r="L529" s="10" t="s">
        <v>2212</v>
      </c>
      <c r="M529" s="10" t="s">
        <v>2224</v>
      </c>
      <c r="N529" s="10" t="s">
        <v>2225</v>
      </c>
      <c r="O529" s="10" t="s">
        <v>2226</v>
      </c>
      <c r="P529" s="39" t="s">
        <v>2227</v>
      </c>
    </row>
    <row r="530" spans="2:16" ht="18" customHeight="1" x14ac:dyDescent="0.25">
      <c r="B530" s="21" t="s">
        <v>0</v>
      </c>
      <c r="C530" s="22" t="s">
        <v>836</v>
      </c>
      <c r="D530" s="22" t="s">
        <v>738</v>
      </c>
      <c r="E530" s="21" t="s">
        <v>2222</v>
      </c>
      <c r="F530" s="23" t="s">
        <v>3</v>
      </c>
      <c r="G530" s="23" t="s">
        <v>4</v>
      </c>
      <c r="H530" s="21" t="str">
        <f t="shared" si="8"/>
        <v>TW_61_PA2/TAILWATER</v>
      </c>
      <c r="I530" s="24" t="s">
        <v>2223</v>
      </c>
      <c r="J530" s="10" t="str">
        <f>VLOOKUP(Table1[[#This Row],[UID]],CS3SVComposerConfig!$B$3:$D$1808,3,FALSE)</f>
        <v>CS3L2015V0Hydro_SV.dss</v>
      </c>
      <c r="K530" s="10" t="s">
        <v>2212</v>
      </c>
      <c r="L530" s="10" t="s">
        <v>2212</v>
      </c>
      <c r="M530" s="10" t="s">
        <v>2224</v>
      </c>
      <c r="N530" s="10" t="s">
        <v>2225</v>
      </c>
      <c r="O530" s="10" t="s">
        <v>2226</v>
      </c>
      <c r="P530" s="39" t="s">
        <v>2227</v>
      </c>
    </row>
    <row r="531" spans="2:16" ht="18" customHeight="1" x14ac:dyDescent="0.25">
      <c r="B531" s="21" t="s">
        <v>0</v>
      </c>
      <c r="C531" s="22" t="s">
        <v>837</v>
      </c>
      <c r="D531" s="22" t="s">
        <v>738</v>
      </c>
      <c r="E531" s="21" t="s">
        <v>2222</v>
      </c>
      <c r="F531" s="23" t="s">
        <v>3</v>
      </c>
      <c r="G531" s="23" t="s">
        <v>4</v>
      </c>
      <c r="H531" s="21" t="str">
        <f t="shared" si="8"/>
        <v>TW_61_PA3/TAILWATER</v>
      </c>
      <c r="I531" s="24" t="s">
        <v>2223</v>
      </c>
      <c r="J531" s="10" t="str">
        <f>VLOOKUP(Table1[[#This Row],[UID]],CS3SVComposerConfig!$B$3:$D$1808,3,FALSE)</f>
        <v>CS3L2015V0Hydro_SV.dss</v>
      </c>
      <c r="K531" s="10" t="s">
        <v>2212</v>
      </c>
      <c r="L531" s="10" t="s">
        <v>2212</v>
      </c>
      <c r="M531" s="10" t="s">
        <v>2224</v>
      </c>
      <c r="N531" s="10" t="s">
        <v>2225</v>
      </c>
      <c r="O531" s="10" t="s">
        <v>2226</v>
      </c>
      <c r="P531" s="39" t="s">
        <v>2227</v>
      </c>
    </row>
    <row r="532" spans="2:16" ht="18" customHeight="1" x14ac:dyDescent="0.25">
      <c r="B532" s="21" t="s">
        <v>0</v>
      </c>
      <c r="C532" s="22" t="s">
        <v>838</v>
      </c>
      <c r="D532" s="22" t="s">
        <v>738</v>
      </c>
      <c r="E532" s="21" t="s">
        <v>2222</v>
      </c>
      <c r="F532" s="23" t="s">
        <v>3</v>
      </c>
      <c r="G532" s="23" t="s">
        <v>4</v>
      </c>
      <c r="H532" s="21" t="str">
        <f t="shared" si="8"/>
        <v>TW_62_NA1/TAILWATER</v>
      </c>
      <c r="I532" s="24" t="s">
        <v>2223</v>
      </c>
      <c r="J532" s="10" t="str">
        <f>VLOOKUP(Table1[[#This Row],[UID]],CS3SVComposerConfig!$B$3:$D$1808,3,FALSE)</f>
        <v>CS3L2015V0Hydro_SV.dss</v>
      </c>
      <c r="K532" s="10" t="s">
        <v>2212</v>
      </c>
      <c r="L532" s="10" t="s">
        <v>2212</v>
      </c>
      <c r="M532" s="10" t="s">
        <v>2224</v>
      </c>
      <c r="N532" s="10" t="s">
        <v>2225</v>
      </c>
      <c r="O532" s="10" t="s">
        <v>2226</v>
      </c>
      <c r="P532" s="39" t="s">
        <v>2227</v>
      </c>
    </row>
    <row r="533" spans="2:16" ht="18" customHeight="1" x14ac:dyDescent="0.25">
      <c r="B533" s="21" t="s">
        <v>0</v>
      </c>
      <c r="C533" s="22" t="s">
        <v>839</v>
      </c>
      <c r="D533" s="22" t="s">
        <v>738</v>
      </c>
      <c r="E533" s="21" t="s">
        <v>2222</v>
      </c>
      <c r="F533" s="23" t="s">
        <v>3</v>
      </c>
      <c r="G533" s="23" t="s">
        <v>4</v>
      </c>
      <c r="H533" s="21" t="str">
        <f t="shared" si="8"/>
        <v>TW_62_NA2/TAILWATER</v>
      </c>
      <c r="I533" s="24" t="s">
        <v>2223</v>
      </c>
      <c r="J533" s="10" t="str">
        <f>VLOOKUP(Table1[[#This Row],[UID]],CS3SVComposerConfig!$B$3:$D$1808,3,FALSE)</f>
        <v>CS3L2015V0Hydro_SV.dss</v>
      </c>
      <c r="K533" s="10" t="s">
        <v>2212</v>
      </c>
      <c r="L533" s="10" t="s">
        <v>2212</v>
      </c>
      <c r="M533" s="10" t="s">
        <v>2224</v>
      </c>
      <c r="N533" s="10" t="s">
        <v>2225</v>
      </c>
      <c r="O533" s="10" t="s">
        <v>2226</v>
      </c>
      <c r="P533" s="39" t="s">
        <v>2227</v>
      </c>
    </row>
    <row r="534" spans="2:16" ht="18" customHeight="1" x14ac:dyDescent="0.25">
      <c r="B534" s="21" t="s">
        <v>0</v>
      </c>
      <c r="C534" s="22" t="s">
        <v>840</v>
      </c>
      <c r="D534" s="22" t="s">
        <v>738</v>
      </c>
      <c r="E534" s="21" t="s">
        <v>2222</v>
      </c>
      <c r="F534" s="23" t="s">
        <v>3</v>
      </c>
      <c r="G534" s="23" t="s">
        <v>4</v>
      </c>
      <c r="H534" s="21" t="str">
        <f t="shared" si="8"/>
        <v>TW_62_NA3/TAILWATER</v>
      </c>
      <c r="I534" s="24" t="s">
        <v>2223</v>
      </c>
      <c r="J534" s="10" t="str">
        <f>VLOOKUP(Table1[[#This Row],[UID]],CS3SVComposerConfig!$B$3:$D$1808,3,FALSE)</f>
        <v>CS3L2015V0Hydro_SV.dss</v>
      </c>
      <c r="K534" s="10" t="s">
        <v>2212</v>
      </c>
      <c r="L534" s="10" t="s">
        <v>2212</v>
      </c>
      <c r="M534" s="10" t="s">
        <v>2224</v>
      </c>
      <c r="N534" s="10" t="s">
        <v>2225</v>
      </c>
      <c r="O534" s="10" t="s">
        <v>2226</v>
      </c>
      <c r="P534" s="39" t="s">
        <v>2227</v>
      </c>
    </row>
    <row r="535" spans="2:16" ht="18" customHeight="1" x14ac:dyDescent="0.25">
      <c r="B535" s="21" t="s">
        <v>0</v>
      </c>
      <c r="C535" s="22" t="s">
        <v>841</v>
      </c>
      <c r="D535" s="22" t="s">
        <v>738</v>
      </c>
      <c r="E535" s="21" t="s">
        <v>2222</v>
      </c>
      <c r="F535" s="23" t="s">
        <v>3</v>
      </c>
      <c r="G535" s="23" t="s">
        <v>4</v>
      </c>
      <c r="H535" s="21" t="str">
        <f t="shared" si="8"/>
        <v>TW_62_NA4/TAILWATER</v>
      </c>
      <c r="I535" s="24" t="s">
        <v>2223</v>
      </c>
      <c r="J535" s="10" t="str">
        <f>VLOOKUP(Table1[[#This Row],[UID]],CS3SVComposerConfig!$B$3:$D$1808,3,FALSE)</f>
        <v>CS3L2015V0Hydro_SV.dss</v>
      </c>
      <c r="K535" s="10" t="s">
        <v>2212</v>
      </c>
      <c r="L535" s="10" t="s">
        <v>2212</v>
      </c>
      <c r="M535" s="10" t="s">
        <v>2224</v>
      </c>
      <c r="N535" s="10" t="s">
        <v>2225</v>
      </c>
      <c r="O535" s="10" t="s">
        <v>2226</v>
      </c>
      <c r="P535" s="39" t="s">
        <v>2227</v>
      </c>
    </row>
    <row r="536" spans="2:16" ht="18" customHeight="1" x14ac:dyDescent="0.25">
      <c r="B536" s="21" t="s">
        <v>0</v>
      </c>
      <c r="C536" s="22" t="s">
        <v>842</v>
      </c>
      <c r="D536" s="22" t="s">
        <v>738</v>
      </c>
      <c r="E536" s="21" t="s">
        <v>2222</v>
      </c>
      <c r="F536" s="23" t="s">
        <v>3</v>
      </c>
      <c r="G536" s="23" t="s">
        <v>4</v>
      </c>
      <c r="H536" s="21" t="str">
        <f t="shared" si="8"/>
        <v>TW_62_NA5/TAILWATER</v>
      </c>
      <c r="I536" s="24" t="s">
        <v>2223</v>
      </c>
      <c r="J536" s="10" t="str">
        <f>VLOOKUP(Table1[[#This Row],[UID]],CS3SVComposerConfig!$B$3:$D$1808,3,FALSE)</f>
        <v>CS3L2015V0Hydro_SV.dss</v>
      </c>
      <c r="K536" s="10" t="s">
        <v>2212</v>
      </c>
      <c r="L536" s="10" t="s">
        <v>2212</v>
      </c>
      <c r="M536" s="10" t="s">
        <v>2224</v>
      </c>
      <c r="N536" s="10" t="s">
        <v>2225</v>
      </c>
      <c r="O536" s="10" t="s">
        <v>2226</v>
      </c>
      <c r="P536" s="39" t="s">
        <v>2227</v>
      </c>
    </row>
    <row r="537" spans="2:16" ht="18" customHeight="1" x14ac:dyDescent="0.25">
      <c r="B537" s="21" t="s">
        <v>0</v>
      </c>
      <c r="C537" s="22" t="s">
        <v>843</v>
      </c>
      <c r="D537" s="22" t="s">
        <v>738</v>
      </c>
      <c r="E537" s="21" t="s">
        <v>2222</v>
      </c>
      <c r="F537" s="23" t="s">
        <v>3</v>
      </c>
      <c r="G537" s="23" t="s">
        <v>4</v>
      </c>
      <c r="H537" s="21" t="str">
        <f t="shared" si="8"/>
        <v>TW_62_NA6/TAILWATER</v>
      </c>
      <c r="I537" s="24" t="s">
        <v>2223</v>
      </c>
      <c r="J537" s="10" t="str">
        <f>VLOOKUP(Table1[[#This Row],[UID]],CS3SVComposerConfig!$B$3:$D$1808,3,FALSE)</f>
        <v>CS3L2015V0Hydro_SV.dss</v>
      </c>
      <c r="K537" s="10" t="s">
        <v>2212</v>
      </c>
      <c r="L537" s="10" t="s">
        <v>2212</v>
      </c>
      <c r="M537" s="10" t="s">
        <v>2224</v>
      </c>
      <c r="N537" s="10" t="s">
        <v>2225</v>
      </c>
      <c r="O537" s="10" t="s">
        <v>2226</v>
      </c>
      <c r="P537" s="39" t="s">
        <v>2227</v>
      </c>
    </row>
    <row r="538" spans="2:16" ht="18" customHeight="1" x14ac:dyDescent="0.25">
      <c r="B538" s="21" t="s">
        <v>0</v>
      </c>
      <c r="C538" s="22" t="s">
        <v>844</v>
      </c>
      <c r="D538" s="22" t="s">
        <v>738</v>
      </c>
      <c r="E538" s="21" t="s">
        <v>2222</v>
      </c>
      <c r="F538" s="23" t="s">
        <v>3</v>
      </c>
      <c r="G538" s="23" t="s">
        <v>4</v>
      </c>
      <c r="H538" s="21" t="str">
        <f t="shared" si="8"/>
        <v>TW_63_NA1/TAILWATER</v>
      </c>
      <c r="I538" s="24" t="s">
        <v>2223</v>
      </c>
      <c r="J538" s="10" t="str">
        <f>VLOOKUP(Table1[[#This Row],[UID]],CS3SVComposerConfig!$B$3:$D$1808,3,FALSE)</f>
        <v>CS3L2015V0Hydro_SV.dss</v>
      </c>
      <c r="K538" s="10" t="s">
        <v>2212</v>
      </c>
      <c r="L538" s="10" t="s">
        <v>2212</v>
      </c>
      <c r="M538" s="10" t="s">
        <v>2224</v>
      </c>
      <c r="N538" s="10" t="s">
        <v>2225</v>
      </c>
      <c r="O538" s="10" t="s">
        <v>2226</v>
      </c>
      <c r="P538" s="39" t="s">
        <v>2227</v>
      </c>
    </row>
    <row r="539" spans="2:16" ht="18" customHeight="1" x14ac:dyDescent="0.25">
      <c r="B539" s="21" t="s">
        <v>0</v>
      </c>
      <c r="C539" s="22" t="s">
        <v>845</v>
      </c>
      <c r="D539" s="22" t="s">
        <v>738</v>
      </c>
      <c r="E539" s="21" t="s">
        <v>2222</v>
      </c>
      <c r="F539" s="23" t="s">
        <v>3</v>
      </c>
      <c r="G539" s="23" t="s">
        <v>4</v>
      </c>
      <c r="H539" s="21" t="str">
        <f t="shared" si="8"/>
        <v>TW_63_NA2/TAILWATER</v>
      </c>
      <c r="I539" s="24" t="s">
        <v>2223</v>
      </c>
      <c r="J539" s="10" t="str">
        <f>VLOOKUP(Table1[[#This Row],[UID]],CS3SVComposerConfig!$B$3:$D$1808,3,FALSE)</f>
        <v>CS3L2015V0Hydro_SV.dss</v>
      </c>
      <c r="K539" s="10" t="s">
        <v>2212</v>
      </c>
      <c r="L539" s="10" t="s">
        <v>2212</v>
      </c>
      <c r="M539" s="10" t="s">
        <v>2224</v>
      </c>
      <c r="N539" s="10" t="s">
        <v>2225</v>
      </c>
      <c r="O539" s="10" t="s">
        <v>2226</v>
      </c>
      <c r="P539" s="39" t="s">
        <v>2227</v>
      </c>
    </row>
    <row r="540" spans="2:16" ht="18" customHeight="1" x14ac:dyDescent="0.25">
      <c r="B540" s="21" t="s">
        <v>0</v>
      </c>
      <c r="C540" s="22" t="s">
        <v>846</v>
      </c>
      <c r="D540" s="22" t="s">
        <v>738</v>
      </c>
      <c r="E540" s="21" t="s">
        <v>2222</v>
      </c>
      <c r="F540" s="23" t="s">
        <v>3</v>
      </c>
      <c r="G540" s="23" t="s">
        <v>4</v>
      </c>
      <c r="H540" s="21" t="str">
        <f t="shared" si="8"/>
        <v>TW_63_NA3/TAILWATER</v>
      </c>
      <c r="I540" s="24" t="s">
        <v>2223</v>
      </c>
      <c r="J540" s="10" t="str">
        <f>VLOOKUP(Table1[[#This Row],[UID]],CS3SVComposerConfig!$B$3:$D$1808,3,FALSE)</f>
        <v>CS3L2015V0Hydro_SV.dss</v>
      </c>
      <c r="K540" s="10" t="s">
        <v>2212</v>
      </c>
      <c r="L540" s="10" t="s">
        <v>2212</v>
      </c>
      <c r="M540" s="10" t="s">
        <v>2224</v>
      </c>
      <c r="N540" s="10" t="s">
        <v>2225</v>
      </c>
      <c r="O540" s="10" t="s">
        <v>2226</v>
      </c>
      <c r="P540" s="39" t="s">
        <v>2227</v>
      </c>
    </row>
    <row r="541" spans="2:16" ht="18" customHeight="1" x14ac:dyDescent="0.25">
      <c r="B541" s="21" t="s">
        <v>0</v>
      </c>
      <c r="C541" s="22" t="s">
        <v>847</v>
      </c>
      <c r="D541" s="22" t="s">
        <v>738</v>
      </c>
      <c r="E541" s="21" t="s">
        <v>2222</v>
      </c>
      <c r="F541" s="23" t="s">
        <v>3</v>
      </c>
      <c r="G541" s="23" t="s">
        <v>4</v>
      </c>
      <c r="H541" s="21" t="str">
        <f t="shared" si="8"/>
        <v>TW_63_NA4/TAILWATER</v>
      </c>
      <c r="I541" s="24" t="s">
        <v>2223</v>
      </c>
      <c r="J541" s="10" t="str">
        <f>VLOOKUP(Table1[[#This Row],[UID]],CS3SVComposerConfig!$B$3:$D$1808,3,FALSE)</f>
        <v>CS3L2015V0Hydro_SV.dss</v>
      </c>
      <c r="K541" s="10" t="s">
        <v>2212</v>
      </c>
      <c r="L541" s="10" t="s">
        <v>2212</v>
      </c>
      <c r="M541" s="10" t="s">
        <v>2224</v>
      </c>
      <c r="N541" s="10" t="s">
        <v>2225</v>
      </c>
      <c r="O541" s="10" t="s">
        <v>2226</v>
      </c>
      <c r="P541" s="39" t="s">
        <v>2227</v>
      </c>
    </row>
    <row r="542" spans="2:16" ht="18" customHeight="1" x14ac:dyDescent="0.25">
      <c r="B542" s="21" t="s">
        <v>0</v>
      </c>
      <c r="C542" s="22" t="s">
        <v>848</v>
      </c>
      <c r="D542" s="22" t="s">
        <v>738</v>
      </c>
      <c r="E542" s="21" t="s">
        <v>2222</v>
      </c>
      <c r="F542" s="23" t="s">
        <v>3</v>
      </c>
      <c r="G542" s="23" t="s">
        <v>4</v>
      </c>
      <c r="H542" s="21" t="str">
        <f t="shared" si="8"/>
        <v>TW_63_NA5/TAILWATER</v>
      </c>
      <c r="I542" s="24" t="s">
        <v>2223</v>
      </c>
      <c r="J542" s="10" t="str">
        <f>VLOOKUP(Table1[[#This Row],[UID]],CS3SVComposerConfig!$B$3:$D$1808,3,FALSE)</f>
        <v>CS3L2015V0Hydro_SV.dss</v>
      </c>
      <c r="K542" s="10" t="s">
        <v>2212</v>
      </c>
      <c r="L542" s="10" t="s">
        <v>2212</v>
      </c>
      <c r="M542" s="10" t="s">
        <v>2224</v>
      </c>
      <c r="N542" s="10" t="s">
        <v>2225</v>
      </c>
      <c r="O542" s="10" t="s">
        <v>2226</v>
      </c>
      <c r="P542" s="39" t="s">
        <v>2227</v>
      </c>
    </row>
    <row r="543" spans="2:16" ht="18" customHeight="1" x14ac:dyDescent="0.25">
      <c r="B543" s="21" t="s">
        <v>0</v>
      </c>
      <c r="C543" s="22" t="s">
        <v>849</v>
      </c>
      <c r="D543" s="22" t="s">
        <v>738</v>
      </c>
      <c r="E543" s="21" t="s">
        <v>2222</v>
      </c>
      <c r="F543" s="23" t="s">
        <v>3</v>
      </c>
      <c r="G543" s="23" t="s">
        <v>4</v>
      </c>
      <c r="H543" s="21" t="str">
        <f t="shared" si="8"/>
        <v>TW_63_PR1/TAILWATER</v>
      </c>
      <c r="I543" s="24" t="s">
        <v>2223</v>
      </c>
      <c r="J543" s="10" t="str">
        <f>VLOOKUP(Table1[[#This Row],[UID]],CS3SVComposerConfig!$B$3:$D$1808,3,FALSE)</f>
        <v>CS3L2015V0Hydro_SV.dss</v>
      </c>
      <c r="K543" s="10" t="s">
        <v>2212</v>
      </c>
      <c r="L543" s="10" t="s">
        <v>2212</v>
      </c>
      <c r="M543" s="10" t="s">
        <v>2224</v>
      </c>
      <c r="N543" s="10" t="s">
        <v>2225</v>
      </c>
      <c r="O543" s="10" t="s">
        <v>2226</v>
      </c>
      <c r="P543" s="39" t="s">
        <v>2227</v>
      </c>
    </row>
    <row r="544" spans="2:16" ht="18" customHeight="1" x14ac:dyDescent="0.25">
      <c r="B544" s="21" t="s">
        <v>0</v>
      </c>
      <c r="C544" s="22" t="s">
        <v>850</v>
      </c>
      <c r="D544" s="22" t="s">
        <v>738</v>
      </c>
      <c r="E544" s="21" t="s">
        <v>2222</v>
      </c>
      <c r="F544" s="23" t="s">
        <v>3</v>
      </c>
      <c r="G544" s="23" t="s">
        <v>4</v>
      </c>
      <c r="H544" s="21" t="str">
        <f t="shared" si="8"/>
        <v>TW_63_PR2/TAILWATER</v>
      </c>
      <c r="I544" s="24" t="s">
        <v>2223</v>
      </c>
      <c r="J544" s="10" t="str">
        <f>VLOOKUP(Table1[[#This Row],[UID]],CS3SVComposerConfig!$B$3:$D$1808,3,FALSE)</f>
        <v>CS3L2015V0Hydro_SV.dss</v>
      </c>
      <c r="K544" s="10" t="s">
        <v>2212</v>
      </c>
      <c r="L544" s="10" t="s">
        <v>2212</v>
      </c>
      <c r="M544" s="10" t="s">
        <v>2224</v>
      </c>
      <c r="N544" s="10" t="s">
        <v>2225</v>
      </c>
      <c r="O544" s="10" t="s">
        <v>2226</v>
      </c>
      <c r="P544" s="39" t="s">
        <v>2227</v>
      </c>
    </row>
    <row r="545" spans="2:16" ht="18" customHeight="1" x14ac:dyDescent="0.25">
      <c r="B545" s="21" t="s">
        <v>0</v>
      </c>
      <c r="C545" s="22" t="s">
        <v>851</v>
      </c>
      <c r="D545" s="22" t="s">
        <v>738</v>
      </c>
      <c r="E545" s="21" t="s">
        <v>2222</v>
      </c>
      <c r="F545" s="23" t="s">
        <v>3</v>
      </c>
      <c r="G545" s="23" t="s">
        <v>4</v>
      </c>
      <c r="H545" s="21" t="str">
        <f t="shared" si="8"/>
        <v>TW_63_PR3/TAILWATER</v>
      </c>
      <c r="I545" s="24" t="s">
        <v>2223</v>
      </c>
      <c r="J545" s="10" t="str">
        <f>VLOOKUP(Table1[[#This Row],[UID]],CS3SVComposerConfig!$B$3:$D$1808,3,FALSE)</f>
        <v>CS3L2015V0Hydro_SV.dss</v>
      </c>
      <c r="K545" s="10" t="s">
        <v>2212</v>
      </c>
      <c r="L545" s="10" t="s">
        <v>2212</v>
      </c>
      <c r="M545" s="10" t="s">
        <v>2224</v>
      </c>
      <c r="N545" s="10" t="s">
        <v>2225</v>
      </c>
      <c r="O545" s="10" t="s">
        <v>2226</v>
      </c>
      <c r="P545" s="39" t="s">
        <v>2227</v>
      </c>
    </row>
    <row r="546" spans="2:16" ht="18" customHeight="1" x14ac:dyDescent="0.25">
      <c r="B546" s="21" t="s">
        <v>0</v>
      </c>
      <c r="C546" s="22" t="s">
        <v>852</v>
      </c>
      <c r="D546" s="22" t="s">
        <v>738</v>
      </c>
      <c r="E546" s="21" t="s">
        <v>2222</v>
      </c>
      <c r="F546" s="23" t="s">
        <v>3</v>
      </c>
      <c r="G546" s="23" t="s">
        <v>4</v>
      </c>
      <c r="H546" s="21" t="str">
        <f t="shared" si="8"/>
        <v>TW_64_NA1/TAILWATER</v>
      </c>
      <c r="I546" s="24" t="s">
        <v>2223</v>
      </c>
      <c r="J546" s="10" t="str">
        <f>VLOOKUP(Table1[[#This Row],[UID]],CS3SVComposerConfig!$B$3:$D$1808,3,FALSE)</f>
        <v>CS3L2015V0Hydro_SV.dss</v>
      </c>
      <c r="K546" s="10" t="s">
        <v>2212</v>
      </c>
      <c r="L546" s="10" t="s">
        <v>2212</v>
      </c>
      <c r="M546" s="10" t="s">
        <v>2224</v>
      </c>
      <c r="N546" s="10" t="s">
        <v>2225</v>
      </c>
      <c r="O546" s="10" t="s">
        <v>2226</v>
      </c>
      <c r="P546" s="39" t="s">
        <v>2227</v>
      </c>
    </row>
    <row r="547" spans="2:16" ht="18" customHeight="1" x14ac:dyDescent="0.25">
      <c r="B547" s="21" t="s">
        <v>0</v>
      </c>
      <c r="C547" s="22" t="s">
        <v>853</v>
      </c>
      <c r="D547" s="22" t="s">
        <v>738</v>
      </c>
      <c r="E547" s="21" t="s">
        <v>2222</v>
      </c>
      <c r="F547" s="23" t="s">
        <v>3</v>
      </c>
      <c r="G547" s="23" t="s">
        <v>4</v>
      </c>
      <c r="H547" s="21" t="str">
        <f t="shared" si="8"/>
        <v>TW_64_NA2/TAILWATER</v>
      </c>
      <c r="I547" s="24" t="s">
        <v>2223</v>
      </c>
      <c r="J547" s="10" t="str">
        <f>VLOOKUP(Table1[[#This Row],[UID]],CS3SVComposerConfig!$B$3:$D$1808,3,FALSE)</f>
        <v>CS3L2015V0Hydro_SV.dss</v>
      </c>
      <c r="K547" s="10" t="s">
        <v>2212</v>
      </c>
      <c r="L547" s="10" t="s">
        <v>2212</v>
      </c>
      <c r="M547" s="10" t="s">
        <v>2224</v>
      </c>
      <c r="N547" s="10" t="s">
        <v>2225</v>
      </c>
      <c r="O547" s="10" t="s">
        <v>2226</v>
      </c>
      <c r="P547" s="39" t="s">
        <v>2227</v>
      </c>
    </row>
    <row r="548" spans="2:16" ht="18" customHeight="1" x14ac:dyDescent="0.25">
      <c r="B548" s="21" t="s">
        <v>0</v>
      </c>
      <c r="C548" s="22" t="s">
        <v>854</v>
      </c>
      <c r="D548" s="22" t="s">
        <v>738</v>
      </c>
      <c r="E548" s="21" t="s">
        <v>2222</v>
      </c>
      <c r="F548" s="23" t="s">
        <v>3</v>
      </c>
      <c r="G548" s="23" t="s">
        <v>4</v>
      </c>
      <c r="H548" s="21" t="str">
        <f t="shared" si="8"/>
        <v>TW_64_PA1/TAILWATER</v>
      </c>
      <c r="I548" s="24" t="s">
        <v>2223</v>
      </c>
      <c r="J548" s="10" t="str">
        <f>VLOOKUP(Table1[[#This Row],[UID]],CS3SVComposerConfig!$B$3:$D$1808,3,FALSE)</f>
        <v>CS3L2015V0Hydro_SV.dss</v>
      </c>
      <c r="K548" s="10" t="s">
        <v>2212</v>
      </c>
      <c r="L548" s="10" t="s">
        <v>2212</v>
      </c>
      <c r="M548" s="10" t="s">
        <v>2224</v>
      </c>
      <c r="N548" s="10" t="s">
        <v>2225</v>
      </c>
      <c r="O548" s="10" t="s">
        <v>2226</v>
      </c>
      <c r="P548" s="39" t="s">
        <v>2227</v>
      </c>
    </row>
    <row r="549" spans="2:16" ht="18" customHeight="1" x14ac:dyDescent="0.25">
      <c r="B549" s="21" t="s">
        <v>0</v>
      </c>
      <c r="C549" s="22" t="s">
        <v>855</v>
      </c>
      <c r="D549" s="22" t="s">
        <v>738</v>
      </c>
      <c r="E549" s="21" t="s">
        <v>2222</v>
      </c>
      <c r="F549" s="23" t="s">
        <v>3</v>
      </c>
      <c r="G549" s="23" t="s">
        <v>4</v>
      </c>
      <c r="H549" s="21" t="str">
        <f t="shared" si="8"/>
        <v>TW_64_PA2/TAILWATER</v>
      </c>
      <c r="I549" s="24" t="s">
        <v>2223</v>
      </c>
      <c r="J549" s="10" t="str">
        <f>VLOOKUP(Table1[[#This Row],[UID]],CS3SVComposerConfig!$B$3:$D$1808,3,FALSE)</f>
        <v>CS3L2015V0Hydro_SV.dss</v>
      </c>
      <c r="K549" s="10" t="s">
        <v>2212</v>
      </c>
      <c r="L549" s="10" t="s">
        <v>2212</v>
      </c>
      <c r="M549" s="10" t="s">
        <v>2224</v>
      </c>
      <c r="N549" s="10" t="s">
        <v>2225</v>
      </c>
      <c r="O549" s="10" t="s">
        <v>2226</v>
      </c>
      <c r="P549" s="39" t="s">
        <v>2227</v>
      </c>
    </row>
    <row r="550" spans="2:16" ht="18" customHeight="1" x14ac:dyDescent="0.25">
      <c r="B550" s="21" t="s">
        <v>0</v>
      </c>
      <c r="C550" s="22" t="s">
        <v>856</v>
      </c>
      <c r="D550" s="22" t="s">
        <v>738</v>
      </c>
      <c r="E550" s="21" t="s">
        <v>2222</v>
      </c>
      <c r="F550" s="23" t="s">
        <v>3</v>
      </c>
      <c r="G550" s="23" t="s">
        <v>4</v>
      </c>
      <c r="H550" s="21" t="str">
        <f t="shared" si="8"/>
        <v>TW_64_PA3/TAILWATER</v>
      </c>
      <c r="I550" s="24" t="s">
        <v>2223</v>
      </c>
      <c r="J550" s="10" t="str">
        <f>VLOOKUP(Table1[[#This Row],[UID]],CS3SVComposerConfig!$B$3:$D$1808,3,FALSE)</f>
        <v>CS3L2015V0Hydro_SV.dss</v>
      </c>
      <c r="K550" s="10" t="s">
        <v>2212</v>
      </c>
      <c r="L550" s="10" t="s">
        <v>2212</v>
      </c>
      <c r="M550" s="10" t="s">
        <v>2224</v>
      </c>
      <c r="N550" s="10" t="s">
        <v>2225</v>
      </c>
      <c r="O550" s="10" t="s">
        <v>2226</v>
      </c>
      <c r="P550" s="39" t="s">
        <v>2227</v>
      </c>
    </row>
    <row r="551" spans="2:16" ht="18" customHeight="1" x14ac:dyDescent="0.25">
      <c r="B551" s="21" t="s">
        <v>0</v>
      </c>
      <c r="C551" s="22" t="s">
        <v>857</v>
      </c>
      <c r="D551" s="22" t="s">
        <v>738</v>
      </c>
      <c r="E551" s="21" t="s">
        <v>2222</v>
      </c>
      <c r="F551" s="23" t="s">
        <v>3</v>
      </c>
      <c r="G551" s="23" t="s">
        <v>4</v>
      </c>
      <c r="H551" s="21" t="str">
        <f t="shared" si="8"/>
        <v>TW_64_XA/TAILWATER</v>
      </c>
      <c r="I551" s="24" t="s">
        <v>2223</v>
      </c>
      <c r="J551" s="10" t="str">
        <f>VLOOKUP(Table1[[#This Row],[UID]],CS3SVComposerConfig!$B$3:$D$1808,3,FALSE)</f>
        <v>RebalancedSJR_AW_TW_DP.dss</v>
      </c>
      <c r="K551" s="10" t="s">
        <v>2212</v>
      </c>
      <c r="L551" s="10" t="s">
        <v>2212</v>
      </c>
      <c r="M551" s="10" t="s">
        <v>2224</v>
      </c>
      <c r="N551" s="10" t="s">
        <v>2225</v>
      </c>
      <c r="O551" s="10" t="s">
        <v>2226</v>
      </c>
      <c r="P551" s="39" t="s">
        <v>2227</v>
      </c>
    </row>
    <row r="552" spans="2:16" ht="18" customHeight="1" x14ac:dyDescent="0.25">
      <c r="B552" s="21" t="s">
        <v>0</v>
      </c>
      <c r="C552" s="22" t="s">
        <v>858</v>
      </c>
      <c r="D552" s="22" t="s">
        <v>738</v>
      </c>
      <c r="E552" s="21" t="s">
        <v>2222</v>
      </c>
      <c r="F552" s="23" t="s">
        <v>3</v>
      </c>
      <c r="G552" s="23" t="s">
        <v>4</v>
      </c>
      <c r="H552" s="21" t="str">
        <f t="shared" si="8"/>
        <v>TW_71_NA1/TAILWATER</v>
      </c>
      <c r="I552" s="24" t="s">
        <v>2223</v>
      </c>
      <c r="J552" s="10" t="str">
        <f>VLOOKUP(Table1[[#This Row],[UID]],CS3SVComposerConfig!$B$3:$D$1808,3,FALSE)</f>
        <v>CS3L2015V0Hydro_SV.dss</v>
      </c>
      <c r="K552" s="10" t="s">
        <v>2212</v>
      </c>
      <c r="L552" s="10" t="s">
        <v>2212</v>
      </c>
      <c r="M552" s="10" t="s">
        <v>2224</v>
      </c>
      <c r="N552" s="10" t="s">
        <v>2225</v>
      </c>
      <c r="O552" s="10" t="s">
        <v>2226</v>
      </c>
      <c r="P552" s="39" t="s">
        <v>2227</v>
      </c>
    </row>
    <row r="553" spans="2:16" ht="18" customHeight="1" x14ac:dyDescent="0.25">
      <c r="B553" s="21" t="s">
        <v>0</v>
      </c>
      <c r="C553" s="22" t="s">
        <v>859</v>
      </c>
      <c r="D553" s="22" t="s">
        <v>738</v>
      </c>
      <c r="E553" s="21" t="s">
        <v>2222</v>
      </c>
      <c r="F553" s="23" t="s">
        <v>3</v>
      </c>
      <c r="G553" s="23" t="s">
        <v>4</v>
      </c>
      <c r="H553" s="21" t="str">
        <f t="shared" si="8"/>
        <v>TW_71_NA2/TAILWATER</v>
      </c>
      <c r="I553" s="24" t="s">
        <v>2223</v>
      </c>
      <c r="J553" s="10" t="str">
        <f>VLOOKUP(Table1[[#This Row],[UID]],CS3SVComposerConfig!$B$3:$D$1808,3,FALSE)</f>
        <v>CS3L2015V0Hydro_SV.dss</v>
      </c>
      <c r="K553" s="10" t="s">
        <v>2212</v>
      </c>
      <c r="L553" s="10" t="s">
        <v>2212</v>
      </c>
      <c r="M553" s="10" t="s">
        <v>2224</v>
      </c>
      <c r="N553" s="10" t="s">
        <v>2225</v>
      </c>
      <c r="O553" s="10" t="s">
        <v>2226</v>
      </c>
      <c r="P553" s="39" t="s">
        <v>2227</v>
      </c>
    </row>
    <row r="554" spans="2:16" ht="18" customHeight="1" x14ac:dyDescent="0.25">
      <c r="B554" s="21" t="s">
        <v>0</v>
      </c>
      <c r="C554" s="22" t="s">
        <v>860</v>
      </c>
      <c r="D554" s="22" t="s">
        <v>738</v>
      </c>
      <c r="E554" s="21" t="s">
        <v>2222</v>
      </c>
      <c r="F554" s="23" t="s">
        <v>3</v>
      </c>
      <c r="G554" s="23" t="s">
        <v>4</v>
      </c>
      <c r="H554" s="21" t="str">
        <f t="shared" si="8"/>
        <v>TW_71_NA3/TAILWATER</v>
      </c>
      <c r="I554" s="24" t="s">
        <v>2223</v>
      </c>
      <c r="J554" s="10" t="str">
        <f>VLOOKUP(Table1[[#This Row],[UID]],CS3SVComposerConfig!$B$3:$D$1808,3,FALSE)</f>
        <v>CS3L2015V0Hydro_SV.dss</v>
      </c>
      <c r="K554" s="10" t="s">
        <v>2212</v>
      </c>
      <c r="L554" s="10" t="s">
        <v>2212</v>
      </c>
      <c r="M554" s="10" t="s">
        <v>2224</v>
      </c>
      <c r="N554" s="10" t="s">
        <v>2225</v>
      </c>
      <c r="O554" s="10" t="s">
        <v>2226</v>
      </c>
      <c r="P554" s="39" t="s">
        <v>2227</v>
      </c>
    </row>
    <row r="555" spans="2:16" ht="18" customHeight="1" x14ac:dyDescent="0.25">
      <c r="B555" s="21" t="s">
        <v>0</v>
      </c>
      <c r="C555" s="22" t="s">
        <v>861</v>
      </c>
      <c r="D555" s="22" t="s">
        <v>738</v>
      </c>
      <c r="E555" s="21" t="s">
        <v>2222</v>
      </c>
      <c r="F555" s="23" t="s">
        <v>3</v>
      </c>
      <c r="G555" s="23" t="s">
        <v>4</v>
      </c>
      <c r="H555" s="21" t="str">
        <f t="shared" si="8"/>
        <v>TW_71_PA1/TAILWATER</v>
      </c>
      <c r="I555" s="24" t="s">
        <v>2223</v>
      </c>
      <c r="J555" s="10" t="str">
        <f>VLOOKUP(Table1[[#This Row],[UID]],CS3SVComposerConfig!$B$3:$D$1808,3,FALSE)</f>
        <v>RebalancedSJR_AW_TW_DP.dss</v>
      </c>
      <c r="K555" s="10" t="s">
        <v>2212</v>
      </c>
      <c r="L555" s="10" t="s">
        <v>2212</v>
      </c>
      <c r="M555" s="10" t="s">
        <v>2224</v>
      </c>
      <c r="N555" s="10" t="s">
        <v>2225</v>
      </c>
      <c r="O555" s="10" t="s">
        <v>2226</v>
      </c>
      <c r="P555" s="39" t="s">
        <v>2227</v>
      </c>
    </row>
    <row r="556" spans="2:16" ht="18" customHeight="1" x14ac:dyDescent="0.25">
      <c r="B556" s="21" t="s">
        <v>0</v>
      </c>
      <c r="C556" s="22" t="s">
        <v>862</v>
      </c>
      <c r="D556" s="22" t="s">
        <v>738</v>
      </c>
      <c r="E556" s="21" t="s">
        <v>2222</v>
      </c>
      <c r="F556" s="23" t="s">
        <v>3</v>
      </c>
      <c r="G556" s="23" t="s">
        <v>4</v>
      </c>
      <c r="H556" s="21" t="str">
        <f t="shared" si="8"/>
        <v>TW_71_PA2/TAILWATER</v>
      </c>
      <c r="I556" s="24" t="s">
        <v>2223</v>
      </c>
      <c r="J556" s="10" t="str">
        <f>VLOOKUP(Table1[[#This Row],[UID]],CS3SVComposerConfig!$B$3:$D$1808,3,FALSE)</f>
        <v>RebalancedSJR_AW_TW_DP.dss</v>
      </c>
      <c r="K556" s="10" t="s">
        <v>2212</v>
      </c>
      <c r="L556" s="10" t="s">
        <v>2212</v>
      </c>
      <c r="M556" s="10" t="s">
        <v>2224</v>
      </c>
      <c r="N556" s="10" t="s">
        <v>2225</v>
      </c>
      <c r="O556" s="10" t="s">
        <v>2226</v>
      </c>
      <c r="P556" s="39" t="s">
        <v>2227</v>
      </c>
    </row>
    <row r="557" spans="2:16" ht="18" customHeight="1" x14ac:dyDescent="0.25">
      <c r="B557" s="21" t="s">
        <v>0</v>
      </c>
      <c r="C557" s="22" t="s">
        <v>863</v>
      </c>
      <c r="D557" s="22" t="s">
        <v>738</v>
      </c>
      <c r="E557" s="21" t="s">
        <v>2222</v>
      </c>
      <c r="F557" s="23" t="s">
        <v>3</v>
      </c>
      <c r="G557" s="23" t="s">
        <v>4</v>
      </c>
      <c r="H557" s="21" t="str">
        <f t="shared" si="8"/>
        <v>TW_71_PA3/TAILWATER</v>
      </c>
      <c r="I557" s="24" t="s">
        <v>2223</v>
      </c>
      <c r="J557" s="10" t="str">
        <f>VLOOKUP(Table1[[#This Row],[UID]],CS3SVComposerConfig!$B$3:$D$1808,3,FALSE)</f>
        <v>RebalancedSJR_AW_TW_DP.dss</v>
      </c>
      <c r="K557" s="10" t="s">
        <v>2212</v>
      </c>
      <c r="L557" s="10" t="s">
        <v>2212</v>
      </c>
      <c r="M557" s="10" t="s">
        <v>2224</v>
      </c>
      <c r="N557" s="10" t="s">
        <v>2225</v>
      </c>
      <c r="O557" s="10" t="s">
        <v>2226</v>
      </c>
      <c r="P557" s="39" t="s">
        <v>2227</v>
      </c>
    </row>
    <row r="558" spans="2:16" ht="18" customHeight="1" x14ac:dyDescent="0.25">
      <c r="B558" s="21" t="s">
        <v>0</v>
      </c>
      <c r="C558" s="22" t="s">
        <v>864</v>
      </c>
      <c r="D558" s="22" t="s">
        <v>738</v>
      </c>
      <c r="E558" s="21" t="s">
        <v>2222</v>
      </c>
      <c r="F558" s="23" t="s">
        <v>3</v>
      </c>
      <c r="G558" s="23" t="s">
        <v>4</v>
      </c>
      <c r="H558" s="21" t="str">
        <f t="shared" si="8"/>
        <v>TW_71_PA4/TAILWATER</v>
      </c>
      <c r="I558" s="24" t="s">
        <v>2223</v>
      </c>
      <c r="J558" s="10" t="str">
        <f>VLOOKUP(Table1[[#This Row],[UID]],CS3SVComposerConfig!$B$3:$D$1808,3,FALSE)</f>
        <v>RebalancedSJR_AW_TW_DP.dss</v>
      </c>
      <c r="K558" s="10" t="s">
        <v>2212</v>
      </c>
      <c r="L558" s="10" t="s">
        <v>2212</v>
      </c>
      <c r="M558" s="10" t="s">
        <v>2224</v>
      </c>
      <c r="N558" s="10" t="s">
        <v>2225</v>
      </c>
      <c r="O558" s="10" t="s">
        <v>2226</v>
      </c>
      <c r="P558" s="39" t="s">
        <v>2227</v>
      </c>
    </row>
    <row r="559" spans="2:16" ht="18" customHeight="1" x14ac:dyDescent="0.25">
      <c r="B559" s="21" t="s">
        <v>0</v>
      </c>
      <c r="C559" s="22" t="s">
        <v>865</v>
      </c>
      <c r="D559" s="22" t="s">
        <v>738</v>
      </c>
      <c r="E559" s="21" t="s">
        <v>2222</v>
      </c>
      <c r="F559" s="23" t="s">
        <v>3</v>
      </c>
      <c r="G559" s="23" t="s">
        <v>4</v>
      </c>
      <c r="H559" s="21" t="str">
        <f t="shared" si="8"/>
        <v>TW_71_PA5/TAILWATER</v>
      </c>
      <c r="I559" s="24" t="s">
        <v>2223</v>
      </c>
      <c r="J559" s="10" t="str">
        <f>VLOOKUP(Table1[[#This Row],[UID]],CS3SVComposerConfig!$B$3:$D$1808,3,FALSE)</f>
        <v>RebalancedSJR_AW_TW_DP.dss</v>
      </c>
      <c r="K559" s="10" t="s">
        <v>2212</v>
      </c>
      <c r="L559" s="10" t="s">
        <v>2212</v>
      </c>
      <c r="M559" s="10" t="s">
        <v>2224</v>
      </c>
      <c r="N559" s="10" t="s">
        <v>2225</v>
      </c>
      <c r="O559" s="10" t="s">
        <v>2226</v>
      </c>
      <c r="P559" s="39" t="s">
        <v>2227</v>
      </c>
    </row>
    <row r="560" spans="2:16" ht="18" customHeight="1" x14ac:dyDescent="0.25">
      <c r="B560" s="21" t="s">
        <v>0</v>
      </c>
      <c r="C560" s="22" t="s">
        <v>866</v>
      </c>
      <c r="D560" s="22" t="s">
        <v>738</v>
      </c>
      <c r="E560" s="21" t="s">
        <v>2222</v>
      </c>
      <c r="F560" s="23" t="s">
        <v>3</v>
      </c>
      <c r="G560" s="23" t="s">
        <v>4</v>
      </c>
      <c r="H560" s="21" t="str">
        <f t="shared" si="8"/>
        <v>TW_71_PA6/TAILWATER</v>
      </c>
      <c r="I560" s="24" t="s">
        <v>2223</v>
      </c>
      <c r="J560" s="10" t="str">
        <f>VLOOKUP(Table1[[#This Row],[UID]],CS3SVComposerConfig!$B$3:$D$1808,3,FALSE)</f>
        <v>RebalancedSJR_AW_TW_DP.dss</v>
      </c>
      <c r="K560" s="10" t="s">
        <v>2212</v>
      </c>
      <c r="L560" s="10" t="s">
        <v>2212</v>
      </c>
      <c r="M560" s="10" t="s">
        <v>2224</v>
      </c>
      <c r="N560" s="10" t="s">
        <v>2225</v>
      </c>
      <c r="O560" s="10" t="s">
        <v>2226</v>
      </c>
      <c r="P560" s="39" t="s">
        <v>2227</v>
      </c>
    </row>
    <row r="561" spans="2:16" ht="18" customHeight="1" x14ac:dyDescent="0.25">
      <c r="B561" s="21" t="s">
        <v>0</v>
      </c>
      <c r="C561" s="22" t="s">
        <v>867</v>
      </c>
      <c r="D561" s="22" t="s">
        <v>738</v>
      </c>
      <c r="E561" s="21" t="s">
        <v>2222</v>
      </c>
      <c r="F561" s="23" t="s">
        <v>3</v>
      </c>
      <c r="G561" s="23" t="s">
        <v>4</v>
      </c>
      <c r="H561" s="21" t="str">
        <f t="shared" si="8"/>
        <v>TW_71_PA7/TAILWATER</v>
      </c>
      <c r="I561" s="24" t="s">
        <v>2223</v>
      </c>
      <c r="J561" s="10" t="str">
        <f>VLOOKUP(Table1[[#This Row],[UID]],CS3SVComposerConfig!$B$3:$D$1808,3,FALSE)</f>
        <v>RebalancedSJR_AW_TW_DP.dss</v>
      </c>
      <c r="K561" s="10" t="s">
        <v>2212</v>
      </c>
      <c r="L561" s="10" t="s">
        <v>2212</v>
      </c>
      <c r="M561" s="10" t="s">
        <v>2224</v>
      </c>
      <c r="N561" s="10" t="s">
        <v>2225</v>
      </c>
      <c r="O561" s="10" t="s">
        <v>2226</v>
      </c>
      <c r="P561" s="39" t="s">
        <v>2227</v>
      </c>
    </row>
    <row r="562" spans="2:16" ht="18" customHeight="1" x14ac:dyDescent="0.25">
      <c r="B562" s="21" t="s">
        <v>0</v>
      </c>
      <c r="C562" s="22" t="s">
        <v>868</v>
      </c>
      <c r="D562" s="22" t="s">
        <v>738</v>
      </c>
      <c r="E562" s="21" t="s">
        <v>2222</v>
      </c>
      <c r="F562" s="23" t="s">
        <v>3</v>
      </c>
      <c r="G562" s="23" t="s">
        <v>4</v>
      </c>
      <c r="H562" s="21" t="str">
        <f t="shared" si="8"/>
        <v>TW_71_PA8/TAILWATER</v>
      </c>
      <c r="I562" s="24" t="s">
        <v>2223</v>
      </c>
      <c r="J562" s="10" t="str">
        <f>VLOOKUP(Table1[[#This Row],[UID]],CS3SVComposerConfig!$B$3:$D$1808,3,FALSE)</f>
        <v>RebalancedSJR_AW_TW_DP.dss</v>
      </c>
      <c r="K562" s="10" t="s">
        <v>2212</v>
      </c>
      <c r="L562" s="10" t="s">
        <v>2212</v>
      </c>
      <c r="M562" s="10" t="s">
        <v>2224</v>
      </c>
      <c r="N562" s="10" t="s">
        <v>2225</v>
      </c>
      <c r="O562" s="10" t="s">
        <v>2226</v>
      </c>
      <c r="P562" s="39" t="s">
        <v>2227</v>
      </c>
    </row>
    <row r="563" spans="2:16" ht="18" customHeight="1" x14ac:dyDescent="0.25">
      <c r="B563" s="21" t="s">
        <v>0</v>
      </c>
      <c r="C563" s="22" t="s">
        <v>869</v>
      </c>
      <c r="D563" s="22" t="s">
        <v>738</v>
      </c>
      <c r="E563" s="21" t="s">
        <v>2222</v>
      </c>
      <c r="F563" s="23" t="s">
        <v>3</v>
      </c>
      <c r="G563" s="23" t="s">
        <v>4</v>
      </c>
      <c r="H563" s="21" t="str">
        <f t="shared" si="8"/>
        <v>TW_72_NA1/TAILWATER</v>
      </c>
      <c r="I563" s="24" t="s">
        <v>2223</v>
      </c>
      <c r="J563" s="10" t="str">
        <f>VLOOKUP(Table1[[#This Row],[UID]],CS3SVComposerConfig!$B$3:$D$1808,3,FALSE)</f>
        <v>CS3L2015V0Hydro_SV.dss</v>
      </c>
      <c r="K563" s="10" t="s">
        <v>2212</v>
      </c>
      <c r="L563" s="10" t="s">
        <v>2212</v>
      </c>
      <c r="M563" s="10" t="s">
        <v>2224</v>
      </c>
      <c r="N563" s="10" t="s">
        <v>2225</v>
      </c>
      <c r="O563" s="10" t="s">
        <v>2226</v>
      </c>
      <c r="P563" s="39" t="s">
        <v>2227</v>
      </c>
    </row>
    <row r="564" spans="2:16" ht="18" customHeight="1" x14ac:dyDescent="0.25">
      <c r="B564" s="21" t="s">
        <v>0</v>
      </c>
      <c r="C564" s="22" t="s">
        <v>870</v>
      </c>
      <c r="D564" s="22" t="s">
        <v>738</v>
      </c>
      <c r="E564" s="21" t="s">
        <v>2222</v>
      </c>
      <c r="F564" s="23" t="s">
        <v>3</v>
      </c>
      <c r="G564" s="23" t="s">
        <v>4</v>
      </c>
      <c r="H564" s="21" t="str">
        <f t="shared" si="8"/>
        <v>TW_72_NA2/TAILWATER</v>
      </c>
      <c r="I564" s="24" t="s">
        <v>2223</v>
      </c>
      <c r="J564" s="10" t="str">
        <f>VLOOKUP(Table1[[#This Row],[UID]],CS3SVComposerConfig!$B$3:$D$1808,3,FALSE)</f>
        <v>CS3L2015V0Hydro_SV.dss</v>
      </c>
      <c r="K564" s="10" t="s">
        <v>2212</v>
      </c>
      <c r="L564" s="10" t="s">
        <v>2212</v>
      </c>
      <c r="M564" s="10" t="s">
        <v>2224</v>
      </c>
      <c r="N564" s="10" t="s">
        <v>2225</v>
      </c>
      <c r="O564" s="10" t="s">
        <v>2226</v>
      </c>
      <c r="P564" s="39" t="s">
        <v>2227</v>
      </c>
    </row>
    <row r="565" spans="2:16" ht="18" customHeight="1" x14ac:dyDescent="0.25">
      <c r="B565" s="21" t="s">
        <v>0</v>
      </c>
      <c r="C565" s="22" t="s">
        <v>871</v>
      </c>
      <c r="D565" s="22" t="s">
        <v>738</v>
      </c>
      <c r="E565" s="21" t="s">
        <v>2222</v>
      </c>
      <c r="F565" s="23" t="s">
        <v>3</v>
      </c>
      <c r="G565" s="23" t="s">
        <v>4</v>
      </c>
      <c r="H565" s="21" t="str">
        <f t="shared" si="8"/>
        <v>TW_72_PA/TAILWATER</v>
      </c>
      <c r="I565" s="24" t="s">
        <v>2223</v>
      </c>
      <c r="J565" s="10" t="str">
        <f>VLOOKUP(Table1[[#This Row],[UID]],CS3SVComposerConfig!$B$3:$D$1808,3,FALSE)</f>
        <v>RebalancedSJR_AW_TW_DP.dss</v>
      </c>
      <c r="K565" s="10" t="s">
        <v>2212</v>
      </c>
      <c r="L565" s="10" t="s">
        <v>2212</v>
      </c>
      <c r="M565" s="10" t="s">
        <v>2224</v>
      </c>
      <c r="N565" s="10" t="s">
        <v>2225</v>
      </c>
      <c r="O565" s="10" t="s">
        <v>2226</v>
      </c>
      <c r="P565" s="39" t="s">
        <v>2227</v>
      </c>
    </row>
    <row r="566" spans="2:16" ht="18" customHeight="1" x14ac:dyDescent="0.25">
      <c r="B566" s="21" t="s">
        <v>0</v>
      </c>
      <c r="C566" s="22" t="s">
        <v>872</v>
      </c>
      <c r="D566" s="22" t="s">
        <v>738</v>
      </c>
      <c r="E566" s="21" t="s">
        <v>2222</v>
      </c>
      <c r="F566" s="23" t="s">
        <v>3</v>
      </c>
      <c r="G566" s="23" t="s">
        <v>4</v>
      </c>
      <c r="H566" s="21" t="str">
        <f t="shared" si="8"/>
        <v>TW_72_PR1/TAILWATER</v>
      </c>
      <c r="I566" s="24" t="s">
        <v>2223</v>
      </c>
      <c r="J566" s="10" t="str">
        <f>VLOOKUP(Table1[[#This Row],[UID]],CS3SVComposerConfig!$B$3:$D$1808,3,FALSE)</f>
        <v>RebalancedSJR_AW_TW_DP.dss</v>
      </c>
      <c r="K566" s="10" t="s">
        <v>2212</v>
      </c>
      <c r="L566" s="10" t="s">
        <v>2212</v>
      </c>
      <c r="M566" s="10" t="s">
        <v>2224</v>
      </c>
      <c r="N566" s="10" t="s">
        <v>2225</v>
      </c>
      <c r="O566" s="10" t="s">
        <v>2226</v>
      </c>
      <c r="P566" s="39" t="s">
        <v>2227</v>
      </c>
    </row>
    <row r="567" spans="2:16" ht="18" customHeight="1" x14ac:dyDescent="0.25">
      <c r="B567" s="21" t="s">
        <v>0</v>
      </c>
      <c r="C567" s="22" t="s">
        <v>873</v>
      </c>
      <c r="D567" s="22" t="s">
        <v>738</v>
      </c>
      <c r="E567" s="21" t="s">
        <v>2222</v>
      </c>
      <c r="F567" s="23" t="s">
        <v>3</v>
      </c>
      <c r="G567" s="23" t="s">
        <v>4</v>
      </c>
      <c r="H567" s="21" t="str">
        <f t="shared" si="8"/>
        <v>TW_72_PR2/TAILWATER</v>
      </c>
      <c r="I567" s="24" t="s">
        <v>2223</v>
      </c>
      <c r="J567" s="10" t="str">
        <f>VLOOKUP(Table1[[#This Row],[UID]],CS3SVComposerConfig!$B$3:$D$1808,3,FALSE)</f>
        <v>RebalancedSJR_AW_TW_DP.dss</v>
      </c>
      <c r="K567" s="10" t="s">
        <v>2212</v>
      </c>
      <c r="L567" s="10" t="s">
        <v>2212</v>
      </c>
      <c r="M567" s="10" t="s">
        <v>2224</v>
      </c>
      <c r="N567" s="10" t="s">
        <v>2225</v>
      </c>
      <c r="O567" s="10" t="s">
        <v>2226</v>
      </c>
      <c r="P567" s="39" t="s">
        <v>2227</v>
      </c>
    </row>
    <row r="568" spans="2:16" ht="18" customHeight="1" x14ac:dyDescent="0.25">
      <c r="B568" s="21" t="s">
        <v>0</v>
      </c>
      <c r="C568" s="22" t="s">
        <v>874</v>
      </c>
      <c r="D568" s="22" t="s">
        <v>738</v>
      </c>
      <c r="E568" s="21" t="s">
        <v>2222</v>
      </c>
      <c r="F568" s="23" t="s">
        <v>3</v>
      </c>
      <c r="G568" s="23" t="s">
        <v>4</v>
      </c>
      <c r="H568" s="21" t="str">
        <f t="shared" si="8"/>
        <v>TW_72_PR3/TAILWATER</v>
      </c>
      <c r="I568" s="24" t="s">
        <v>2223</v>
      </c>
      <c r="J568" s="10" t="str">
        <f>VLOOKUP(Table1[[#This Row],[UID]],CS3SVComposerConfig!$B$3:$D$1808,3,FALSE)</f>
        <v>RebalancedSJR_AW_TW_DP.dss</v>
      </c>
      <c r="K568" s="10" t="s">
        <v>2212</v>
      </c>
      <c r="L568" s="10" t="s">
        <v>2212</v>
      </c>
      <c r="M568" s="10" t="s">
        <v>2224</v>
      </c>
      <c r="N568" s="10" t="s">
        <v>2225</v>
      </c>
      <c r="O568" s="10" t="s">
        <v>2226</v>
      </c>
      <c r="P568" s="39" t="s">
        <v>2227</v>
      </c>
    </row>
    <row r="569" spans="2:16" ht="18" customHeight="1" x14ac:dyDescent="0.25">
      <c r="B569" s="21" t="s">
        <v>0</v>
      </c>
      <c r="C569" s="22" t="s">
        <v>875</v>
      </c>
      <c r="D569" s="22" t="s">
        <v>738</v>
      </c>
      <c r="E569" s="21" t="s">
        <v>2222</v>
      </c>
      <c r="F569" s="23" t="s">
        <v>3</v>
      </c>
      <c r="G569" s="23" t="s">
        <v>4</v>
      </c>
      <c r="H569" s="21" t="str">
        <f t="shared" si="8"/>
        <v>TW_72_PR4/TAILWATER</v>
      </c>
      <c r="I569" s="24" t="s">
        <v>2223</v>
      </c>
      <c r="J569" s="10" t="str">
        <f>VLOOKUP(Table1[[#This Row],[UID]],CS3SVComposerConfig!$B$3:$D$1808,3,FALSE)</f>
        <v>RebalancedSJR_AW_TW_DP.dss</v>
      </c>
      <c r="K569" s="10" t="s">
        <v>2212</v>
      </c>
      <c r="L569" s="10" t="s">
        <v>2212</v>
      </c>
      <c r="M569" s="10" t="s">
        <v>2224</v>
      </c>
      <c r="N569" s="10" t="s">
        <v>2225</v>
      </c>
      <c r="O569" s="10" t="s">
        <v>2226</v>
      </c>
      <c r="P569" s="39" t="s">
        <v>2227</v>
      </c>
    </row>
    <row r="570" spans="2:16" ht="18" customHeight="1" x14ac:dyDescent="0.25">
      <c r="B570" s="21" t="s">
        <v>0</v>
      </c>
      <c r="C570" s="22" t="s">
        <v>876</v>
      </c>
      <c r="D570" s="22" t="s">
        <v>738</v>
      </c>
      <c r="E570" s="21" t="s">
        <v>2222</v>
      </c>
      <c r="F570" s="23" t="s">
        <v>3</v>
      </c>
      <c r="G570" s="23" t="s">
        <v>4</v>
      </c>
      <c r="H570" s="21" t="str">
        <f t="shared" si="8"/>
        <v>TW_72_PR5/TAILWATER</v>
      </c>
      <c r="I570" s="24" t="s">
        <v>2223</v>
      </c>
      <c r="J570" s="10" t="str">
        <f>VLOOKUP(Table1[[#This Row],[UID]],CS3SVComposerConfig!$B$3:$D$1808,3,FALSE)</f>
        <v>RebalancedSJR_AW_TW_DP.dss</v>
      </c>
      <c r="K570" s="10" t="s">
        <v>2212</v>
      </c>
      <c r="L570" s="10" t="s">
        <v>2212</v>
      </c>
      <c r="M570" s="10" t="s">
        <v>2224</v>
      </c>
      <c r="N570" s="10" t="s">
        <v>2225</v>
      </c>
      <c r="O570" s="10" t="s">
        <v>2226</v>
      </c>
      <c r="P570" s="39" t="s">
        <v>2227</v>
      </c>
    </row>
    <row r="571" spans="2:16" ht="18" customHeight="1" x14ac:dyDescent="0.25">
      <c r="B571" s="21" t="s">
        <v>0</v>
      </c>
      <c r="C571" s="22" t="s">
        <v>877</v>
      </c>
      <c r="D571" s="22" t="s">
        <v>738</v>
      </c>
      <c r="E571" s="21" t="s">
        <v>2222</v>
      </c>
      <c r="F571" s="23" t="s">
        <v>3</v>
      </c>
      <c r="G571" s="23" t="s">
        <v>4</v>
      </c>
      <c r="H571" s="21" t="str">
        <f t="shared" si="8"/>
        <v>TW_72_PR6/TAILWATER</v>
      </c>
      <c r="I571" s="24" t="s">
        <v>2223</v>
      </c>
      <c r="J571" s="10" t="str">
        <f>VLOOKUP(Table1[[#This Row],[UID]],CS3SVComposerConfig!$B$3:$D$1808,3,FALSE)</f>
        <v>RebalancedSJR_AW_TW_DP.dss</v>
      </c>
      <c r="K571" s="10" t="s">
        <v>2212</v>
      </c>
      <c r="L571" s="10" t="s">
        <v>2212</v>
      </c>
      <c r="M571" s="10" t="s">
        <v>2224</v>
      </c>
      <c r="N571" s="10" t="s">
        <v>2225</v>
      </c>
      <c r="O571" s="10" t="s">
        <v>2226</v>
      </c>
      <c r="P571" s="39" t="s">
        <v>2227</v>
      </c>
    </row>
    <row r="572" spans="2:16" ht="18" customHeight="1" x14ac:dyDescent="0.25">
      <c r="B572" s="21" t="s">
        <v>0</v>
      </c>
      <c r="C572" s="22" t="s">
        <v>878</v>
      </c>
      <c r="D572" s="22" t="s">
        <v>738</v>
      </c>
      <c r="E572" s="21" t="s">
        <v>2222</v>
      </c>
      <c r="F572" s="23" t="s">
        <v>3</v>
      </c>
      <c r="G572" s="23" t="s">
        <v>4</v>
      </c>
      <c r="H572" s="21" t="str">
        <f t="shared" si="8"/>
        <v>TW_72_XA1/TAILWATER</v>
      </c>
      <c r="I572" s="24" t="s">
        <v>2223</v>
      </c>
      <c r="J572" s="10" t="str">
        <f>VLOOKUP(Table1[[#This Row],[UID]],CS3SVComposerConfig!$B$3:$D$1808,3,FALSE)</f>
        <v>RebalancedSJR_AW_TW_DP.dss</v>
      </c>
      <c r="K572" s="10" t="s">
        <v>2212</v>
      </c>
      <c r="L572" s="10" t="s">
        <v>2212</v>
      </c>
      <c r="M572" s="10" t="s">
        <v>2224</v>
      </c>
      <c r="N572" s="10" t="s">
        <v>2225</v>
      </c>
      <c r="O572" s="10" t="s">
        <v>2226</v>
      </c>
      <c r="P572" s="39" t="s">
        <v>2227</v>
      </c>
    </row>
    <row r="573" spans="2:16" ht="18" customHeight="1" x14ac:dyDescent="0.25">
      <c r="B573" s="21" t="s">
        <v>0</v>
      </c>
      <c r="C573" s="22" t="s">
        <v>879</v>
      </c>
      <c r="D573" s="22" t="s">
        <v>738</v>
      </c>
      <c r="E573" s="21" t="s">
        <v>2222</v>
      </c>
      <c r="F573" s="23" t="s">
        <v>3</v>
      </c>
      <c r="G573" s="23" t="s">
        <v>4</v>
      </c>
      <c r="H573" s="21" t="str">
        <f t="shared" si="8"/>
        <v>TW_72_XA2/TAILWATER</v>
      </c>
      <c r="I573" s="24" t="s">
        <v>2223</v>
      </c>
      <c r="J573" s="10" t="str">
        <f>VLOOKUP(Table1[[#This Row],[UID]],CS3SVComposerConfig!$B$3:$D$1808,3,FALSE)</f>
        <v>RebalancedSJR_AW_TW_DP.dss</v>
      </c>
      <c r="K573" s="10" t="s">
        <v>2212</v>
      </c>
      <c r="L573" s="10" t="s">
        <v>2212</v>
      </c>
      <c r="M573" s="10" t="s">
        <v>2224</v>
      </c>
      <c r="N573" s="10" t="s">
        <v>2225</v>
      </c>
      <c r="O573" s="10" t="s">
        <v>2226</v>
      </c>
      <c r="P573" s="39" t="s">
        <v>2227</v>
      </c>
    </row>
    <row r="574" spans="2:16" ht="18" customHeight="1" x14ac:dyDescent="0.25">
      <c r="B574" s="21" t="s">
        <v>0</v>
      </c>
      <c r="C574" s="22" t="s">
        <v>880</v>
      </c>
      <c r="D574" s="22" t="s">
        <v>738</v>
      </c>
      <c r="E574" s="21" t="s">
        <v>2222</v>
      </c>
      <c r="F574" s="23" t="s">
        <v>3</v>
      </c>
      <c r="G574" s="23" t="s">
        <v>4</v>
      </c>
      <c r="H574" s="21" t="str">
        <f t="shared" si="8"/>
        <v>TW_72_XA3/TAILWATER</v>
      </c>
      <c r="I574" s="24" t="s">
        <v>2223</v>
      </c>
      <c r="J574" s="10" t="str">
        <f>VLOOKUP(Table1[[#This Row],[UID]],CS3SVComposerConfig!$B$3:$D$1808,3,FALSE)</f>
        <v>RebalancedSJR_AW_TW_DP.dss</v>
      </c>
      <c r="K574" s="10" t="s">
        <v>2212</v>
      </c>
      <c r="L574" s="10" t="s">
        <v>2212</v>
      </c>
      <c r="M574" s="10" t="s">
        <v>2224</v>
      </c>
      <c r="N574" s="10" t="s">
        <v>2225</v>
      </c>
      <c r="O574" s="10" t="s">
        <v>2226</v>
      </c>
      <c r="P574" s="39" t="s">
        <v>2227</v>
      </c>
    </row>
    <row r="575" spans="2:16" ht="18" customHeight="1" x14ac:dyDescent="0.25">
      <c r="B575" s="21" t="s">
        <v>0</v>
      </c>
      <c r="C575" s="22" t="s">
        <v>881</v>
      </c>
      <c r="D575" s="22" t="s">
        <v>738</v>
      </c>
      <c r="E575" s="21" t="s">
        <v>2222</v>
      </c>
      <c r="F575" s="23" t="s">
        <v>3</v>
      </c>
      <c r="G575" s="23" t="s">
        <v>4</v>
      </c>
      <c r="H575" s="21" t="str">
        <f t="shared" si="8"/>
        <v>TW_73_NA/TAILWATER</v>
      </c>
      <c r="I575" s="24" t="s">
        <v>2223</v>
      </c>
      <c r="J575" s="10" t="str">
        <f>VLOOKUP(Table1[[#This Row],[UID]],CS3SVComposerConfig!$B$3:$D$1808,3,FALSE)</f>
        <v>CS3L2015V0Hydro_SV.dss</v>
      </c>
      <c r="K575" s="10" t="s">
        <v>2212</v>
      </c>
      <c r="L575" s="10" t="s">
        <v>2212</v>
      </c>
      <c r="M575" s="10" t="s">
        <v>2224</v>
      </c>
      <c r="N575" s="10" t="s">
        <v>2225</v>
      </c>
      <c r="O575" s="10" t="s">
        <v>2226</v>
      </c>
      <c r="P575" s="39" t="s">
        <v>2227</v>
      </c>
    </row>
    <row r="576" spans="2:16" ht="18" customHeight="1" x14ac:dyDescent="0.25">
      <c r="B576" s="21" t="s">
        <v>0</v>
      </c>
      <c r="C576" s="22" t="s">
        <v>882</v>
      </c>
      <c r="D576" s="22" t="s">
        <v>738</v>
      </c>
      <c r="E576" s="21" t="s">
        <v>2222</v>
      </c>
      <c r="F576" s="23" t="s">
        <v>3</v>
      </c>
      <c r="G576" s="23" t="s">
        <v>4</v>
      </c>
      <c r="H576" s="21" t="str">
        <f t="shared" si="8"/>
        <v>TW_73_PA1/TAILWATER</v>
      </c>
      <c r="I576" s="24" t="s">
        <v>2223</v>
      </c>
      <c r="J576" s="10" t="str">
        <f>VLOOKUP(Table1[[#This Row],[UID]],CS3SVComposerConfig!$B$3:$D$1808,3,FALSE)</f>
        <v>RebalancedSJR_AW_TW_DP.dss</v>
      </c>
      <c r="K576" s="10" t="s">
        <v>2212</v>
      </c>
      <c r="L576" s="10" t="s">
        <v>2212</v>
      </c>
      <c r="M576" s="10" t="s">
        <v>2224</v>
      </c>
      <c r="N576" s="10" t="s">
        <v>2225</v>
      </c>
      <c r="O576" s="10" t="s">
        <v>2226</v>
      </c>
      <c r="P576" s="39" t="s">
        <v>2227</v>
      </c>
    </row>
    <row r="577" spans="2:16" ht="18" customHeight="1" x14ac:dyDescent="0.25">
      <c r="B577" s="21" t="s">
        <v>0</v>
      </c>
      <c r="C577" s="22" t="s">
        <v>883</v>
      </c>
      <c r="D577" s="22" t="s">
        <v>738</v>
      </c>
      <c r="E577" s="21" t="s">
        <v>2222</v>
      </c>
      <c r="F577" s="23" t="s">
        <v>3</v>
      </c>
      <c r="G577" s="23" t="s">
        <v>4</v>
      </c>
      <c r="H577" s="21" t="str">
        <f t="shared" si="8"/>
        <v>TW_73_PA2/TAILWATER</v>
      </c>
      <c r="I577" s="24" t="s">
        <v>2223</v>
      </c>
      <c r="J577" s="10" t="str">
        <f>VLOOKUP(Table1[[#This Row],[UID]],CS3SVComposerConfig!$B$3:$D$1808,3,FALSE)</f>
        <v>RebalancedSJR_AW_TW_DP.dss</v>
      </c>
      <c r="K577" s="10" t="s">
        <v>2212</v>
      </c>
      <c r="L577" s="10" t="s">
        <v>2212</v>
      </c>
      <c r="M577" s="10" t="s">
        <v>2224</v>
      </c>
      <c r="N577" s="10" t="s">
        <v>2225</v>
      </c>
      <c r="O577" s="10" t="s">
        <v>2226</v>
      </c>
      <c r="P577" s="39" t="s">
        <v>2227</v>
      </c>
    </row>
    <row r="578" spans="2:16" ht="18" customHeight="1" x14ac:dyDescent="0.25">
      <c r="B578" s="21" t="s">
        <v>0</v>
      </c>
      <c r="C578" s="22" t="s">
        <v>884</v>
      </c>
      <c r="D578" s="22" t="s">
        <v>738</v>
      </c>
      <c r="E578" s="21" t="s">
        <v>2222</v>
      </c>
      <c r="F578" s="23" t="s">
        <v>3</v>
      </c>
      <c r="G578" s="23" t="s">
        <v>4</v>
      </c>
      <c r="H578" s="21" t="str">
        <f t="shared" si="8"/>
        <v>TW_73_PA3/TAILWATER</v>
      </c>
      <c r="I578" s="24" t="s">
        <v>2223</v>
      </c>
      <c r="J578" s="10" t="str">
        <f>VLOOKUP(Table1[[#This Row],[UID]],CS3SVComposerConfig!$B$3:$D$1808,3,FALSE)</f>
        <v>RebalancedSJR_AW_TW_DP.dss</v>
      </c>
      <c r="K578" s="10" t="s">
        <v>2212</v>
      </c>
      <c r="L578" s="10" t="s">
        <v>2212</v>
      </c>
      <c r="M578" s="10" t="s">
        <v>2224</v>
      </c>
      <c r="N578" s="10" t="s">
        <v>2225</v>
      </c>
      <c r="O578" s="10" t="s">
        <v>2226</v>
      </c>
      <c r="P578" s="39" t="s">
        <v>2227</v>
      </c>
    </row>
    <row r="579" spans="2:16" ht="18" customHeight="1" x14ac:dyDescent="0.25">
      <c r="B579" s="21" t="s">
        <v>0</v>
      </c>
      <c r="C579" s="22" t="s">
        <v>885</v>
      </c>
      <c r="D579" s="22" t="s">
        <v>738</v>
      </c>
      <c r="E579" s="21" t="s">
        <v>2222</v>
      </c>
      <c r="F579" s="23" t="s">
        <v>3</v>
      </c>
      <c r="G579" s="23" t="s">
        <v>4</v>
      </c>
      <c r="H579" s="21" t="str">
        <f t="shared" ref="H579:H642" si="9">_xlfn.CONCAT(C579,"/",D579)</f>
        <v>TW_73_XA/TAILWATER</v>
      </c>
      <c r="I579" s="24" t="s">
        <v>2223</v>
      </c>
      <c r="J579" s="10" t="str">
        <f>VLOOKUP(Table1[[#This Row],[UID]],CS3SVComposerConfig!$B$3:$D$1808,3,FALSE)</f>
        <v>RebalancedSJR_AW_TW_DP.dss</v>
      </c>
      <c r="K579" s="10" t="s">
        <v>2212</v>
      </c>
      <c r="L579" s="10" t="s">
        <v>2212</v>
      </c>
      <c r="M579" s="10" t="s">
        <v>2224</v>
      </c>
      <c r="N579" s="10" t="s">
        <v>2225</v>
      </c>
      <c r="O579" s="10" t="s">
        <v>2226</v>
      </c>
      <c r="P579" s="39" t="s">
        <v>2227</v>
      </c>
    </row>
    <row r="580" spans="2:16" ht="18" customHeight="1" x14ac:dyDescent="0.25">
      <c r="B580" s="21" t="s">
        <v>0</v>
      </c>
      <c r="C580" s="22" t="s">
        <v>886</v>
      </c>
      <c r="D580" s="22" t="s">
        <v>738</v>
      </c>
      <c r="E580" s="21" t="s">
        <v>2222</v>
      </c>
      <c r="F580" s="23" t="s">
        <v>3</v>
      </c>
      <c r="G580" s="23" t="s">
        <v>4</v>
      </c>
      <c r="H580" s="21" t="str">
        <f t="shared" si="9"/>
        <v>TW_90_NA/TAILWATER</v>
      </c>
      <c r="I580" s="24" t="s">
        <v>2223</v>
      </c>
      <c r="J580" s="10" t="str">
        <f>VLOOKUP(Table1[[#This Row],[UID]],CS3SVComposerConfig!$B$3:$D$1808,3,FALSE)</f>
        <v>CS3L2015V0Hydro_SV.dss</v>
      </c>
      <c r="K580" s="10" t="s">
        <v>2212</v>
      </c>
      <c r="L580" s="10" t="s">
        <v>2212</v>
      </c>
      <c r="M580" s="10" t="s">
        <v>2224</v>
      </c>
      <c r="N580" s="10" t="s">
        <v>2225</v>
      </c>
      <c r="O580" s="10" t="s">
        <v>2226</v>
      </c>
      <c r="P580" s="39" t="s">
        <v>2227</v>
      </c>
    </row>
    <row r="581" spans="2:16" ht="18" customHeight="1" x14ac:dyDescent="0.25">
      <c r="B581" s="21" t="s">
        <v>0</v>
      </c>
      <c r="C581" s="22" t="s">
        <v>887</v>
      </c>
      <c r="D581" s="22" t="s">
        <v>738</v>
      </c>
      <c r="E581" s="21" t="s">
        <v>2222</v>
      </c>
      <c r="F581" s="23" t="s">
        <v>3</v>
      </c>
      <c r="G581" s="23" t="s">
        <v>4</v>
      </c>
      <c r="H581" s="21" t="str">
        <f t="shared" si="9"/>
        <v>TW_90_PA1/TAILWATER</v>
      </c>
      <c r="I581" s="24" t="s">
        <v>2223</v>
      </c>
      <c r="J581" s="10" t="str">
        <f>VLOOKUP(Table1[[#This Row],[UID]],CS3SVComposerConfig!$B$3:$D$1808,3,FALSE)</f>
        <v>RebalancedSJR_AW_TW_DP.dss</v>
      </c>
      <c r="K581" s="10" t="s">
        <v>2212</v>
      </c>
      <c r="L581" s="10" t="s">
        <v>2212</v>
      </c>
      <c r="M581" s="10" t="s">
        <v>2224</v>
      </c>
      <c r="N581" s="10" t="s">
        <v>2225</v>
      </c>
      <c r="O581" s="10" t="s">
        <v>2226</v>
      </c>
      <c r="P581" s="39" t="s">
        <v>2227</v>
      </c>
    </row>
    <row r="582" spans="2:16" ht="18" customHeight="1" x14ac:dyDescent="0.25">
      <c r="B582" s="21" t="s">
        <v>0</v>
      </c>
      <c r="C582" s="22" t="s">
        <v>888</v>
      </c>
      <c r="D582" s="22" t="s">
        <v>738</v>
      </c>
      <c r="E582" s="21" t="s">
        <v>2222</v>
      </c>
      <c r="F582" s="23" t="s">
        <v>3</v>
      </c>
      <c r="G582" s="23" t="s">
        <v>4</v>
      </c>
      <c r="H582" s="21" t="str">
        <f t="shared" si="9"/>
        <v>TW_90_PA2/TAILWATER</v>
      </c>
      <c r="I582" s="24" t="s">
        <v>2223</v>
      </c>
      <c r="J582" s="10" t="str">
        <f>VLOOKUP(Table1[[#This Row],[UID]],CS3SVComposerConfig!$B$3:$D$1808,3,FALSE)</f>
        <v>RebalancedSJR_AW_TW_DP.dss</v>
      </c>
      <c r="K582" s="10" t="s">
        <v>2212</v>
      </c>
      <c r="L582" s="10" t="s">
        <v>2212</v>
      </c>
      <c r="M582" s="10" t="s">
        <v>2224</v>
      </c>
      <c r="N582" s="10" t="s">
        <v>2225</v>
      </c>
      <c r="O582" s="10" t="s">
        <v>2226</v>
      </c>
      <c r="P582" s="39" t="s">
        <v>2227</v>
      </c>
    </row>
    <row r="583" spans="2:16" ht="18" customHeight="1" x14ac:dyDescent="0.25">
      <c r="B583" s="21" t="s">
        <v>0</v>
      </c>
      <c r="C583" s="22" t="s">
        <v>889</v>
      </c>
      <c r="D583" s="22" t="s">
        <v>738</v>
      </c>
      <c r="E583" s="21" t="s">
        <v>2222</v>
      </c>
      <c r="F583" s="23" t="s">
        <v>3</v>
      </c>
      <c r="G583" s="23" t="s">
        <v>4</v>
      </c>
      <c r="H583" s="21" t="str">
        <f t="shared" si="9"/>
        <v>TW_91_PA/TAILWATER</v>
      </c>
      <c r="I583" s="24" t="s">
        <v>2223</v>
      </c>
      <c r="J583" s="10" t="str">
        <f>VLOOKUP(Table1[[#This Row],[UID]],CS3SVComposerConfig!$B$3:$D$1808,3,FALSE)</f>
        <v>RebalancedSJR_AW_TW_DP.dss</v>
      </c>
      <c r="K583" s="10" t="s">
        <v>2212</v>
      </c>
      <c r="L583" s="10" t="s">
        <v>2212</v>
      </c>
      <c r="M583" s="10" t="s">
        <v>2224</v>
      </c>
      <c r="N583" s="10" t="s">
        <v>2225</v>
      </c>
      <c r="O583" s="10" t="s">
        <v>2226</v>
      </c>
      <c r="P583" s="39" t="s">
        <v>2227</v>
      </c>
    </row>
    <row r="584" spans="2:16" ht="18" customHeight="1" x14ac:dyDescent="0.25">
      <c r="B584" s="21" t="s">
        <v>0</v>
      </c>
      <c r="C584" s="22" t="s">
        <v>890</v>
      </c>
      <c r="D584" s="22" t="s">
        <v>738</v>
      </c>
      <c r="E584" s="21" t="s">
        <v>2222</v>
      </c>
      <c r="F584" s="23" t="s">
        <v>3</v>
      </c>
      <c r="G584" s="23" t="s">
        <v>4</v>
      </c>
      <c r="H584" s="21" t="str">
        <f t="shared" si="9"/>
        <v>TW_91_PR/TAILWATER</v>
      </c>
      <c r="I584" s="24" t="s">
        <v>2223</v>
      </c>
      <c r="J584" s="10" t="str">
        <f>VLOOKUP(Table1[[#This Row],[UID]],CS3SVComposerConfig!$B$3:$D$1808,3,FALSE)</f>
        <v>RebalancedSJR_AW_TW_DP.dss</v>
      </c>
      <c r="K584" s="10" t="s">
        <v>2212</v>
      </c>
      <c r="L584" s="10" t="s">
        <v>2212</v>
      </c>
      <c r="M584" s="10" t="s">
        <v>2224</v>
      </c>
      <c r="N584" s="10" t="s">
        <v>2225</v>
      </c>
      <c r="O584" s="10" t="s">
        <v>2226</v>
      </c>
      <c r="P584" s="39" t="s">
        <v>2227</v>
      </c>
    </row>
    <row r="585" spans="2:16" ht="18" customHeight="1" x14ac:dyDescent="0.25">
      <c r="B585" s="21" t="s">
        <v>0</v>
      </c>
      <c r="C585" s="22" t="s">
        <v>891</v>
      </c>
      <c r="D585" s="22" t="s">
        <v>892</v>
      </c>
      <c r="E585" s="21" t="s">
        <v>2222</v>
      </c>
      <c r="F585" s="23" t="s">
        <v>3</v>
      </c>
      <c r="G585" s="23" t="s">
        <v>4</v>
      </c>
      <c r="H585" s="21" t="str">
        <f t="shared" si="9"/>
        <v>UD_02_NU/URBAN-DEMAND</v>
      </c>
      <c r="I585" s="24" t="s">
        <v>2223</v>
      </c>
      <c r="J585" s="10" t="str">
        <f>VLOOKUP(Table1[[#This Row],[UID]],CS3SVComposerConfig!$B$3:$D$1808,3,FALSE)</f>
        <v>CS3L2015V0Hydro_SV.dss</v>
      </c>
      <c r="K585" s="10" t="s">
        <v>2212</v>
      </c>
      <c r="L585" s="10" t="s">
        <v>2212</v>
      </c>
      <c r="M585" s="10" t="s">
        <v>2224</v>
      </c>
      <c r="N585" s="10" t="s">
        <v>2225</v>
      </c>
      <c r="O585" s="10" t="s">
        <v>2226</v>
      </c>
      <c r="P585" s="39" t="s">
        <v>2227</v>
      </c>
    </row>
    <row r="586" spans="2:16" ht="18" customHeight="1" x14ac:dyDescent="0.25">
      <c r="B586" s="21" t="s">
        <v>0</v>
      </c>
      <c r="C586" s="22" t="s">
        <v>893</v>
      </c>
      <c r="D586" s="22" t="s">
        <v>892</v>
      </c>
      <c r="E586" s="21" t="s">
        <v>2222</v>
      </c>
      <c r="F586" s="23" t="s">
        <v>3</v>
      </c>
      <c r="G586" s="23" t="s">
        <v>4</v>
      </c>
      <c r="H586" s="21" t="str">
        <f t="shared" si="9"/>
        <v>UD_02_PU/URBAN-DEMAND</v>
      </c>
      <c r="I586" s="24" t="s">
        <v>2223</v>
      </c>
      <c r="J586" s="10" t="str">
        <f>VLOOKUP(Table1[[#This Row],[UID]],CS3SVComposerConfig!$B$3:$D$1808,3,FALSE)</f>
        <v>CS3L2015V0Hydro_SV.dss</v>
      </c>
      <c r="K586" s="10" t="s">
        <v>2212</v>
      </c>
      <c r="L586" s="10" t="s">
        <v>2212</v>
      </c>
      <c r="M586" s="10" t="s">
        <v>2224</v>
      </c>
      <c r="N586" s="10" t="s">
        <v>2225</v>
      </c>
      <c r="O586" s="10" t="s">
        <v>2226</v>
      </c>
      <c r="P586" s="39" t="s">
        <v>2227</v>
      </c>
    </row>
    <row r="587" spans="2:16" ht="18" customHeight="1" x14ac:dyDescent="0.25">
      <c r="B587" s="21" t="s">
        <v>0</v>
      </c>
      <c r="C587" s="22" t="s">
        <v>894</v>
      </c>
      <c r="D587" s="22" t="s">
        <v>892</v>
      </c>
      <c r="E587" s="21" t="s">
        <v>2222</v>
      </c>
      <c r="F587" s="23" t="s">
        <v>3</v>
      </c>
      <c r="G587" s="23" t="s">
        <v>4</v>
      </c>
      <c r="H587" s="21" t="str">
        <f t="shared" si="9"/>
        <v>UD_02_SU/URBAN-DEMAND</v>
      </c>
      <c r="I587" s="24" t="s">
        <v>2223</v>
      </c>
      <c r="J587" s="10" t="str">
        <f>VLOOKUP(Table1[[#This Row],[UID]],CS3SVComposerConfig!$B$3:$D$1808,3,FALSE)</f>
        <v>CS3L2015V0Hydro_SV.dss</v>
      </c>
      <c r="K587" s="10" t="s">
        <v>2212</v>
      </c>
      <c r="L587" s="10" t="s">
        <v>2212</v>
      </c>
      <c r="M587" s="10" t="s">
        <v>2224</v>
      </c>
      <c r="N587" s="10" t="s">
        <v>2225</v>
      </c>
      <c r="O587" s="10" t="s">
        <v>2226</v>
      </c>
      <c r="P587" s="39" t="s">
        <v>2227</v>
      </c>
    </row>
    <row r="588" spans="2:16" ht="18" customHeight="1" x14ac:dyDescent="0.25">
      <c r="B588" s="21" t="s">
        <v>0</v>
      </c>
      <c r="C588" s="22" t="s">
        <v>895</v>
      </c>
      <c r="D588" s="22" t="s">
        <v>892</v>
      </c>
      <c r="E588" s="21" t="s">
        <v>2222</v>
      </c>
      <c r="F588" s="23" t="s">
        <v>3</v>
      </c>
      <c r="G588" s="23" t="s">
        <v>4</v>
      </c>
      <c r="H588" s="21" t="str">
        <f t="shared" si="9"/>
        <v>UD_03_NU/URBAN-DEMAND</v>
      </c>
      <c r="I588" s="24" t="s">
        <v>2223</v>
      </c>
      <c r="J588" s="10" t="str">
        <f>VLOOKUP(Table1[[#This Row],[UID]],CS3SVComposerConfig!$B$3:$D$1808,3,FALSE)</f>
        <v>CS3L2015V0Hydro_SV.dss</v>
      </c>
      <c r="K588" s="10" t="s">
        <v>2212</v>
      </c>
      <c r="L588" s="10" t="s">
        <v>2212</v>
      </c>
      <c r="M588" s="10" t="s">
        <v>2224</v>
      </c>
      <c r="N588" s="10" t="s">
        <v>2225</v>
      </c>
      <c r="O588" s="10" t="s">
        <v>2226</v>
      </c>
      <c r="P588" s="39" t="s">
        <v>2227</v>
      </c>
    </row>
    <row r="589" spans="2:16" ht="18" customHeight="1" x14ac:dyDescent="0.25">
      <c r="B589" s="21" t="s">
        <v>0</v>
      </c>
      <c r="C589" s="22" t="s">
        <v>896</v>
      </c>
      <c r="D589" s="22" t="s">
        <v>892</v>
      </c>
      <c r="E589" s="21" t="s">
        <v>2222</v>
      </c>
      <c r="F589" s="23" t="s">
        <v>3</v>
      </c>
      <c r="G589" s="23" t="s">
        <v>4</v>
      </c>
      <c r="H589" s="21" t="str">
        <f t="shared" si="9"/>
        <v>UD_03_PU1/URBAN-DEMAND</v>
      </c>
      <c r="I589" s="24" t="s">
        <v>2223</v>
      </c>
      <c r="J589" s="10" t="str">
        <f>VLOOKUP(Table1[[#This Row],[UID]],CS3SVComposerConfig!$B$3:$D$1808,3,FALSE)</f>
        <v>CS3L2015V0Hydro_SV.dss</v>
      </c>
      <c r="K589" s="10" t="s">
        <v>2212</v>
      </c>
      <c r="L589" s="10" t="s">
        <v>2212</v>
      </c>
      <c r="M589" s="10" t="s">
        <v>2224</v>
      </c>
      <c r="N589" s="10" t="s">
        <v>2225</v>
      </c>
      <c r="O589" s="10" t="s">
        <v>2226</v>
      </c>
      <c r="P589" s="39" t="s">
        <v>2227</v>
      </c>
    </row>
    <row r="590" spans="2:16" ht="18" customHeight="1" x14ac:dyDescent="0.25">
      <c r="B590" s="21" t="s">
        <v>0</v>
      </c>
      <c r="C590" s="22" t="s">
        <v>897</v>
      </c>
      <c r="D590" s="22" t="s">
        <v>892</v>
      </c>
      <c r="E590" s="21" t="s">
        <v>2222</v>
      </c>
      <c r="F590" s="23" t="s">
        <v>3</v>
      </c>
      <c r="G590" s="23" t="s">
        <v>4</v>
      </c>
      <c r="H590" s="21" t="str">
        <f t="shared" si="9"/>
        <v>UD_03_PU2/URBAN-DEMAND</v>
      </c>
      <c r="I590" s="24" t="s">
        <v>2223</v>
      </c>
      <c r="J590" s="10" t="str">
        <f>VLOOKUP(Table1[[#This Row],[UID]],CS3SVComposerConfig!$B$3:$D$1808,3,FALSE)</f>
        <v>CS3L2015V0Hydro_SV.dss</v>
      </c>
      <c r="K590" s="10" t="s">
        <v>2212</v>
      </c>
      <c r="L590" s="10" t="s">
        <v>2212</v>
      </c>
      <c r="M590" s="10" t="s">
        <v>2224</v>
      </c>
      <c r="N590" s="10" t="s">
        <v>2225</v>
      </c>
      <c r="O590" s="10" t="s">
        <v>2226</v>
      </c>
      <c r="P590" s="39" t="s">
        <v>2227</v>
      </c>
    </row>
    <row r="591" spans="2:16" ht="18" customHeight="1" x14ac:dyDescent="0.25">
      <c r="B591" s="21" t="s">
        <v>0</v>
      </c>
      <c r="C591" s="22" t="s">
        <v>2228</v>
      </c>
      <c r="D591" s="22" t="s">
        <v>892</v>
      </c>
      <c r="E591" s="21" t="s">
        <v>2222</v>
      </c>
      <c r="F591" s="23" t="s">
        <v>3</v>
      </c>
      <c r="G591" s="23" t="s">
        <v>4</v>
      </c>
      <c r="H591" s="21" t="str">
        <f t="shared" si="9"/>
        <v>UD_03_PU3/URBAN-DEMAND</v>
      </c>
      <c r="I591" s="24" t="s">
        <v>2223</v>
      </c>
      <c r="J591" s="10" t="str">
        <f>VLOOKUP(Table1[[#This Row],[UID]],CS3SVComposerConfig!$B$3:$D$1808,3,FALSE)</f>
        <v>CS3L2015V0Hydro_SV.dss</v>
      </c>
      <c r="K591" s="10" t="s">
        <v>2212</v>
      </c>
      <c r="L591" s="10" t="s">
        <v>2224</v>
      </c>
      <c r="M591" s="10" t="s">
        <v>2224</v>
      </c>
      <c r="N591" s="10" t="s">
        <v>2225</v>
      </c>
      <c r="O591" s="10" t="s">
        <v>2226</v>
      </c>
      <c r="P591" s="39" t="s">
        <v>2227</v>
      </c>
    </row>
    <row r="592" spans="2:16" ht="18" customHeight="1" x14ac:dyDescent="0.25">
      <c r="B592" s="21" t="s">
        <v>0</v>
      </c>
      <c r="C592" s="22" t="s">
        <v>898</v>
      </c>
      <c r="D592" s="22" t="s">
        <v>892</v>
      </c>
      <c r="E592" s="21" t="s">
        <v>2222</v>
      </c>
      <c r="F592" s="23" t="s">
        <v>3</v>
      </c>
      <c r="G592" s="23" t="s">
        <v>4</v>
      </c>
      <c r="H592" s="21" t="str">
        <f t="shared" si="9"/>
        <v>UD_03_SU/URBAN-DEMAND</v>
      </c>
      <c r="I592" s="24" t="s">
        <v>2223</v>
      </c>
      <c r="J592" s="10" t="str">
        <f>VLOOKUP(Table1[[#This Row],[UID]],CS3SVComposerConfig!$B$3:$D$1808,3,FALSE)</f>
        <v>CS3L2015V0Hydro_SV.dss</v>
      </c>
      <c r="K592" s="10" t="s">
        <v>2212</v>
      </c>
      <c r="L592" s="10" t="s">
        <v>2212</v>
      </c>
      <c r="M592" s="10" t="s">
        <v>2224</v>
      </c>
      <c r="N592" s="10" t="s">
        <v>2225</v>
      </c>
      <c r="O592" s="10" t="s">
        <v>2226</v>
      </c>
      <c r="P592" s="39" t="s">
        <v>2227</v>
      </c>
    </row>
    <row r="593" spans="2:16" ht="18" customHeight="1" x14ac:dyDescent="0.25">
      <c r="B593" s="21" t="s">
        <v>0</v>
      </c>
      <c r="C593" s="22" t="s">
        <v>899</v>
      </c>
      <c r="D593" s="22" t="s">
        <v>892</v>
      </c>
      <c r="E593" s="21" t="s">
        <v>2222</v>
      </c>
      <c r="F593" s="23" t="s">
        <v>3</v>
      </c>
      <c r="G593" s="23" t="s">
        <v>4</v>
      </c>
      <c r="H593" s="21" t="str">
        <f t="shared" si="9"/>
        <v>UD_04_NU1/URBAN-DEMAND</v>
      </c>
      <c r="I593" s="24" t="s">
        <v>2223</v>
      </c>
      <c r="J593" s="10" t="str">
        <f>VLOOKUP(Table1[[#This Row],[UID]],CS3SVComposerConfig!$B$3:$D$1808,3,FALSE)</f>
        <v>CS3L2015V0Hydro_SV.dss</v>
      </c>
      <c r="K593" s="10" t="s">
        <v>2212</v>
      </c>
      <c r="L593" s="10" t="s">
        <v>2212</v>
      </c>
      <c r="M593" s="10" t="s">
        <v>2224</v>
      </c>
      <c r="N593" s="10" t="s">
        <v>2225</v>
      </c>
      <c r="O593" s="10" t="s">
        <v>2226</v>
      </c>
      <c r="P593" s="39" t="s">
        <v>2227</v>
      </c>
    </row>
    <row r="594" spans="2:16" ht="18" customHeight="1" x14ac:dyDescent="0.25">
      <c r="B594" s="21" t="s">
        <v>0</v>
      </c>
      <c r="C594" s="22" t="s">
        <v>900</v>
      </c>
      <c r="D594" s="22" t="s">
        <v>892</v>
      </c>
      <c r="E594" s="21" t="s">
        <v>2222</v>
      </c>
      <c r="F594" s="23" t="s">
        <v>3</v>
      </c>
      <c r="G594" s="23" t="s">
        <v>4</v>
      </c>
      <c r="H594" s="21" t="str">
        <f t="shared" si="9"/>
        <v>UD_04_NU2/URBAN-DEMAND</v>
      </c>
      <c r="I594" s="24" t="s">
        <v>2223</v>
      </c>
      <c r="J594" s="10" t="str">
        <f>VLOOKUP(Table1[[#This Row],[UID]],CS3SVComposerConfig!$B$3:$D$1808,3,FALSE)</f>
        <v>CS3L2015V0Hydro_SV.dss</v>
      </c>
      <c r="K594" s="10" t="s">
        <v>2212</v>
      </c>
      <c r="L594" s="10" t="s">
        <v>2212</v>
      </c>
      <c r="M594" s="10" t="s">
        <v>2224</v>
      </c>
      <c r="N594" s="10" t="s">
        <v>2225</v>
      </c>
      <c r="O594" s="10" t="s">
        <v>2226</v>
      </c>
      <c r="P594" s="39" t="s">
        <v>2227</v>
      </c>
    </row>
    <row r="595" spans="2:16" ht="18" customHeight="1" x14ac:dyDescent="0.25">
      <c r="B595" s="21" t="s">
        <v>0</v>
      </c>
      <c r="C595" s="22" t="s">
        <v>901</v>
      </c>
      <c r="D595" s="22" t="s">
        <v>892</v>
      </c>
      <c r="E595" s="21" t="s">
        <v>2222</v>
      </c>
      <c r="F595" s="23" t="s">
        <v>3</v>
      </c>
      <c r="G595" s="23" t="s">
        <v>4</v>
      </c>
      <c r="H595" s="21" t="str">
        <f t="shared" si="9"/>
        <v>UD_05_NU/URBAN-DEMAND</v>
      </c>
      <c r="I595" s="24" t="s">
        <v>2223</v>
      </c>
      <c r="J595" s="10" t="str">
        <f>VLOOKUP(Table1[[#This Row],[UID]],CS3SVComposerConfig!$B$3:$D$1808,3,FALSE)</f>
        <v>CS3L2015V0Hydro_SV.dss</v>
      </c>
      <c r="K595" s="10" t="s">
        <v>2212</v>
      </c>
      <c r="L595" s="10" t="s">
        <v>2212</v>
      </c>
      <c r="M595" s="10" t="s">
        <v>2224</v>
      </c>
      <c r="N595" s="10" t="s">
        <v>2225</v>
      </c>
      <c r="O595" s="10" t="s">
        <v>2226</v>
      </c>
      <c r="P595" s="39" t="s">
        <v>2227</v>
      </c>
    </row>
    <row r="596" spans="2:16" ht="18" customHeight="1" x14ac:dyDescent="0.25">
      <c r="B596" s="21" t="s">
        <v>0</v>
      </c>
      <c r="C596" s="22" t="s">
        <v>902</v>
      </c>
      <c r="D596" s="22" t="s">
        <v>892</v>
      </c>
      <c r="E596" s="21" t="s">
        <v>2222</v>
      </c>
      <c r="F596" s="23" t="s">
        <v>3</v>
      </c>
      <c r="G596" s="23" t="s">
        <v>4</v>
      </c>
      <c r="H596" s="21" t="str">
        <f t="shared" si="9"/>
        <v>UD_06_NU/URBAN-DEMAND</v>
      </c>
      <c r="I596" s="24" t="s">
        <v>2223</v>
      </c>
      <c r="J596" s="10" t="str">
        <f>VLOOKUP(Table1[[#This Row],[UID]],CS3SVComposerConfig!$B$3:$D$1808,3,FALSE)</f>
        <v>CS3L2015V0Hydro_SV.dss</v>
      </c>
      <c r="K596" s="10" t="s">
        <v>2212</v>
      </c>
      <c r="L596" s="10" t="s">
        <v>2212</v>
      </c>
      <c r="M596" s="10" t="s">
        <v>2224</v>
      </c>
      <c r="N596" s="10" t="s">
        <v>2225</v>
      </c>
      <c r="O596" s="10" t="s">
        <v>2226</v>
      </c>
      <c r="P596" s="39" t="s">
        <v>2227</v>
      </c>
    </row>
    <row r="597" spans="2:16" ht="18" customHeight="1" x14ac:dyDescent="0.25">
      <c r="B597" s="21" t="s">
        <v>0</v>
      </c>
      <c r="C597" s="22" t="s">
        <v>903</v>
      </c>
      <c r="D597" s="22" t="s">
        <v>892</v>
      </c>
      <c r="E597" s="21" t="s">
        <v>2222</v>
      </c>
      <c r="F597" s="23" t="s">
        <v>3</v>
      </c>
      <c r="G597" s="23" t="s">
        <v>4</v>
      </c>
      <c r="H597" s="21" t="str">
        <f t="shared" si="9"/>
        <v>UD_07N_NU/URBAN-DEMAND</v>
      </c>
      <c r="I597" s="24" t="s">
        <v>2223</v>
      </c>
      <c r="J597" s="10" t="str">
        <f>VLOOKUP(Table1[[#This Row],[UID]],CS3SVComposerConfig!$B$3:$D$1808,3,FALSE)</f>
        <v>CS3L2015V0Hydro_SV.dss</v>
      </c>
      <c r="K597" s="10" t="s">
        <v>2212</v>
      </c>
      <c r="L597" s="10" t="s">
        <v>2212</v>
      </c>
      <c r="M597" s="10" t="s">
        <v>2224</v>
      </c>
      <c r="N597" s="10" t="s">
        <v>2225</v>
      </c>
      <c r="O597" s="10" t="s">
        <v>2226</v>
      </c>
      <c r="P597" s="39" t="s">
        <v>2227</v>
      </c>
    </row>
    <row r="598" spans="2:16" ht="18" customHeight="1" x14ac:dyDescent="0.25">
      <c r="B598" s="21" t="s">
        <v>0</v>
      </c>
      <c r="C598" s="22" t="s">
        <v>904</v>
      </c>
      <c r="D598" s="22" t="s">
        <v>892</v>
      </c>
      <c r="E598" s="21" t="s">
        <v>2222</v>
      </c>
      <c r="F598" s="23" t="s">
        <v>3</v>
      </c>
      <c r="G598" s="23" t="s">
        <v>4</v>
      </c>
      <c r="H598" s="21" t="str">
        <f t="shared" si="9"/>
        <v>UD_07S_NU/URBAN-DEMAND</v>
      </c>
      <c r="I598" s="24" t="s">
        <v>2223</v>
      </c>
      <c r="J598" s="10" t="str">
        <f>VLOOKUP(Table1[[#This Row],[UID]],CS3SVComposerConfig!$B$3:$D$1808,3,FALSE)</f>
        <v>CS3L2015V0Hydro_SV.dss</v>
      </c>
      <c r="K598" s="10" t="s">
        <v>2212</v>
      </c>
      <c r="L598" s="10" t="s">
        <v>2212</v>
      </c>
      <c r="M598" s="10" t="s">
        <v>2224</v>
      </c>
      <c r="N598" s="10" t="s">
        <v>2225</v>
      </c>
      <c r="O598" s="10" t="s">
        <v>2226</v>
      </c>
      <c r="P598" s="39" t="s">
        <v>2227</v>
      </c>
    </row>
    <row r="599" spans="2:16" ht="18" customHeight="1" x14ac:dyDescent="0.25">
      <c r="B599" s="21" t="s">
        <v>0</v>
      </c>
      <c r="C599" s="22" t="s">
        <v>905</v>
      </c>
      <c r="D599" s="22" t="s">
        <v>892</v>
      </c>
      <c r="E599" s="21" t="s">
        <v>2222</v>
      </c>
      <c r="F599" s="23" t="s">
        <v>3</v>
      </c>
      <c r="G599" s="23" t="s">
        <v>4</v>
      </c>
      <c r="H599" s="21" t="str">
        <f t="shared" si="9"/>
        <v>UD_08N_NU/URBAN-DEMAND</v>
      </c>
      <c r="I599" s="24" t="s">
        <v>2223</v>
      </c>
      <c r="J599" s="10" t="str">
        <f>VLOOKUP(Table1[[#This Row],[UID]],CS3SVComposerConfig!$B$3:$D$1808,3,FALSE)</f>
        <v>CS3L2015V0Hydro_SV.dss</v>
      </c>
      <c r="K599" s="10" t="s">
        <v>2212</v>
      </c>
      <c r="L599" s="10" t="s">
        <v>2212</v>
      </c>
      <c r="M599" s="10" t="s">
        <v>2224</v>
      </c>
      <c r="N599" s="10" t="s">
        <v>2225</v>
      </c>
      <c r="O599" s="10" t="s">
        <v>2226</v>
      </c>
      <c r="P599" s="39" t="s">
        <v>2227</v>
      </c>
    </row>
    <row r="600" spans="2:16" ht="18" customHeight="1" x14ac:dyDescent="0.25">
      <c r="B600" s="21" t="s">
        <v>0</v>
      </c>
      <c r="C600" s="22" t="s">
        <v>906</v>
      </c>
      <c r="D600" s="22" t="s">
        <v>892</v>
      </c>
      <c r="E600" s="21" t="s">
        <v>2222</v>
      </c>
      <c r="F600" s="23" t="s">
        <v>3</v>
      </c>
      <c r="G600" s="23" t="s">
        <v>4</v>
      </c>
      <c r="H600" s="21" t="str">
        <f t="shared" si="9"/>
        <v>UD_08S_NU/URBAN-DEMAND</v>
      </c>
      <c r="I600" s="24" t="s">
        <v>2223</v>
      </c>
      <c r="J600" s="10" t="str">
        <f>VLOOKUP(Table1[[#This Row],[UID]],CS3SVComposerConfig!$B$3:$D$1808,3,FALSE)</f>
        <v>CS3L2015V0Hydro_SV.dss</v>
      </c>
      <c r="K600" s="10" t="s">
        <v>2212</v>
      </c>
      <c r="L600" s="10" t="s">
        <v>2212</v>
      </c>
      <c r="M600" s="10" t="s">
        <v>2224</v>
      </c>
      <c r="N600" s="10" t="s">
        <v>2225</v>
      </c>
      <c r="O600" s="10" t="s">
        <v>2226</v>
      </c>
      <c r="P600" s="39" t="s">
        <v>2227</v>
      </c>
    </row>
    <row r="601" spans="2:16" ht="18" customHeight="1" x14ac:dyDescent="0.25">
      <c r="B601" s="21" t="s">
        <v>0</v>
      </c>
      <c r="C601" s="22" t="s">
        <v>907</v>
      </c>
      <c r="D601" s="22" t="s">
        <v>892</v>
      </c>
      <c r="E601" s="21" t="s">
        <v>2222</v>
      </c>
      <c r="F601" s="23" t="s">
        <v>3</v>
      </c>
      <c r="G601" s="23" t="s">
        <v>4</v>
      </c>
      <c r="H601" s="21" t="str">
        <f t="shared" si="9"/>
        <v>UD_09_NU/URBAN-DEMAND</v>
      </c>
      <c r="I601" s="24" t="s">
        <v>2223</v>
      </c>
      <c r="J601" s="10" t="str">
        <f>VLOOKUP(Table1[[#This Row],[UID]],CS3SVComposerConfig!$B$3:$D$1808,3,FALSE)</f>
        <v>CS3L2015V0Hydro_SV.dss</v>
      </c>
      <c r="K601" s="10" t="s">
        <v>2212</v>
      </c>
      <c r="L601" s="10" t="s">
        <v>2212</v>
      </c>
      <c r="M601" s="10" t="s">
        <v>2224</v>
      </c>
      <c r="N601" s="10" t="s">
        <v>2225</v>
      </c>
      <c r="O601" s="10" t="s">
        <v>2226</v>
      </c>
      <c r="P601" s="39" t="s">
        <v>2227</v>
      </c>
    </row>
    <row r="602" spans="2:16" ht="18" customHeight="1" x14ac:dyDescent="0.25">
      <c r="B602" s="21" t="s">
        <v>0</v>
      </c>
      <c r="C602" s="22" t="s">
        <v>908</v>
      </c>
      <c r="D602" s="22" t="s">
        <v>892</v>
      </c>
      <c r="E602" s="21" t="s">
        <v>2222</v>
      </c>
      <c r="F602" s="23" t="s">
        <v>3</v>
      </c>
      <c r="G602" s="23" t="s">
        <v>4</v>
      </c>
      <c r="H602" s="21" t="str">
        <f t="shared" si="9"/>
        <v>UD_10_NU1/URBAN-DEMAND</v>
      </c>
      <c r="I602" s="24" t="s">
        <v>2223</v>
      </c>
      <c r="J602" s="10" t="str">
        <f>VLOOKUP(Table1[[#This Row],[UID]],CS3SVComposerConfig!$B$3:$D$1808,3,FALSE)</f>
        <v>CS3L2015V0Hydro_SV.dss</v>
      </c>
      <c r="K602" s="10" t="s">
        <v>2212</v>
      </c>
      <c r="L602" s="10" t="s">
        <v>2212</v>
      </c>
      <c r="M602" s="10" t="s">
        <v>2224</v>
      </c>
      <c r="N602" s="10" t="s">
        <v>2225</v>
      </c>
      <c r="O602" s="10" t="s">
        <v>2226</v>
      </c>
      <c r="P602" s="39" t="s">
        <v>2227</v>
      </c>
    </row>
    <row r="603" spans="2:16" ht="18" customHeight="1" x14ac:dyDescent="0.25">
      <c r="B603" s="21" t="s">
        <v>0</v>
      </c>
      <c r="C603" s="22" t="s">
        <v>909</v>
      </c>
      <c r="D603" s="22" t="s">
        <v>892</v>
      </c>
      <c r="E603" s="21" t="s">
        <v>2222</v>
      </c>
      <c r="F603" s="23" t="s">
        <v>3</v>
      </c>
      <c r="G603" s="23" t="s">
        <v>4</v>
      </c>
      <c r="H603" s="21" t="str">
        <f t="shared" si="9"/>
        <v>UD_10_NU2/URBAN-DEMAND</v>
      </c>
      <c r="I603" s="24" t="s">
        <v>2223</v>
      </c>
      <c r="J603" s="10" t="str">
        <f>VLOOKUP(Table1[[#This Row],[UID]],CS3SVComposerConfig!$B$3:$D$1808,3,FALSE)</f>
        <v>CS3L2015V0Hydro_SV.dss</v>
      </c>
      <c r="K603" s="10" t="s">
        <v>2212</v>
      </c>
      <c r="L603" s="10" t="s">
        <v>2212</v>
      </c>
      <c r="M603" s="10" t="s">
        <v>2224</v>
      </c>
      <c r="N603" s="10" t="s">
        <v>2225</v>
      </c>
      <c r="O603" s="10" t="s">
        <v>2226</v>
      </c>
      <c r="P603" s="39" t="s">
        <v>2227</v>
      </c>
    </row>
    <row r="604" spans="2:16" ht="18" customHeight="1" x14ac:dyDescent="0.25">
      <c r="B604" s="21" t="s">
        <v>0</v>
      </c>
      <c r="C604" s="22" t="s">
        <v>910</v>
      </c>
      <c r="D604" s="22" t="s">
        <v>892</v>
      </c>
      <c r="E604" s="21" t="s">
        <v>2222</v>
      </c>
      <c r="F604" s="23" t="s">
        <v>3</v>
      </c>
      <c r="G604" s="23" t="s">
        <v>4</v>
      </c>
      <c r="H604" s="21" t="str">
        <f t="shared" si="9"/>
        <v>UD_11_NU1/URBAN-DEMAND</v>
      </c>
      <c r="I604" s="24" t="s">
        <v>2223</v>
      </c>
      <c r="J604" s="10" t="str">
        <f>VLOOKUP(Table1[[#This Row],[UID]],CS3SVComposerConfig!$B$3:$D$1808,3,FALSE)</f>
        <v>CS3L2015V0Hydro_SV.dss</v>
      </c>
      <c r="K604" s="10" t="s">
        <v>2212</v>
      </c>
      <c r="L604" s="10" t="s">
        <v>2212</v>
      </c>
      <c r="M604" s="10" t="s">
        <v>2224</v>
      </c>
      <c r="N604" s="10" t="s">
        <v>2225</v>
      </c>
      <c r="O604" s="10" t="s">
        <v>2226</v>
      </c>
      <c r="P604" s="39" t="s">
        <v>2227</v>
      </c>
    </row>
    <row r="605" spans="2:16" ht="18" customHeight="1" x14ac:dyDescent="0.25">
      <c r="B605" s="21" t="s">
        <v>0</v>
      </c>
      <c r="C605" s="22" t="s">
        <v>911</v>
      </c>
      <c r="D605" s="22" t="s">
        <v>892</v>
      </c>
      <c r="E605" s="21" t="s">
        <v>2222</v>
      </c>
      <c r="F605" s="23" t="s">
        <v>3</v>
      </c>
      <c r="G605" s="23" t="s">
        <v>4</v>
      </c>
      <c r="H605" s="21" t="str">
        <f t="shared" si="9"/>
        <v>UD_11_NU2/URBAN-DEMAND</v>
      </c>
      <c r="I605" s="24" t="s">
        <v>2223</v>
      </c>
      <c r="J605" s="10" t="str">
        <f>VLOOKUP(Table1[[#This Row],[UID]],CS3SVComposerConfig!$B$3:$D$1808,3,FALSE)</f>
        <v>CS3L2015V0Hydro_SV.dss</v>
      </c>
      <c r="K605" s="10" t="s">
        <v>2212</v>
      </c>
      <c r="L605" s="10" t="s">
        <v>2212</v>
      </c>
      <c r="M605" s="10" t="s">
        <v>2224</v>
      </c>
      <c r="N605" s="10" t="s">
        <v>2225</v>
      </c>
      <c r="O605" s="10" t="s">
        <v>2226</v>
      </c>
      <c r="P605" s="39" t="s">
        <v>2227</v>
      </c>
    </row>
    <row r="606" spans="2:16" ht="18" customHeight="1" x14ac:dyDescent="0.25">
      <c r="B606" s="21" t="s">
        <v>0</v>
      </c>
      <c r="C606" s="22" t="s">
        <v>912</v>
      </c>
      <c r="D606" s="22" t="s">
        <v>892</v>
      </c>
      <c r="E606" s="21" t="s">
        <v>2222</v>
      </c>
      <c r="F606" s="23" t="s">
        <v>3</v>
      </c>
      <c r="G606" s="23" t="s">
        <v>4</v>
      </c>
      <c r="H606" s="21" t="str">
        <f t="shared" si="9"/>
        <v>UD_12_NU1/URBAN-DEMAND</v>
      </c>
      <c r="I606" s="24" t="s">
        <v>2223</v>
      </c>
      <c r="J606" s="10" t="str">
        <f>VLOOKUP(Table1[[#This Row],[UID]],CS3SVComposerConfig!$B$3:$D$1808,3,FALSE)</f>
        <v>CS3L2015V0Hydro_SV.dss</v>
      </c>
      <c r="K606" s="10" t="s">
        <v>2212</v>
      </c>
      <c r="L606" s="10" t="s">
        <v>2212</v>
      </c>
      <c r="M606" s="10" t="s">
        <v>2224</v>
      </c>
      <c r="N606" s="10" t="s">
        <v>2225</v>
      </c>
      <c r="O606" s="10" t="s">
        <v>2226</v>
      </c>
      <c r="P606" s="39" t="s">
        <v>2227</v>
      </c>
    </row>
    <row r="607" spans="2:16" ht="18" customHeight="1" x14ac:dyDescent="0.25">
      <c r="B607" s="21" t="s">
        <v>0</v>
      </c>
      <c r="C607" s="22" t="s">
        <v>913</v>
      </c>
      <c r="D607" s="22" t="s">
        <v>892</v>
      </c>
      <c r="E607" s="21" t="s">
        <v>2222</v>
      </c>
      <c r="F607" s="23" t="s">
        <v>3</v>
      </c>
      <c r="G607" s="23" t="s">
        <v>4</v>
      </c>
      <c r="H607" s="21" t="str">
        <f t="shared" si="9"/>
        <v>UD_12_NU2/URBAN-DEMAND</v>
      </c>
      <c r="I607" s="24" t="s">
        <v>2223</v>
      </c>
      <c r="J607" s="10" t="str">
        <f>VLOOKUP(Table1[[#This Row],[UID]],CS3SVComposerConfig!$B$3:$D$1808,3,FALSE)</f>
        <v>CS3L2015V0Hydro_SV.dss</v>
      </c>
      <c r="K607" s="10" t="s">
        <v>2212</v>
      </c>
      <c r="L607" s="10" t="s">
        <v>2212</v>
      </c>
      <c r="M607" s="10" t="s">
        <v>2224</v>
      </c>
      <c r="N607" s="10" t="s">
        <v>2225</v>
      </c>
      <c r="O607" s="10" t="s">
        <v>2226</v>
      </c>
      <c r="P607" s="39" t="s">
        <v>2227</v>
      </c>
    </row>
    <row r="608" spans="2:16" ht="18" customHeight="1" x14ac:dyDescent="0.25">
      <c r="B608" s="21" t="s">
        <v>0</v>
      </c>
      <c r="C608" s="22" t="s">
        <v>914</v>
      </c>
      <c r="D608" s="22" t="s">
        <v>892</v>
      </c>
      <c r="E608" s="21" t="s">
        <v>2222</v>
      </c>
      <c r="F608" s="23" t="s">
        <v>3</v>
      </c>
      <c r="G608" s="23" t="s">
        <v>4</v>
      </c>
      <c r="H608" s="21" t="str">
        <f t="shared" si="9"/>
        <v>UD_13_NU1/URBAN-DEMAND</v>
      </c>
      <c r="I608" s="24" t="s">
        <v>2223</v>
      </c>
      <c r="J608" s="10" t="str">
        <f>VLOOKUP(Table1[[#This Row],[UID]],CS3SVComposerConfig!$B$3:$D$1808,3,FALSE)</f>
        <v>CS3L2015V0Hydro_SV.dss</v>
      </c>
      <c r="K608" s="10" t="s">
        <v>2212</v>
      </c>
      <c r="L608" s="10" t="s">
        <v>2212</v>
      </c>
      <c r="M608" s="10" t="s">
        <v>2224</v>
      </c>
      <c r="N608" s="10" t="s">
        <v>2225</v>
      </c>
      <c r="O608" s="10" t="s">
        <v>2226</v>
      </c>
      <c r="P608" s="39" t="s">
        <v>2227</v>
      </c>
    </row>
    <row r="609" spans="2:16" ht="18" customHeight="1" x14ac:dyDescent="0.25">
      <c r="B609" s="21" t="s">
        <v>0</v>
      </c>
      <c r="C609" s="22" t="s">
        <v>915</v>
      </c>
      <c r="D609" s="22" t="s">
        <v>892</v>
      </c>
      <c r="E609" s="21" t="s">
        <v>2222</v>
      </c>
      <c r="F609" s="23" t="s">
        <v>3</v>
      </c>
      <c r="G609" s="23" t="s">
        <v>4</v>
      </c>
      <c r="H609" s="21" t="str">
        <f t="shared" si="9"/>
        <v>UD_13_NU2/URBAN-DEMAND</v>
      </c>
      <c r="I609" s="24" t="s">
        <v>2223</v>
      </c>
      <c r="J609" s="10" t="str">
        <f>VLOOKUP(Table1[[#This Row],[UID]],CS3SVComposerConfig!$B$3:$D$1808,3,FALSE)</f>
        <v>CS3L2015V0Hydro_SV.dss</v>
      </c>
      <c r="K609" s="10" t="s">
        <v>2212</v>
      </c>
      <c r="L609" s="10" t="s">
        <v>2224</v>
      </c>
      <c r="M609" s="10" t="s">
        <v>2224</v>
      </c>
      <c r="N609" s="10" t="s">
        <v>2225</v>
      </c>
      <c r="O609" s="10" t="s">
        <v>2226</v>
      </c>
      <c r="P609" s="39" t="s">
        <v>2227</v>
      </c>
    </row>
    <row r="610" spans="2:16" ht="18" customHeight="1" x14ac:dyDescent="0.25">
      <c r="B610" s="21" t="s">
        <v>0</v>
      </c>
      <c r="C610" s="22" t="s">
        <v>916</v>
      </c>
      <c r="D610" s="22" t="s">
        <v>892</v>
      </c>
      <c r="E610" s="21" t="s">
        <v>2222</v>
      </c>
      <c r="F610" s="23" t="s">
        <v>3</v>
      </c>
      <c r="G610" s="23" t="s">
        <v>4</v>
      </c>
      <c r="H610" s="21" t="str">
        <f t="shared" si="9"/>
        <v>UD_14_NU/URBAN-DEMAND</v>
      </c>
      <c r="I610" s="24" t="s">
        <v>2223</v>
      </c>
      <c r="J610" s="10" t="str">
        <f>VLOOKUP(Table1[[#This Row],[UID]],CS3SVComposerConfig!$B$3:$D$1808,3,FALSE)</f>
        <v>CS3L2015V0Hydro_SV.dss</v>
      </c>
      <c r="K610" s="10" t="s">
        <v>2212</v>
      </c>
      <c r="L610" s="10" t="s">
        <v>2212</v>
      </c>
      <c r="M610" s="10" t="s">
        <v>2224</v>
      </c>
      <c r="N610" s="10" t="s">
        <v>2225</v>
      </c>
      <c r="O610" s="10" t="s">
        <v>2226</v>
      </c>
      <c r="P610" s="39" t="s">
        <v>2227</v>
      </c>
    </row>
    <row r="611" spans="2:16" ht="18" customHeight="1" x14ac:dyDescent="0.25">
      <c r="B611" s="21" t="s">
        <v>0</v>
      </c>
      <c r="C611" s="22" t="s">
        <v>917</v>
      </c>
      <c r="D611" s="22" t="s">
        <v>892</v>
      </c>
      <c r="E611" s="21" t="s">
        <v>2222</v>
      </c>
      <c r="F611" s="23" t="s">
        <v>3</v>
      </c>
      <c r="G611" s="23" t="s">
        <v>4</v>
      </c>
      <c r="H611" s="21" t="str">
        <f t="shared" si="9"/>
        <v>UD_15N_NU/URBAN-DEMAND</v>
      </c>
      <c r="I611" s="24" t="s">
        <v>2223</v>
      </c>
      <c r="J611" s="10" t="str">
        <f>VLOOKUP(Table1[[#This Row],[UID]],CS3SVComposerConfig!$B$3:$D$1808,3,FALSE)</f>
        <v>CS3L2015V0Hydro_SV.dss</v>
      </c>
      <c r="K611" s="10" t="s">
        <v>2212</v>
      </c>
      <c r="L611" s="10" t="s">
        <v>2212</v>
      </c>
      <c r="M611" s="10" t="s">
        <v>2224</v>
      </c>
      <c r="N611" s="10" t="s">
        <v>2225</v>
      </c>
      <c r="O611" s="10" t="s">
        <v>2226</v>
      </c>
      <c r="P611" s="39" t="s">
        <v>2227</v>
      </c>
    </row>
    <row r="612" spans="2:16" ht="18" customHeight="1" x14ac:dyDescent="0.25">
      <c r="B612" s="21" t="s">
        <v>0</v>
      </c>
      <c r="C612" s="22" t="s">
        <v>918</v>
      </c>
      <c r="D612" s="22" t="s">
        <v>892</v>
      </c>
      <c r="E612" s="21" t="s">
        <v>2222</v>
      </c>
      <c r="F612" s="23" t="s">
        <v>3</v>
      </c>
      <c r="G612" s="23" t="s">
        <v>4</v>
      </c>
      <c r="H612" s="21" t="str">
        <f t="shared" si="9"/>
        <v>UD_15S_NU/URBAN-DEMAND</v>
      </c>
      <c r="I612" s="24" t="s">
        <v>2223</v>
      </c>
      <c r="J612" s="10" t="str">
        <f>VLOOKUP(Table1[[#This Row],[UID]],CS3SVComposerConfig!$B$3:$D$1808,3,FALSE)</f>
        <v>CS3L2015V0Hydro_SV.dss</v>
      </c>
      <c r="K612" s="10" t="s">
        <v>2212</v>
      </c>
      <c r="L612" s="10" t="s">
        <v>2212</v>
      </c>
      <c r="M612" s="10" t="s">
        <v>2224</v>
      </c>
      <c r="N612" s="10" t="s">
        <v>2225</v>
      </c>
      <c r="O612" s="10" t="s">
        <v>2226</v>
      </c>
      <c r="P612" s="39" t="s">
        <v>2227</v>
      </c>
    </row>
    <row r="613" spans="2:16" ht="18" customHeight="1" x14ac:dyDescent="0.25">
      <c r="B613" s="21" t="s">
        <v>0</v>
      </c>
      <c r="C613" s="22" t="s">
        <v>919</v>
      </c>
      <c r="D613" s="22" t="s">
        <v>892</v>
      </c>
      <c r="E613" s="21" t="s">
        <v>2222</v>
      </c>
      <c r="F613" s="23" t="s">
        <v>3</v>
      </c>
      <c r="G613" s="23" t="s">
        <v>4</v>
      </c>
      <c r="H613" s="21" t="str">
        <f t="shared" si="9"/>
        <v>UD_16_NU/URBAN-DEMAND</v>
      </c>
      <c r="I613" s="24" t="s">
        <v>2223</v>
      </c>
      <c r="J613" s="10" t="str">
        <f>VLOOKUP(Table1[[#This Row],[UID]],CS3SVComposerConfig!$B$3:$D$1808,3,FALSE)</f>
        <v>CS3L2015V0Hydro_SV.dss</v>
      </c>
      <c r="K613" s="10" t="s">
        <v>2212</v>
      </c>
      <c r="L613" s="10" t="s">
        <v>2212</v>
      </c>
      <c r="M613" s="10" t="s">
        <v>2224</v>
      </c>
      <c r="N613" s="10" t="s">
        <v>2225</v>
      </c>
      <c r="O613" s="10" t="s">
        <v>2226</v>
      </c>
      <c r="P613" s="39" t="s">
        <v>2227</v>
      </c>
    </row>
    <row r="614" spans="2:16" ht="18" customHeight="1" x14ac:dyDescent="0.25">
      <c r="B614" s="21" t="s">
        <v>0</v>
      </c>
      <c r="C614" s="22" t="s">
        <v>920</v>
      </c>
      <c r="D614" s="22" t="s">
        <v>892</v>
      </c>
      <c r="E614" s="21" t="s">
        <v>2222</v>
      </c>
      <c r="F614" s="23" t="s">
        <v>3</v>
      </c>
      <c r="G614" s="23" t="s">
        <v>4</v>
      </c>
      <c r="H614" s="21" t="str">
        <f t="shared" si="9"/>
        <v>UD_16_PU/URBAN-DEMAND</v>
      </c>
      <c r="I614" s="24" t="s">
        <v>2223</v>
      </c>
      <c r="J614" s="10" t="str">
        <f>VLOOKUP(Table1[[#This Row],[UID]],CS3SVComposerConfig!$B$3:$D$1808,3,FALSE)</f>
        <v>CS3L2015V0Hydro_SV.dss</v>
      </c>
      <c r="K614" s="10" t="s">
        <v>2212</v>
      </c>
      <c r="L614" s="10" t="s">
        <v>2212</v>
      </c>
      <c r="M614" s="10" t="s">
        <v>2224</v>
      </c>
      <c r="N614" s="10" t="s">
        <v>2225</v>
      </c>
      <c r="O614" s="10" t="s">
        <v>2226</v>
      </c>
      <c r="P614" s="39" t="s">
        <v>2227</v>
      </c>
    </row>
    <row r="615" spans="2:16" ht="18" customHeight="1" x14ac:dyDescent="0.25">
      <c r="B615" s="21" t="s">
        <v>0</v>
      </c>
      <c r="C615" s="22" t="s">
        <v>921</v>
      </c>
      <c r="D615" s="22" t="s">
        <v>892</v>
      </c>
      <c r="E615" s="21" t="s">
        <v>2222</v>
      </c>
      <c r="F615" s="23" t="s">
        <v>3</v>
      </c>
      <c r="G615" s="23" t="s">
        <v>4</v>
      </c>
      <c r="H615" s="21" t="str">
        <f t="shared" si="9"/>
        <v>UD_17N_NU/URBAN-DEMAND</v>
      </c>
      <c r="I615" s="24" t="s">
        <v>2223</v>
      </c>
      <c r="J615" s="10" t="str">
        <f>VLOOKUP(Table1[[#This Row],[UID]],CS3SVComposerConfig!$B$3:$D$1808,3,FALSE)</f>
        <v>CS3L2015V0Hydro_SV.dss</v>
      </c>
      <c r="K615" s="10" t="s">
        <v>2212</v>
      </c>
      <c r="L615" s="10" t="s">
        <v>2212</v>
      </c>
      <c r="M615" s="10" t="s">
        <v>2224</v>
      </c>
      <c r="N615" s="10" t="s">
        <v>2225</v>
      </c>
      <c r="O615" s="10" t="s">
        <v>2226</v>
      </c>
      <c r="P615" s="39" t="s">
        <v>2227</v>
      </c>
    </row>
    <row r="616" spans="2:16" ht="18" customHeight="1" x14ac:dyDescent="0.25">
      <c r="B616" s="21" t="s">
        <v>0</v>
      </c>
      <c r="C616" s="22" t="s">
        <v>922</v>
      </c>
      <c r="D616" s="22" t="s">
        <v>892</v>
      </c>
      <c r="E616" s="21" t="s">
        <v>2222</v>
      </c>
      <c r="F616" s="23" t="s">
        <v>3</v>
      </c>
      <c r="G616" s="23" t="s">
        <v>4</v>
      </c>
      <c r="H616" s="21" t="str">
        <f t="shared" si="9"/>
        <v>UD_17S_NU/URBAN-DEMAND</v>
      </c>
      <c r="I616" s="24" t="s">
        <v>2223</v>
      </c>
      <c r="J616" s="10" t="str">
        <f>VLOOKUP(Table1[[#This Row],[UID]],CS3SVComposerConfig!$B$3:$D$1808,3,FALSE)</f>
        <v>CS3L2015V0Hydro_SV.dss</v>
      </c>
      <c r="K616" s="10" t="s">
        <v>2212</v>
      </c>
      <c r="L616" s="10" t="s">
        <v>2212</v>
      </c>
      <c r="M616" s="10" t="s">
        <v>2224</v>
      </c>
      <c r="N616" s="10" t="s">
        <v>2225</v>
      </c>
      <c r="O616" s="10" t="s">
        <v>2226</v>
      </c>
      <c r="P616" s="39" t="s">
        <v>2227</v>
      </c>
    </row>
    <row r="617" spans="2:16" ht="18" customHeight="1" x14ac:dyDescent="0.25">
      <c r="B617" s="21" t="s">
        <v>0</v>
      </c>
      <c r="C617" s="22" t="s">
        <v>923</v>
      </c>
      <c r="D617" s="22" t="s">
        <v>892</v>
      </c>
      <c r="E617" s="21" t="s">
        <v>2222</v>
      </c>
      <c r="F617" s="23" t="s">
        <v>3</v>
      </c>
      <c r="G617" s="23" t="s">
        <v>4</v>
      </c>
      <c r="H617" s="21" t="str">
        <f t="shared" si="9"/>
        <v>UD_18_NU/URBAN-DEMAND</v>
      </c>
      <c r="I617" s="24" t="s">
        <v>2223</v>
      </c>
      <c r="J617" s="10" t="str">
        <f>VLOOKUP(Table1[[#This Row],[UID]],CS3SVComposerConfig!$B$3:$D$1808,3,FALSE)</f>
        <v>CS3L2015V0Hydro_SV.dss</v>
      </c>
      <c r="K617" s="10" t="s">
        <v>2212</v>
      </c>
      <c r="L617" s="10" t="s">
        <v>2212</v>
      </c>
      <c r="M617" s="10" t="s">
        <v>2224</v>
      </c>
      <c r="N617" s="10" t="s">
        <v>2225</v>
      </c>
      <c r="O617" s="10" t="s">
        <v>2226</v>
      </c>
      <c r="P617" s="39" t="s">
        <v>2227</v>
      </c>
    </row>
    <row r="618" spans="2:16" ht="18" customHeight="1" x14ac:dyDescent="0.25">
      <c r="B618" s="21" t="s">
        <v>0</v>
      </c>
      <c r="C618" s="22" t="s">
        <v>924</v>
      </c>
      <c r="D618" s="22" t="s">
        <v>892</v>
      </c>
      <c r="E618" s="21" t="s">
        <v>2222</v>
      </c>
      <c r="F618" s="23" t="s">
        <v>3</v>
      </c>
      <c r="G618" s="23" t="s">
        <v>4</v>
      </c>
      <c r="H618" s="21" t="str">
        <f t="shared" si="9"/>
        <v>UD_19_NU/URBAN-DEMAND</v>
      </c>
      <c r="I618" s="24" t="s">
        <v>2223</v>
      </c>
      <c r="J618" s="10" t="str">
        <f>VLOOKUP(Table1[[#This Row],[UID]],CS3SVComposerConfig!$B$3:$D$1808,3,FALSE)</f>
        <v>CS3L2015V0Hydro_SV.dss</v>
      </c>
      <c r="K618" s="10" t="s">
        <v>2212</v>
      </c>
      <c r="L618" s="10" t="s">
        <v>2212</v>
      </c>
      <c r="M618" s="10" t="s">
        <v>2224</v>
      </c>
      <c r="N618" s="10" t="s">
        <v>2225</v>
      </c>
      <c r="O618" s="10" t="s">
        <v>2226</v>
      </c>
      <c r="P618" s="39" t="s">
        <v>2227</v>
      </c>
    </row>
    <row r="619" spans="2:16" ht="18" customHeight="1" x14ac:dyDescent="0.25">
      <c r="B619" s="21" t="s">
        <v>0</v>
      </c>
      <c r="C619" s="22" t="s">
        <v>925</v>
      </c>
      <c r="D619" s="22" t="s">
        <v>892</v>
      </c>
      <c r="E619" s="21" t="s">
        <v>2222</v>
      </c>
      <c r="F619" s="23" t="s">
        <v>3</v>
      </c>
      <c r="G619" s="23" t="s">
        <v>4</v>
      </c>
      <c r="H619" s="21" t="str">
        <f t="shared" si="9"/>
        <v>UD_20_NU1/URBAN-DEMAND</v>
      </c>
      <c r="I619" s="24" t="s">
        <v>2223</v>
      </c>
      <c r="J619" s="10" t="str">
        <f>VLOOKUP(Table1[[#This Row],[UID]],CS3SVComposerConfig!$B$3:$D$1808,3,FALSE)</f>
        <v>CS3L2015V0Hydro_SV.dss</v>
      </c>
      <c r="K619" s="10" t="s">
        <v>2212</v>
      </c>
      <c r="L619" s="10" t="s">
        <v>2212</v>
      </c>
      <c r="M619" s="10" t="s">
        <v>2224</v>
      </c>
      <c r="N619" s="10" t="s">
        <v>2225</v>
      </c>
      <c r="O619" s="10" t="s">
        <v>2226</v>
      </c>
      <c r="P619" s="39" t="s">
        <v>2227</v>
      </c>
    </row>
    <row r="620" spans="2:16" ht="18" customHeight="1" x14ac:dyDescent="0.25">
      <c r="B620" s="21" t="s">
        <v>0</v>
      </c>
      <c r="C620" s="22" t="s">
        <v>926</v>
      </c>
      <c r="D620" s="22" t="s">
        <v>892</v>
      </c>
      <c r="E620" s="21" t="s">
        <v>2222</v>
      </c>
      <c r="F620" s="23" t="s">
        <v>3</v>
      </c>
      <c r="G620" s="23" t="s">
        <v>4</v>
      </c>
      <c r="H620" s="21" t="str">
        <f t="shared" si="9"/>
        <v>UD_20_NU2/URBAN-DEMAND</v>
      </c>
      <c r="I620" s="24" t="s">
        <v>2223</v>
      </c>
      <c r="J620" s="10" t="str">
        <f>VLOOKUP(Table1[[#This Row],[UID]],CS3SVComposerConfig!$B$3:$D$1808,3,FALSE)</f>
        <v>CS3L2015V0Hydro_SV.dss</v>
      </c>
      <c r="K620" s="10" t="s">
        <v>2212</v>
      </c>
      <c r="L620" s="10" t="s">
        <v>2212</v>
      </c>
      <c r="M620" s="10" t="s">
        <v>2224</v>
      </c>
      <c r="N620" s="10" t="s">
        <v>2225</v>
      </c>
      <c r="O620" s="10" t="s">
        <v>2226</v>
      </c>
      <c r="P620" s="39" t="s">
        <v>2227</v>
      </c>
    </row>
    <row r="621" spans="2:16" ht="18" customHeight="1" x14ac:dyDescent="0.25">
      <c r="B621" s="21" t="s">
        <v>0</v>
      </c>
      <c r="C621" s="22" t="s">
        <v>927</v>
      </c>
      <c r="D621" s="22" t="s">
        <v>892</v>
      </c>
      <c r="E621" s="21" t="s">
        <v>2222</v>
      </c>
      <c r="F621" s="23" t="s">
        <v>3</v>
      </c>
      <c r="G621" s="23" t="s">
        <v>4</v>
      </c>
      <c r="H621" s="21" t="str">
        <f t="shared" si="9"/>
        <v>UD_21_NU/URBAN-DEMAND</v>
      </c>
      <c r="I621" s="24" t="s">
        <v>2223</v>
      </c>
      <c r="J621" s="10" t="str">
        <f>VLOOKUP(Table1[[#This Row],[UID]],CS3SVComposerConfig!$B$3:$D$1808,3,FALSE)</f>
        <v>CS3L2015V0Hydro_SV.dss</v>
      </c>
      <c r="K621" s="10" t="s">
        <v>2212</v>
      </c>
      <c r="L621" s="10" t="s">
        <v>2212</v>
      </c>
      <c r="M621" s="10" t="s">
        <v>2224</v>
      </c>
      <c r="N621" s="10" t="s">
        <v>2225</v>
      </c>
      <c r="O621" s="10" t="s">
        <v>2226</v>
      </c>
      <c r="P621" s="39" t="s">
        <v>2227</v>
      </c>
    </row>
    <row r="622" spans="2:16" ht="18" customHeight="1" x14ac:dyDescent="0.25">
      <c r="B622" s="21" t="s">
        <v>0</v>
      </c>
      <c r="C622" s="22" t="s">
        <v>928</v>
      </c>
      <c r="D622" s="22" t="s">
        <v>892</v>
      </c>
      <c r="E622" s="21" t="s">
        <v>2222</v>
      </c>
      <c r="F622" s="23" t="s">
        <v>3</v>
      </c>
      <c r="G622" s="23" t="s">
        <v>4</v>
      </c>
      <c r="H622" s="21" t="str">
        <f t="shared" si="9"/>
        <v>UD_21_PU/URBAN-DEMAND</v>
      </c>
      <c r="I622" s="24" t="s">
        <v>2223</v>
      </c>
      <c r="J622" s="10" t="str">
        <f>VLOOKUP(Table1[[#This Row],[UID]],CS3SVComposerConfig!$B$3:$D$1808,3,FALSE)</f>
        <v>CS3L2015V0Hydro_SV.dss</v>
      </c>
      <c r="K622" s="10" t="s">
        <v>2212</v>
      </c>
      <c r="L622" s="10" t="s">
        <v>2212</v>
      </c>
      <c r="M622" s="10" t="s">
        <v>2224</v>
      </c>
      <c r="N622" s="10" t="s">
        <v>2225</v>
      </c>
      <c r="O622" s="10" t="s">
        <v>2226</v>
      </c>
      <c r="P622" s="39" t="s">
        <v>2227</v>
      </c>
    </row>
    <row r="623" spans="2:16" ht="18" customHeight="1" x14ac:dyDescent="0.25">
      <c r="B623" s="21" t="s">
        <v>0</v>
      </c>
      <c r="C623" s="22" t="s">
        <v>929</v>
      </c>
      <c r="D623" s="22" t="s">
        <v>892</v>
      </c>
      <c r="E623" s="21" t="s">
        <v>2222</v>
      </c>
      <c r="F623" s="23" t="s">
        <v>3</v>
      </c>
      <c r="G623" s="23" t="s">
        <v>4</v>
      </c>
      <c r="H623" s="21" t="str">
        <f t="shared" si="9"/>
        <v>UD_22_NU/URBAN-DEMAND</v>
      </c>
      <c r="I623" s="24" t="s">
        <v>2223</v>
      </c>
      <c r="J623" s="10" t="str">
        <f>VLOOKUP(Table1[[#This Row],[UID]],CS3SVComposerConfig!$B$3:$D$1808,3,FALSE)</f>
        <v>CS3L2015V0Hydro_SV.dss</v>
      </c>
      <c r="K623" s="10" t="s">
        <v>2212</v>
      </c>
      <c r="L623" s="10" t="s">
        <v>2212</v>
      </c>
      <c r="M623" s="10" t="s">
        <v>2224</v>
      </c>
      <c r="N623" s="10" t="s">
        <v>2225</v>
      </c>
      <c r="O623" s="10" t="s">
        <v>2226</v>
      </c>
      <c r="P623" s="39" t="s">
        <v>2227</v>
      </c>
    </row>
    <row r="624" spans="2:16" ht="18" customHeight="1" x14ac:dyDescent="0.25">
      <c r="B624" s="21" t="s">
        <v>0</v>
      </c>
      <c r="C624" s="22" t="s">
        <v>930</v>
      </c>
      <c r="D624" s="22" t="s">
        <v>892</v>
      </c>
      <c r="E624" s="21" t="s">
        <v>2222</v>
      </c>
      <c r="F624" s="23" t="s">
        <v>3</v>
      </c>
      <c r="G624" s="23" t="s">
        <v>4</v>
      </c>
      <c r="H624" s="21" t="str">
        <f t="shared" si="9"/>
        <v>UD_23_NU/URBAN-DEMAND</v>
      </c>
      <c r="I624" s="24" t="s">
        <v>2223</v>
      </c>
      <c r="J624" s="10" t="str">
        <f>VLOOKUP(Table1[[#This Row],[UID]],CS3SVComposerConfig!$B$3:$D$1808,3,FALSE)</f>
        <v>CS3L2015V0Hydro_SV.dss</v>
      </c>
      <c r="K624" s="10" t="s">
        <v>2212</v>
      </c>
      <c r="L624" s="10" t="s">
        <v>2212</v>
      </c>
      <c r="M624" s="10" t="s">
        <v>2224</v>
      </c>
      <c r="N624" s="10" t="s">
        <v>2225</v>
      </c>
      <c r="O624" s="10" t="s">
        <v>2226</v>
      </c>
      <c r="P624" s="39" t="s">
        <v>2227</v>
      </c>
    </row>
    <row r="625" spans="2:16" ht="18" customHeight="1" x14ac:dyDescent="0.25">
      <c r="B625" s="21" t="s">
        <v>0</v>
      </c>
      <c r="C625" s="22" t="s">
        <v>931</v>
      </c>
      <c r="D625" s="22" t="s">
        <v>892</v>
      </c>
      <c r="E625" s="21" t="s">
        <v>2222</v>
      </c>
      <c r="F625" s="23" t="s">
        <v>3</v>
      </c>
      <c r="G625" s="23" t="s">
        <v>4</v>
      </c>
      <c r="H625" s="21" t="str">
        <f t="shared" si="9"/>
        <v>UD_24_NU1/URBAN-DEMAND</v>
      </c>
      <c r="I625" s="24" t="s">
        <v>2223</v>
      </c>
      <c r="J625" s="10" t="str">
        <f>VLOOKUP(Table1[[#This Row],[UID]],CS3SVComposerConfig!$B$3:$D$1808,3,FALSE)</f>
        <v>CS3L2015V0Hydro_SV.dss</v>
      </c>
      <c r="K625" s="10" t="s">
        <v>2212</v>
      </c>
      <c r="L625" s="10" t="s">
        <v>2212</v>
      </c>
      <c r="M625" s="10" t="s">
        <v>2224</v>
      </c>
      <c r="N625" s="10" t="s">
        <v>2225</v>
      </c>
      <c r="O625" s="10" t="s">
        <v>2226</v>
      </c>
      <c r="P625" s="39" t="s">
        <v>2227</v>
      </c>
    </row>
    <row r="626" spans="2:16" ht="18" customHeight="1" x14ac:dyDescent="0.25">
      <c r="B626" s="21" t="s">
        <v>0</v>
      </c>
      <c r="C626" s="22" t="s">
        <v>932</v>
      </c>
      <c r="D626" s="22" t="s">
        <v>892</v>
      </c>
      <c r="E626" s="21" t="s">
        <v>2222</v>
      </c>
      <c r="F626" s="23" t="s">
        <v>3</v>
      </c>
      <c r="G626" s="23" t="s">
        <v>4</v>
      </c>
      <c r="H626" s="21" t="str">
        <f t="shared" si="9"/>
        <v>UD_24_NU2/URBAN-DEMAND</v>
      </c>
      <c r="I626" s="24" t="s">
        <v>2223</v>
      </c>
      <c r="J626" s="10" t="str">
        <f>VLOOKUP(Table1[[#This Row],[UID]],CS3SVComposerConfig!$B$3:$D$1808,3,FALSE)</f>
        <v>CS3L2015V0Hydro_SV.dss</v>
      </c>
      <c r="K626" s="10" t="s">
        <v>2212</v>
      </c>
      <c r="L626" s="10" t="s">
        <v>2212</v>
      </c>
      <c r="M626" s="10" t="s">
        <v>2224</v>
      </c>
      <c r="N626" s="10" t="s">
        <v>2225</v>
      </c>
      <c r="O626" s="10" t="s">
        <v>2226</v>
      </c>
      <c r="P626" s="39" t="s">
        <v>2227</v>
      </c>
    </row>
    <row r="627" spans="2:16" ht="18" customHeight="1" x14ac:dyDescent="0.25">
      <c r="B627" s="21" t="s">
        <v>0</v>
      </c>
      <c r="C627" s="22" t="s">
        <v>933</v>
      </c>
      <c r="D627" s="22" t="s">
        <v>892</v>
      </c>
      <c r="E627" s="21" t="s">
        <v>2222</v>
      </c>
      <c r="F627" s="23" t="s">
        <v>3</v>
      </c>
      <c r="G627" s="23" t="s">
        <v>4</v>
      </c>
      <c r="H627" s="21" t="str">
        <f t="shared" si="9"/>
        <v>UD_24_NU3/URBAN-DEMAND</v>
      </c>
      <c r="I627" s="24" t="s">
        <v>2223</v>
      </c>
      <c r="J627" s="10" t="str">
        <f>VLOOKUP(Table1[[#This Row],[UID]],CS3SVComposerConfig!$B$3:$D$1808,3,FALSE)</f>
        <v>CS3L2015V0Hydro_SV.dss</v>
      </c>
      <c r="K627" s="10" t="s">
        <v>2212</v>
      </c>
      <c r="L627" s="10" t="s">
        <v>2212</v>
      </c>
      <c r="M627" s="10" t="s">
        <v>2224</v>
      </c>
      <c r="N627" s="10" t="s">
        <v>2225</v>
      </c>
      <c r="O627" s="10" t="s">
        <v>2226</v>
      </c>
      <c r="P627" s="39" t="s">
        <v>2227</v>
      </c>
    </row>
    <row r="628" spans="2:16" ht="18" customHeight="1" x14ac:dyDescent="0.25">
      <c r="B628" s="21" t="s">
        <v>0</v>
      </c>
      <c r="C628" s="22" t="s">
        <v>934</v>
      </c>
      <c r="D628" s="22" t="s">
        <v>892</v>
      </c>
      <c r="E628" s="21" t="s">
        <v>2222</v>
      </c>
      <c r="F628" s="23" t="s">
        <v>3</v>
      </c>
      <c r="G628" s="23" t="s">
        <v>4</v>
      </c>
      <c r="H628" s="21" t="str">
        <f t="shared" si="9"/>
        <v>UD_24_NU4/URBAN-DEMAND</v>
      </c>
      <c r="I628" s="24" t="s">
        <v>2223</v>
      </c>
      <c r="J628" s="10" t="str">
        <f>VLOOKUP(Table1[[#This Row],[UID]],CS3SVComposerConfig!$B$3:$D$1808,3,FALSE)</f>
        <v>CS3L2015V0Hydro_SV.dss</v>
      </c>
      <c r="K628" s="10" t="s">
        <v>2212</v>
      </c>
      <c r="L628" s="10" t="s">
        <v>2212</v>
      </c>
      <c r="M628" s="10" t="s">
        <v>2224</v>
      </c>
      <c r="N628" s="10" t="s">
        <v>2225</v>
      </c>
      <c r="O628" s="10" t="s">
        <v>2226</v>
      </c>
      <c r="P628" s="39" t="s">
        <v>2227</v>
      </c>
    </row>
    <row r="629" spans="2:16" ht="18" customHeight="1" x14ac:dyDescent="0.25">
      <c r="B629" s="21" t="s">
        <v>0</v>
      </c>
      <c r="C629" s="22" t="s">
        <v>935</v>
      </c>
      <c r="D629" s="22" t="s">
        <v>892</v>
      </c>
      <c r="E629" s="21" t="s">
        <v>2222</v>
      </c>
      <c r="F629" s="23" t="s">
        <v>3</v>
      </c>
      <c r="G629" s="23" t="s">
        <v>4</v>
      </c>
      <c r="H629" s="21" t="str">
        <f t="shared" si="9"/>
        <v>UD_25_NU/URBAN-DEMAND</v>
      </c>
      <c r="I629" s="24" t="s">
        <v>2223</v>
      </c>
      <c r="J629" s="10" t="str">
        <f>VLOOKUP(Table1[[#This Row],[UID]],CS3SVComposerConfig!$B$3:$D$1808,3,FALSE)</f>
        <v>CS3L2015V0Hydro_SV.dss</v>
      </c>
      <c r="K629" s="10" t="s">
        <v>2212</v>
      </c>
      <c r="L629" s="10" t="s">
        <v>2212</v>
      </c>
      <c r="M629" s="10" t="s">
        <v>2224</v>
      </c>
      <c r="N629" s="10" t="s">
        <v>2225</v>
      </c>
      <c r="O629" s="10" t="s">
        <v>2226</v>
      </c>
      <c r="P629" s="39" t="s">
        <v>2227</v>
      </c>
    </row>
    <row r="630" spans="2:16" ht="18" customHeight="1" x14ac:dyDescent="0.25">
      <c r="B630" s="21" t="s">
        <v>0</v>
      </c>
      <c r="C630" s="22" t="s">
        <v>936</v>
      </c>
      <c r="D630" s="22" t="s">
        <v>892</v>
      </c>
      <c r="E630" s="21" t="s">
        <v>2222</v>
      </c>
      <c r="F630" s="23" t="s">
        <v>3</v>
      </c>
      <c r="G630" s="23" t="s">
        <v>4</v>
      </c>
      <c r="H630" s="21" t="str">
        <f t="shared" si="9"/>
        <v>UD_25_PU/URBAN-DEMAND</v>
      </c>
      <c r="I630" s="24" t="s">
        <v>2223</v>
      </c>
      <c r="J630" s="10" t="str">
        <f>VLOOKUP(Table1[[#This Row],[UID]],CS3SVComposerConfig!$B$3:$D$1808,3,FALSE)</f>
        <v>CS3L2015V0Hydro_SV.dss</v>
      </c>
      <c r="K630" s="10" t="s">
        <v>2212</v>
      </c>
      <c r="L630" s="10" t="s">
        <v>2212</v>
      </c>
      <c r="M630" s="10" t="s">
        <v>2224</v>
      </c>
      <c r="N630" s="10" t="s">
        <v>2225</v>
      </c>
      <c r="O630" s="10" t="s">
        <v>2226</v>
      </c>
      <c r="P630" s="39" t="s">
        <v>2227</v>
      </c>
    </row>
    <row r="631" spans="2:16" ht="18" customHeight="1" x14ac:dyDescent="0.25">
      <c r="B631" s="21" t="s">
        <v>0</v>
      </c>
      <c r="C631" s="22" t="s">
        <v>937</v>
      </c>
      <c r="D631" s="22" t="s">
        <v>892</v>
      </c>
      <c r="E631" s="21" t="s">
        <v>2222</v>
      </c>
      <c r="F631" s="23" t="s">
        <v>3</v>
      </c>
      <c r="G631" s="23" t="s">
        <v>4</v>
      </c>
      <c r="H631" s="21" t="str">
        <f t="shared" si="9"/>
        <v>UD_26N_NU1/URBAN-DEMAND</v>
      </c>
      <c r="I631" s="24" t="s">
        <v>2223</v>
      </c>
      <c r="J631" s="10" t="str">
        <f>VLOOKUP(Table1[[#This Row],[UID]],CS3SVComposerConfig!$B$3:$D$1808,3,FALSE)</f>
        <v>CS3L2015V0Hydro_SV.dss</v>
      </c>
      <c r="K631" s="10" t="s">
        <v>2212</v>
      </c>
      <c r="L631" s="10" t="s">
        <v>2212</v>
      </c>
      <c r="M631" s="10" t="s">
        <v>2224</v>
      </c>
      <c r="N631" s="10" t="s">
        <v>2225</v>
      </c>
      <c r="O631" s="10" t="s">
        <v>2226</v>
      </c>
      <c r="P631" s="39" t="s">
        <v>2227</v>
      </c>
    </row>
    <row r="632" spans="2:16" ht="18" customHeight="1" x14ac:dyDescent="0.25">
      <c r="B632" s="21" t="s">
        <v>0</v>
      </c>
      <c r="C632" s="22" t="s">
        <v>938</v>
      </c>
      <c r="D632" s="22" t="s">
        <v>892</v>
      </c>
      <c r="E632" s="21" t="s">
        <v>2222</v>
      </c>
      <c r="F632" s="23" t="s">
        <v>3</v>
      </c>
      <c r="G632" s="23" t="s">
        <v>4</v>
      </c>
      <c r="H632" s="21" t="str">
        <f t="shared" si="9"/>
        <v>UD_26N_NU2/URBAN-DEMAND</v>
      </c>
      <c r="I632" s="24" t="s">
        <v>2223</v>
      </c>
      <c r="J632" s="10" t="str">
        <f>VLOOKUP(Table1[[#This Row],[UID]],CS3SVComposerConfig!$B$3:$D$1808,3,FALSE)</f>
        <v>CS3L2015V0Hydro_SV.dss</v>
      </c>
      <c r="K632" s="10" t="s">
        <v>2212</v>
      </c>
      <c r="L632" s="10" t="s">
        <v>2212</v>
      </c>
      <c r="M632" s="10" t="s">
        <v>2224</v>
      </c>
      <c r="N632" s="10" t="s">
        <v>2225</v>
      </c>
      <c r="O632" s="10" t="s">
        <v>2226</v>
      </c>
      <c r="P632" s="39" t="s">
        <v>2227</v>
      </c>
    </row>
    <row r="633" spans="2:16" ht="18" customHeight="1" x14ac:dyDescent="0.25">
      <c r="B633" s="21" t="s">
        <v>0</v>
      </c>
      <c r="C633" s="22" t="s">
        <v>939</v>
      </c>
      <c r="D633" s="22" t="s">
        <v>892</v>
      </c>
      <c r="E633" s="21" t="s">
        <v>2222</v>
      </c>
      <c r="F633" s="23" t="s">
        <v>3</v>
      </c>
      <c r="G633" s="23" t="s">
        <v>4</v>
      </c>
      <c r="H633" s="21" t="str">
        <f t="shared" si="9"/>
        <v>UD_26N_NU3/URBAN-DEMAND</v>
      </c>
      <c r="I633" s="24" t="s">
        <v>2223</v>
      </c>
      <c r="J633" s="10" t="str">
        <f>VLOOKUP(Table1[[#This Row],[UID]],CS3SVComposerConfig!$B$3:$D$1808,3,FALSE)</f>
        <v>CS3L2015V0Hydro_SV.dss</v>
      </c>
      <c r="K633" s="10" t="s">
        <v>2212</v>
      </c>
      <c r="L633" s="10" t="s">
        <v>2212</v>
      </c>
      <c r="M633" s="10" t="s">
        <v>2224</v>
      </c>
      <c r="N633" s="10" t="s">
        <v>2225</v>
      </c>
      <c r="O633" s="10" t="s">
        <v>2226</v>
      </c>
      <c r="P633" s="39" t="s">
        <v>2227</v>
      </c>
    </row>
    <row r="634" spans="2:16" ht="18" customHeight="1" x14ac:dyDescent="0.25">
      <c r="B634" s="21" t="s">
        <v>0</v>
      </c>
      <c r="C634" s="22" t="s">
        <v>940</v>
      </c>
      <c r="D634" s="22" t="s">
        <v>892</v>
      </c>
      <c r="E634" s="21" t="s">
        <v>2222</v>
      </c>
      <c r="F634" s="23" t="s">
        <v>3</v>
      </c>
      <c r="G634" s="23" t="s">
        <v>4</v>
      </c>
      <c r="H634" s="21" t="str">
        <f t="shared" si="9"/>
        <v>UD_26N_NU4/URBAN-DEMAND</v>
      </c>
      <c r="I634" s="24" t="s">
        <v>2223</v>
      </c>
      <c r="J634" s="10" t="str">
        <f>VLOOKUP(Table1[[#This Row],[UID]],CS3SVComposerConfig!$B$3:$D$1808,3,FALSE)</f>
        <v>CS3L2015V0Hydro_SV.dss</v>
      </c>
      <c r="K634" s="10" t="s">
        <v>2212</v>
      </c>
      <c r="L634" s="10" t="s">
        <v>2212</v>
      </c>
      <c r="M634" s="10" t="s">
        <v>2224</v>
      </c>
      <c r="N634" s="10" t="s">
        <v>2225</v>
      </c>
      <c r="O634" s="10" t="s">
        <v>2226</v>
      </c>
      <c r="P634" s="39" t="s">
        <v>2227</v>
      </c>
    </row>
    <row r="635" spans="2:16" ht="18" customHeight="1" x14ac:dyDescent="0.25">
      <c r="B635" s="21" t="s">
        <v>0</v>
      </c>
      <c r="C635" s="22" t="s">
        <v>941</v>
      </c>
      <c r="D635" s="22" t="s">
        <v>892</v>
      </c>
      <c r="E635" s="21" t="s">
        <v>2222</v>
      </c>
      <c r="F635" s="23" t="s">
        <v>3</v>
      </c>
      <c r="G635" s="23" t="s">
        <v>4</v>
      </c>
      <c r="H635" s="21" t="str">
        <f t="shared" si="9"/>
        <v>UD_26N_NU5/URBAN-DEMAND</v>
      </c>
      <c r="I635" s="24" t="s">
        <v>2223</v>
      </c>
      <c r="J635" s="10" t="str">
        <f>VLOOKUP(Table1[[#This Row],[UID]],CS3SVComposerConfig!$B$3:$D$1808,3,FALSE)</f>
        <v>CS3L2015V0Hydro_SV.dss</v>
      </c>
      <c r="K635" s="10" t="s">
        <v>2212</v>
      </c>
      <c r="L635" s="10" t="s">
        <v>2212</v>
      </c>
      <c r="M635" s="10" t="s">
        <v>2224</v>
      </c>
      <c r="N635" s="10" t="s">
        <v>2225</v>
      </c>
      <c r="O635" s="10" t="s">
        <v>2226</v>
      </c>
      <c r="P635" s="39" t="s">
        <v>2227</v>
      </c>
    </row>
    <row r="636" spans="2:16" ht="18" customHeight="1" x14ac:dyDescent="0.25">
      <c r="B636" s="21" t="s">
        <v>0</v>
      </c>
      <c r="C636" s="22" t="s">
        <v>942</v>
      </c>
      <c r="D636" s="22" t="s">
        <v>892</v>
      </c>
      <c r="E636" s="21" t="s">
        <v>2222</v>
      </c>
      <c r="F636" s="23" t="s">
        <v>3</v>
      </c>
      <c r="G636" s="23" t="s">
        <v>4</v>
      </c>
      <c r="H636" s="21" t="str">
        <f t="shared" si="9"/>
        <v>UD_26N_PU1/URBAN-DEMAND</v>
      </c>
      <c r="I636" s="24" t="s">
        <v>2223</v>
      </c>
      <c r="J636" s="10" t="str">
        <f>VLOOKUP(Table1[[#This Row],[UID]],CS3SVComposerConfig!$B$3:$D$1808,3,FALSE)</f>
        <v>CS3L2015V0Hydro_SV.dss</v>
      </c>
      <c r="K636" s="10" t="s">
        <v>2212</v>
      </c>
      <c r="L636" s="10" t="s">
        <v>2212</v>
      </c>
      <c r="M636" s="10" t="s">
        <v>2224</v>
      </c>
      <c r="N636" s="10" t="s">
        <v>2225</v>
      </c>
      <c r="O636" s="10" t="s">
        <v>2226</v>
      </c>
      <c r="P636" s="39" t="s">
        <v>2227</v>
      </c>
    </row>
    <row r="637" spans="2:16" ht="18" customHeight="1" x14ac:dyDescent="0.25">
      <c r="B637" s="21" t="s">
        <v>0</v>
      </c>
      <c r="C637" s="22" t="s">
        <v>943</v>
      </c>
      <c r="D637" s="22" t="s">
        <v>892</v>
      </c>
      <c r="E637" s="21" t="s">
        <v>2222</v>
      </c>
      <c r="F637" s="23" t="s">
        <v>3</v>
      </c>
      <c r="G637" s="23" t="s">
        <v>4</v>
      </c>
      <c r="H637" s="21" t="str">
        <f t="shared" si="9"/>
        <v>UD_26N_PU2/URBAN-DEMAND</v>
      </c>
      <c r="I637" s="24" t="s">
        <v>2223</v>
      </c>
      <c r="J637" s="10" t="str">
        <f>VLOOKUP(Table1[[#This Row],[UID]],CS3SVComposerConfig!$B$3:$D$1808,3,FALSE)</f>
        <v>CS3L2015V0Hydro_SV.dss</v>
      </c>
      <c r="K637" s="10" t="s">
        <v>2212</v>
      </c>
      <c r="L637" s="10" t="s">
        <v>2212</v>
      </c>
      <c r="M637" s="10" t="s">
        <v>2224</v>
      </c>
      <c r="N637" s="10" t="s">
        <v>2225</v>
      </c>
      <c r="O637" s="10" t="s">
        <v>2226</v>
      </c>
      <c r="P637" s="39" t="s">
        <v>2227</v>
      </c>
    </row>
    <row r="638" spans="2:16" ht="18" customHeight="1" x14ac:dyDescent="0.25">
      <c r="B638" s="21" t="s">
        <v>0</v>
      </c>
      <c r="C638" s="22" t="s">
        <v>944</v>
      </c>
      <c r="D638" s="22" t="s">
        <v>892</v>
      </c>
      <c r="E638" s="21" t="s">
        <v>2222</v>
      </c>
      <c r="F638" s="23" t="s">
        <v>3</v>
      </c>
      <c r="G638" s="23" t="s">
        <v>4</v>
      </c>
      <c r="H638" s="21" t="str">
        <f t="shared" si="9"/>
        <v>UD_26N_PU3/URBAN-DEMAND</v>
      </c>
      <c r="I638" s="24" t="s">
        <v>2223</v>
      </c>
      <c r="J638" s="10" t="str">
        <f>VLOOKUP(Table1[[#This Row],[UID]],CS3SVComposerConfig!$B$3:$D$1808,3,FALSE)</f>
        <v>CS3L2015V0Hydro_SV.dss</v>
      </c>
      <c r="K638" s="10" t="s">
        <v>2212</v>
      </c>
      <c r="L638" s="10" t="s">
        <v>2212</v>
      </c>
      <c r="M638" s="10" t="s">
        <v>2224</v>
      </c>
      <c r="N638" s="10" t="s">
        <v>2225</v>
      </c>
      <c r="O638" s="10" t="s">
        <v>2226</v>
      </c>
      <c r="P638" s="39" t="s">
        <v>2227</v>
      </c>
    </row>
    <row r="639" spans="2:16" ht="18" customHeight="1" x14ac:dyDescent="0.25">
      <c r="B639" s="21" t="s">
        <v>0</v>
      </c>
      <c r="C639" s="22" t="s">
        <v>945</v>
      </c>
      <c r="D639" s="22" t="s">
        <v>892</v>
      </c>
      <c r="E639" s="21" t="s">
        <v>2222</v>
      </c>
      <c r="F639" s="23" t="s">
        <v>3</v>
      </c>
      <c r="G639" s="23" t="s">
        <v>4</v>
      </c>
      <c r="H639" s="21" t="str">
        <f t="shared" si="9"/>
        <v>UD_26S_NU1/URBAN-DEMAND</v>
      </c>
      <c r="I639" s="24" t="s">
        <v>2223</v>
      </c>
      <c r="J639" s="10" t="str">
        <f>VLOOKUP(Table1[[#This Row],[UID]],CS3SVComposerConfig!$B$3:$D$1808,3,FALSE)</f>
        <v>CS3L2015V0Hydro_SV.dss</v>
      </c>
      <c r="K639" s="10" t="s">
        <v>2212</v>
      </c>
      <c r="L639" s="10" t="s">
        <v>2212</v>
      </c>
      <c r="M639" s="10" t="s">
        <v>2224</v>
      </c>
      <c r="N639" s="10" t="s">
        <v>2225</v>
      </c>
      <c r="O639" s="10" t="s">
        <v>2226</v>
      </c>
      <c r="P639" s="39" t="s">
        <v>2227</v>
      </c>
    </row>
    <row r="640" spans="2:16" ht="18" customHeight="1" x14ac:dyDescent="0.25">
      <c r="B640" s="21" t="s">
        <v>0</v>
      </c>
      <c r="C640" s="22" t="s">
        <v>946</v>
      </c>
      <c r="D640" s="22" t="s">
        <v>892</v>
      </c>
      <c r="E640" s="21" t="s">
        <v>2222</v>
      </c>
      <c r="F640" s="23" t="s">
        <v>3</v>
      </c>
      <c r="G640" s="23" t="s">
        <v>4</v>
      </c>
      <c r="H640" s="21" t="str">
        <f t="shared" si="9"/>
        <v>UD_26S_NU2/URBAN-DEMAND</v>
      </c>
      <c r="I640" s="24" t="s">
        <v>2223</v>
      </c>
      <c r="J640" s="10" t="str">
        <f>VLOOKUP(Table1[[#This Row],[UID]],CS3SVComposerConfig!$B$3:$D$1808,3,FALSE)</f>
        <v>CS3L2015V0Hydro_SV.dss</v>
      </c>
      <c r="K640" s="10" t="s">
        <v>2212</v>
      </c>
      <c r="L640" s="10" t="s">
        <v>2212</v>
      </c>
      <c r="M640" s="10" t="s">
        <v>2224</v>
      </c>
      <c r="N640" s="10" t="s">
        <v>2225</v>
      </c>
      <c r="O640" s="10" t="s">
        <v>2226</v>
      </c>
      <c r="P640" s="39" t="s">
        <v>2227</v>
      </c>
    </row>
    <row r="641" spans="2:16" ht="18" customHeight="1" x14ac:dyDescent="0.25">
      <c r="B641" s="21" t="s">
        <v>0</v>
      </c>
      <c r="C641" s="22" t="s">
        <v>947</v>
      </c>
      <c r="D641" s="22" t="s">
        <v>892</v>
      </c>
      <c r="E641" s="21" t="s">
        <v>2222</v>
      </c>
      <c r="F641" s="23" t="s">
        <v>3</v>
      </c>
      <c r="G641" s="23" t="s">
        <v>4</v>
      </c>
      <c r="H641" s="21" t="str">
        <f t="shared" si="9"/>
        <v>UD_26S_NU3/URBAN-DEMAND</v>
      </c>
      <c r="I641" s="24" t="s">
        <v>2223</v>
      </c>
      <c r="J641" s="10" t="str">
        <f>VLOOKUP(Table1[[#This Row],[UID]],CS3SVComposerConfig!$B$3:$D$1808,3,FALSE)</f>
        <v>CS3L2015V0Hydro_SV.dss</v>
      </c>
      <c r="K641" s="10" t="s">
        <v>2212</v>
      </c>
      <c r="L641" s="10" t="s">
        <v>2212</v>
      </c>
      <c r="M641" s="10" t="s">
        <v>2224</v>
      </c>
      <c r="N641" s="10" t="s">
        <v>2225</v>
      </c>
      <c r="O641" s="10" t="s">
        <v>2226</v>
      </c>
      <c r="P641" s="39" t="s">
        <v>2227</v>
      </c>
    </row>
    <row r="642" spans="2:16" ht="18" customHeight="1" x14ac:dyDescent="0.25">
      <c r="B642" s="21" t="s">
        <v>0</v>
      </c>
      <c r="C642" s="22" t="s">
        <v>948</v>
      </c>
      <c r="D642" s="22" t="s">
        <v>892</v>
      </c>
      <c r="E642" s="21" t="s">
        <v>2222</v>
      </c>
      <c r="F642" s="23" t="s">
        <v>3</v>
      </c>
      <c r="G642" s="23" t="s">
        <v>4</v>
      </c>
      <c r="H642" s="21" t="str">
        <f t="shared" si="9"/>
        <v>UD_26S_NU4/URBAN-DEMAND</v>
      </c>
      <c r="I642" s="24" t="s">
        <v>2223</v>
      </c>
      <c r="J642" s="10" t="str">
        <f>VLOOKUP(Table1[[#This Row],[UID]],CS3SVComposerConfig!$B$3:$D$1808,3,FALSE)</f>
        <v>CS3L2015V0Hydro_SV.dss</v>
      </c>
      <c r="K642" s="10" t="s">
        <v>2212</v>
      </c>
      <c r="L642" s="10" t="s">
        <v>2212</v>
      </c>
      <c r="M642" s="10" t="s">
        <v>2224</v>
      </c>
      <c r="N642" s="10" t="s">
        <v>2225</v>
      </c>
      <c r="O642" s="10" t="s">
        <v>2226</v>
      </c>
      <c r="P642" s="39" t="s">
        <v>2227</v>
      </c>
    </row>
    <row r="643" spans="2:16" ht="18" customHeight="1" x14ac:dyDescent="0.25">
      <c r="B643" s="21" t="s">
        <v>0</v>
      </c>
      <c r="C643" s="22" t="s">
        <v>949</v>
      </c>
      <c r="D643" s="22" t="s">
        <v>892</v>
      </c>
      <c r="E643" s="21" t="s">
        <v>2222</v>
      </c>
      <c r="F643" s="23" t="s">
        <v>3</v>
      </c>
      <c r="G643" s="23" t="s">
        <v>4</v>
      </c>
      <c r="H643" s="21" t="str">
        <f t="shared" ref="H643:H706" si="10">_xlfn.CONCAT(C643,"/",D643)</f>
        <v>UD_26S_PU1/URBAN-DEMAND</v>
      </c>
      <c r="I643" s="24" t="s">
        <v>2223</v>
      </c>
      <c r="J643" s="10" t="str">
        <f>VLOOKUP(Table1[[#This Row],[UID]],CS3SVComposerConfig!$B$3:$D$1808,3,FALSE)</f>
        <v>CS3L2015V0Hydro_SV.dss</v>
      </c>
      <c r="K643" s="10" t="s">
        <v>2212</v>
      </c>
      <c r="L643" s="10" t="s">
        <v>2212</v>
      </c>
      <c r="M643" s="10" t="s">
        <v>2224</v>
      </c>
      <c r="N643" s="10" t="s">
        <v>2225</v>
      </c>
      <c r="O643" s="10" t="s">
        <v>2226</v>
      </c>
      <c r="P643" s="39" t="s">
        <v>2227</v>
      </c>
    </row>
    <row r="644" spans="2:16" ht="18" customHeight="1" x14ac:dyDescent="0.25">
      <c r="B644" s="21" t="s">
        <v>0</v>
      </c>
      <c r="C644" s="22" t="s">
        <v>950</v>
      </c>
      <c r="D644" s="22" t="s">
        <v>892</v>
      </c>
      <c r="E644" s="21" t="s">
        <v>2222</v>
      </c>
      <c r="F644" s="23" t="s">
        <v>3</v>
      </c>
      <c r="G644" s="23" t="s">
        <v>4</v>
      </c>
      <c r="H644" s="21" t="str">
        <f t="shared" si="10"/>
        <v>UD_26S_PU2/URBAN-DEMAND</v>
      </c>
      <c r="I644" s="24" t="s">
        <v>2223</v>
      </c>
      <c r="J644" s="10" t="str">
        <f>VLOOKUP(Table1[[#This Row],[UID]],CS3SVComposerConfig!$B$3:$D$1808,3,FALSE)</f>
        <v>CS3L2015V0Hydro_SV.dss</v>
      </c>
      <c r="K644" s="10" t="s">
        <v>2212</v>
      </c>
      <c r="L644" s="10" t="s">
        <v>2212</v>
      </c>
      <c r="M644" s="10" t="s">
        <v>2224</v>
      </c>
      <c r="N644" s="10" t="s">
        <v>2225</v>
      </c>
      <c r="O644" s="10" t="s">
        <v>2226</v>
      </c>
      <c r="P644" s="39" t="s">
        <v>2227</v>
      </c>
    </row>
    <row r="645" spans="2:16" ht="18" customHeight="1" x14ac:dyDescent="0.25">
      <c r="B645" s="21" t="s">
        <v>0</v>
      </c>
      <c r="C645" s="22" t="s">
        <v>951</v>
      </c>
      <c r="D645" s="22" t="s">
        <v>892</v>
      </c>
      <c r="E645" s="21" t="s">
        <v>2222</v>
      </c>
      <c r="F645" s="23" t="s">
        <v>3</v>
      </c>
      <c r="G645" s="23" t="s">
        <v>4</v>
      </c>
      <c r="H645" s="21" t="str">
        <f t="shared" si="10"/>
        <v>UD_26S_PU3/URBAN-DEMAND</v>
      </c>
      <c r="I645" s="24" t="s">
        <v>2223</v>
      </c>
      <c r="J645" s="10" t="str">
        <f>VLOOKUP(Table1[[#This Row],[UID]],CS3SVComposerConfig!$B$3:$D$1808,3,FALSE)</f>
        <v>CS3L2015V0Hydro_SV.dss</v>
      </c>
      <c r="K645" s="10" t="s">
        <v>2212</v>
      </c>
      <c r="L645" s="10" t="s">
        <v>2212</v>
      </c>
      <c r="M645" s="10" t="s">
        <v>2224</v>
      </c>
      <c r="N645" s="10" t="s">
        <v>2225</v>
      </c>
      <c r="O645" s="10" t="s">
        <v>2226</v>
      </c>
      <c r="P645" s="39" t="s">
        <v>2227</v>
      </c>
    </row>
    <row r="646" spans="2:16" ht="18" customHeight="1" x14ac:dyDescent="0.25">
      <c r="B646" s="21" t="s">
        <v>0</v>
      </c>
      <c r="C646" s="22" t="s">
        <v>952</v>
      </c>
      <c r="D646" s="22" t="s">
        <v>892</v>
      </c>
      <c r="E646" s="21" t="s">
        <v>2222</v>
      </c>
      <c r="F646" s="23" t="s">
        <v>3</v>
      </c>
      <c r="G646" s="23" t="s">
        <v>4</v>
      </c>
      <c r="H646" s="21" t="str">
        <f t="shared" si="10"/>
        <v>UD_26S_PU4/URBAN-DEMAND</v>
      </c>
      <c r="I646" s="24" t="s">
        <v>2223</v>
      </c>
      <c r="J646" s="10" t="str">
        <f>VLOOKUP(Table1[[#This Row],[UID]],CS3SVComposerConfig!$B$3:$D$1808,3,FALSE)</f>
        <v>CS3L2015V0Hydro_SV.dss</v>
      </c>
      <c r="K646" s="10" t="s">
        <v>2212</v>
      </c>
      <c r="L646" s="10" t="s">
        <v>2212</v>
      </c>
      <c r="M646" s="10" t="s">
        <v>2224</v>
      </c>
      <c r="N646" s="10" t="s">
        <v>2225</v>
      </c>
      <c r="O646" s="10" t="s">
        <v>2226</v>
      </c>
      <c r="P646" s="39" t="s">
        <v>2227</v>
      </c>
    </row>
    <row r="647" spans="2:16" ht="18" customHeight="1" x14ac:dyDescent="0.25">
      <c r="B647" s="21" t="s">
        <v>0</v>
      </c>
      <c r="C647" s="22" t="s">
        <v>953</v>
      </c>
      <c r="D647" s="22" t="s">
        <v>892</v>
      </c>
      <c r="E647" s="21" t="s">
        <v>2222</v>
      </c>
      <c r="F647" s="23" t="s">
        <v>3</v>
      </c>
      <c r="G647" s="23" t="s">
        <v>4</v>
      </c>
      <c r="H647" s="21" t="str">
        <f t="shared" si="10"/>
        <v>UD_26S_PU5/URBAN-DEMAND</v>
      </c>
      <c r="I647" s="24" t="s">
        <v>2223</v>
      </c>
      <c r="J647" s="10" t="str">
        <f>VLOOKUP(Table1[[#This Row],[UID]],CS3SVComposerConfig!$B$3:$D$1808,3,FALSE)</f>
        <v>CS3L2015V0Hydro_SV.dss</v>
      </c>
      <c r="K647" s="10" t="s">
        <v>2212</v>
      </c>
      <c r="L647" s="10" t="s">
        <v>2212</v>
      </c>
      <c r="M647" s="10" t="s">
        <v>2224</v>
      </c>
      <c r="N647" s="10" t="s">
        <v>2225</v>
      </c>
      <c r="O647" s="10" t="s">
        <v>2226</v>
      </c>
      <c r="P647" s="39" t="s">
        <v>2227</v>
      </c>
    </row>
    <row r="648" spans="2:16" ht="18" customHeight="1" x14ac:dyDescent="0.25">
      <c r="B648" s="21" t="s">
        <v>0</v>
      </c>
      <c r="C648" s="22" t="s">
        <v>954</v>
      </c>
      <c r="D648" s="22" t="s">
        <v>892</v>
      </c>
      <c r="E648" s="21" t="s">
        <v>2222</v>
      </c>
      <c r="F648" s="23" t="s">
        <v>3</v>
      </c>
      <c r="G648" s="23" t="s">
        <v>4</v>
      </c>
      <c r="H648" s="21" t="str">
        <f t="shared" si="10"/>
        <v>UD_26S_PU6/URBAN-DEMAND</v>
      </c>
      <c r="I648" s="24" t="s">
        <v>2223</v>
      </c>
      <c r="J648" s="10" t="str">
        <f>VLOOKUP(Table1[[#This Row],[UID]],CS3SVComposerConfig!$B$3:$D$1808,3,FALSE)</f>
        <v>CS3L2015V0Hydro_SV.dss</v>
      </c>
      <c r="K648" s="10" t="s">
        <v>2212</v>
      </c>
      <c r="L648" s="10" t="s">
        <v>2212</v>
      </c>
      <c r="M648" s="10" t="s">
        <v>2224</v>
      </c>
      <c r="N648" s="10" t="s">
        <v>2225</v>
      </c>
      <c r="O648" s="10" t="s">
        <v>2226</v>
      </c>
      <c r="P648" s="39" t="s">
        <v>2227</v>
      </c>
    </row>
    <row r="649" spans="2:16" ht="18" customHeight="1" x14ac:dyDescent="0.25">
      <c r="B649" s="21" t="s">
        <v>0</v>
      </c>
      <c r="C649" s="22" t="s">
        <v>956</v>
      </c>
      <c r="D649" s="22" t="s">
        <v>892</v>
      </c>
      <c r="E649" s="21" t="s">
        <v>2222</v>
      </c>
      <c r="F649" s="23" t="s">
        <v>3</v>
      </c>
      <c r="G649" s="23" t="s">
        <v>4</v>
      </c>
      <c r="H649" s="21" t="str">
        <f t="shared" si="10"/>
        <v>UD_60N_NU1/URBAN-DEMAND</v>
      </c>
      <c r="I649" s="24" t="s">
        <v>2223</v>
      </c>
      <c r="J649" s="10" t="str">
        <f>VLOOKUP(Table1[[#This Row],[UID]],CS3SVComposerConfig!$B$3:$D$1808,3,FALSE)</f>
        <v>CS3L2015V0Hydro_SV.dss</v>
      </c>
      <c r="K649" s="10" t="s">
        <v>2212</v>
      </c>
      <c r="L649" s="10" t="s">
        <v>2212</v>
      </c>
      <c r="M649" s="10" t="s">
        <v>2224</v>
      </c>
      <c r="N649" s="10" t="s">
        <v>2225</v>
      </c>
      <c r="O649" s="10" t="s">
        <v>2226</v>
      </c>
      <c r="P649" s="39" t="s">
        <v>2227</v>
      </c>
    </row>
    <row r="650" spans="2:16" ht="18" customHeight="1" x14ac:dyDescent="0.25">
      <c r="B650" s="21" t="s">
        <v>0</v>
      </c>
      <c r="C650" s="22" t="s">
        <v>957</v>
      </c>
      <c r="D650" s="22" t="s">
        <v>892</v>
      </c>
      <c r="E650" s="21" t="s">
        <v>2222</v>
      </c>
      <c r="F650" s="23" t="s">
        <v>3</v>
      </c>
      <c r="G650" s="23" t="s">
        <v>4</v>
      </c>
      <c r="H650" s="21" t="str">
        <f t="shared" si="10"/>
        <v>UD_60N_NU2/URBAN-DEMAND</v>
      </c>
      <c r="I650" s="24" t="s">
        <v>2223</v>
      </c>
      <c r="J650" s="10" t="str">
        <f>VLOOKUP(Table1[[#This Row],[UID]],CS3SVComposerConfig!$B$3:$D$1808,3,FALSE)</f>
        <v>CS3L2015V0Hydro_SV.dss</v>
      </c>
      <c r="K650" s="10" t="s">
        <v>2212</v>
      </c>
      <c r="L650" s="10" t="s">
        <v>2212</v>
      </c>
      <c r="M650" s="10" t="s">
        <v>2224</v>
      </c>
      <c r="N650" s="10" t="s">
        <v>2225</v>
      </c>
      <c r="O650" s="10" t="s">
        <v>2226</v>
      </c>
      <c r="P650" s="39" t="s">
        <v>2227</v>
      </c>
    </row>
    <row r="651" spans="2:16" ht="18" customHeight="1" x14ac:dyDescent="0.25">
      <c r="B651" s="21" t="s">
        <v>0</v>
      </c>
      <c r="C651" s="22" t="s">
        <v>958</v>
      </c>
      <c r="D651" s="22" t="s">
        <v>892</v>
      </c>
      <c r="E651" s="21" t="s">
        <v>2222</v>
      </c>
      <c r="F651" s="23" t="s">
        <v>3</v>
      </c>
      <c r="G651" s="23" t="s">
        <v>4</v>
      </c>
      <c r="H651" s="21" t="str">
        <f t="shared" si="10"/>
        <v>UD_60N_PU/URBAN-DEMAND</v>
      </c>
      <c r="I651" s="24" t="s">
        <v>2223</v>
      </c>
      <c r="J651" s="10" t="str">
        <f>VLOOKUP(Table1[[#This Row],[UID]],CS3SVComposerConfig!$B$3:$D$1808,3,FALSE)</f>
        <v>CS3L2015V0Hydro_SV.dss</v>
      </c>
      <c r="K651" s="10" t="s">
        <v>2212</v>
      </c>
      <c r="L651" s="10" t="s">
        <v>2212</v>
      </c>
      <c r="M651" s="10" t="s">
        <v>2224</v>
      </c>
      <c r="N651" s="10" t="s">
        <v>2225</v>
      </c>
      <c r="O651" s="10" t="s">
        <v>2226</v>
      </c>
      <c r="P651" s="39" t="s">
        <v>2227</v>
      </c>
    </row>
    <row r="652" spans="2:16" ht="18" customHeight="1" x14ac:dyDescent="0.25">
      <c r="B652" s="21" t="s">
        <v>0</v>
      </c>
      <c r="C652" s="22" t="s">
        <v>959</v>
      </c>
      <c r="D652" s="22" t="s">
        <v>892</v>
      </c>
      <c r="E652" s="21" t="s">
        <v>2222</v>
      </c>
      <c r="F652" s="23" t="s">
        <v>3</v>
      </c>
      <c r="G652" s="23" t="s">
        <v>4</v>
      </c>
      <c r="H652" s="21" t="str">
        <f t="shared" si="10"/>
        <v>UD_60S_NU1/URBAN-DEMAND</v>
      </c>
      <c r="I652" s="24" t="s">
        <v>2223</v>
      </c>
      <c r="J652" s="10" t="str">
        <f>VLOOKUP(Table1[[#This Row],[UID]],CS3SVComposerConfig!$B$3:$D$1808,3,FALSE)</f>
        <v>CS3L2015V0Hydro_SV.dss</v>
      </c>
      <c r="K652" s="10" t="s">
        <v>2212</v>
      </c>
      <c r="L652" s="10" t="s">
        <v>2212</v>
      </c>
      <c r="M652" s="10" t="s">
        <v>2224</v>
      </c>
      <c r="N652" s="10" t="s">
        <v>2225</v>
      </c>
      <c r="O652" s="10" t="s">
        <v>2226</v>
      </c>
      <c r="P652" s="39" t="s">
        <v>2227</v>
      </c>
    </row>
    <row r="653" spans="2:16" ht="18" customHeight="1" x14ac:dyDescent="0.25">
      <c r="B653" s="21" t="s">
        <v>0</v>
      </c>
      <c r="C653" s="22" t="s">
        <v>2229</v>
      </c>
      <c r="D653" s="22" t="s">
        <v>892</v>
      </c>
      <c r="E653" s="21" t="s">
        <v>2222</v>
      </c>
      <c r="F653" s="23" t="s">
        <v>3</v>
      </c>
      <c r="G653" s="23" t="s">
        <v>4</v>
      </c>
      <c r="H653" s="21" t="str">
        <f t="shared" si="10"/>
        <v>UD_60S_NU2/URBAN-DEMAND</v>
      </c>
      <c r="I653" s="24" t="s">
        <v>2223</v>
      </c>
      <c r="J653" s="10" t="str">
        <f>VLOOKUP(Table1[[#This Row],[UID]],CS3SVComposerConfig!$B$3:$D$1808,3,FALSE)</f>
        <v>CS3L2015V0Hydro_SV.dss</v>
      </c>
      <c r="K653" s="10" t="s">
        <v>2212</v>
      </c>
      <c r="L653" s="10" t="s">
        <v>2224</v>
      </c>
      <c r="M653" s="10" t="s">
        <v>2224</v>
      </c>
      <c r="N653" s="10" t="s">
        <v>2225</v>
      </c>
      <c r="O653" s="10" t="s">
        <v>2226</v>
      </c>
      <c r="P653" s="39" t="s">
        <v>2227</v>
      </c>
    </row>
    <row r="654" spans="2:16" ht="18" customHeight="1" x14ac:dyDescent="0.25">
      <c r="B654" s="21" t="s">
        <v>0</v>
      </c>
      <c r="C654" s="22" t="s">
        <v>960</v>
      </c>
      <c r="D654" s="22" t="s">
        <v>892</v>
      </c>
      <c r="E654" s="21" t="s">
        <v>2222</v>
      </c>
      <c r="F654" s="23" t="s">
        <v>3</v>
      </c>
      <c r="G654" s="23" t="s">
        <v>4</v>
      </c>
      <c r="H654" s="21" t="str">
        <f t="shared" si="10"/>
        <v>UD_61_NU1/URBAN-DEMAND</v>
      </c>
      <c r="I654" s="24" t="s">
        <v>2223</v>
      </c>
      <c r="J654" s="10" t="str">
        <f>VLOOKUP(Table1[[#This Row],[UID]],CS3SVComposerConfig!$B$3:$D$1808,3,FALSE)</f>
        <v>CS3L2015V0Hydro_SV.dss</v>
      </c>
      <c r="K654" s="10" t="s">
        <v>2212</v>
      </c>
      <c r="L654" s="10" t="s">
        <v>2212</v>
      </c>
      <c r="M654" s="10" t="s">
        <v>2224</v>
      </c>
      <c r="N654" s="10" t="s">
        <v>2225</v>
      </c>
      <c r="O654" s="10" t="s">
        <v>2226</v>
      </c>
      <c r="P654" s="39" t="s">
        <v>2227</v>
      </c>
    </row>
    <row r="655" spans="2:16" ht="18" customHeight="1" x14ac:dyDescent="0.25">
      <c r="B655" s="21" t="s">
        <v>0</v>
      </c>
      <c r="C655" s="22" t="s">
        <v>961</v>
      </c>
      <c r="D655" s="22" t="s">
        <v>892</v>
      </c>
      <c r="E655" s="21" t="s">
        <v>2222</v>
      </c>
      <c r="F655" s="23" t="s">
        <v>3</v>
      </c>
      <c r="G655" s="23" t="s">
        <v>4</v>
      </c>
      <c r="H655" s="21" t="str">
        <f t="shared" si="10"/>
        <v>UD_61_NU2/URBAN-DEMAND</v>
      </c>
      <c r="I655" s="24" t="s">
        <v>2223</v>
      </c>
      <c r="J655" s="10" t="str">
        <f>VLOOKUP(Table1[[#This Row],[UID]],CS3SVComposerConfig!$B$3:$D$1808,3,FALSE)</f>
        <v>CS3L2015V0Hydro_SV.dss</v>
      </c>
      <c r="K655" s="10" t="s">
        <v>2212</v>
      </c>
      <c r="L655" s="10" t="s">
        <v>2212</v>
      </c>
      <c r="M655" s="10" t="s">
        <v>2224</v>
      </c>
      <c r="N655" s="10" t="s">
        <v>2225</v>
      </c>
      <c r="O655" s="10" t="s">
        <v>2226</v>
      </c>
      <c r="P655" s="39" t="s">
        <v>2227</v>
      </c>
    </row>
    <row r="656" spans="2:16" ht="18" customHeight="1" x14ac:dyDescent="0.25">
      <c r="B656" s="21" t="s">
        <v>0</v>
      </c>
      <c r="C656" s="22" t="s">
        <v>962</v>
      </c>
      <c r="D656" s="22" t="s">
        <v>892</v>
      </c>
      <c r="E656" s="21" t="s">
        <v>2222</v>
      </c>
      <c r="F656" s="23" t="s">
        <v>3</v>
      </c>
      <c r="G656" s="23" t="s">
        <v>4</v>
      </c>
      <c r="H656" s="21" t="str">
        <f t="shared" si="10"/>
        <v>UD_61_NU3/URBAN-DEMAND</v>
      </c>
      <c r="I656" s="24" t="s">
        <v>2223</v>
      </c>
      <c r="J656" s="10" t="str">
        <f>VLOOKUP(Table1[[#This Row],[UID]],CS3SVComposerConfig!$B$3:$D$1808,3,FALSE)</f>
        <v>CS3L2015V0Hydro_SV.dss</v>
      </c>
      <c r="K656" s="10" t="s">
        <v>2212</v>
      </c>
      <c r="L656" s="10" t="s">
        <v>2212</v>
      </c>
      <c r="M656" s="10" t="s">
        <v>2224</v>
      </c>
      <c r="N656" s="10" t="s">
        <v>2225</v>
      </c>
      <c r="O656" s="10" t="s">
        <v>2226</v>
      </c>
      <c r="P656" s="39" t="s">
        <v>2227</v>
      </c>
    </row>
    <row r="657" spans="2:16" ht="18" customHeight="1" x14ac:dyDescent="0.25">
      <c r="B657" s="21" t="s">
        <v>0</v>
      </c>
      <c r="C657" s="22" t="s">
        <v>963</v>
      </c>
      <c r="D657" s="22" t="s">
        <v>892</v>
      </c>
      <c r="E657" s="21" t="s">
        <v>2222</v>
      </c>
      <c r="F657" s="23" t="s">
        <v>3</v>
      </c>
      <c r="G657" s="23" t="s">
        <v>4</v>
      </c>
      <c r="H657" s="21" t="str">
        <f t="shared" si="10"/>
        <v>UD_62_NU/URBAN-DEMAND</v>
      </c>
      <c r="I657" s="24" t="s">
        <v>2223</v>
      </c>
      <c r="J657" s="10" t="str">
        <f>VLOOKUP(Table1[[#This Row],[UID]],CS3SVComposerConfig!$B$3:$D$1808,3,FALSE)</f>
        <v>CS3L2015V0Hydro_SV.dss</v>
      </c>
      <c r="K657" s="10" t="s">
        <v>2212</v>
      </c>
      <c r="L657" s="10" t="s">
        <v>2212</v>
      </c>
      <c r="M657" s="10" t="s">
        <v>2224</v>
      </c>
      <c r="N657" s="10" t="s">
        <v>2225</v>
      </c>
      <c r="O657" s="10" t="s">
        <v>2226</v>
      </c>
      <c r="P657" s="39" t="s">
        <v>2227</v>
      </c>
    </row>
    <row r="658" spans="2:16" ht="18" customHeight="1" x14ac:dyDescent="0.25">
      <c r="B658" s="21" t="s">
        <v>0</v>
      </c>
      <c r="C658" s="22" t="s">
        <v>964</v>
      </c>
      <c r="D658" s="22" t="s">
        <v>892</v>
      </c>
      <c r="E658" s="21" t="s">
        <v>2222</v>
      </c>
      <c r="F658" s="23" t="s">
        <v>3</v>
      </c>
      <c r="G658" s="23" t="s">
        <v>4</v>
      </c>
      <c r="H658" s="21" t="str">
        <f t="shared" si="10"/>
        <v>UD_63_NU/URBAN-DEMAND</v>
      </c>
      <c r="I658" s="24" t="s">
        <v>2223</v>
      </c>
      <c r="J658" s="10" t="str">
        <f>VLOOKUP(Table1[[#This Row],[UID]],CS3SVComposerConfig!$B$3:$D$1808,3,FALSE)</f>
        <v>CS3L2015V0Hydro_SV.dss</v>
      </c>
      <c r="K658" s="10" t="s">
        <v>2212</v>
      </c>
      <c r="L658" s="10" t="s">
        <v>2212</v>
      </c>
      <c r="M658" s="10" t="s">
        <v>2224</v>
      </c>
      <c r="N658" s="10" t="s">
        <v>2225</v>
      </c>
      <c r="O658" s="10" t="s">
        <v>2226</v>
      </c>
      <c r="P658" s="39" t="s">
        <v>2227</v>
      </c>
    </row>
    <row r="659" spans="2:16" ht="18" customHeight="1" x14ac:dyDescent="0.25">
      <c r="B659" s="21" t="s">
        <v>0</v>
      </c>
      <c r="C659" s="22" t="s">
        <v>965</v>
      </c>
      <c r="D659" s="22" t="s">
        <v>892</v>
      </c>
      <c r="E659" s="21" t="s">
        <v>2222</v>
      </c>
      <c r="F659" s="23" t="s">
        <v>3</v>
      </c>
      <c r="G659" s="23" t="s">
        <v>4</v>
      </c>
      <c r="H659" s="21" t="str">
        <f t="shared" si="10"/>
        <v>UD_64_NU/URBAN-DEMAND</v>
      </c>
      <c r="I659" s="24" t="s">
        <v>2223</v>
      </c>
      <c r="J659" s="10" t="str">
        <f>VLOOKUP(Table1[[#This Row],[UID]],CS3SVComposerConfig!$B$3:$D$1808,3,FALSE)</f>
        <v>CS3L2015V0Hydro_SV.dss</v>
      </c>
      <c r="K659" s="10" t="s">
        <v>2212</v>
      </c>
      <c r="L659" s="10" t="s">
        <v>2212</v>
      </c>
      <c r="M659" s="10" t="s">
        <v>2224</v>
      </c>
      <c r="N659" s="10" t="s">
        <v>2225</v>
      </c>
      <c r="O659" s="10" t="s">
        <v>2226</v>
      </c>
      <c r="P659" s="39" t="s">
        <v>2227</v>
      </c>
    </row>
    <row r="660" spans="2:16" ht="18" customHeight="1" x14ac:dyDescent="0.25">
      <c r="B660" s="21" t="s">
        <v>0</v>
      </c>
      <c r="C660" s="22" t="s">
        <v>966</v>
      </c>
      <c r="D660" s="22" t="s">
        <v>892</v>
      </c>
      <c r="E660" s="21" t="s">
        <v>2222</v>
      </c>
      <c r="F660" s="23" t="s">
        <v>3</v>
      </c>
      <c r="G660" s="23" t="s">
        <v>4</v>
      </c>
      <c r="H660" s="21" t="str">
        <f t="shared" si="10"/>
        <v>UD_71_NU/URBAN-DEMAND</v>
      </c>
      <c r="I660" s="24" t="s">
        <v>2223</v>
      </c>
      <c r="J660" s="10" t="str">
        <f>VLOOKUP(Table1[[#This Row],[UID]],CS3SVComposerConfig!$B$3:$D$1808,3,FALSE)</f>
        <v>CS3L2015V0Hydro_SV.dss</v>
      </c>
      <c r="K660" s="10" t="s">
        <v>2212</v>
      </c>
      <c r="L660" s="10" t="s">
        <v>2212</v>
      </c>
      <c r="M660" s="10" t="s">
        <v>2224</v>
      </c>
      <c r="N660" s="10" t="s">
        <v>2225</v>
      </c>
      <c r="O660" s="10" t="s">
        <v>2226</v>
      </c>
      <c r="P660" s="39" t="s">
        <v>2227</v>
      </c>
    </row>
    <row r="661" spans="2:16" ht="18" customHeight="1" x14ac:dyDescent="0.25">
      <c r="B661" s="21" t="s">
        <v>0</v>
      </c>
      <c r="C661" s="22" t="s">
        <v>967</v>
      </c>
      <c r="D661" s="22" t="s">
        <v>892</v>
      </c>
      <c r="E661" s="21" t="s">
        <v>2222</v>
      </c>
      <c r="F661" s="23" t="s">
        <v>3</v>
      </c>
      <c r="G661" s="23" t="s">
        <v>4</v>
      </c>
      <c r="H661" s="21" t="str">
        <f t="shared" si="10"/>
        <v>UD_71_PU1/URBAN-DEMAND</v>
      </c>
      <c r="I661" s="24" t="s">
        <v>2223</v>
      </c>
      <c r="J661" s="10" t="str">
        <f>VLOOKUP(Table1[[#This Row],[UID]],CS3SVComposerConfig!$B$3:$D$1808,3,FALSE)</f>
        <v>CS3L2015V0Hydro_SV.dss</v>
      </c>
      <c r="K661" s="10" t="s">
        <v>2212</v>
      </c>
      <c r="L661" s="10" t="s">
        <v>2224</v>
      </c>
      <c r="M661" s="10" t="s">
        <v>2224</v>
      </c>
      <c r="N661" s="10" t="s">
        <v>2225</v>
      </c>
      <c r="O661" s="10" t="s">
        <v>2226</v>
      </c>
      <c r="P661" s="39" t="s">
        <v>2227</v>
      </c>
    </row>
    <row r="662" spans="2:16" ht="18" customHeight="1" x14ac:dyDescent="0.25">
      <c r="B662" s="21" t="s">
        <v>0</v>
      </c>
      <c r="C662" s="22" t="s">
        <v>968</v>
      </c>
      <c r="D662" s="22" t="s">
        <v>892</v>
      </c>
      <c r="E662" s="21" t="s">
        <v>2222</v>
      </c>
      <c r="F662" s="23" t="s">
        <v>3</v>
      </c>
      <c r="G662" s="23" t="s">
        <v>4</v>
      </c>
      <c r="H662" s="21" t="str">
        <f t="shared" si="10"/>
        <v>UD_71_PU2/URBAN-DEMAND</v>
      </c>
      <c r="I662" s="24" t="s">
        <v>2223</v>
      </c>
      <c r="J662" s="10" t="str">
        <f>VLOOKUP(Table1[[#This Row],[UID]],CS3SVComposerConfig!$B$3:$D$1808,3,FALSE)</f>
        <v>CS3L2015V0Hydro_SV.dss</v>
      </c>
      <c r="K662" s="10" t="s">
        <v>2212</v>
      </c>
      <c r="L662" s="10" t="s">
        <v>2212</v>
      </c>
      <c r="M662" s="10" t="s">
        <v>2224</v>
      </c>
      <c r="N662" s="10" t="s">
        <v>2225</v>
      </c>
      <c r="O662" s="10" t="s">
        <v>2226</v>
      </c>
      <c r="P662" s="39" t="s">
        <v>2227</v>
      </c>
    </row>
    <row r="663" spans="2:16" ht="18" customHeight="1" x14ac:dyDescent="0.25">
      <c r="B663" s="21" t="s">
        <v>0</v>
      </c>
      <c r="C663" s="22" t="s">
        <v>969</v>
      </c>
      <c r="D663" s="22" t="s">
        <v>892</v>
      </c>
      <c r="E663" s="21" t="s">
        <v>2222</v>
      </c>
      <c r="F663" s="23" t="s">
        <v>3</v>
      </c>
      <c r="G663" s="23" t="s">
        <v>4</v>
      </c>
      <c r="H663" s="21" t="str">
        <f t="shared" si="10"/>
        <v>UD_72_NU/URBAN-DEMAND</v>
      </c>
      <c r="I663" s="24" t="s">
        <v>2223</v>
      </c>
      <c r="J663" s="10" t="str">
        <f>VLOOKUP(Table1[[#This Row],[UID]],CS3SVComposerConfig!$B$3:$D$1808,3,FALSE)</f>
        <v>CS3L2015V0Hydro_SV.dss</v>
      </c>
      <c r="K663" s="10" t="s">
        <v>2212</v>
      </c>
      <c r="L663" s="10" t="s">
        <v>2212</v>
      </c>
      <c r="M663" s="10" t="s">
        <v>2224</v>
      </c>
      <c r="N663" s="10" t="s">
        <v>2225</v>
      </c>
      <c r="O663" s="10" t="s">
        <v>2226</v>
      </c>
      <c r="P663" s="39" t="s">
        <v>2227</v>
      </c>
    </row>
    <row r="664" spans="2:16" ht="18" customHeight="1" x14ac:dyDescent="0.25">
      <c r="B664" s="21" t="s">
        <v>0</v>
      </c>
      <c r="C664" s="22" t="s">
        <v>970</v>
      </c>
      <c r="D664" s="22" t="s">
        <v>892</v>
      </c>
      <c r="E664" s="21" t="s">
        <v>2222</v>
      </c>
      <c r="F664" s="23" t="s">
        <v>3</v>
      </c>
      <c r="G664" s="23" t="s">
        <v>4</v>
      </c>
      <c r="H664" s="21" t="str">
        <f t="shared" si="10"/>
        <v>UD_72_PU/URBAN-DEMAND</v>
      </c>
      <c r="I664" s="24" t="s">
        <v>2223</v>
      </c>
      <c r="J664" s="10" t="str">
        <f>VLOOKUP(Table1[[#This Row],[UID]],CS3SVComposerConfig!$B$3:$D$1808,3,FALSE)</f>
        <v>CS3L2015V0Hydro_SV.dss</v>
      </c>
      <c r="K664" s="10" t="s">
        <v>2212</v>
      </c>
      <c r="L664" s="10" t="s">
        <v>2212</v>
      </c>
      <c r="M664" s="10" t="s">
        <v>2224</v>
      </c>
      <c r="N664" s="10" t="s">
        <v>2225</v>
      </c>
      <c r="O664" s="10" t="s">
        <v>2226</v>
      </c>
      <c r="P664" s="39" t="s">
        <v>2227</v>
      </c>
    </row>
    <row r="665" spans="2:16" ht="18" customHeight="1" x14ac:dyDescent="0.25">
      <c r="B665" s="21" t="s">
        <v>0</v>
      </c>
      <c r="C665" s="22" t="s">
        <v>971</v>
      </c>
      <c r="D665" s="22" t="s">
        <v>892</v>
      </c>
      <c r="E665" s="21" t="s">
        <v>2222</v>
      </c>
      <c r="F665" s="23" t="s">
        <v>3</v>
      </c>
      <c r="G665" s="23" t="s">
        <v>4</v>
      </c>
      <c r="H665" s="21" t="str">
        <f t="shared" si="10"/>
        <v>UD_73_NU/URBAN-DEMAND</v>
      </c>
      <c r="I665" s="24" t="s">
        <v>2223</v>
      </c>
      <c r="J665" s="10" t="str">
        <f>VLOOKUP(Table1[[#This Row],[UID]],CS3SVComposerConfig!$B$3:$D$1808,3,FALSE)</f>
        <v>CS3L2015V0Hydro_SV.dss</v>
      </c>
      <c r="K665" s="10" t="s">
        <v>2212</v>
      </c>
      <c r="L665" s="10" t="s">
        <v>2212</v>
      </c>
      <c r="M665" s="10" t="s">
        <v>2224</v>
      </c>
      <c r="N665" s="10" t="s">
        <v>2225</v>
      </c>
      <c r="O665" s="10" t="s">
        <v>2226</v>
      </c>
      <c r="P665" s="39" t="s">
        <v>2227</v>
      </c>
    </row>
    <row r="666" spans="2:16" ht="18" customHeight="1" x14ac:dyDescent="0.25">
      <c r="B666" s="21" t="s">
        <v>0</v>
      </c>
      <c r="C666" s="22" t="s">
        <v>972</v>
      </c>
      <c r="D666" s="22" t="s">
        <v>892</v>
      </c>
      <c r="E666" s="21" t="s">
        <v>2222</v>
      </c>
      <c r="F666" s="23" t="s">
        <v>3</v>
      </c>
      <c r="G666" s="23" t="s">
        <v>4</v>
      </c>
      <c r="H666" s="21" t="str">
        <f t="shared" si="10"/>
        <v>UD_90_PU/URBAN-DEMAND</v>
      </c>
      <c r="I666" s="24" t="s">
        <v>2223</v>
      </c>
      <c r="J666" s="10" t="str">
        <f>VLOOKUP(Table1[[#This Row],[UID]],CS3SVComposerConfig!$B$3:$D$1808,3,FALSE)</f>
        <v>CS3L2015V0Hydro_SV.dss</v>
      </c>
      <c r="K666" s="10" t="s">
        <v>2212</v>
      </c>
      <c r="L666" s="10" t="s">
        <v>2212</v>
      </c>
      <c r="M666" s="10" t="s">
        <v>2224</v>
      </c>
      <c r="N666" s="10" t="s">
        <v>2225</v>
      </c>
      <c r="O666" s="10" t="s">
        <v>2226</v>
      </c>
      <c r="P666" s="39" t="s">
        <v>2227</v>
      </c>
    </row>
    <row r="667" spans="2:16" ht="18" customHeight="1" x14ac:dyDescent="0.25">
      <c r="B667" s="21" t="s">
        <v>0</v>
      </c>
      <c r="C667" s="22" t="s">
        <v>992</v>
      </c>
      <c r="D667" s="22" t="s">
        <v>993</v>
      </c>
      <c r="E667" s="21" t="s">
        <v>2222</v>
      </c>
      <c r="F667" s="23" t="s">
        <v>3</v>
      </c>
      <c r="G667" s="23" t="s">
        <v>4</v>
      </c>
      <c r="H667" s="21" t="str">
        <f t="shared" si="10"/>
        <v>WW_02_NU/WASTEWATER</v>
      </c>
      <c r="I667" s="24" t="s">
        <v>2223</v>
      </c>
      <c r="J667" s="10" t="str">
        <f>VLOOKUP(Table1[[#This Row],[UID]],CS3SVComposerConfig!$B$3:$D$1808,3,FALSE)</f>
        <v>CS3L2015V0Hydro_SV.dss</v>
      </c>
      <c r="K667" s="10" t="s">
        <v>2212</v>
      </c>
      <c r="L667" s="10" t="s">
        <v>2212</v>
      </c>
      <c r="M667" s="10" t="s">
        <v>2224</v>
      </c>
      <c r="N667" s="10" t="s">
        <v>2225</v>
      </c>
      <c r="O667" s="10" t="s">
        <v>2226</v>
      </c>
      <c r="P667" s="39" t="s">
        <v>2227</v>
      </c>
    </row>
    <row r="668" spans="2:16" ht="18" customHeight="1" x14ac:dyDescent="0.25">
      <c r="B668" s="21" t="s">
        <v>0</v>
      </c>
      <c r="C668" s="22" t="s">
        <v>994</v>
      </c>
      <c r="D668" s="22" t="s">
        <v>993</v>
      </c>
      <c r="E668" s="21" t="s">
        <v>2222</v>
      </c>
      <c r="F668" s="23" t="s">
        <v>3</v>
      </c>
      <c r="G668" s="23" t="s">
        <v>4</v>
      </c>
      <c r="H668" s="21" t="str">
        <f t="shared" si="10"/>
        <v>WW_02_PU/WASTEWATER</v>
      </c>
      <c r="I668" s="24" t="s">
        <v>2223</v>
      </c>
      <c r="J668" s="10" t="str">
        <f>VLOOKUP(Table1[[#This Row],[UID]],CS3SVComposerConfig!$B$3:$D$1808,3,FALSE)</f>
        <v>CS3L2015V0Hydro_SV.dss</v>
      </c>
      <c r="K668" s="10" t="s">
        <v>2212</v>
      </c>
      <c r="L668" s="10" t="s">
        <v>2212</v>
      </c>
      <c r="M668" s="10" t="s">
        <v>2224</v>
      </c>
      <c r="N668" s="10" t="s">
        <v>2225</v>
      </c>
      <c r="O668" s="10" t="s">
        <v>2226</v>
      </c>
      <c r="P668" s="39" t="s">
        <v>2227</v>
      </c>
    </row>
    <row r="669" spans="2:16" ht="18" customHeight="1" x14ac:dyDescent="0.25">
      <c r="B669" s="21" t="s">
        <v>0</v>
      </c>
      <c r="C669" s="22" t="s">
        <v>995</v>
      </c>
      <c r="D669" s="22" t="s">
        <v>993</v>
      </c>
      <c r="E669" s="21" t="s">
        <v>2222</v>
      </c>
      <c r="F669" s="23" t="s">
        <v>3</v>
      </c>
      <c r="G669" s="23" t="s">
        <v>4</v>
      </c>
      <c r="H669" s="21" t="str">
        <f t="shared" si="10"/>
        <v>WW_02_SU/WASTEWATER</v>
      </c>
      <c r="I669" s="24" t="s">
        <v>2223</v>
      </c>
      <c r="J669" s="10" t="str">
        <f>VLOOKUP(Table1[[#This Row],[UID]],CS3SVComposerConfig!$B$3:$D$1808,3,FALSE)</f>
        <v>CS3L2015V0Hydro_SV.dss</v>
      </c>
      <c r="K669" s="10" t="s">
        <v>2212</v>
      </c>
      <c r="L669" s="10" t="s">
        <v>2212</v>
      </c>
      <c r="M669" s="10" t="s">
        <v>2224</v>
      </c>
      <c r="N669" s="10" t="s">
        <v>2225</v>
      </c>
      <c r="O669" s="10" t="s">
        <v>2226</v>
      </c>
      <c r="P669" s="39" t="s">
        <v>2227</v>
      </c>
    </row>
    <row r="670" spans="2:16" ht="18" customHeight="1" x14ac:dyDescent="0.25">
      <c r="B670" s="21" t="s">
        <v>0</v>
      </c>
      <c r="C670" s="22" t="s">
        <v>996</v>
      </c>
      <c r="D670" s="22" t="s">
        <v>993</v>
      </c>
      <c r="E670" s="21" t="s">
        <v>2222</v>
      </c>
      <c r="F670" s="23" t="s">
        <v>3</v>
      </c>
      <c r="G670" s="23" t="s">
        <v>4</v>
      </c>
      <c r="H670" s="21" t="str">
        <f t="shared" si="10"/>
        <v>WW_03_NU/WASTEWATER</v>
      </c>
      <c r="I670" s="24" t="s">
        <v>2223</v>
      </c>
      <c r="J670" s="10" t="str">
        <f>VLOOKUP(Table1[[#This Row],[UID]],CS3SVComposerConfig!$B$3:$D$1808,3,FALSE)</f>
        <v>CS3L2015V0Hydro_SV.dss</v>
      </c>
      <c r="K670" s="10" t="s">
        <v>2212</v>
      </c>
      <c r="L670" s="10" t="s">
        <v>2212</v>
      </c>
      <c r="M670" s="10" t="s">
        <v>2224</v>
      </c>
      <c r="N670" s="10" t="s">
        <v>2225</v>
      </c>
      <c r="O670" s="10" t="s">
        <v>2226</v>
      </c>
      <c r="P670" s="39" t="s">
        <v>2227</v>
      </c>
    </row>
    <row r="671" spans="2:16" ht="18" customHeight="1" x14ac:dyDescent="0.25">
      <c r="B671" s="21" t="s">
        <v>0</v>
      </c>
      <c r="C671" s="22" t="s">
        <v>997</v>
      </c>
      <c r="D671" s="22" t="s">
        <v>993</v>
      </c>
      <c r="E671" s="21" t="s">
        <v>2222</v>
      </c>
      <c r="F671" s="23" t="s">
        <v>3</v>
      </c>
      <c r="G671" s="23" t="s">
        <v>4</v>
      </c>
      <c r="H671" s="21" t="str">
        <f t="shared" si="10"/>
        <v>WW_03_PU1/WASTEWATER</v>
      </c>
      <c r="I671" s="24" t="s">
        <v>2223</v>
      </c>
      <c r="J671" s="10" t="str">
        <f>VLOOKUP(Table1[[#This Row],[UID]],CS3SVComposerConfig!$B$3:$D$1808,3,FALSE)</f>
        <v>CS3L2015V0Hydro_SV.dss</v>
      </c>
      <c r="K671" s="10" t="s">
        <v>2212</v>
      </c>
      <c r="L671" s="10" t="s">
        <v>2212</v>
      </c>
      <c r="M671" s="10" t="s">
        <v>2224</v>
      </c>
      <c r="N671" s="10" t="s">
        <v>2225</v>
      </c>
      <c r="O671" s="10" t="s">
        <v>2226</v>
      </c>
      <c r="P671" s="39" t="s">
        <v>2227</v>
      </c>
    </row>
    <row r="672" spans="2:16" ht="18" customHeight="1" x14ac:dyDescent="0.25">
      <c r="B672" s="21" t="s">
        <v>0</v>
      </c>
      <c r="C672" s="22" t="s">
        <v>998</v>
      </c>
      <c r="D672" s="22" t="s">
        <v>993</v>
      </c>
      <c r="E672" s="21" t="s">
        <v>2222</v>
      </c>
      <c r="F672" s="23" t="s">
        <v>3</v>
      </c>
      <c r="G672" s="23" t="s">
        <v>4</v>
      </c>
      <c r="H672" s="21" t="str">
        <f t="shared" si="10"/>
        <v>WW_03_PU2/WASTEWATER</v>
      </c>
      <c r="I672" s="24" t="s">
        <v>2223</v>
      </c>
      <c r="J672" s="10" t="str">
        <f>VLOOKUP(Table1[[#This Row],[UID]],CS3SVComposerConfig!$B$3:$D$1808,3,FALSE)</f>
        <v>CS3L2015V0Hydro_SV.dss</v>
      </c>
      <c r="K672" s="10" t="s">
        <v>2212</v>
      </c>
      <c r="L672" s="10" t="s">
        <v>2212</v>
      </c>
      <c r="M672" s="10" t="s">
        <v>2224</v>
      </c>
      <c r="N672" s="10" t="s">
        <v>2225</v>
      </c>
      <c r="O672" s="10" t="s">
        <v>2226</v>
      </c>
      <c r="P672" s="39" t="s">
        <v>2227</v>
      </c>
    </row>
    <row r="673" spans="2:16" ht="18" customHeight="1" x14ac:dyDescent="0.25">
      <c r="B673" s="21" t="s">
        <v>0</v>
      </c>
      <c r="C673" s="22" t="s">
        <v>999</v>
      </c>
      <c r="D673" s="22" t="s">
        <v>993</v>
      </c>
      <c r="E673" s="21" t="s">
        <v>2222</v>
      </c>
      <c r="F673" s="23" t="s">
        <v>3</v>
      </c>
      <c r="G673" s="23" t="s">
        <v>4</v>
      </c>
      <c r="H673" s="21" t="str">
        <f t="shared" si="10"/>
        <v>WW_03_PU3/WASTEWATER</v>
      </c>
      <c r="I673" s="24" t="s">
        <v>2223</v>
      </c>
      <c r="J673" s="10" t="str">
        <f>VLOOKUP(Table1[[#This Row],[UID]],CS3SVComposerConfig!$B$3:$D$1808,3,FALSE)</f>
        <v>CS3L2015V0Hydro_SV.dss</v>
      </c>
      <c r="K673" s="10" t="s">
        <v>2212</v>
      </c>
      <c r="L673" s="10" t="s">
        <v>2224</v>
      </c>
      <c r="M673" s="10" t="s">
        <v>2224</v>
      </c>
      <c r="N673" s="10" t="s">
        <v>2225</v>
      </c>
      <c r="O673" s="10" t="s">
        <v>2226</v>
      </c>
      <c r="P673" s="39" t="s">
        <v>2227</v>
      </c>
    </row>
    <row r="674" spans="2:16" ht="18" customHeight="1" x14ac:dyDescent="0.25">
      <c r="B674" s="21" t="s">
        <v>0</v>
      </c>
      <c r="C674" s="22" t="s">
        <v>1000</v>
      </c>
      <c r="D674" s="22" t="s">
        <v>993</v>
      </c>
      <c r="E674" s="21" t="s">
        <v>2222</v>
      </c>
      <c r="F674" s="23" t="s">
        <v>3</v>
      </c>
      <c r="G674" s="23" t="s">
        <v>4</v>
      </c>
      <c r="H674" s="21" t="str">
        <f t="shared" si="10"/>
        <v>WW_03_SU/WASTEWATER</v>
      </c>
      <c r="I674" s="24" t="s">
        <v>2223</v>
      </c>
      <c r="J674" s="10" t="str">
        <f>VLOOKUP(Table1[[#This Row],[UID]],CS3SVComposerConfig!$B$3:$D$1808,3,FALSE)</f>
        <v>CS3L2015V0Hydro_SV.dss</v>
      </c>
      <c r="K674" s="10" t="s">
        <v>2212</v>
      </c>
      <c r="L674" s="10" t="s">
        <v>2212</v>
      </c>
      <c r="M674" s="10" t="s">
        <v>2224</v>
      </c>
      <c r="N674" s="10" t="s">
        <v>2225</v>
      </c>
      <c r="O674" s="10" t="s">
        <v>2226</v>
      </c>
      <c r="P674" s="39" t="s">
        <v>2227</v>
      </c>
    </row>
    <row r="675" spans="2:16" ht="18" customHeight="1" x14ac:dyDescent="0.25">
      <c r="B675" s="21" t="s">
        <v>0</v>
      </c>
      <c r="C675" s="22" t="s">
        <v>1001</v>
      </c>
      <c r="D675" s="22" t="s">
        <v>993</v>
      </c>
      <c r="E675" s="21" t="s">
        <v>2222</v>
      </c>
      <c r="F675" s="23" t="s">
        <v>3</v>
      </c>
      <c r="G675" s="23" t="s">
        <v>4</v>
      </c>
      <c r="H675" s="21" t="str">
        <f t="shared" si="10"/>
        <v>WW_04_NU1/WASTEWATER</v>
      </c>
      <c r="I675" s="24" t="s">
        <v>2223</v>
      </c>
      <c r="J675" s="10" t="str">
        <f>VLOOKUP(Table1[[#This Row],[UID]],CS3SVComposerConfig!$B$3:$D$1808,3,FALSE)</f>
        <v>CS3L2015V0Hydro_SV.dss</v>
      </c>
      <c r="K675" s="10" t="s">
        <v>2212</v>
      </c>
      <c r="L675" s="10" t="s">
        <v>2212</v>
      </c>
      <c r="M675" s="10" t="s">
        <v>2224</v>
      </c>
      <c r="N675" s="10" t="s">
        <v>2225</v>
      </c>
      <c r="O675" s="10" t="s">
        <v>2226</v>
      </c>
      <c r="P675" s="39" t="s">
        <v>2227</v>
      </c>
    </row>
    <row r="676" spans="2:16" ht="18" customHeight="1" x14ac:dyDescent="0.25">
      <c r="B676" s="21" t="s">
        <v>0</v>
      </c>
      <c r="C676" s="22" t="s">
        <v>1002</v>
      </c>
      <c r="D676" s="22" t="s">
        <v>993</v>
      </c>
      <c r="E676" s="21" t="s">
        <v>2222</v>
      </c>
      <c r="F676" s="23" t="s">
        <v>3</v>
      </c>
      <c r="G676" s="23" t="s">
        <v>4</v>
      </c>
      <c r="H676" s="21" t="str">
        <f t="shared" si="10"/>
        <v>WW_04_NU2/WASTEWATER</v>
      </c>
      <c r="I676" s="24" t="s">
        <v>2223</v>
      </c>
      <c r="J676" s="10" t="str">
        <f>VLOOKUP(Table1[[#This Row],[UID]],CS3SVComposerConfig!$B$3:$D$1808,3,FALSE)</f>
        <v>CS3L2015V0Hydro_SV.dss</v>
      </c>
      <c r="K676" s="10" t="s">
        <v>2212</v>
      </c>
      <c r="L676" s="10" t="s">
        <v>2212</v>
      </c>
      <c r="M676" s="10" t="s">
        <v>2224</v>
      </c>
      <c r="N676" s="10" t="s">
        <v>2225</v>
      </c>
      <c r="O676" s="10" t="s">
        <v>2226</v>
      </c>
      <c r="P676" s="39" t="s">
        <v>2227</v>
      </c>
    </row>
    <row r="677" spans="2:16" ht="18" customHeight="1" x14ac:dyDescent="0.25">
      <c r="B677" s="21" t="s">
        <v>0</v>
      </c>
      <c r="C677" s="22" t="s">
        <v>1003</v>
      </c>
      <c r="D677" s="22" t="s">
        <v>993</v>
      </c>
      <c r="E677" s="21" t="s">
        <v>2222</v>
      </c>
      <c r="F677" s="23" t="s">
        <v>3</v>
      </c>
      <c r="G677" s="23" t="s">
        <v>4</v>
      </c>
      <c r="H677" s="21" t="str">
        <f t="shared" si="10"/>
        <v>WW_05_NU/WASTEWATER</v>
      </c>
      <c r="I677" s="24" t="s">
        <v>2223</v>
      </c>
      <c r="J677" s="10" t="str">
        <f>VLOOKUP(Table1[[#This Row],[UID]],CS3SVComposerConfig!$B$3:$D$1808,3,FALSE)</f>
        <v>CS3L2015V0Hydro_SV.dss</v>
      </c>
      <c r="K677" s="10" t="s">
        <v>2212</v>
      </c>
      <c r="L677" s="10" t="s">
        <v>2212</v>
      </c>
      <c r="M677" s="10" t="s">
        <v>2224</v>
      </c>
      <c r="N677" s="10" t="s">
        <v>2225</v>
      </c>
      <c r="O677" s="10" t="s">
        <v>2226</v>
      </c>
      <c r="P677" s="39" t="s">
        <v>2227</v>
      </c>
    </row>
    <row r="678" spans="2:16" ht="18" customHeight="1" x14ac:dyDescent="0.25">
      <c r="B678" s="21" t="s">
        <v>0</v>
      </c>
      <c r="C678" s="22" t="s">
        <v>1004</v>
      </c>
      <c r="D678" s="22" t="s">
        <v>993</v>
      </c>
      <c r="E678" s="21" t="s">
        <v>2222</v>
      </c>
      <c r="F678" s="23" t="s">
        <v>3</v>
      </c>
      <c r="G678" s="23" t="s">
        <v>4</v>
      </c>
      <c r="H678" s="21" t="str">
        <f t="shared" si="10"/>
        <v>WW_06_NU/WASTEWATER</v>
      </c>
      <c r="I678" s="24" t="s">
        <v>2223</v>
      </c>
      <c r="J678" s="10" t="str">
        <f>VLOOKUP(Table1[[#This Row],[UID]],CS3SVComposerConfig!$B$3:$D$1808,3,FALSE)</f>
        <v>CS3L2015V0Hydro_SV.dss</v>
      </c>
      <c r="K678" s="10" t="s">
        <v>2212</v>
      </c>
      <c r="L678" s="10" t="s">
        <v>2212</v>
      </c>
      <c r="M678" s="10" t="s">
        <v>2224</v>
      </c>
      <c r="N678" s="10" t="s">
        <v>2225</v>
      </c>
      <c r="O678" s="10" t="s">
        <v>2226</v>
      </c>
      <c r="P678" s="39" t="s">
        <v>2227</v>
      </c>
    </row>
    <row r="679" spans="2:16" ht="18" customHeight="1" x14ac:dyDescent="0.25">
      <c r="B679" s="21" t="s">
        <v>0</v>
      </c>
      <c r="C679" s="22" t="s">
        <v>1005</v>
      </c>
      <c r="D679" s="22" t="s">
        <v>993</v>
      </c>
      <c r="E679" s="21" t="s">
        <v>2222</v>
      </c>
      <c r="F679" s="23" t="s">
        <v>3</v>
      </c>
      <c r="G679" s="23" t="s">
        <v>4</v>
      </c>
      <c r="H679" s="21" t="str">
        <f t="shared" si="10"/>
        <v>WW_07N_NU/WASTEWATER</v>
      </c>
      <c r="I679" s="24" t="s">
        <v>2223</v>
      </c>
      <c r="J679" s="10" t="str">
        <f>VLOOKUP(Table1[[#This Row],[UID]],CS3SVComposerConfig!$B$3:$D$1808,3,FALSE)</f>
        <v>CS3L2015V0Hydro_SV.dss</v>
      </c>
      <c r="K679" s="10" t="s">
        <v>2212</v>
      </c>
      <c r="L679" s="10" t="s">
        <v>2212</v>
      </c>
      <c r="M679" s="10" t="s">
        <v>2224</v>
      </c>
      <c r="N679" s="10" t="s">
        <v>2225</v>
      </c>
      <c r="O679" s="10" t="s">
        <v>2226</v>
      </c>
      <c r="P679" s="39" t="s">
        <v>2227</v>
      </c>
    </row>
    <row r="680" spans="2:16" ht="18" customHeight="1" x14ac:dyDescent="0.25">
      <c r="B680" s="21" t="s">
        <v>0</v>
      </c>
      <c r="C680" s="22" t="s">
        <v>1006</v>
      </c>
      <c r="D680" s="22" t="s">
        <v>993</v>
      </c>
      <c r="E680" s="21" t="s">
        <v>2222</v>
      </c>
      <c r="F680" s="23" t="s">
        <v>3</v>
      </c>
      <c r="G680" s="23" t="s">
        <v>4</v>
      </c>
      <c r="H680" s="21" t="str">
        <f t="shared" si="10"/>
        <v>WW_07S_NU/WASTEWATER</v>
      </c>
      <c r="I680" s="24" t="s">
        <v>2223</v>
      </c>
      <c r="J680" s="10" t="str">
        <f>VLOOKUP(Table1[[#This Row],[UID]],CS3SVComposerConfig!$B$3:$D$1808,3,FALSE)</f>
        <v>CS3L2015V0Hydro_SV.dss</v>
      </c>
      <c r="K680" s="10" t="s">
        <v>2212</v>
      </c>
      <c r="L680" s="10" t="s">
        <v>2212</v>
      </c>
      <c r="M680" s="10" t="s">
        <v>2224</v>
      </c>
      <c r="N680" s="10" t="s">
        <v>2225</v>
      </c>
      <c r="O680" s="10" t="s">
        <v>2226</v>
      </c>
      <c r="P680" s="39" t="s">
        <v>2227</v>
      </c>
    </row>
    <row r="681" spans="2:16" ht="18" customHeight="1" x14ac:dyDescent="0.25">
      <c r="B681" s="21" t="s">
        <v>0</v>
      </c>
      <c r="C681" s="22" t="s">
        <v>1007</v>
      </c>
      <c r="D681" s="22" t="s">
        <v>993</v>
      </c>
      <c r="E681" s="21" t="s">
        <v>2222</v>
      </c>
      <c r="F681" s="23" t="s">
        <v>3</v>
      </c>
      <c r="G681" s="23" t="s">
        <v>4</v>
      </c>
      <c r="H681" s="21" t="str">
        <f t="shared" si="10"/>
        <v>WW_08N_NU/WASTEWATER</v>
      </c>
      <c r="I681" s="24" t="s">
        <v>2223</v>
      </c>
      <c r="J681" s="10" t="str">
        <f>VLOOKUP(Table1[[#This Row],[UID]],CS3SVComposerConfig!$B$3:$D$1808,3,FALSE)</f>
        <v>CS3L2015V0Hydro_SV.dss</v>
      </c>
      <c r="K681" s="10" t="s">
        <v>2212</v>
      </c>
      <c r="L681" s="10" t="s">
        <v>2212</v>
      </c>
      <c r="M681" s="10" t="s">
        <v>2224</v>
      </c>
      <c r="N681" s="10" t="s">
        <v>2225</v>
      </c>
      <c r="O681" s="10" t="s">
        <v>2226</v>
      </c>
      <c r="P681" s="39" t="s">
        <v>2227</v>
      </c>
    </row>
    <row r="682" spans="2:16" ht="18" customHeight="1" x14ac:dyDescent="0.25">
      <c r="B682" s="21" t="s">
        <v>0</v>
      </c>
      <c r="C682" s="22" t="s">
        <v>1008</v>
      </c>
      <c r="D682" s="22" t="s">
        <v>993</v>
      </c>
      <c r="E682" s="21" t="s">
        <v>2222</v>
      </c>
      <c r="F682" s="23" t="s">
        <v>3</v>
      </c>
      <c r="G682" s="23" t="s">
        <v>4</v>
      </c>
      <c r="H682" s="21" t="str">
        <f t="shared" si="10"/>
        <v>WW_08S_NU/WASTEWATER</v>
      </c>
      <c r="I682" s="24" t="s">
        <v>2223</v>
      </c>
      <c r="J682" s="10" t="str">
        <f>VLOOKUP(Table1[[#This Row],[UID]],CS3SVComposerConfig!$B$3:$D$1808,3,FALSE)</f>
        <v>CS3L2015V0Hydro_SV.dss</v>
      </c>
      <c r="K682" s="10" t="s">
        <v>2212</v>
      </c>
      <c r="L682" s="10" t="s">
        <v>2212</v>
      </c>
      <c r="M682" s="10" t="s">
        <v>2224</v>
      </c>
      <c r="N682" s="10" t="s">
        <v>2225</v>
      </c>
      <c r="O682" s="10" t="s">
        <v>2226</v>
      </c>
      <c r="P682" s="39" t="s">
        <v>2227</v>
      </c>
    </row>
    <row r="683" spans="2:16" ht="18" customHeight="1" x14ac:dyDescent="0.25">
      <c r="B683" s="21" t="s">
        <v>0</v>
      </c>
      <c r="C683" s="22" t="s">
        <v>1009</v>
      </c>
      <c r="D683" s="22" t="s">
        <v>993</v>
      </c>
      <c r="E683" s="21" t="s">
        <v>2222</v>
      </c>
      <c r="F683" s="23" t="s">
        <v>3</v>
      </c>
      <c r="G683" s="23" t="s">
        <v>4</v>
      </c>
      <c r="H683" s="21" t="str">
        <f t="shared" si="10"/>
        <v>WW_09_NU/WASTEWATER</v>
      </c>
      <c r="I683" s="24" t="s">
        <v>2223</v>
      </c>
      <c r="J683" s="10" t="str">
        <f>VLOOKUP(Table1[[#This Row],[UID]],CS3SVComposerConfig!$B$3:$D$1808,3,FALSE)</f>
        <v>CS3L2015V0Hydro_SV.dss</v>
      </c>
      <c r="K683" s="10" t="s">
        <v>2212</v>
      </c>
      <c r="L683" s="10" t="s">
        <v>2212</v>
      </c>
      <c r="M683" s="10" t="s">
        <v>2224</v>
      </c>
      <c r="N683" s="10" t="s">
        <v>2225</v>
      </c>
      <c r="O683" s="10" t="s">
        <v>2226</v>
      </c>
      <c r="P683" s="39" t="s">
        <v>2227</v>
      </c>
    </row>
    <row r="684" spans="2:16" ht="18" customHeight="1" x14ac:dyDescent="0.25">
      <c r="B684" s="21" t="s">
        <v>0</v>
      </c>
      <c r="C684" s="22" t="s">
        <v>1010</v>
      </c>
      <c r="D684" s="22" t="s">
        <v>993</v>
      </c>
      <c r="E684" s="21" t="s">
        <v>2222</v>
      </c>
      <c r="F684" s="23" t="s">
        <v>3</v>
      </c>
      <c r="G684" s="23" t="s">
        <v>4</v>
      </c>
      <c r="H684" s="21" t="str">
        <f t="shared" si="10"/>
        <v>WW_10_NU1/WASTEWATER</v>
      </c>
      <c r="I684" s="24" t="s">
        <v>2223</v>
      </c>
      <c r="J684" s="10" t="str">
        <f>VLOOKUP(Table1[[#This Row],[UID]],CS3SVComposerConfig!$B$3:$D$1808,3,FALSE)</f>
        <v>CS3L2015V0Hydro_SV.dss</v>
      </c>
      <c r="K684" s="10" t="s">
        <v>2212</v>
      </c>
      <c r="L684" s="10" t="s">
        <v>2212</v>
      </c>
      <c r="M684" s="10" t="s">
        <v>2224</v>
      </c>
      <c r="N684" s="10" t="s">
        <v>2225</v>
      </c>
      <c r="O684" s="10" t="s">
        <v>2226</v>
      </c>
      <c r="P684" s="39" t="s">
        <v>2227</v>
      </c>
    </row>
    <row r="685" spans="2:16" ht="18" customHeight="1" x14ac:dyDescent="0.25">
      <c r="B685" s="21" t="s">
        <v>0</v>
      </c>
      <c r="C685" s="22" t="s">
        <v>1011</v>
      </c>
      <c r="D685" s="22" t="s">
        <v>993</v>
      </c>
      <c r="E685" s="21" t="s">
        <v>2222</v>
      </c>
      <c r="F685" s="23" t="s">
        <v>3</v>
      </c>
      <c r="G685" s="23" t="s">
        <v>4</v>
      </c>
      <c r="H685" s="21" t="str">
        <f t="shared" si="10"/>
        <v>WW_10_NU2/WASTEWATER</v>
      </c>
      <c r="I685" s="24" t="s">
        <v>2223</v>
      </c>
      <c r="J685" s="10" t="str">
        <f>VLOOKUP(Table1[[#This Row],[UID]],CS3SVComposerConfig!$B$3:$D$1808,3,FALSE)</f>
        <v>CS3L2015V0Hydro_SV.dss</v>
      </c>
      <c r="K685" s="10" t="s">
        <v>2212</v>
      </c>
      <c r="L685" s="10" t="s">
        <v>2212</v>
      </c>
      <c r="M685" s="10" t="s">
        <v>2224</v>
      </c>
      <c r="N685" s="10" t="s">
        <v>2225</v>
      </c>
      <c r="O685" s="10" t="s">
        <v>2226</v>
      </c>
      <c r="P685" s="39" t="s">
        <v>2227</v>
      </c>
    </row>
    <row r="686" spans="2:16" ht="18" customHeight="1" x14ac:dyDescent="0.25">
      <c r="B686" s="21" t="s">
        <v>0</v>
      </c>
      <c r="C686" s="22" t="s">
        <v>1012</v>
      </c>
      <c r="D686" s="22" t="s">
        <v>993</v>
      </c>
      <c r="E686" s="21" t="s">
        <v>2222</v>
      </c>
      <c r="F686" s="23" t="s">
        <v>3</v>
      </c>
      <c r="G686" s="23" t="s">
        <v>4</v>
      </c>
      <c r="H686" s="21" t="str">
        <f t="shared" si="10"/>
        <v>WW_11_NU1/WASTEWATER</v>
      </c>
      <c r="I686" s="24" t="s">
        <v>2223</v>
      </c>
      <c r="J686" s="10" t="str">
        <f>VLOOKUP(Table1[[#This Row],[UID]],CS3SVComposerConfig!$B$3:$D$1808,3,FALSE)</f>
        <v>CS3L2015V0Hydro_SV.dss</v>
      </c>
      <c r="K686" s="10" t="s">
        <v>2212</v>
      </c>
      <c r="L686" s="10" t="s">
        <v>2212</v>
      </c>
      <c r="M686" s="10" t="s">
        <v>2224</v>
      </c>
      <c r="N686" s="10" t="s">
        <v>2225</v>
      </c>
      <c r="O686" s="10" t="s">
        <v>2226</v>
      </c>
      <c r="P686" s="39" t="s">
        <v>2227</v>
      </c>
    </row>
    <row r="687" spans="2:16" ht="18" customHeight="1" x14ac:dyDescent="0.25">
      <c r="B687" s="21" t="s">
        <v>0</v>
      </c>
      <c r="C687" s="22" t="s">
        <v>1013</v>
      </c>
      <c r="D687" s="22" t="s">
        <v>993</v>
      </c>
      <c r="E687" s="21" t="s">
        <v>2222</v>
      </c>
      <c r="F687" s="23" t="s">
        <v>3</v>
      </c>
      <c r="G687" s="23" t="s">
        <v>4</v>
      </c>
      <c r="H687" s="21" t="str">
        <f t="shared" si="10"/>
        <v>WW_11_NU2/WASTEWATER</v>
      </c>
      <c r="I687" s="24" t="s">
        <v>2223</v>
      </c>
      <c r="J687" s="10" t="str">
        <f>VLOOKUP(Table1[[#This Row],[UID]],CS3SVComposerConfig!$B$3:$D$1808,3,FALSE)</f>
        <v>CS3L2015V0Hydro_SV.dss</v>
      </c>
      <c r="K687" s="10" t="s">
        <v>2212</v>
      </c>
      <c r="L687" s="10" t="s">
        <v>2212</v>
      </c>
      <c r="M687" s="10" t="s">
        <v>2224</v>
      </c>
      <c r="N687" s="10" t="s">
        <v>2225</v>
      </c>
      <c r="O687" s="10" t="s">
        <v>2226</v>
      </c>
      <c r="P687" s="39" t="s">
        <v>2227</v>
      </c>
    </row>
    <row r="688" spans="2:16" ht="18" customHeight="1" x14ac:dyDescent="0.25">
      <c r="B688" s="21" t="s">
        <v>0</v>
      </c>
      <c r="C688" s="22" t="s">
        <v>1014</v>
      </c>
      <c r="D688" s="22" t="s">
        <v>993</v>
      </c>
      <c r="E688" s="21" t="s">
        <v>2222</v>
      </c>
      <c r="F688" s="23" t="s">
        <v>3</v>
      </c>
      <c r="G688" s="23" t="s">
        <v>4</v>
      </c>
      <c r="H688" s="21" t="str">
        <f t="shared" si="10"/>
        <v>WW_12_NU1/WASTEWATER</v>
      </c>
      <c r="I688" s="24" t="s">
        <v>2223</v>
      </c>
      <c r="J688" s="10" t="str">
        <f>VLOOKUP(Table1[[#This Row],[UID]],CS3SVComposerConfig!$B$3:$D$1808,3,FALSE)</f>
        <v>CS3L2015V0Hydro_SV.dss</v>
      </c>
      <c r="K688" s="10" t="s">
        <v>2212</v>
      </c>
      <c r="L688" s="10" t="s">
        <v>2212</v>
      </c>
      <c r="M688" s="10" t="s">
        <v>2224</v>
      </c>
      <c r="N688" s="10" t="s">
        <v>2225</v>
      </c>
      <c r="O688" s="10" t="s">
        <v>2226</v>
      </c>
      <c r="P688" s="39" t="s">
        <v>2227</v>
      </c>
    </row>
    <row r="689" spans="2:16" ht="18" customHeight="1" x14ac:dyDescent="0.25">
      <c r="B689" s="21" t="s">
        <v>0</v>
      </c>
      <c r="C689" s="22" t="s">
        <v>1015</v>
      </c>
      <c r="D689" s="22" t="s">
        <v>993</v>
      </c>
      <c r="E689" s="21" t="s">
        <v>2222</v>
      </c>
      <c r="F689" s="23" t="s">
        <v>3</v>
      </c>
      <c r="G689" s="23" t="s">
        <v>4</v>
      </c>
      <c r="H689" s="21" t="str">
        <f t="shared" si="10"/>
        <v>WW_12_NU2/WASTEWATER</v>
      </c>
      <c r="I689" s="24" t="s">
        <v>2223</v>
      </c>
      <c r="J689" s="10" t="str">
        <f>VLOOKUP(Table1[[#This Row],[UID]],CS3SVComposerConfig!$B$3:$D$1808,3,FALSE)</f>
        <v>CS3L2015V0Hydro_SV.dss</v>
      </c>
      <c r="K689" s="10" t="s">
        <v>2212</v>
      </c>
      <c r="L689" s="10" t="s">
        <v>2212</v>
      </c>
      <c r="M689" s="10" t="s">
        <v>2224</v>
      </c>
      <c r="N689" s="10" t="s">
        <v>2225</v>
      </c>
      <c r="O689" s="10" t="s">
        <v>2226</v>
      </c>
      <c r="P689" s="39" t="s">
        <v>2227</v>
      </c>
    </row>
    <row r="690" spans="2:16" ht="18" customHeight="1" x14ac:dyDescent="0.25">
      <c r="B690" s="21" t="s">
        <v>0</v>
      </c>
      <c r="C690" s="22" t="s">
        <v>1016</v>
      </c>
      <c r="D690" s="22" t="s">
        <v>993</v>
      </c>
      <c r="E690" s="21" t="s">
        <v>2222</v>
      </c>
      <c r="F690" s="23" t="s">
        <v>3</v>
      </c>
      <c r="G690" s="23" t="s">
        <v>4</v>
      </c>
      <c r="H690" s="21" t="str">
        <f t="shared" si="10"/>
        <v>WW_13_NU1/WASTEWATER</v>
      </c>
      <c r="I690" s="24" t="s">
        <v>2223</v>
      </c>
      <c r="J690" s="10" t="str">
        <f>VLOOKUP(Table1[[#This Row],[UID]],CS3SVComposerConfig!$B$3:$D$1808,3,FALSE)</f>
        <v>CS3L2015V0Hydro_SV.dss</v>
      </c>
      <c r="K690" s="10" t="s">
        <v>2212</v>
      </c>
      <c r="L690" s="10" t="s">
        <v>2212</v>
      </c>
      <c r="M690" s="10" t="s">
        <v>2224</v>
      </c>
      <c r="N690" s="10" t="s">
        <v>2225</v>
      </c>
      <c r="O690" s="10" t="s">
        <v>2226</v>
      </c>
      <c r="P690" s="39" t="s">
        <v>2227</v>
      </c>
    </row>
    <row r="691" spans="2:16" ht="18" customHeight="1" x14ac:dyDescent="0.25">
      <c r="B691" s="21" t="s">
        <v>0</v>
      </c>
      <c r="C691" s="22" t="s">
        <v>1017</v>
      </c>
      <c r="D691" s="22" t="s">
        <v>993</v>
      </c>
      <c r="E691" s="21" t="s">
        <v>2222</v>
      </c>
      <c r="F691" s="23" t="s">
        <v>3</v>
      </c>
      <c r="G691" s="23" t="s">
        <v>4</v>
      </c>
      <c r="H691" s="21" t="str">
        <f t="shared" si="10"/>
        <v>WW_13_NU2/WASTEWATER</v>
      </c>
      <c r="I691" s="24" t="s">
        <v>2223</v>
      </c>
      <c r="J691" s="10" t="str">
        <f>VLOOKUP(Table1[[#This Row],[UID]],CS3SVComposerConfig!$B$3:$D$1808,3,FALSE)</f>
        <v>CS3L2015V0Hydro_SV.dss</v>
      </c>
      <c r="K691" s="10" t="s">
        <v>2212</v>
      </c>
      <c r="L691" s="10" t="s">
        <v>2224</v>
      </c>
      <c r="M691" s="10" t="s">
        <v>2224</v>
      </c>
      <c r="N691" s="10" t="s">
        <v>2225</v>
      </c>
      <c r="O691" s="10" t="s">
        <v>2226</v>
      </c>
      <c r="P691" s="39" t="s">
        <v>2227</v>
      </c>
    </row>
    <row r="692" spans="2:16" ht="18" customHeight="1" x14ac:dyDescent="0.25">
      <c r="B692" s="21" t="s">
        <v>0</v>
      </c>
      <c r="C692" s="22" t="s">
        <v>1018</v>
      </c>
      <c r="D692" s="22" t="s">
        <v>993</v>
      </c>
      <c r="E692" s="21" t="s">
        <v>2222</v>
      </c>
      <c r="F692" s="23" t="s">
        <v>3</v>
      </c>
      <c r="G692" s="23" t="s">
        <v>4</v>
      </c>
      <c r="H692" s="21" t="str">
        <f t="shared" si="10"/>
        <v>WW_14_NU/WASTEWATER</v>
      </c>
      <c r="I692" s="24" t="s">
        <v>2223</v>
      </c>
      <c r="J692" s="10" t="str">
        <f>VLOOKUP(Table1[[#This Row],[UID]],CS3SVComposerConfig!$B$3:$D$1808,3,FALSE)</f>
        <v>CS3L2015V0Hydro_SV.dss</v>
      </c>
      <c r="K692" s="10" t="s">
        <v>2212</v>
      </c>
      <c r="L692" s="10" t="s">
        <v>2212</v>
      </c>
      <c r="M692" s="10" t="s">
        <v>2224</v>
      </c>
      <c r="N692" s="10" t="s">
        <v>2225</v>
      </c>
      <c r="O692" s="10" t="s">
        <v>2226</v>
      </c>
      <c r="P692" s="39" t="s">
        <v>2227</v>
      </c>
    </row>
    <row r="693" spans="2:16" ht="18" customHeight="1" x14ac:dyDescent="0.25">
      <c r="B693" s="21" t="s">
        <v>0</v>
      </c>
      <c r="C693" s="22" t="s">
        <v>1019</v>
      </c>
      <c r="D693" s="22" t="s">
        <v>993</v>
      </c>
      <c r="E693" s="21" t="s">
        <v>2222</v>
      </c>
      <c r="F693" s="23" t="s">
        <v>3</v>
      </c>
      <c r="G693" s="23" t="s">
        <v>4</v>
      </c>
      <c r="H693" s="21" t="str">
        <f t="shared" si="10"/>
        <v>WW_15N_NU/WASTEWATER</v>
      </c>
      <c r="I693" s="24" t="s">
        <v>2223</v>
      </c>
      <c r="J693" s="10" t="str">
        <f>VLOOKUP(Table1[[#This Row],[UID]],CS3SVComposerConfig!$B$3:$D$1808,3,FALSE)</f>
        <v>CS3L2015V0Hydro_SV.dss</v>
      </c>
      <c r="K693" s="10" t="s">
        <v>2212</v>
      </c>
      <c r="L693" s="10" t="s">
        <v>2212</v>
      </c>
      <c r="M693" s="10" t="s">
        <v>2224</v>
      </c>
      <c r="N693" s="10" t="s">
        <v>2225</v>
      </c>
      <c r="O693" s="10" t="s">
        <v>2226</v>
      </c>
      <c r="P693" s="39" t="s">
        <v>2227</v>
      </c>
    </row>
    <row r="694" spans="2:16" ht="18" customHeight="1" x14ac:dyDescent="0.25">
      <c r="B694" s="21" t="s">
        <v>0</v>
      </c>
      <c r="C694" s="22" t="s">
        <v>1020</v>
      </c>
      <c r="D694" s="22" t="s">
        <v>993</v>
      </c>
      <c r="E694" s="21" t="s">
        <v>2222</v>
      </c>
      <c r="F694" s="23" t="s">
        <v>3</v>
      </c>
      <c r="G694" s="23" t="s">
        <v>4</v>
      </c>
      <c r="H694" s="21" t="str">
        <f t="shared" si="10"/>
        <v>WW_15S_NU/WASTEWATER</v>
      </c>
      <c r="I694" s="24" t="s">
        <v>2223</v>
      </c>
      <c r="J694" s="10" t="str">
        <f>VLOOKUP(Table1[[#This Row],[UID]],CS3SVComposerConfig!$B$3:$D$1808,3,FALSE)</f>
        <v>CS3L2015V0Hydro_SV.dss</v>
      </c>
      <c r="K694" s="10" t="s">
        <v>2212</v>
      </c>
      <c r="L694" s="10" t="s">
        <v>2212</v>
      </c>
      <c r="M694" s="10" t="s">
        <v>2224</v>
      </c>
      <c r="N694" s="10" t="s">
        <v>2225</v>
      </c>
      <c r="O694" s="10" t="s">
        <v>2226</v>
      </c>
      <c r="P694" s="39" t="s">
        <v>2227</v>
      </c>
    </row>
    <row r="695" spans="2:16" ht="18" customHeight="1" x14ac:dyDescent="0.25">
      <c r="B695" s="21" t="s">
        <v>0</v>
      </c>
      <c r="C695" s="22" t="s">
        <v>1021</v>
      </c>
      <c r="D695" s="22" t="s">
        <v>993</v>
      </c>
      <c r="E695" s="21" t="s">
        <v>2222</v>
      </c>
      <c r="F695" s="23" t="s">
        <v>3</v>
      </c>
      <c r="G695" s="23" t="s">
        <v>4</v>
      </c>
      <c r="H695" s="21" t="str">
        <f t="shared" si="10"/>
        <v>WW_16_NU/WASTEWATER</v>
      </c>
      <c r="I695" s="24" t="s">
        <v>2223</v>
      </c>
      <c r="J695" s="10" t="str">
        <f>VLOOKUP(Table1[[#This Row],[UID]],CS3SVComposerConfig!$B$3:$D$1808,3,FALSE)</f>
        <v>CS3L2015V0Hydro_SV.dss</v>
      </c>
      <c r="K695" s="10" t="s">
        <v>2212</v>
      </c>
      <c r="L695" s="10" t="s">
        <v>2212</v>
      </c>
      <c r="M695" s="10" t="s">
        <v>2224</v>
      </c>
      <c r="N695" s="10" t="s">
        <v>2225</v>
      </c>
      <c r="O695" s="10" t="s">
        <v>2226</v>
      </c>
      <c r="P695" s="39" t="s">
        <v>2227</v>
      </c>
    </row>
    <row r="696" spans="2:16" ht="18" customHeight="1" x14ac:dyDescent="0.25">
      <c r="B696" s="21" t="s">
        <v>0</v>
      </c>
      <c r="C696" s="22" t="s">
        <v>1022</v>
      </c>
      <c r="D696" s="22" t="s">
        <v>993</v>
      </c>
      <c r="E696" s="21" t="s">
        <v>2222</v>
      </c>
      <c r="F696" s="23" t="s">
        <v>3</v>
      </c>
      <c r="G696" s="23" t="s">
        <v>4</v>
      </c>
      <c r="H696" s="21" t="str">
        <f t="shared" si="10"/>
        <v>WW_16_PU/WASTEWATER</v>
      </c>
      <c r="I696" s="24" t="s">
        <v>2223</v>
      </c>
      <c r="J696" s="10" t="str">
        <f>VLOOKUP(Table1[[#This Row],[UID]],CS3SVComposerConfig!$B$3:$D$1808,3,FALSE)</f>
        <v>CS3L2015V0Hydro_SV.dss</v>
      </c>
      <c r="K696" s="10" t="s">
        <v>2212</v>
      </c>
      <c r="L696" s="10" t="s">
        <v>2212</v>
      </c>
      <c r="M696" s="10" t="s">
        <v>2224</v>
      </c>
      <c r="N696" s="10" t="s">
        <v>2225</v>
      </c>
      <c r="O696" s="10" t="s">
        <v>2226</v>
      </c>
      <c r="P696" s="39" t="s">
        <v>2227</v>
      </c>
    </row>
    <row r="697" spans="2:16" ht="18" customHeight="1" x14ac:dyDescent="0.25">
      <c r="B697" s="21" t="s">
        <v>0</v>
      </c>
      <c r="C697" s="22" t="s">
        <v>1023</v>
      </c>
      <c r="D697" s="22" t="s">
        <v>993</v>
      </c>
      <c r="E697" s="21" t="s">
        <v>2222</v>
      </c>
      <c r="F697" s="23" t="s">
        <v>3</v>
      </c>
      <c r="G697" s="23" t="s">
        <v>4</v>
      </c>
      <c r="H697" s="21" t="str">
        <f t="shared" si="10"/>
        <v>WW_17N_NU/WASTEWATER</v>
      </c>
      <c r="I697" s="24" t="s">
        <v>2223</v>
      </c>
      <c r="J697" s="10" t="str">
        <f>VLOOKUP(Table1[[#This Row],[UID]],CS3SVComposerConfig!$B$3:$D$1808,3,FALSE)</f>
        <v>CS3L2015V0Hydro_SV.dss</v>
      </c>
      <c r="K697" s="10" t="s">
        <v>2212</v>
      </c>
      <c r="L697" s="10" t="s">
        <v>2212</v>
      </c>
      <c r="M697" s="10" t="s">
        <v>2224</v>
      </c>
      <c r="N697" s="10" t="s">
        <v>2225</v>
      </c>
      <c r="O697" s="10" t="s">
        <v>2226</v>
      </c>
      <c r="P697" s="39" t="s">
        <v>2227</v>
      </c>
    </row>
    <row r="698" spans="2:16" ht="18" customHeight="1" x14ac:dyDescent="0.25">
      <c r="B698" s="21" t="s">
        <v>0</v>
      </c>
      <c r="C698" s="22" t="s">
        <v>1024</v>
      </c>
      <c r="D698" s="22" t="s">
        <v>993</v>
      </c>
      <c r="E698" s="21" t="s">
        <v>2222</v>
      </c>
      <c r="F698" s="23" t="s">
        <v>3</v>
      </c>
      <c r="G698" s="23" t="s">
        <v>4</v>
      </c>
      <c r="H698" s="21" t="str">
        <f t="shared" si="10"/>
        <v>WW_17S_NU/WASTEWATER</v>
      </c>
      <c r="I698" s="24" t="s">
        <v>2223</v>
      </c>
      <c r="J698" s="10" t="str">
        <f>VLOOKUP(Table1[[#This Row],[UID]],CS3SVComposerConfig!$B$3:$D$1808,3,FALSE)</f>
        <v>CS3L2015V0Hydro_SV.dss</v>
      </c>
      <c r="K698" s="10" t="s">
        <v>2212</v>
      </c>
      <c r="L698" s="10" t="s">
        <v>2212</v>
      </c>
      <c r="M698" s="10" t="s">
        <v>2224</v>
      </c>
      <c r="N698" s="10" t="s">
        <v>2225</v>
      </c>
      <c r="O698" s="10" t="s">
        <v>2226</v>
      </c>
      <c r="P698" s="39" t="s">
        <v>2227</v>
      </c>
    </row>
    <row r="699" spans="2:16" ht="18" customHeight="1" x14ac:dyDescent="0.25">
      <c r="B699" s="21" t="s">
        <v>0</v>
      </c>
      <c r="C699" s="22" t="s">
        <v>1025</v>
      </c>
      <c r="D699" s="22" t="s">
        <v>993</v>
      </c>
      <c r="E699" s="21" t="s">
        <v>2222</v>
      </c>
      <c r="F699" s="23" t="s">
        <v>3</v>
      </c>
      <c r="G699" s="23" t="s">
        <v>4</v>
      </c>
      <c r="H699" s="21" t="str">
        <f t="shared" si="10"/>
        <v>WW_18_NU/WASTEWATER</v>
      </c>
      <c r="I699" s="24" t="s">
        <v>2223</v>
      </c>
      <c r="J699" s="10" t="str">
        <f>VLOOKUP(Table1[[#This Row],[UID]],CS3SVComposerConfig!$B$3:$D$1808,3,FALSE)</f>
        <v>CS3L2015V0Hydro_SV.dss</v>
      </c>
      <c r="K699" s="10" t="s">
        <v>2212</v>
      </c>
      <c r="L699" s="10" t="s">
        <v>2212</v>
      </c>
      <c r="M699" s="10" t="s">
        <v>2224</v>
      </c>
      <c r="N699" s="10" t="s">
        <v>2225</v>
      </c>
      <c r="O699" s="10" t="s">
        <v>2226</v>
      </c>
      <c r="P699" s="39" t="s">
        <v>2227</v>
      </c>
    </row>
    <row r="700" spans="2:16" ht="18" customHeight="1" x14ac:dyDescent="0.25">
      <c r="B700" s="21" t="s">
        <v>0</v>
      </c>
      <c r="C700" s="22" t="s">
        <v>1026</v>
      </c>
      <c r="D700" s="22" t="s">
        <v>993</v>
      </c>
      <c r="E700" s="21" t="s">
        <v>2222</v>
      </c>
      <c r="F700" s="23" t="s">
        <v>3</v>
      </c>
      <c r="G700" s="23" t="s">
        <v>4</v>
      </c>
      <c r="H700" s="21" t="str">
        <f t="shared" si="10"/>
        <v>WW_19_NU/WASTEWATER</v>
      </c>
      <c r="I700" s="24" t="s">
        <v>2223</v>
      </c>
      <c r="J700" s="10" t="str">
        <f>VLOOKUP(Table1[[#This Row],[UID]],CS3SVComposerConfig!$B$3:$D$1808,3,FALSE)</f>
        <v>CS3L2015V0Hydro_SV.dss</v>
      </c>
      <c r="K700" s="10" t="s">
        <v>2212</v>
      </c>
      <c r="L700" s="10" t="s">
        <v>2212</v>
      </c>
      <c r="M700" s="10" t="s">
        <v>2224</v>
      </c>
      <c r="N700" s="10" t="s">
        <v>2225</v>
      </c>
      <c r="O700" s="10" t="s">
        <v>2226</v>
      </c>
      <c r="P700" s="39" t="s">
        <v>2227</v>
      </c>
    </row>
    <row r="701" spans="2:16" ht="18" customHeight="1" x14ac:dyDescent="0.25">
      <c r="B701" s="21" t="s">
        <v>0</v>
      </c>
      <c r="C701" s="22" t="s">
        <v>1027</v>
      </c>
      <c r="D701" s="22" t="s">
        <v>993</v>
      </c>
      <c r="E701" s="21" t="s">
        <v>2222</v>
      </c>
      <c r="F701" s="23" t="s">
        <v>3</v>
      </c>
      <c r="G701" s="23" t="s">
        <v>4</v>
      </c>
      <c r="H701" s="21" t="str">
        <f t="shared" si="10"/>
        <v>WW_20_NU1/WASTEWATER</v>
      </c>
      <c r="I701" s="24" t="s">
        <v>2223</v>
      </c>
      <c r="J701" s="10" t="str">
        <f>VLOOKUP(Table1[[#This Row],[UID]],CS3SVComposerConfig!$B$3:$D$1808,3,FALSE)</f>
        <v>CS3L2015V0Hydro_SV.dss</v>
      </c>
      <c r="K701" s="10" t="s">
        <v>2212</v>
      </c>
      <c r="L701" s="10" t="s">
        <v>2212</v>
      </c>
      <c r="M701" s="10" t="s">
        <v>2224</v>
      </c>
      <c r="N701" s="10" t="s">
        <v>2225</v>
      </c>
      <c r="O701" s="10" t="s">
        <v>2226</v>
      </c>
      <c r="P701" s="39" t="s">
        <v>2227</v>
      </c>
    </row>
    <row r="702" spans="2:16" ht="18" customHeight="1" x14ac:dyDescent="0.25">
      <c r="B702" s="21" t="s">
        <v>0</v>
      </c>
      <c r="C702" s="22" t="s">
        <v>1028</v>
      </c>
      <c r="D702" s="22" t="s">
        <v>993</v>
      </c>
      <c r="E702" s="21" t="s">
        <v>2222</v>
      </c>
      <c r="F702" s="23" t="s">
        <v>3</v>
      </c>
      <c r="G702" s="23" t="s">
        <v>4</v>
      </c>
      <c r="H702" s="21" t="str">
        <f t="shared" si="10"/>
        <v>WW_20_NU2/WASTEWATER</v>
      </c>
      <c r="I702" s="24" t="s">
        <v>2223</v>
      </c>
      <c r="J702" s="10" t="str">
        <f>VLOOKUP(Table1[[#This Row],[UID]],CS3SVComposerConfig!$B$3:$D$1808,3,FALSE)</f>
        <v>CS3L2015V0Hydro_SV.dss</v>
      </c>
      <c r="K702" s="10" t="s">
        <v>2212</v>
      </c>
      <c r="L702" s="10" t="s">
        <v>2212</v>
      </c>
      <c r="M702" s="10" t="s">
        <v>2224</v>
      </c>
      <c r="N702" s="10" t="s">
        <v>2225</v>
      </c>
      <c r="O702" s="10" t="s">
        <v>2226</v>
      </c>
      <c r="P702" s="39" t="s">
        <v>2227</v>
      </c>
    </row>
    <row r="703" spans="2:16" ht="18" customHeight="1" x14ac:dyDescent="0.25">
      <c r="B703" s="21" t="s">
        <v>0</v>
      </c>
      <c r="C703" s="22" t="s">
        <v>1029</v>
      </c>
      <c r="D703" s="22" t="s">
        <v>993</v>
      </c>
      <c r="E703" s="21" t="s">
        <v>2222</v>
      </c>
      <c r="F703" s="23" t="s">
        <v>3</v>
      </c>
      <c r="G703" s="23" t="s">
        <v>4</v>
      </c>
      <c r="H703" s="21" t="str">
        <f t="shared" si="10"/>
        <v>WW_21_NU/WASTEWATER</v>
      </c>
      <c r="I703" s="24" t="s">
        <v>2223</v>
      </c>
      <c r="J703" s="10" t="str">
        <f>VLOOKUP(Table1[[#This Row],[UID]],CS3SVComposerConfig!$B$3:$D$1808,3,FALSE)</f>
        <v>CS3L2015V0Hydro_SV.dss</v>
      </c>
      <c r="K703" s="10" t="s">
        <v>2212</v>
      </c>
      <c r="L703" s="10" t="s">
        <v>2212</v>
      </c>
      <c r="M703" s="10" t="s">
        <v>2224</v>
      </c>
      <c r="N703" s="10" t="s">
        <v>2225</v>
      </c>
      <c r="O703" s="10" t="s">
        <v>2226</v>
      </c>
      <c r="P703" s="39" t="s">
        <v>2227</v>
      </c>
    </row>
    <row r="704" spans="2:16" ht="18" customHeight="1" x14ac:dyDescent="0.25">
      <c r="B704" s="21" t="s">
        <v>0</v>
      </c>
      <c r="C704" s="22" t="s">
        <v>1030</v>
      </c>
      <c r="D704" s="22" t="s">
        <v>993</v>
      </c>
      <c r="E704" s="21" t="s">
        <v>2222</v>
      </c>
      <c r="F704" s="23" t="s">
        <v>3</v>
      </c>
      <c r="G704" s="23" t="s">
        <v>4</v>
      </c>
      <c r="H704" s="21" t="str">
        <f t="shared" si="10"/>
        <v>WW_21_PU/WASTEWATER</v>
      </c>
      <c r="I704" s="24" t="s">
        <v>2223</v>
      </c>
      <c r="J704" s="10" t="str">
        <f>VLOOKUP(Table1[[#This Row],[UID]],CS3SVComposerConfig!$B$3:$D$1808,3,FALSE)</f>
        <v>CS3L2015V0Hydro_SV.dss</v>
      </c>
      <c r="K704" s="10" t="s">
        <v>2212</v>
      </c>
      <c r="L704" s="10" t="s">
        <v>2212</v>
      </c>
      <c r="M704" s="10" t="s">
        <v>2224</v>
      </c>
      <c r="N704" s="10" t="s">
        <v>2225</v>
      </c>
      <c r="O704" s="10" t="s">
        <v>2226</v>
      </c>
      <c r="P704" s="39" t="s">
        <v>2227</v>
      </c>
    </row>
    <row r="705" spans="2:16" ht="18" customHeight="1" x14ac:dyDescent="0.25">
      <c r="B705" s="21" t="s">
        <v>0</v>
      </c>
      <c r="C705" s="22" t="s">
        <v>1031</v>
      </c>
      <c r="D705" s="22" t="s">
        <v>993</v>
      </c>
      <c r="E705" s="21" t="s">
        <v>2222</v>
      </c>
      <c r="F705" s="23" t="s">
        <v>3</v>
      </c>
      <c r="G705" s="23" t="s">
        <v>4</v>
      </c>
      <c r="H705" s="21" t="str">
        <f t="shared" si="10"/>
        <v>WW_22_NU/WASTEWATER</v>
      </c>
      <c r="I705" s="24" t="s">
        <v>2223</v>
      </c>
      <c r="J705" s="10" t="str">
        <f>VLOOKUP(Table1[[#This Row],[UID]],CS3SVComposerConfig!$B$3:$D$1808,3,FALSE)</f>
        <v>CS3L2015V0Hydro_SV.dss</v>
      </c>
      <c r="K705" s="10" t="s">
        <v>2212</v>
      </c>
      <c r="L705" s="10" t="s">
        <v>2212</v>
      </c>
      <c r="M705" s="10" t="s">
        <v>2224</v>
      </c>
      <c r="N705" s="10" t="s">
        <v>2225</v>
      </c>
      <c r="O705" s="10" t="s">
        <v>2226</v>
      </c>
      <c r="P705" s="39" t="s">
        <v>2227</v>
      </c>
    </row>
    <row r="706" spans="2:16" ht="18" customHeight="1" x14ac:dyDescent="0.25">
      <c r="B706" s="21" t="s">
        <v>0</v>
      </c>
      <c r="C706" s="22" t="s">
        <v>1032</v>
      </c>
      <c r="D706" s="22" t="s">
        <v>993</v>
      </c>
      <c r="E706" s="21" t="s">
        <v>2222</v>
      </c>
      <c r="F706" s="23" t="s">
        <v>3</v>
      </c>
      <c r="G706" s="23" t="s">
        <v>4</v>
      </c>
      <c r="H706" s="21" t="str">
        <f t="shared" si="10"/>
        <v>WW_23_NU/WASTEWATER</v>
      </c>
      <c r="I706" s="24" t="s">
        <v>2223</v>
      </c>
      <c r="J706" s="10" t="str">
        <f>VLOOKUP(Table1[[#This Row],[UID]],CS3SVComposerConfig!$B$3:$D$1808,3,FALSE)</f>
        <v>CS3L2015V0Hydro_SV.dss</v>
      </c>
      <c r="K706" s="10" t="s">
        <v>2212</v>
      </c>
      <c r="L706" s="10" t="s">
        <v>2212</v>
      </c>
      <c r="M706" s="10" t="s">
        <v>2224</v>
      </c>
      <c r="N706" s="10" t="s">
        <v>2225</v>
      </c>
      <c r="O706" s="10" t="s">
        <v>2226</v>
      </c>
      <c r="P706" s="39" t="s">
        <v>2227</v>
      </c>
    </row>
    <row r="707" spans="2:16" ht="18" customHeight="1" x14ac:dyDescent="0.25">
      <c r="B707" s="21" t="s">
        <v>0</v>
      </c>
      <c r="C707" s="22" t="s">
        <v>1033</v>
      </c>
      <c r="D707" s="22" t="s">
        <v>993</v>
      </c>
      <c r="E707" s="21" t="s">
        <v>2222</v>
      </c>
      <c r="F707" s="23" t="s">
        <v>3</v>
      </c>
      <c r="G707" s="23" t="s">
        <v>4</v>
      </c>
      <c r="H707" s="21" t="str">
        <f t="shared" ref="H707:H770" si="11">_xlfn.CONCAT(C707,"/",D707)</f>
        <v>WW_24_NU1/WASTEWATER</v>
      </c>
      <c r="I707" s="24" t="s">
        <v>2223</v>
      </c>
      <c r="J707" s="10" t="str">
        <f>VLOOKUP(Table1[[#This Row],[UID]],CS3SVComposerConfig!$B$3:$D$1808,3,FALSE)</f>
        <v>CS3L2015V0Hydro_SV.dss</v>
      </c>
      <c r="K707" s="10" t="s">
        <v>2212</v>
      </c>
      <c r="L707" s="10" t="s">
        <v>2212</v>
      </c>
      <c r="M707" s="10" t="s">
        <v>2224</v>
      </c>
      <c r="N707" s="10" t="s">
        <v>2225</v>
      </c>
      <c r="O707" s="10" t="s">
        <v>2226</v>
      </c>
      <c r="P707" s="39" t="s">
        <v>2227</v>
      </c>
    </row>
    <row r="708" spans="2:16" ht="18" customHeight="1" x14ac:dyDescent="0.25">
      <c r="B708" s="21" t="s">
        <v>0</v>
      </c>
      <c r="C708" s="22" t="s">
        <v>1034</v>
      </c>
      <c r="D708" s="22" t="s">
        <v>993</v>
      </c>
      <c r="E708" s="21" t="s">
        <v>2222</v>
      </c>
      <c r="F708" s="23" t="s">
        <v>3</v>
      </c>
      <c r="G708" s="23" t="s">
        <v>4</v>
      </c>
      <c r="H708" s="21" t="str">
        <f t="shared" si="11"/>
        <v>WW_24_NU2/WASTEWATER</v>
      </c>
      <c r="I708" s="24" t="s">
        <v>2223</v>
      </c>
      <c r="J708" s="10" t="str">
        <f>VLOOKUP(Table1[[#This Row],[UID]],CS3SVComposerConfig!$B$3:$D$1808,3,FALSE)</f>
        <v>CS3L2015V0Hydro_SV.dss</v>
      </c>
      <c r="K708" s="10" t="s">
        <v>2212</v>
      </c>
      <c r="L708" s="10" t="s">
        <v>2212</v>
      </c>
      <c r="M708" s="10" t="s">
        <v>2224</v>
      </c>
      <c r="N708" s="10" t="s">
        <v>2225</v>
      </c>
      <c r="O708" s="10" t="s">
        <v>2226</v>
      </c>
      <c r="P708" s="39" t="s">
        <v>2227</v>
      </c>
    </row>
    <row r="709" spans="2:16" ht="18" customHeight="1" x14ac:dyDescent="0.25">
      <c r="B709" s="21" t="s">
        <v>0</v>
      </c>
      <c r="C709" s="22" t="s">
        <v>1035</v>
      </c>
      <c r="D709" s="22" t="s">
        <v>993</v>
      </c>
      <c r="E709" s="21" t="s">
        <v>2222</v>
      </c>
      <c r="F709" s="23" t="s">
        <v>3</v>
      </c>
      <c r="G709" s="23" t="s">
        <v>4</v>
      </c>
      <c r="H709" s="21" t="str">
        <f t="shared" si="11"/>
        <v>WW_24_NU3/WASTEWATER</v>
      </c>
      <c r="I709" s="24" t="s">
        <v>2223</v>
      </c>
      <c r="J709" s="10" t="str">
        <f>VLOOKUP(Table1[[#This Row],[UID]],CS3SVComposerConfig!$B$3:$D$1808,3,FALSE)</f>
        <v>CS3L2015V0Hydro_SV.dss</v>
      </c>
      <c r="K709" s="10" t="s">
        <v>2212</v>
      </c>
      <c r="L709" s="10" t="s">
        <v>2212</v>
      </c>
      <c r="M709" s="10" t="s">
        <v>2224</v>
      </c>
      <c r="N709" s="10" t="s">
        <v>2225</v>
      </c>
      <c r="O709" s="10" t="s">
        <v>2226</v>
      </c>
      <c r="P709" s="39" t="s">
        <v>2227</v>
      </c>
    </row>
    <row r="710" spans="2:16" ht="18" customHeight="1" x14ac:dyDescent="0.25">
      <c r="B710" s="21" t="s">
        <v>0</v>
      </c>
      <c r="C710" s="22" t="s">
        <v>1036</v>
      </c>
      <c r="D710" s="22" t="s">
        <v>993</v>
      </c>
      <c r="E710" s="21" t="s">
        <v>2222</v>
      </c>
      <c r="F710" s="23" t="s">
        <v>3</v>
      </c>
      <c r="G710" s="23" t="s">
        <v>4</v>
      </c>
      <c r="H710" s="21" t="str">
        <f t="shared" si="11"/>
        <v>WW_24_NU4/WASTEWATER</v>
      </c>
      <c r="I710" s="24" t="s">
        <v>2223</v>
      </c>
      <c r="J710" s="10" t="str">
        <f>VLOOKUP(Table1[[#This Row],[UID]],CS3SVComposerConfig!$B$3:$D$1808,3,FALSE)</f>
        <v>CS3L2015V0Hydro_SV.dss</v>
      </c>
      <c r="K710" s="10" t="s">
        <v>2212</v>
      </c>
      <c r="L710" s="10" t="s">
        <v>2212</v>
      </c>
      <c r="M710" s="10" t="s">
        <v>2224</v>
      </c>
      <c r="N710" s="10" t="s">
        <v>2225</v>
      </c>
      <c r="O710" s="10" t="s">
        <v>2226</v>
      </c>
      <c r="P710" s="39" t="s">
        <v>2227</v>
      </c>
    </row>
    <row r="711" spans="2:16" ht="18" customHeight="1" x14ac:dyDescent="0.25">
      <c r="B711" s="21" t="s">
        <v>0</v>
      </c>
      <c r="C711" s="22" t="s">
        <v>1037</v>
      </c>
      <c r="D711" s="22" t="s">
        <v>993</v>
      </c>
      <c r="E711" s="21" t="s">
        <v>2222</v>
      </c>
      <c r="F711" s="23" t="s">
        <v>3</v>
      </c>
      <c r="G711" s="23" t="s">
        <v>4</v>
      </c>
      <c r="H711" s="21" t="str">
        <f t="shared" si="11"/>
        <v>WW_25_NU/WASTEWATER</v>
      </c>
      <c r="I711" s="24" t="s">
        <v>2223</v>
      </c>
      <c r="J711" s="10" t="str">
        <f>VLOOKUP(Table1[[#This Row],[UID]],CS3SVComposerConfig!$B$3:$D$1808,3,FALSE)</f>
        <v>CS3L2015V0Hydro_SV.dss</v>
      </c>
      <c r="K711" s="10" t="s">
        <v>2212</v>
      </c>
      <c r="L711" s="10" t="s">
        <v>2212</v>
      </c>
      <c r="M711" s="10" t="s">
        <v>2224</v>
      </c>
      <c r="N711" s="10" t="s">
        <v>2225</v>
      </c>
      <c r="O711" s="10" t="s">
        <v>2226</v>
      </c>
      <c r="P711" s="39" t="s">
        <v>2227</v>
      </c>
    </row>
    <row r="712" spans="2:16" ht="18" customHeight="1" x14ac:dyDescent="0.25">
      <c r="B712" s="21" t="s">
        <v>0</v>
      </c>
      <c r="C712" s="22" t="s">
        <v>1038</v>
      </c>
      <c r="D712" s="22" t="s">
        <v>993</v>
      </c>
      <c r="E712" s="21" t="s">
        <v>2222</v>
      </c>
      <c r="F712" s="23" t="s">
        <v>3</v>
      </c>
      <c r="G712" s="23" t="s">
        <v>4</v>
      </c>
      <c r="H712" s="21" t="str">
        <f t="shared" si="11"/>
        <v>WW_25_PU/WASTEWATER</v>
      </c>
      <c r="I712" s="24" t="s">
        <v>2223</v>
      </c>
      <c r="J712" s="10" t="str">
        <f>VLOOKUP(Table1[[#This Row],[UID]],CS3SVComposerConfig!$B$3:$D$1808,3,FALSE)</f>
        <v>CS3L2015V0Hydro_SV.dss</v>
      </c>
      <c r="K712" s="10" t="s">
        <v>2212</v>
      </c>
      <c r="L712" s="10" t="s">
        <v>2212</v>
      </c>
      <c r="M712" s="10" t="s">
        <v>2224</v>
      </c>
      <c r="N712" s="10" t="s">
        <v>2225</v>
      </c>
      <c r="O712" s="10" t="s">
        <v>2226</v>
      </c>
      <c r="P712" s="39" t="s">
        <v>2227</v>
      </c>
    </row>
    <row r="713" spans="2:16" ht="18" customHeight="1" x14ac:dyDescent="0.25">
      <c r="B713" s="21" t="s">
        <v>0</v>
      </c>
      <c r="C713" s="22" t="s">
        <v>1039</v>
      </c>
      <c r="D713" s="22" t="s">
        <v>993</v>
      </c>
      <c r="E713" s="21" t="s">
        <v>2222</v>
      </c>
      <c r="F713" s="23" t="s">
        <v>3</v>
      </c>
      <c r="G713" s="23" t="s">
        <v>4</v>
      </c>
      <c r="H713" s="21" t="str">
        <f t="shared" si="11"/>
        <v>WW_26N_NU1/WASTEWATER</v>
      </c>
      <c r="I713" s="24" t="s">
        <v>2223</v>
      </c>
      <c r="J713" s="10" t="str">
        <f>VLOOKUP(Table1[[#This Row],[UID]],CS3SVComposerConfig!$B$3:$D$1808,3,FALSE)</f>
        <v>CS3L2015V0Hydro_SV.dss</v>
      </c>
      <c r="K713" s="10" t="s">
        <v>2212</v>
      </c>
      <c r="L713" s="10" t="s">
        <v>2212</v>
      </c>
      <c r="M713" s="10" t="s">
        <v>2224</v>
      </c>
      <c r="N713" s="10" t="s">
        <v>2225</v>
      </c>
      <c r="O713" s="10" t="s">
        <v>2226</v>
      </c>
      <c r="P713" s="39" t="s">
        <v>2227</v>
      </c>
    </row>
    <row r="714" spans="2:16" ht="18" customHeight="1" x14ac:dyDescent="0.25">
      <c r="B714" s="21" t="s">
        <v>0</v>
      </c>
      <c r="C714" s="22" t="s">
        <v>1040</v>
      </c>
      <c r="D714" s="22" t="s">
        <v>993</v>
      </c>
      <c r="E714" s="21" t="s">
        <v>2222</v>
      </c>
      <c r="F714" s="23" t="s">
        <v>3</v>
      </c>
      <c r="G714" s="23" t="s">
        <v>4</v>
      </c>
      <c r="H714" s="21" t="str">
        <f t="shared" si="11"/>
        <v>WW_26N_NU2/WASTEWATER</v>
      </c>
      <c r="I714" s="24" t="s">
        <v>2223</v>
      </c>
      <c r="J714" s="10" t="str">
        <f>VLOOKUP(Table1[[#This Row],[UID]],CS3SVComposerConfig!$B$3:$D$1808,3,FALSE)</f>
        <v>CS3L2015V0Hydro_SV.dss</v>
      </c>
      <c r="K714" s="10" t="s">
        <v>2212</v>
      </c>
      <c r="L714" s="10" t="s">
        <v>2212</v>
      </c>
      <c r="M714" s="10" t="s">
        <v>2224</v>
      </c>
      <c r="N714" s="10" t="s">
        <v>2225</v>
      </c>
      <c r="O714" s="10" t="s">
        <v>2226</v>
      </c>
      <c r="P714" s="39" t="s">
        <v>2227</v>
      </c>
    </row>
    <row r="715" spans="2:16" ht="18" customHeight="1" x14ac:dyDescent="0.25">
      <c r="B715" s="21" t="s">
        <v>0</v>
      </c>
      <c r="C715" s="22" t="s">
        <v>1041</v>
      </c>
      <c r="D715" s="22" t="s">
        <v>993</v>
      </c>
      <c r="E715" s="21" t="s">
        <v>2222</v>
      </c>
      <c r="F715" s="23" t="s">
        <v>3</v>
      </c>
      <c r="G715" s="23" t="s">
        <v>4</v>
      </c>
      <c r="H715" s="21" t="str">
        <f t="shared" si="11"/>
        <v>WW_26N_NU3/WASTEWATER</v>
      </c>
      <c r="I715" s="24" t="s">
        <v>2223</v>
      </c>
      <c r="J715" s="10" t="str">
        <f>VLOOKUP(Table1[[#This Row],[UID]],CS3SVComposerConfig!$B$3:$D$1808,3,FALSE)</f>
        <v>CS3L2015V0Hydro_SV.dss</v>
      </c>
      <c r="K715" s="10" t="s">
        <v>2212</v>
      </c>
      <c r="L715" s="10" t="s">
        <v>2212</v>
      </c>
      <c r="M715" s="10" t="s">
        <v>2224</v>
      </c>
      <c r="N715" s="10" t="s">
        <v>2225</v>
      </c>
      <c r="O715" s="10" t="s">
        <v>2226</v>
      </c>
      <c r="P715" s="39" t="s">
        <v>2227</v>
      </c>
    </row>
    <row r="716" spans="2:16" ht="18" customHeight="1" x14ac:dyDescent="0.25">
      <c r="B716" s="21" t="s">
        <v>0</v>
      </c>
      <c r="C716" s="22" t="s">
        <v>1042</v>
      </c>
      <c r="D716" s="22" t="s">
        <v>993</v>
      </c>
      <c r="E716" s="21" t="s">
        <v>2222</v>
      </c>
      <c r="F716" s="23" t="s">
        <v>3</v>
      </c>
      <c r="G716" s="23" t="s">
        <v>4</v>
      </c>
      <c r="H716" s="21" t="str">
        <f t="shared" si="11"/>
        <v>WW_26N_NU4/WASTEWATER</v>
      </c>
      <c r="I716" s="24" t="s">
        <v>2223</v>
      </c>
      <c r="J716" s="10" t="str">
        <f>VLOOKUP(Table1[[#This Row],[UID]],CS3SVComposerConfig!$B$3:$D$1808,3,FALSE)</f>
        <v>CS3L2015V0Hydro_SV.dss</v>
      </c>
      <c r="K716" s="10" t="s">
        <v>2212</v>
      </c>
      <c r="L716" s="10" t="s">
        <v>2212</v>
      </c>
      <c r="M716" s="10" t="s">
        <v>2224</v>
      </c>
      <c r="N716" s="10" t="s">
        <v>2225</v>
      </c>
      <c r="O716" s="10" t="s">
        <v>2226</v>
      </c>
      <c r="P716" s="39" t="s">
        <v>2227</v>
      </c>
    </row>
    <row r="717" spans="2:16" ht="18" customHeight="1" x14ac:dyDescent="0.25">
      <c r="B717" s="21" t="s">
        <v>0</v>
      </c>
      <c r="C717" s="22" t="s">
        <v>1043</v>
      </c>
      <c r="D717" s="22" t="s">
        <v>993</v>
      </c>
      <c r="E717" s="21" t="s">
        <v>2222</v>
      </c>
      <c r="F717" s="23" t="s">
        <v>3</v>
      </c>
      <c r="G717" s="23" t="s">
        <v>4</v>
      </c>
      <c r="H717" s="21" t="str">
        <f t="shared" si="11"/>
        <v>WW_26N_NU5/WASTEWATER</v>
      </c>
      <c r="I717" s="24" t="s">
        <v>2223</v>
      </c>
      <c r="J717" s="10" t="str">
        <f>VLOOKUP(Table1[[#This Row],[UID]],CS3SVComposerConfig!$B$3:$D$1808,3,FALSE)</f>
        <v>CS3L2015V0Hydro_SV.dss</v>
      </c>
      <c r="K717" s="10" t="s">
        <v>2212</v>
      </c>
      <c r="L717" s="10" t="s">
        <v>2212</v>
      </c>
      <c r="M717" s="10" t="s">
        <v>2224</v>
      </c>
      <c r="N717" s="10" t="s">
        <v>2225</v>
      </c>
      <c r="O717" s="10" t="s">
        <v>2226</v>
      </c>
      <c r="P717" s="39" t="s">
        <v>2227</v>
      </c>
    </row>
    <row r="718" spans="2:16" ht="18" customHeight="1" x14ac:dyDescent="0.25">
      <c r="B718" s="21" t="s">
        <v>0</v>
      </c>
      <c r="C718" s="22" t="s">
        <v>1044</v>
      </c>
      <c r="D718" s="22" t="s">
        <v>993</v>
      </c>
      <c r="E718" s="21" t="s">
        <v>2222</v>
      </c>
      <c r="F718" s="23" t="s">
        <v>3</v>
      </c>
      <c r="G718" s="23" t="s">
        <v>4</v>
      </c>
      <c r="H718" s="21" t="str">
        <f t="shared" si="11"/>
        <v>WW_26N_PU1/WASTEWATER</v>
      </c>
      <c r="I718" s="24" t="s">
        <v>2223</v>
      </c>
      <c r="J718" s="10" t="str">
        <f>VLOOKUP(Table1[[#This Row],[UID]],CS3SVComposerConfig!$B$3:$D$1808,3,FALSE)</f>
        <v>CS3L2015V0Hydro_SV.dss</v>
      </c>
      <c r="K718" s="10" t="s">
        <v>2212</v>
      </c>
      <c r="L718" s="10" t="s">
        <v>2212</v>
      </c>
      <c r="M718" s="10" t="s">
        <v>2224</v>
      </c>
      <c r="N718" s="10" t="s">
        <v>2225</v>
      </c>
      <c r="O718" s="10" t="s">
        <v>2226</v>
      </c>
      <c r="P718" s="39" t="s">
        <v>2227</v>
      </c>
    </row>
    <row r="719" spans="2:16" ht="18" customHeight="1" x14ac:dyDescent="0.25">
      <c r="B719" s="21" t="s">
        <v>0</v>
      </c>
      <c r="C719" s="22" t="s">
        <v>1045</v>
      </c>
      <c r="D719" s="22" t="s">
        <v>993</v>
      </c>
      <c r="E719" s="21" t="s">
        <v>2222</v>
      </c>
      <c r="F719" s="23" t="s">
        <v>3</v>
      </c>
      <c r="G719" s="23" t="s">
        <v>4</v>
      </c>
      <c r="H719" s="21" t="str">
        <f t="shared" si="11"/>
        <v>WW_26N_PU2/WASTEWATER</v>
      </c>
      <c r="I719" s="24" t="s">
        <v>2223</v>
      </c>
      <c r="J719" s="10" t="str">
        <f>VLOOKUP(Table1[[#This Row],[UID]],CS3SVComposerConfig!$B$3:$D$1808,3,FALSE)</f>
        <v>CS3L2015V0Hydro_SV.dss</v>
      </c>
      <c r="K719" s="10" t="s">
        <v>2212</v>
      </c>
      <c r="L719" s="10" t="s">
        <v>2212</v>
      </c>
      <c r="M719" s="10" t="s">
        <v>2224</v>
      </c>
      <c r="N719" s="10" t="s">
        <v>2225</v>
      </c>
      <c r="O719" s="10" t="s">
        <v>2226</v>
      </c>
      <c r="P719" s="39" t="s">
        <v>2227</v>
      </c>
    </row>
    <row r="720" spans="2:16" ht="18" customHeight="1" x14ac:dyDescent="0.25">
      <c r="B720" s="21" t="s">
        <v>0</v>
      </c>
      <c r="C720" s="22" t="s">
        <v>1046</v>
      </c>
      <c r="D720" s="22" t="s">
        <v>993</v>
      </c>
      <c r="E720" s="21" t="s">
        <v>2222</v>
      </c>
      <c r="F720" s="23" t="s">
        <v>3</v>
      </c>
      <c r="G720" s="23" t="s">
        <v>4</v>
      </c>
      <c r="H720" s="21" t="str">
        <f t="shared" si="11"/>
        <v>WW_26N_PU3/WASTEWATER</v>
      </c>
      <c r="I720" s="24" t="s">
        <v>2223</v>
      </c>
      <c r="J720" s="10" t="str">
        <f>VLOOKUP(Table1[[#This Row],[UID]],CS3SVComposerConfig!$B$3:$D$1808,3,FALSE)</f>
        <v>CS3L2015V0Hydro_SV.dss</v>
      </c>
      <c r="K720" s="10" t="s">
        <v>2212</v>
      </c>
      <c r="L720" s="10" t="s">
        <v>2212</v>
      </c>
      <c r="M720" s="10" t="s">
        <v>2224</v>
      </c>
      <c r="N720" s="10" t="s">
        <v>2225</v>
      </c>
      <c r="O720" s="10" t="s">
        <v>2226</v>
      </c>
      <c r="P720" s="39" t="s">
        <v>2227</v>
      </c>
    </row>
    <row r="721" spans="2:16" ht="18" customHeight="1" x14ac:dyDescent="0.25">
      <c r="B721" s="21" t="s">
        <v>0</v>
      </c>
      <c r="C721" s="22" t="s">
        <v>1047</v>
      </c>
      <c r="D721" s="22" t="s">
        <v>993</v>
      </c>
      <c r="E721" s="21" t="s">
        <v>2222</v>
      </c>
      <c r="F721" s="23" t="s">
        <v>3</v>
      </c>
      <c r="G721" s="23" t="s">
        <v>4</v>
      </c>
      <c r="H721" s="21" t="str">
        <f t="shared" si="11"/>
        <v>WW_26S_NU1/WASTEWATER</v>
      </c>
      <c r="I721" s="24" t="s">
        <v>2223</v>
      </c>
      <c r="J721" s="10" t="str">
        <f>VLOOKUP(Table1[[#This Row],[UID]],CS3SVComposerConfig!$B$3:$D$1808,3,FALSE)</f>
        <v>CS3L2015V0Hydro_SV.dss</v>
      </c>
      <c r="K721" s="10" t="s">
        <v>2212</v>
      </c>
      <c r="L721" s="10" t="s">
        <v>2212</v>
      </c>
      <c r="M721" s="10" t="s">
        <v>2224</v>
      </c>
      <c r="N721" s="10" t="s">
        <v>2225</v>
      </c>
      <c r="O721" s="10" t="s">
        <v>2226</v>
      </c>
      <c r="P721" s="39" t="s">
        <v>2227</v>
      </c>
    </row>
    <row r="722" spans="2:16" ht="18" customHeight="1" x14ac:dyDescent="0.25">
      <c r="B722" s="21" t="s">
        <v>0</v>
      </c>
      <c r="C722" s="22" t="s">
        <v>1048</v>
      </c>
      <c r="D722" s="22" t="s">
        <v>993</v>
      </c>
      <c r="E722" s="21" t="s">
        <v>2222</v>
      </c>
      <c r="F722" s="23" t="s">
        <v>3</v>
      </c>
      <c r="G722" s="23" t="s">
        <v>4</v>
      </c>
      <c r="H722" s="21" t="str">
        <f t="shared" si="11"/>
        <v>WW_26S_NU2/WASTEWATER</v>
      </c>
      <c r="I722" s="24" t="s">
        <v>2223</v>
      </c>
      <c r="J722" s="10" t="str">
        <f>VLOOKUP(Table1[[#This Row],[UID]],CS3SVComposerConfig!$B$3:$D$1808,3,FALSE)</f>
        <v>CS3L2015V0Hydro_SV.dss</v>
      </c>
      <c r="K722" s="10" t="s">
        <v>2212</v>
      </c>
      <c r="L722" s="10" t="s">
        <v>2212</v>
      </c>
      <c r="M722" s="10" t="s">
        <v>2224</v>
      </c>
      <c r="N722" s="10" t="s">
        <v>2225</v>
      </c>
      <c r="O722" s="10" t="s">
        <v>2226</v>
      </c>
      <c r="P722" s="39" t="s">
        <v>2227</v>
      </c>
    </row>
    <row r="723" spans="2:16" ht="18" customHeight="1" x14ac:dyDescent="0.25">
      <c r="B723" s="21" t="s">
        <v>0</v>
      </c>
      <c r="C723" s="22" t="s">
        <v>1049</v>
      </c>
      <c r="D723" s="22" t="s">
        <v>993</v>
      </c>
      <c r="E723" s="21" t="s">
        <v>2222</v>
      </c>
      <c r="F723" s="23" t="s">
        <v>3</v>
      </c>
      <c r="G723" s="23" t="s">
        <v>4</v>
      </c>
      <c r="H723" s="21" t="str">
        <f t="shared" si="11"/>
        <v>WW_26S_NU3/WASTEWATER</v>
      </c>
      <c r="I723" s="24" t="s">
        <v>2223</v>
      </c>
      <c r="J723" s="10" t="str">
        <f>VLOOKUP(Table1[[#This Row],[UID]],CS3SVComposerConfig!$B$3:$D$1808,3,FALSE)</f>
        <v>CS3L2015V0Hydro_SV.dss</v>
      </c>
      <c r="K723" s="10" t="s">
        <v>2212</v>
      </c>
      <c r="L723" s="10" t="s">
        <v>2212</v>
      </c>
      <c r="M723" s="10" t="s">
        <v>2224</v>
      </c>
      <c r="N723" s="10" t="s">
        <v>2225</v>
      </c>
      <c r="O723" s="10" t="s">
        <v>2226</v>
      </c>
      <c r="P723" s="39" t="s">
        <v>2227</v>
      </c>
    </row>
    <row r="724" spans="2:16" ht="18" customHeight="1" x14ac:dyDescent="0.25">
      <c r="B724" s="21" t="s">
        <v>0</v>
      </c>
      <c r="C724" s="22" t="s">
        <v>1050</v>
      </c>
      <c r="D724" s="22" t="s">
        <v>993</v>
      </c>
      <c r="E724" s="21" t="s">
        <v>2222</v>
      </c>
      <c r="F724" s="23" t="s">
        <v>3</v>
      </c>
      <c r="G724" s="23" t="s">
        <v>4</v>
      </c>
      <c r="H724" s="21" t="str">
        <f t="shared" si="11"/>
        <v>WW_26S_NU4/WASTEWATER</v>
      </c>
      <c r="I724" s="24" t="s">
        <v>2223</v>
      </c>
      <c r="J724" s="10" t="str">
        <f>VLOOKUP(Table1[[#This Row],[UID]],CS3SVComposerConfig!$B$3:$D$1808,3,FALSE)</f>
        <v>CS3L2015V0Hydro_SV.dss</v>
      </c>
      <c r="K724" s="10" t="s">
        <v>2212</v>
      </c>
      <c r="L724" s="10" t="s">
        <v>2212</v>
      </c>
      <c r="M724" s="10" t="s">
        <v>2224</v>
      </c>
      <c r="N724" s="10" t="s">
        <v>2225</v>
      </c>
      <c r="O724" s="10" t="s">
        <v>2226</v>
      </c>
      <c r="P724" s="39" t="s">
        <v>2227</v>
      </c>
    </row>
    <row r="725" spans="2:16" ht="18" customHeight="1" x14ac:dyDescent="0.25">
      <c r="B725" s="21" t="s">
        <v>0</v>
      </c>
      <c r="C725" s="22" t="s">
        <v>1051</v>
      </c>
      <c r="D725" s="22" t="s">
        <v>993</v>
      </c>
      <c r="E725" s="21" t="s">
        <v>2222</v>
      </c>
      <c r="F725" s="23" t="s">
        <v>3</v>
      </c>
      <c r="G725" s="23" t="s">
        <v>4</v>
      </c>
      <c r="H725" s="21" t="str">
        <f t="shared" si="11"/>
        <v>WW_26S_PU1/WASTEWATER</v>
      </c>
      <c r="I725" s="24" t="s">
        <v>2223</v>
      </c>
      <c r="J725" s="10" t="str">
        <f>VLOOKUP(Table1[[#This Row],[UID]],CS3SVComposerConfig!$B$3:$D$1808,3,FALSE)</f>
        <v>CS3L2015V0Hydro_SV.dss</v>
      </c>
      <c r="K725" s="10" t="s">
        <v>2212</v>
      </c>
      <c r="L725" s="10" t="s">
        <v>2212</v>
      </c>
      <c r="M725" s="10" t="s">
        <v>2224</v>
      </c>
      <c r="N725" s="10" t="s">
        <v>2225</v>
      </c>
      <c r="O725" s="10" t="s">
        <v>2226</v>
      </c>
      <c r="P725" s="39" t="s">
        <v>2227</v>
      </c>
    </row>
    <row r="726" spans="2:16" ht="18" customHeight="1" x14ac:dyDescent="0.25">
      <c r="B726" s="21" t="s">
        <v>0</v>
      </c>
      <c r="C726" s="22" t="s">
        <v>1052</v>
      </c>
      <c r="D726" s="22" t="s">
        <v>993</v>
      </c>
      <c r="E726" s="21" t="s">
        <v>2222</v>
      </c>
      <c r="F726" s="23" t="s">
        <v>3</v>
      </c>
      <c r="G726" s="23" t="s">
        <v>4</v>
      </c>
      <c r="H726" s="21" t="str">
        <f t="shared" si="11"/>
        <v>WW_26S_PU2/WASTEWATER</v>
      </c>
      <c r="I726" s="24" t="s">
        <v>2223</v>
      </c>
      <c r="J726" s="10" t="str">
        <f>VLOOKUP(Table1[[#This Row],[UID]],CS3SVComposerConfig!$B$3:$D$1808,3,FALSE)</f>
        <v>CS3L2015V0Hydro_SV.dss</v>
      </c>
      <c r="K726" s="10" t="s">
        <v>2212</v>
      </c>
      <c r="L726" s="10" t="s">
        <v>2212</v>
      </c>
      <c r="M726" s="10" t="s">
        <v>2224</v>
      </c>
      <c r="N726" s="10" t="s">
        <v>2225</v>
      </c>
      <c r="O726" s="10" t="s">
        <v>2226</v>
      </c>
      <c r="P726" s="39" t="s">
        <v>2227</v>
      </c>
    </row>
    <row r="727" spans="2:16" ht="18" customHeight="1" x14ac:dyDescent="0.25">
      <c r="B727" s="21" t="s">
        <v>0</v>
      </c>
      <c r="C727" s="22" t="s">
        <v>1053</v>
      </c>
      <c r="D727" s="22" t="s">
        <v>993</v>
      </c>
      <c r="E727" s="21" t="s">
        <v>2222</v>
      </c>
      <c r="F727" s="23" t="s">
        <v>3</v>
      </c>
      <c r="G727" s="23" t="s">
        <v>4</v>
      </c>
      <c r="H727" s="21" t="str">
        <f t="shared" si="11"/>
        <v>WW_26S_PU3/WASTEWATER</v>
      </c>
      <c r="I727" s="24" t="s">
        <v>2223</v>
      </c>
      <c r="J727" s="10" t="str">
        <f>VLOOKUP(Table1[[#This Row],[UID]],CS3SVComposerConfig!$B$3:$D$1808,3,FALSE)</f>
        <v>CS3L2015V0Hydro_SV.dss</v>
      </c>
      <c r="K727" s="10" t="s">
        <v>2212</v>
      </c>
      <c r="L727" s="10" t="s">
        <v>2212</v>
      </c>
      <c r="M727" s="10" t="s">
        <v>2224</v>
      </c>
      <c r="N727" s="10" t="s">
        <v>2225</v>
      </c>
      <c r="O727" s="10" t="s">
        <v>2226</v>
      </c>
      <c r="P727" s="39" t="s">
        <v>2227</v>
      </c>
    </row>
    <row r="728" spans="2:16" ht="18" customHeight="1" x14ac:dyDescent="0.25">
      <c r="B728" s="21" t="s">
        <v>0</v>
      </c>
      <c r="C728" s="22" t="s">
        <v>1054</v>
      </c>
      <c r="D728" s="22" t="s">
        <v>993</v>
      </c>
      <c r="E728" s="21" t="s">
        <v>2222</v>
      </c>
      <c r="F728" s="23" t="s">
        <v>3</v>
      </c>
      <c r="G728" s="23" t="s">
        <v>4</v>
      </c>
      <c r="H728" s="21" t="str">
        <f t="shared" si="11"/>
        <v>WW_26S_PU4/WASTEWATER</v>
      </c>
      <c r="I728" s="24" t="s">
        <v>2223</v>
      </c>
      <c r="J728" s="10" t="str">
        <f>VLOOKUP(Table1[[#This Row],[UID]],CS3SVComposerConfig!$B$3:$D$1808,3,FALSE)</f>
        <v>CS3L2015V0Hydro_SV.dss</v>
      </c>
      <c r="K728" s="10" t="s">
        <v>2212</v>
      </c>
      <c r="L728" s="10" t="s">
        <v>2212</v>
      </c>
      <c r="M728" s="10" t="s">
        <v>2224</v>
      </c>
      <c r="N728" s="10" t="s">
        <v>2225</v>
      </c>
      <c r="O728" s="10" t="s">
        <v>2226</v>
      </c>
      <c r="P728" s="39" t="s">
        <v>2227</v>
      </c>
    </row>
    <row r="729" spans="2:16" ht="18" customHeight="1" x14ac:dyDescent="0.25">
      <c r="B729" s="21" t="s">
        <v>0</v>
      </c>
      <c r="C729" s="22" t="s">
        <v>1055</v>
      </c>
      <c r="D729" s="22" t="s">
        <v>993</v>
      </c>
      <c r="E729" s="21" t="s">
        <v>2222</v>
      </c>
      <c r="F729" s="23" t="s">
        <v>3</v>
      </c>
      <c r="G729" s="23" t="s">
        <v>4</v>
      </c>
      <c r="H729" s="21" t="str">
        <f t="shared" si="11"/>
        <v>WW_26S_PU5/WASTEWATER</v>
      </c>
      <c r="I729" s="24" t="s">
        <v>2223</v>
      </c>
      <c r="J729" s="10" t="str">
        <f>VLOOKUP(Table1[[#This Row],[UID]],CS3SVComposerConfig!$B$3:$D$1808,3,FALSE)</f>
        <v>CS3L2015V0Hydro_SV.dss</v>
      </c>
      <c r="K729" s="10" t="s">
        <v>2212</v>
      </c>
      <c r="L729" s="10" t="s">
        <v>2212</v>
      </c>
      <c r="M729" s="10" t="s">
        <v>2224</v>
      </c>
      <c r="N729" s="10" t="s">
        <v>2225</v>
      </c>
      <c r="O729" s="10" t="s">
        <v>2226</v>
      </c>
      <c r="P729" s="39" t="s">
        <v>2227</v>
      </c>
    </row>
    <row r="730" spans="2:16" ht="18" customHeight="1" x14ac:dyDescent="0.25">
      <c r="B730" s="21" t="s">
        <v>0</v>
      </c>
      <c r="C730" s="22" t="s">
        <v>1056</v>
      </c>
      <c r="D730" s="22" t="s">
        <v>993</v>
      </c>
      <c r="E730" s="21" t="s">
        <v>2222</v>
      </c>
      <c r="F730" s="23" t="s">
        <v>3</v>
      </c>
      <c r="G730" s="23" t="s">
        <v>4</v>
      </c>
      <c r="H730" s="21" t="str">
        <f t="shared" si="11"/>
        <v>WW_26S_PU6/WASTEWATER</v>
      </c>
      <c r="I730" s="24" t="s">
        <v>2223</v>
      </c>
      <c r="J730" s="10" t="str">
        <f>VLOOKUP(Table1[[#This Row],[UID]],CS3SVComposerConfig!$B$3:$D$1808,3,FALSE)</f>
        <v>CS3L2015V0Hydro_SV.dss</v>
      </c>
      <c r="K730" s="10" t="s">
        <v>2212</v>
      </c>
      <c r="L730" s="10" t="s">
        <v>2212</v>
      </c>
      <c r="M730" s="10" t="s">
        <v>2224</v>
      </c>
      <c r="N730" s="10" t="s">
        <v>2225</v>
      </c>
      <c r="O730" s="10" t="s">
        <v>2226</v>
      </c>
      <c r="P730" s="39" t="s">
        <v>2227</v>
      </c>
    </row>
    <row r="731" spans="2:16" ht="18" customHeight="1" x14ac:dyDescent="0.25">
      <c r="B731" s="21" t="s">
        <v>0</v>
      </c>
      <c r="C731" s="22" t="s">
        <v>1057</v>
      </c>
      <c r="D731" s="22" t="s">
        <v>993</v>
      </c>
      <c r="E731" s="21" t="s">
        <v>2222</v>
      </c>
      <c r="F731" s="23" t="s">
        <v>3</v>
      </c>
      <c r="G731" s="23" t="s">
        <v>4</v>
      </c>
      <c r="H731" s="21" t="str">
        <f t="shared" si="11"/>
        <v>WW_60N_NU1/WASTEWATER</v>
      </c>
      <c r="I731" s="24" t="s">
        <v>2223</v>
      </c>
      <c r="J731" s="10" t="str">
        <f>VLOOKUP(Table1[[#This Row],[UID]],CS3SVComposerConfig!$B$3:$D$1808,3,FALSE)</f>
        <v>CS3L2015V0Hydro_SV.dss</v>
      </c>
      <c r="K731" s="10" t="s">
        <v>2212</v>
      </c>
      <c r="L731" s="10" t="s">
        <v>2212</v>
      </c>
      <c r="M731" s="10" t="s">
        <v>2224</v>
      </c>
      <c r="N731" s="10" t="s">
        <v>2225</v>
      </c>
      <c r="O731" s="10" t="s">
        <v>2226</v>
      </c>
      <c r="P731" s="39" t="s">
        <v>2227</v>
      </c>
    </row>
    <row r="732" spans="2:16" ht="18" customHeight="1" x14ac:dyDescent="0.25">
      <c r="B732" s="21" t="s">
        <v>0</v>
      </c>
      <c r="C732" s="22" t="s">
        <v>1058</v>
      </c>
      <c r="D732" s="22" t="s">
        <v>993</v>
      </c>
      <c r="E732" s="21" t="s">
        <v>2222</v>
      </c>
      <c r="F732" s="23" t="s">
        <v>3</v>
      </c>
      <c r="G732" s="23" t="s">
        <v>4</v>
      </c>
      <c r="H732" s="21" t="str">
        <f t="shared" si="11"/>
        <v>WW_60N_NU2/WASTEWATER</v>
      </c>
      <c r="I732" s="24" t="s">
        <v>2223</v>
      </c>
      <c r="J732" s="10" t="str">
        <f>VLOOKUP(Table1[[#This Row],[UID]],CS3SVComposerConfig!$B$3:$D$1808,3,FALSE)</f>
        <v>CS3L2015V0Hydro_SV.dss</v>
      </c>
      <c r="K732" s="10" t="s">
        <v>2212</v>
      </c>
      <c r="L732" s="10" t="s">
        <v>2212</v>
      </c>
      <c r="M732" s="10" t="s">
        <v>2224</v>
      </c>
      <c r="N732" s="10" t="s">
        <v>2225</v>
      </c>
      <c r="O732" s="10" t="s">
        <v>2226</v>
      </c>
      <c r="P732" s="39" t="s">
        <v>2227</v>
      </c>
    </row>
    <row r="733" spans="2:16" ht="18" customHeight="1" x14ac:dyDescent="0.25">
      <c r="B733" s="21" t="s">
        <v>0</v>
      </c>
      <c r="C733" s="22" t="s">
        <v>1059</v>
      </c>
      <c r="D733" s="22" t="s">
        <v>993</v>
      </c>
      <c r="E733" s="21" t="s">
        <v>2222</v>
      </c>
      <c r="F733" s="23" t="s">
        <v>3</v>
      </c>
      <c r="G733" s="23" t="s">
        <v>4</v>
      </c>
      <c r="H733" s="21" t="str">
        <f t="shared" si="11"/>
        <v>WW_60N_PU/WASTEWATER</v>
      </c>
      <c r="I733" s="24" t="s">
        <v>2223</v>
      </c>
      <c r="J733" s="10" t="str">
        <f>VLOOKUP(Table1[[#This Row],[UID]],CS3SVComposerConfig!$B$3:$D$1808,3,FALSE)</f>
        <v>CS3L2015V0Hydro_SV.dss</v>
      </c>
      <c r="K733" s="10" t="s">
        <v>2212</v>
      </c>
      <c r="L733" s="10" t="s">
        <v>2212</v>
      </c>
      <c r="M733" s="10" t="s">
        <v>2224</v>
      </c>
      <c r="N733" s="10" t="s">
        <v>2225</v>
      </c>
      <c r="O733" s="10" t="s">
        <v>2226</v>
      </c>
      <c r="P733" s="39" t="s">
        <v>2227</v>
      </c>
    </row>
    <row r="734" spans="2:16" ht="18" customHeight="1" x14ac:dyDescent="0.25">
      <c r="B734" s="21" t="s">
        <v>0</v>
      </c>
      <c r="C734" s="22" t="s">
        <v>1060</v>
      </c>
      <c r="D734" s="22" t="s">
        <v>993</v>
      </c>
      <c r="E734" s="21" t="s">
        <v>2222</v>
      </c>
      <c r="F734" s="23" t="s">
        <v>3</v>
      </c>
      <c r="G734" s="23" t="s">
        <v>4</v>
      </c>
      <c r="H734" s="21" t="str">
        <f t="shared" si="11"/>
        <v>WW_60S_NU1/WASTEWATER</v>
      </c>
      <c r="I734" s="24" t="s">
        <v>2223</v>
      </c>
      <c r="J734" s="10" t="str">
        <f>VLOOKUP(Table1[[#This Row],[UID]],CS3SVComposerConfig!$B$3:$D$1808,3,FALSE)</f>
        <v>CS3L2015V0Hydro_SV.dss</v>
      </c>
      <c r="K734" s="10" t="s">
        <v>2212</v>
      </c>
      <c r="L734" s="10" t="s">
        <v>2212</v>
      </c>
      <c r="M734" s="10" t="s">
        <v>2224</v>
      </c>
      <c r="N734" s="10" t="s">
        <v>2225</v>
      </c>
      <c r="O734" s="10" t="s">
        <v>2226</v>
      </c>
      <c r="P734" s="39" t="s">
        <v>2227</v>
      </c>
    </row>
    <row r="735" spans="2:16" ht="18" customHeight="1" x14ac:dyDescent="0.25">
      <c r="B735" s="21" t="s">
        <v>0</v>
      </c>
      <c r="C735" s="22" t="s">
        <v>1061</v>
      </c>
      <c r="D735" s="22" t="s">
        <v>993</v>
      </c>
      <c r="E735" s="21" t="s">
        <v>2222</v>
      </c>
      <c r="F735" s="23" t="s">
        <v>3</v>
      </c>
      <c r="G735" s="23" t="s">
        <v>4</v>
      </c>
      <c r="H735" s="21" t="str">
        <f t="shared" si="11"/>
        <v>WW_60S_NU2/WASTEWATER</v>
      </c>
      <c r="I735" s="24" t="s">
        <v>2223</v>
      </c>
      <c r="J735" s="10" t="str">
        <f>VLOOKUP(Table1[[#This Row],[UID]],CS3SVComposerConfig!$B$3:$D$1808,3,FALSE)</f>
        <v>CS3L2015V0Hydro_SV.dss</v>
      </c>
      <c r="K735" s="10" t="s">
        <v>2212</v>
      </c>
      <c r="L735" s="10" t="s">
        <v>2224</v>
      </c>
      <c r="M735" s="10" t="s">
        <v>2224</v>
      </c>
      <c r="N735" s="10" t="s">
        <v>2225</v>
      </c>
      <c r="O735" s="10" t="s">
        <v>2226</v>
      </c>
      <c r="P735" s="39" t="s">
        <v>2227</v>
      </c>
    </row>
    <row r="736" spans="2:16" ht="18" customHeight="1" x14ac:dyDescent="0.25">
      <c r="B736" s="21" t="s">
        <v>0</v>
      </c>
      <c r="C736" s="22" t="s">
        <v>1062</v>
      </c>
      <c r="D736" s="22" t="s">
        <v>993</v>
      </c>
      <c r="E736" s="21" t="s">
        <v>2222</v>
      </c>
      <c r="F736" s="23" t="s">
        <v>3</v>
      </c>
      <c r="G736" s="23" t="s">
        <v>4</v>
      </c>
      <c r="H736" s="21" t="str">
        <f t="shared" si="11"/>
        <v>WW_61_NU1/WASTEWATER</v>
      </c>
      <c r="I736" s="24" t="s">
        <v>2223</v>
      </c>
      <c r="J736" s="10" t="str">
        <f>VLOOKUP(Table1[[#This Row],[UID]],CS3SVComposerConfig!$B$3:$D$1808,3,FALSE)</f>
        <v>CS3L2015V0Hydro_SV.dss</v>
      </c>
      <c r="K736" s="10" t="s">
        <v>2212</v>
      </c>
      <c r="L736" s="10" t="s">
        <v>2212</v>
      </c>
      <c r="M736" s="10" t="s">
        <v>2224</v>
      </c>
      <c r="N736" s="10" t="s">
        <v>2225</v>
      </c>
      <c r="O736" s="10" t="s">
        <v>2226</v>
      </c>
      <c r="P736" s="39" t="s">
        <v>2227</v>
      </c>
    </row>
    <row r="737" spans="2:16" ht="18" customHeight="1" x14ac:dyDescent="0.25">
      <c r="B737" s="21" t="s">
        <v>0</v>
      </c>
      <c r="C737" s="22" t="s">
        <v>1063</v>
      </c>
      <c r="D737" s="22" t="s">
        <v>993</v>
      </c>
      <c r="E737" s="21" t="s">
        <v>2222</v>
      </c>
      <c r="F737" s="23" t="s">
        <v>3</v>
      </c>
      <c r="G737" s="23" t="s">
        <v>4</v>
      </c>
      <c r="H737" s="21" t="str">
        <f t="shared" si="11"/>
        <v>WW_61_NU2/WASTEWATER</v>
      </c>
      <c r="I737" s="24" t="s">
        <v>2223</v>
      </c>
      <c r="J737" s="10" t="str">
        <f>VLOOKUP(Table1[[#This Row],[UID]],CS3SVComposerConfig!$B$3:$D$1808,3,FALSE)</f>
        <v>CS3L2015V0Hydro_SV.dss</v>
      </c>
      <c r="K737" s="10" t="s">
        <v>2212</v>
      </c>
      <c r="L737" s="10" t="s">
        <v>2212</v>
      </c>
      <c r="M737" s="10" t="s">
        <v>2224</v>
      </c>
      <c r="N737" s="10" t="s">
        <v>2225</v>
      </c>
      <c r="O737" s="10" t="s">
        <v>2226</v>
      </c>
      <c r="P737" s="39" t="s">
        <v>2227</v>
      </c>
    </row>
    <row r="738" spans="2:16" ht="18" customHeight="1" x14ac:dyDescent="0.25">
      <c r="B738" s="21" t="s">
        <v>0</v>
      </c>
      <c r="C738" s="22" t="s">
        <v>1064</v>
      </c>
      <c r="D738" s="22" t="s">
        <v>993</v>
      </c>
      <c r="E738" s="21" t="s">
        <v>2222</v>
      </c>
      <c r="F738" s="23" t="s">
        <v>3</v>
      </c>
      <c r="G738" s="23" t="s">
        <v>4</v>
      </c>
      <c r="H738" s="21" t="str">
        <f t="shared" si="11"/>
        <v>WW_61_NU3/WASTEWATER</v>
      </c>
      <c r="I738" s="24" t="s">
        <v>2223</v>
      </c>
      <c r="J738" s="10" t="str">
        <f>VLOOKUP(Table1[[#This Row],[UID]],CS3SVComposerConfig!$B$3:$D$1808,3,FALSE)</f>
        <v>CS3L2015V0Hydro_SV.dss</v>
      </c>
      <c r="K738" s="10" t="s">
        <v>2212</v>
      </c>
      <c r="L738" s="10" t="s">
        <v>2212</v>
      </c>
      <c r="M738" s="10" t="s">
        <v>2224</v>
      </c>
      <c r="N738" s="10" t="s">
        <v>2225</v>
      </c>
      <c r="O738" s="10" t="s">
        <v>2226</v>
      </c>
      <c r="P738" s="39" t="s">
        <v>2227</v>
      </c>
    </row>
    <row r="739" spans="2:16" ht="18" customHeight="1" x14ac:dyDescent="0.25">
      <c r="B739" s="21" t="s">
        <v>0</v>
      </c>
      <c r="C739" s="22" t="s">
        <v>1065</v>
      </c>
      <c r="D739" s="22" t="s">
        <v>993</v>
      </c>
      <c r="E739" s="21" t="s">
        <v>2222</v>
      </c>
      <c r="F739" s="23" t="s">
        <v>3</v>
      </c>
      <c r="G739" s="23" t="s">
        <v>4</v>
      </c>
      <c r="H739" s="21" t="str">
        <f t="shared" si="11"/>
        <v>WW_62_NU/WASTEWATER</v>
      </c>
      <c r="I739" s="24" t="s">
        <v>2223</v>
      </c>
      <c r="J739" s="10" t="str">
        <f>VLOOKUP(Table1[[#This Row],[UID]],CS3SVComposerConfig!$B$3:$D$1808,3,FALSE)</f>
        <v>CS3L2015V0Hydro_SV.dss</v>
      </c>
      <c r="K739" s="10" t="s">
        <v>2212</v>
      </c>
      <c r="L739" s="10" t="s">
        <v>2212</v>
      </c>
      <c r="M739" s="10" t="s">
        <v>2224</v>
      </c>
      <c r="N739" s="10" t="s">
        <v>2225</v>
      </c>
      <c r="O739" s="10" t="s">
        <v>2226</v>
      </c>
      <c r="P739" s="39" t="s">
        <v>2227</v>
      </c>
    </row>
    <row r="740" spans="2:16" ht="18" customHeight="1" x14ac:dyDescent="0.25">
      <c r="B740" s="21" t="s">
        <v>0</v>
      </c>
      <c r="C740" s="22" t="s">
        <v>1066</v>
      </c>
      <c r="D740" s="22" t="s">
        <v>993</v>
      </c>
      <c r="E740" s="21" t="s">
        <v>2222</v>
      </c>
      <c r="F740" s="23" t="s">
        <v>3</v>
      </c>
      <c r="G740" s="23" t="s">
        <v>4</v>
      </c>
      <c r="H740" s="21" t="str">
        <f t="shared" si="11"/>
        <v>WW_63_NU/WASTEWATER</v>
      </c>
      <c r="I740" s="24" t="s">
        <v>2223</v>
      </c>
      <c r="J740" s="10" t="str">
        <f>VLOOKUP(Table1[[#This Row],[UID]],CS3SVComposerConfig!$B$3:$D$1808,3,FALSE)</f>
        <v>CS3L2015V0Hydro_SV.dss</v>
      </c>
      <c r="K740" s="10" t="s">
        <v>2212</v>
      </c>
      <c r="L740" s="10" t="s">
        <v>2224</v>
      </c>
      <c r="M740" s="10" t="s">
        <v>2224</v>
      </c>
      <c r="N740" s="10" t="s">
        <v>2225</v>
      </c>
      <c r="O740" s="10" t="s">
        <v>2226</v>
      </c>
      <c r="P740" s="39" t="s">
        <v>2227</v>
      </c>
    </row>
    <row r="741" spans="2:16" ht="18" customHeight="1" x14ac:dyDescent="0.25">
      <c r="B741" s="21" t="s">
        <v>0</v>
      </c>
      <c r="C741" s="22" t="s">
        <v>1067</v>
      </c>
      <c r="D741" s="22" t="s">
        <v>993</v>
      </c>
      <c r="E741" s="21" t="s">
        <v>2222</v>
      </c>
      <c r="F741" s="23" t="s">
        <v>3</v>
      </c>
      <c r="G741" s="23" t="s">
        <v>4</v>
      </c>
      <c r="H741" s="21" t="str">
        <f t="shared" si="11"/>
        <v>WW_64_NU/WASTEWATER</v>
      </c>
      <c r="I741" s="24" t="s">
        <v>2223</v>
      </c>
      <c r="J741" s="10" t="str">
        <f>VLOOKUP(Table1[[#This Row],[UID]],CS3SVComposerConfig!$B$3:$D$1808,3,FALSE)</f>
        <v>CS3L2015V0Hydro_SV.dss</v>
      </c>
      <c r="K741" s="10" t="s">
        <v>2212</v>
      </c>
      <c r="L741" s="10" t="s">
        <v>2212</v>
      </c>
      <c r="M741" s="10" t="s">
        <v>2224</v>
      </c>
      <c r="N741" s="10" t="s">
        <v>2225</v>
      </c>
      <c r="O741" s="10" t="s">
        <v>2226</v>
      </c>
      <c r="P741" s="39" t="s">
        <v>2227</v>
      </c>
    </row>
    <row r="742" spans="2:16" ht="18" customHeight="1" x14ac:dyDescent="0.25">
      <c r="B742" s="21" t="s">
        <v>0</v>
      </c>
      <c r="C742" s="22" t="s">
        <v>1068</v>
      </c>
      <c r="D742" s="22" t="s">
        <v>993</v>
      </c>
      <c r="E742" s="21" t="s">
        <v>2222</v>
      </c>
      <c r="F742" s="23" t="s">
        <v>3</v>
      </c>
      <c r="G742" s="23" t="s">
        <v>4</v>
      </c>
      <c r="H742" s="21" t="str">
        <f t="shared" si="11"/>
        <v>WW_71_NU/WASTEWATER</v>
      </c>
      <c r="I742" s="24" t="s">
        <v>2223</v>
      </c>
      <c r="J742" s="10" t="str">
        <f>VLOOKUP(Table1[[#This Row],[UID]],CS3SVComposerConfig!$B$3:$D$1808,3,FALSE)</f>
        <v>CS3L2015V0Hydro_SV.dss</v>
      </c>
      <c r="K742" s="10" t="s">
        <v>2212</v>
      </c>
      <c r="L742" s="10" t="s">
        <v>2212</v>
      </c>
      <c r="M742" s="10" t="s">
        <v>2224</v>
      </c>
      <c r="N742" s="10" t="s">
        <v>2225</v>
      </c>
      <c r="O742" s="10" t="s">
        <v>2226</v>
      </c>
      <c r="P742" s="39" t="s">
        <v>2227</v>
      </c>
    </row>
    <row r="743" spans="2:16" ht="18" customHeight="1" x14ac:dyDescent="0.25">
      <c r="B743" s="21" t="s">
        <v>0</v>
      </c>
      <c r="C743" s="22" t="s">
        <v>1069</v>
      </c>
      <c r="D743" s="22" t="s">
        <v>993</v>
      </c>
      <c r="E743" s="21" t="s">
        <v>2222</v>
      </c>
      <c r="F743" s="23" t="s">
        <v>3</v>
      </c>
      <c r="G743" s="23" t="s">
        <v>4</v>
      </c>
      <c r="H743" s="21" t="str">
        <f t="shared" si="11"/>
        <v>WW_71_PU1/WASTEWATER</v>
      </c>
      <c r="I743" s="24" t="s">
        <v>2223</v>
      </c>
      <c r="J743" s="10" t="str">
        <f>VLOOKUP(Table1[[#This Row],[UID]],CS3SVComposerConfig!$B$3:$D$1808,3,FALSE)</f>
        <v>CS3L2015V0Hydro_SV.dss</v>
      </c>
      <c r="K743" s="10" t="s">
        <v>2212</v>
      </c>
      <c r="L743" s="10" t="s">
        <v>2224</v>
      </c>
      <c r="M743" s="10" t="s">
        <v>2224</v>
      </c>
      <c r="N743" s="10" t="s">
        <v>2225</v>
      </c>
      <c r="O743" s="10" t="s">
        <v>2226</v>
      </c>
      <c r="P743" s="39" t="s">
        <v>2227</v>
      </c>
    </row>
    <row r="744" spans="2:16" ht="18" customHeight="1" x14ac:dyDescent="0.25">
      <c r="B744" s="21" t="s">
        <v>0</v>
      </c>
      <c r="C744" s="22" t="s">
        <v>1070</v>
      </c>
      <c r="D744" s="22" t="s">
        <v>993</v>
      </c>
      <c r="E744" s="21" t="s">
        <v>2222</v>
      </c>
      <c r="F744" s="23" t="s">
        <v>3</v>
      </c>
      <c r="G744" s="23" t="s">
        <v>4</v>
      </c>
      <c r="H744" s="21" t="str">
        <f t="shared" si="11"/>
        <v>WW_71_PU2/WASTEWATER</v>
      </c>
      <c r="I744" s="24" t="s">
        <v>2223</v>
      </c>
      <c r="J744" s="10" t="str">
        <f>VLOOKUP(Table1[[#This Row],[UID]],CS3SVComposerConfig!$B$3:$D$1808,3,FALSE)</f>
        <v>CS3L2015V0Hydro_SV.dss</v>
      </c>
      <c r="K744" s="10" t="s">
        <v>2212</v>
      </c>
      <c r="L744" s="10" t="s">
        <v>2212</v>
      </c>
      <c r="M744" s="10" t="s">
        <v>2224</v>
      </c>
      <c r="N744" s="10" t="s">
        <v>2225</v>
      </c>
      <c r="O744" s="10" t="s">
        <v>2226</v>
      </c>
      <c r="P744" s="39" t="s">
        <v>2227</v>
      </c>
    </row>
    <row r="745" spans="2:16" ht="18" customHeight="1" x14ac:dyDescent="0.25">
      <c r="B745" s="21" t="s">
        <v>0</v>
      </c>
      <c r="C745" s="22" t="s">
        <v>1071</v>
      </c>
      <c r="D745" s="22" t="s">
        <v>993</v>
      </c>
      <c r="E745" s="21" t="s">
        <v>2222</v>
      </c>
      <c r="F745" s="23" t="s">
        <v>3</v>
      </c>
      <c r="G745" s="23" t="s">
        <v>4</v>
      </c>
      <c r="H745" s="21" t="str">
        <f t="shared" si="11"/>
        <v>WW_72_NU/WASTEWATER</v>
      </c>
      <c r="I745" s="24" t="s">
        <v>2223</v>
      </c>
      <c r="J745" s="10" t="str">
        <f>VLOOKUP(Table1[[#This Row],[UID]],CS3SVComposerConfig!$B$3:$D$1808,3,FALSE)</f>
        <v>CS3L2015V0Hydro_SV.dss</v>
      </c>
      <c r="K745" s="10" t="s">
        <v>2212</v>
      </c>
      <c r="L745" s="10" t="s">
        <v>2212</v>
      </c>
      <c r="M745" s="10" t="s">
        <v>2224</v>
      </c>
      <c r="N745" s="10" t="s">
        <v>2225</v>
      </c>
      <c r="O745" s="10" t="s">
        <v>2226</v>
      </c>
      <c r="P745" s="39" t="s">
        <v>2227</v>
      </c>
    </row>
    <row r="746" spans="2:16" ht="18" customHeight="1" x14ac:dyDescent="0.25">
      <c r="B746" s="21" t="s">
        <v>0</v>
      </c>
      <c r="C746" s="22" t="s">
        <v>1072</v>
      </c>
      <c r="D746" s="22" t="s">
        <v>993</v>
      </c>
      <c r="E746" s="21" t="s">
        <v>2222</v>
      </c>
      <c r="F746" s="23" t="s">
        <v>3</v>
      </c>
      <c r="G746" s="23" t="s">
        <v>4</v>
      </c>
      <c r="H746" s="21" t="str">
        <f t="shared" si="11"/>
        <v>WW_72_PU/WASTEWATER</v>
      </c>
      <c r="I746" s="24" t="s">
        <v>2223</v>
      </c>
      <c r="J746" s="10" t="str">
        <f>VLOOKUP(Table1[[#This Row],[UID]],CS3SVComposerConfig!$B$3:$D$1808,3,FALSE)</f>
        <v>CS3L2015V0Hydro_SV.dss</v>
      </c>
      <c r="K746" s="10" t="s">
        <v>2212</v>
      </c>
      <c r="L746" s="10" t="s">
        <v>2212</v>
      </c>
      <c r="M746" s="10" t="s">
        <v>2224</v>
      </c>
      <c r="N746" s="10" t="s">
        <v>2225</v>
      </c>
      <c r="O746" s="10" t="s">
        <v>2226</v>
      </c>
      <c r="P746" s="39" t="s">
        <v>2227</v>
      </c>
    </row>
    <row r="747" spans="2:16" ht="18" customHeight="1" x14ac:dyDescent="0.25">
      <c r="B747" s="21" t="s">
        <v>0</v>
      </c>
      <c r="C747" s="22" t="s">
        <v>1073</v>
      </c>
      <c r="D747" s="22" t="s">
        <v>993</v>
      </c>
      <c r="E747" s="21" t="s">
        <v>2222</v>
      </c>
      <c r="F747" s="23" t="s">
        <v>3</v>
      </c>
      <c r="G747" s="23" t="s">
        <v>4</v>
      </c>
      <c r="H747" s="21" t="str">
        <f t="shared" si="11"/>
        <v>WW_73_NU/WASTEWATER</v>
      </c>
      <c r="I747" s="24" t="s">
        <v>2223</v>
      </c>
      <c r="J747" s="10" t="str">
        <f>VLOOKUP(Table1[[#This Row],[UID]],CS3SVComposerConfig!$B$3:$D$1808,3,FALSE)</f>
        <v>CS3L2015V0Hydro_SV.dss</v>
      </c>
      <c r="K747" s="10" t="s">
        <v>2212</v>
      </c>
      <c r="L747" s="10" t="s">
        <v>2212</v>
      </c>
      <c r="M747" s="10" t="s">
        <v>2224</v>
      </c>
      <c r="N747" s="10" t="s">
        <v>2225</v>
      </c>
      <c r="O747" s="10" t="s">
        <v>2226</v>
      </c>
      <c r="P747" s="39" t="s">
        <v>2227</v>
      </c>
    </row>
    <row r="748" spans="2:16" ht="18" customHeight="1" x14ac:dyDescent="0.25">
      <c r="B748" s="21" t="s">
        <v>0</v>
      </c>
      <c r="C748" s="22" t="s">
        <v>1074</v>
      </c>
      <c r="D748" s="22" t="s">
        <v>993</v>
      </c>
      <c r="E748" s="21" t="s">
        <v>2222</v>
      </c>
      <c r="F748" s="23" t="s">
        <v>3</v>
      </c>
      <c r="G748" s="23" t="s">
        <v>4</v>
      </c>
      <c r="H748" s="21" t="str">
        <f t="shared" si="11"/>
        <v>WW_90_PU/WASTEWATER</v>
      </c>
      <c r="I748" s="24" t="s">
        <v>2223</v>
      </c>
      <c r="J748" s="10" t="str">
        <f>VLOOKUP(Table1[[#This Row],[UID]],CS3SVComposerConfig!$B$3:$D$1808,3,FALSE)</f>
        <v>CS3L2015V0Hydro_SV.dss</v>
      </c>
      <c r="K748" s="10" t="s">
        <v>2212</v>
      </c>
      <c r="L748" s="10" t="s">
        <v>2212</v>
      </c>
      <c r="M748" s="10" t="s">
        <v>2224</v>
      </c>
      <c r="N748" s="10" t="s">
        <v>2225</v>
      </c>
      <c r="O748" s="10" t="s">
        <v>2226</v>
      </c>
      <c r="P748" s="39" t="s">
        <v>2227</v>
      </c>
    </row>
    <row r="749" spans="2:16" ht="18" customHeight="1" x14ac:dyDescent="0.25">
      <c r="B749" s="21" t="s">
        <v>0</v>
      </c>
      <c r="C749" s="22" t="s">
        <v>1079</v>
      </c>
      <c r="D749" s="22" t="s">
        <v>51</v>
      </c>
      <c r="E749" s="21" t="s">
        <v>2222</v>
      </c>
      <c r="F749" s="23" t="s">
        <v>3</v>
      </c>
      <c r="G749" s="23" t="s">
        <v>4</v>
      </c>
      <c r="H749" s="21" t="str">
        <f t="shared" si="11"/>
        <v>DP_EA_02/DEEP-PERCOLATION</v>
      </c>
      <c r="I749" s="24" t="s">
        <v>2230</v>
      </c>
      <c r="J749" s="10" t="str">
        <f>VLOOKUP(Table1[[#This Row],[UID]],CS3SVComposerConfig!$B$3:$D$1808,3,FALSE)</f>
        <v>IDCOutputEE.dss</v>
      </c>
      <c r="K749" s="10" t="s">
        <v>2212</v>
      </c>
      <c r="L749" s="10" t="s">
        <v>2212</v>
      </c>
      <c r="M749" s="10" t="s">
        <v>2224</v>
      </c>
      <c r="N749" s="10" t="s">
        <v>2225</v>
      </c>
      <c r="O749" s="10" t="s">
        <v>2226</v>
      </c>
      <c r="P749" s="39" t="s">
        <v>2227</v>
      </c>
    </row>
    <row r="750" spans="2:16" ht="18" customHeight="1" x14ac:dyDescent="0.25">
      <c r="B750" s="21" t="s">
        <v>0</v>
      </c>
      <c r="C750" s="22" t="s">
        <v>1080</v>
      </c>
      <c r="D750" s="22" t="s">
        <v>51</v>
      </c>
      <c r="E750" s="21" t="s">
        <v>2222</v>
      </c>
      <c r="F750" s="23" t="s">
        <v>3</v>
      </c>
      <c r="G750" s="23" t="s">
        <v>4</v>
      </c>
      <c r="H750" s="21" t="str">
        <f t="shared" si="11"/>
        <v>DP_EA_03/DEEP-PERCOLATION</v>
      </c>
      <c r="I750" s="24" t="s">
        <v>2230</v>
      </c>
      <c r="J750" s="10" t="str">
        <f>VLOOKUP(Table1[[#This Row],[UID]],CS3SVComposerConfig!$B$3:$D$1808,3,FALSE)</f>
        <v>IDCOutputEE.dss</v>
      </c>
      <c r="K750" s="10" t="s">
        <v>2212</v>
      </c>
      <c r="L750" s="10" t="s">
        <v>2212</v>
      </c>
      <c r="M750" s="10" t="s">
        <v>2224</v>
      </c>
      <c r="N750" s="10" t="s">
        <v>2225</v>
      </c>
      <c r="O750" s="10" t="s">
        <v>2226</v>
      </c>
      <c r="P750" s="39" t="s">
        <v>2227</v>
      </c>
    </row>
    <row r="751" spans="2:16" ht="18" customHeight="1" x14ac:dyDescent="0.25">
      <c r="B751" s="21" t="s">
        <v>0</v>
      </c>
      <c r="C751" s="22" t="s">
        <v>1081</v>
      </c>
      <c r="D751" s="22" t="s">
        <v>51</v>
      </c>
      <c r="E751" s="21" t="s">
        <v>2222</v>
      </c>
      <c r="F751" s="23" t="s">
        <v>3</v>
      </c>
      <c r="G751" s="23" t="s">
        <v>4</v>
      </c>
      <c r="H751" s="21" t="str">
        <f t="shared" si="11"/>
        <v>DP_EA_05/DEEP-PERCOLATION</v>
      </c>
      <c r="I751" s="24" t="s">
        <v>2230</v>
      </c>
      <c r="J751" s="10" t="str">
        <f>VLOOKUP(Table1[[#This Row],[UID]],CS3SVComposerConfig!$B$3:$D$1808,3,FALSE)</f>
        <v>IDCOutputEE.dss</v>
      </c>
      <c r="K751" s="10" t="s">
        <v>2212</v>
      </c>
      <c r="L751" s="10" t="s">
        <v>2212</v>
      </c>
      <c r="M751" s="10" t="s">
        <v>2224</v>
      </c>
      <c r="N751" s="10" t="s">
        <v>2225</v>
      </c>
      <c r="O751" s="10" t="s">
        <v>2226</v>
      </c>
      <c r="P751" s="39" t="s">
        <v>2227</v>
      </c>
    </row>
    <row r="752" spans="2:16" ht="18" customHeight="1" x14ac:dyDescent="0.25">
      <c r="B752" s="21" t="s">
        <v>0</v>
      </c>
      <c r="C752" s="22" t="s">
        <v>1082</v>
      </c>
      <c r="D752" s="22" t="s">
        <v>51</v>
      </c>
      <c r="E752" s="21" t="s">
        <v>2222</v>
      </c>
      <c r="F752" s="23" t="s">
        <v>3</v>
      </c>
      <c r="G752" s="23" t="s">
        <v>4</v>
      </c>
      <c r="H752" s="21" t="str">
        <f t="shared" si="11"/>
        <v>DP_EA_06/DEEP-PERCOLATION</v>
      </c>
      <c r="I752" s="24" t="s">
        <v>2230</v>
      </c>
      <c r="J752" s="10" t="str">
        <f>VLOOKUP(Table1[[#This Row],[UID]],CS3SVComposerConfig!$B$3:$D$1808,3,FALSE)</f>
        <v>IDCOutputEE.dss</v>
      </c>
      <c r="K752" s="10" t="s">
        <v>2212</v>
      </c>
      <c r="L752" s="10" t="s">
        <v>2212</v>
      </c>
      <c r="M752" s="10" t="s">
        <v>2224</v>
      </c>
      <c r="N752" s="10" t="s">
        <v>2225</v>
      </c>
      <c r="O752" s="10" t="s">
        <v>2226</v>
      </c>
      <c r="P752" s="39" t="s">
        <v>2227</v>
      </c>
    </row>
    <row r="753" spans="2:16" ht="18" customHeight="1" x14ac:dyDescent="0.25">
      <c r="B753" s="21" t="s">
        <v>0</v>
      </c>
      <c r="C753" s="22" t="s">
        <v>1083</v>
      </c>
      <c r="D753" s="22" t="s">
        <v>51</v>
      </c>
      <c r="E753" s="21" t="s">
        <v>2222</v>
      </c>
      <c r="F753" s="23" t="s">
        <v>3</v>
      </c>
      <c r="G753" s="23" t="s">
        <v>4</v>
      </c>
      <c r="H753" s="21" t="str">
        <f t="shared" si="11"/>
        <v>DP_EA_15S/DEEP-PERCOLATION</v>
      </c>
      <c r="I753" s="24" t="s">
        <v>2230</v>
      </c>
      <c r="J753" s="10" t="str">
        <f>VLOOKUP(Table1[[#This Row],[UID]],CS3SVComposerConfig!$B$3:$D$1808,3,FALSE)</f>
        <v>IDCOutputEE.dss</v>
      </c>
      <c r="K753" s="10" t="s">
        <v>2212</v>
      </c>
      <c r="L753" s="10" t="s">
        <v>2212</v>
      </c>
      <c r="M753" s="10" t="s">
        <v>2224</v>
      </c>
      <c r="N753" s="10" t="s">
        <v>2225</v>
      </c>
      <c r="O753" s="10" t="s">
        <v>2226</v>
      </c>
      <c r="P753" s="39" t="s">
        <v>2227</v>
      </c>
    </row>
    <row r="754" spans="2:16" ht="18" customHeight="1" x14ac:dyDescent="0.25">
      <c r="B754" s="21" t="s">
        <v>0</v>
      </c>
      <c r="C754" s="22" t="s">
        <v>1084</v>
      </c>
      <c r="D754" s="22" t="s">
        <v>51</v>
      </c>
      <c r="E754" s="21" t="s">
        <v>2222</v>
      </c>
      <c r="F754" s="23" t="s">
        <v>3</v>
      </c>
      <c r="G754" s="23" t="s">
        <v>4</v>
      </c>
      <c r="H754" s="21" t="str">
        <f t="shared" si="11"/>
        <v>DP_EA_50/DEEP-PERCOLATION</v>
      </c>
      <c r="I754" s="24" t="s">
        <v>2230</v>
      </c>
      <c r="J754" s="10" t="str">
        <f>VLOOKUP(Table1[[#This Row],[UID]],CS3SVComposerConfig!$B$3:$D$1808,3,FALSE)</f>
        <v>IDCOutputEE.dss</v>
      </c>
      <c r="K754" s="10" t="s">
        <v>2212</v>
      </c>
      <c r="L754" s="10" t="s">
        <v>2212</v>
      </c>
      <c r="M754" s="10" t="s">
        <v>2224</v>
      </c>
      <c r="N754" s="10" t="s">
        <v>2225</v>
      </c>
      <c r="O754" s="10" t="s">
        <v>2226</v>
      </c>
      <c r="P754" s="39" t="s">
        <v>2227</v>
      </c>
    </row>
    <row r="755" spans="2:16" ht="18" customHeight="1" x14ac:dyDescent="0.25">
      <c r="B755" s="21" t="s">
        <v>0</v>
      </c>
      <c r="C755" s="22" t="s">
        <v>1085</v>
      </c>
      <c r="D755" s="22" t="s">
        <v>51</v>
      </c>
      <c r="E755" s="21" t="s">
        <v>2222</v>
      </c>
      <c r="F755" s="23" t="s">
        <v>3</v>
      </c>
      <c r="G755" s="23" t="s">
        <v>4</v>
      </c>
      <c r="H755" s="21" t="str">
        <f t="shared" si="11"/>
        <v>DP_EA_60N/DEEP-PERCOLATION</v>
      </c>
      <c r="I755" s="24" t="s">
        <v>2230</v>
      </c>
      <c r="J755" s="10" t="str">
        <f>VLOOKUP(Table1[[#This Row],[UID]],CS3SVComposerConfig!$B$3:$D$1808,3,FALSE)</f>
        <v>IDCOutputEE.dss</v>
      </c>
      <c r="K755" s="10" t="s">
        <v>2212</v>
      </c>
      <c r="L755" s="10" t="s">
        <v>2212</v>
      </c>
      <c r="M755" s="10" t="s">
        <v>2224</v>
      </c>
      <c r="N755" s="10" t="s">
        <v>2225</v>
      </c>
      <c r="O755" s="10" t="s">
        <v>2226</v>
      </c>
      <c r="P755" s="39" t="s">
        <v>2227</v>
      </c>
    </row>
    <row r="756" spans="2:16" ht="18" customHeight="1" x14ac:dyDescent="0.25">
      <c r="B756" s="21" t="s">
        <v>0</v>
      </c>
      <c r="C756" s="22" t="s">
        <v>1086</v>
      </c>
      <c r="D756" s="22" t="s">
        <v>51</v>
      </c>
      <c r="E756" s="21" t="s">
        <v>2222</v>
      </c>
      <c r="F756" s="23" t="s">
        <v>3</v>
      </c>
      <c r="G756" s="23" t="s">
        <v>4</v>
      </c>
      <c r="H756" s="21" t="str">
        <f t="shared" si="11"/>
        <v>DP_EA_60S/DEEP-PERCOLATION</v>
      </c>
      <c r="I756" s="24" t="s">
        <v>2230</v>
      </c>
      <c r="J756" s="10" t="str">
        <f>VLOOKUP(Table1[[#This Row],[UID]],CS3SVComposerConfig!$B$3:$D$1808,3,FALSE)</f>
        <v>IDCOutputEE.dss</v>
      </c>
      <c r="K756" s="10" t="s">
        <v>2212</v>
      </c>
      <c r="L756" s="10" t="s">
        <v>2212</v>
      </c>
      <c r="M756" s="10" t="s">
        <v>2224</v>
      </c>
      <c r="N756" s="10" t="s">
        <v>2225</v>
      </c>
      <c r="O756" s="10" t="s">
        <v>2226</v>
      </c>
      <c r="P756" s="39" t="s">
        <v>2227</v>
      </c>
    </row>
    <row r="757" spans="2:16" ht="18" customHeight="1" x14ac:dyDescent="0.25">
      <c r="B757" s="21" t="s">
        <v>0</v>
      </c>
      <c r="C757" s="22" t="s">
        <v>1087</v>
      </c>
      <c r="D757" s="22" t="s">
        <v>51</v>
      </c>
      <c r="E757" s="21" t="s">
        <v>2222</v>
      </c>
      <c r="F757" s="23" t="s">
        <v>3</v>
      </c>
      <c r="G757" s="23" t="s">
        <v>4</v>
      </c>
      <c r="H757" s="21" t="str">
        <f t="shared" si="11"/>
        <v>DP_EA_61/DEEP-PERCOLATION</v>
      </c>
      <c r="I757" s="24" t="s">
        <v>2230</v>
      </c>
      <c r="J757" s="10" t="str">
        <f>VLOOKUP(Table1[[#This Row],[UID]],CS3SVComposerConfig!$B$3:$D$1808,3,FALSE)</f>
        <v>IDCOutputEE.dss</v>
      </c>
      <c r="K757" s="10" t="s">
        <v>2212</v>
      </c>
      <c r="L757" s="10" t="s">
        <v>2212</v>
      </c>
      <c r="M757" s="10" t="s">
        <v>2224</v>
      </c>
      <c r="N757" s="10" t="s">
        <v>2225</v>
      </c>
      <c r="O757" s="10" t="s">
        <v>2226</v>
      </c>
      <c r="P757" s="39" t="s">
        <v>2227</v>
      </c>
    </row>
    <row r="758" spans="2:16" ht="18" customHeight="1" x14ac:dyDescent="0.25">
      <c r="B758" s="21" t="s">
        <v>0</v>
      </c>
      <c r="C758" s="22" t="s">
        <v>1088</v>
      </c>
      <c r="D758" s="22" t="s">
        <v>51</v>
      </c>
      <c r="E758" s="21" t="s">
        <v>2222</v>
      </c>
      <c r="F758" s="23" t="s">
        <v>3</v>
      </c>
      <c r="G758" s="23" t="s">
        <v>4</v>
      </c>
      <c r="H758" s="21" t="str">
        <f t="shared" si="11"/>
        <v>DP_EA_62/DEEP-PERCOLATION</v>
      </c>
      <c r="I758" s="24" t="s">
        <v>2230</v>
      </c>
      <c r="J758" s="10" t="str">
        <f>VLOOKUP(Table1[[#This Row],[UID]],CS3SVComposerConfig!$B$3:$D$1808,3,FALSE)</f>
        <v>IDCOutputEE.dss</v>
      </c>
      <c r="K758" s="10" t="s">
        <v>2212</v>
      </c>
      <c r="L758" s="10" t="s">
        <v>2212</v>
      </c>
      <c r="M758" s="10" t="s">
        <v>2224</v>
      </c>
      <c r="N758" s="10" t="s">
        <v>2225</v>
      </c>
      <c r="O758" s="10" t="s">
        <v>2226</v>
      </c>
      <c r="P758" s="39" t="s">
        <v>2227</v>
      </c>
    </row>
    <row r="759" spans="2:16" ht="18" customHeight="1" x14ac:dyDescent="0.25">
      <c r="B759" s="21" t="s">
        <v>0</v>
      </c>
      <c r="C759" s="22" t="s">
        <v>1089</v>
      </c>
      <c r="D759" s="22" t="s">
        <v>51</v>
      </c>
      <c r="E759" s="21" t="s">
        <v>2222</v>
      </c>
      <c r="F759" s="23" t="s">
        <v>3</v>
      </c>
      <c r="G759" s="23" t="s">
        <v>4</v>
      </c>
      <c r="H759" s="21" t="str">
        <f t="shared" si="11"/>
        <v>DP_EA_63/DEEP-PERCOLATION</v>
      </c>
      <c r="I759" s="24" t="s">
        <v>2230</v>
      </c>
      <c r="J759" s="10" t="str">
        <f>VLOOKUP(Table1[[#This Row],[UID]],CS3SVComposerConfig!$B$3:$D$1808,3,FALSE)</f>
        <v>IDCOutputEE.dss</v>
      </c>
      <c r="K759" s="10" t="s">
        <v>2212</v>
      </c>
      <c r="L759" s="10" t="s">
        <v>2212</v>
      </c>
      <c r="M759" s="10" t="s">
        <v>2224</v>
      </c>
      <c r="N759" s="10" t="s">
        <v>2225</v>
      </c>
      <c r="O759" s="10" t="s">
        <v>2226</v>
      </c>
      <c r="P759" s="39" t="s">
        <v>2227</v>
      </c>
    </row>
    <row r="760" spans="2:16" ht="18" customHeight="1" x14ac:dyDescent="0.25">
      <c r="B760" s="21" t="s">
        <v>0</v>
      </c>
      <c r="C760" s="22" t="s">
        <v>1090</v>
      </c>
      <c r="D760" s="22" t="s">
        <v>51</v>
      </c>
      <c r="E760" s="21" t="s">
        <v>2222</v>
      </c>
      <c r="F760" s="23" t="s">
        <v>3</v>
      </c>
      <c r="G760" s="23" t="s">
        <v>4</v>
      </c>
      <c r="H760" s="21" t="str">
        <f t="shared" si="11"/>
        <v>DP_EA_64/DEEP-PERCOLATION</v>
      </c>
      <c r="I760" s="24" t="s">
        <v>2230</v>
      </c>
      <c r="J760" s="10" t="str">
        <f>VLOOKUP(Table1[[#This Row],[UID]],CS3SVComposerConfig!$B$3:$D$1808,3,FALSE)</f>
        <v>IDCOutputEE.dss</v>
      </c>
      <c r="K760" s="10" t="s">
        <v>2212</v>
      </c>
      <c r="L760" s="10" t="s">
        <v>2212</v>
      </c>
      <c r="M760" s="10" t="s">
        <v>2224</v>
      </c>
      <c r="N760" s="10" t="s">
        <v>2225</v>
      </c>
      <c r="O760" s="10" t="s">
        <v>2226</v>
      </c>
      <c r="P760" s="39" t="s">
        <v>2227</v>
      </c>
    </row>
    <row r="761" spans="2:16" ht="18" customHeight="1" x14ac:dyDescent="0.25">
      <c r="B761" s="21" t="s">
        <v>0</v>
      </c>
      <c r="C761" s="22" t="s">
        <v>1091</v>
      </c>
      <c r="D761" s="22" t="s">
        <v>51</v>
      </c>
      <c r="E761" s="21" t="s">
        <v>2222</v>
      </c>
      <c r="F761" s="23" t="s">
        <v>3</v>
      </c>
      <c r="G761" s="23" t="s">
        <v>4</v>
      </c>
      <c r="H761" s="21" t="str">
        <f t="shared" si="11"/>
        <v>DP_EA_71/DEEP-PERCOLATION</v>
      </c>
      <c r="I761" s="24" t="s">
        <v>2230</v>
      </c>
      <c r="J761" s="10" t="str">
        <f>VLOOKUP(Table1[[#This Row],[UID]],CS3SVComposerConfig!$B$3:$D$1808,3,FALSE)</f>
        <v>IDCOutputEE.dss</v>
      </c>
      <c r="K761" s="10" t="s">
        <v>2212</v>
      </c>
      <c r="L761" s="10" t="s">
        <v>2212</v>
      </c>
      <c r="M761" s="10" t="s">
        <v>2224</v>
      </c>
      <c r="N761" s="10" t="s">
        <v>2225</v>
      </c>
      <c r="O761" s="10" t="s">
        <v>2226</v>
      </c>
      <c r="P761" s="39" t="s">
        <v>2227</v>
      </c>
    </row>
    <row r="762" spans="2:16" ht="18" customHeight="1" x14ac:dyDescent="0.25">
      <c r="B762" s="21" t="s">
        <v>0</v>
      </c>
      <c r="C762" s="22" t="s">
        <v>1092</v>
      </c>
      <c r="D762" s="22" t="s">
        <v>51</v>
      </c>
      <c r="E762" s="21" t="s">
        <v>2222</v>
      </c>
      <c r="F762" s="23" t="s">
        <v>3</v>
      </c>
      <c r="G762" s="23" t="s">
        <v>4</v>
      </c>
      <c r="H762" s="21" t="str">
        <f t="shared" si="11"/>
        <v>DP_EA_73/DEEP-PERCOLATION</v>
      </c>
      <c r="I762" s="24" t="s">
        <v>2230</v>
      </c>
      <c r="J762" s="10" t="str">
        <f>VLOOKUP(Table1[[#This Row],[UID]],CS3SVComposerConfig!$B$3:$D$1808,3,FALSE)</f>
        <v>IDCOutputEE.dss</v>
      </c>
      <c r="K762" s="10" t="s">
        <v>2212</v>
      </c>
      <c r="L762" s="10" t="s">
        <v>2212</v>
      </c>
      <c r="M762" s="10" t="s">
        <v>2224</v>
      </c>
      <c r="N762" s="10" t="s">
        <v>2225</v>
      </c>
      <c r="O762" s="10" t="s">
        <v>2226</v>
      </c>
      <c r="P762" s="39" t="s">
        <v>2227</v>
      </c>
    </row>
    <row r="763" spans="2:16" ht="18" customHeight="1" x14ac:dyDescent="0.25">
      <c r="B763" s="21" t="s">
        <v>0</v>
      </c>
      <c r="C763" s="22" t="s">
        <v>1093</v>
      </c>
      <c r="D763" s="22" t="s">
        <v>51</v>
      </c>
      <c r="E763" s="21" t="s">
        <v>2222</v>
      </c>
      <c r="F763" s="23" t="s">
        <v>3</v>
      </c>
      <c r="G763" s="23" t="s">
        <v>4</v>
      </c>
      <c r="H763" s="21" t="str">
        <f t="shared" si="11"/>
        <v>DP_EA_90/DEEP-PERCOLATION</v>
      </c>
      <c r="I763" s="24" t="s">
        <v>2230</v>
      </c>
      <c r="J763" s="10" t="str">
        <f>VLOOKUP(Table1[[#This Row],[UID]],CS3SVComposerConfig!$B$3:$D$1808,3,FALSE)</f>
        <v>IDCOutputEE.dss</v>
      </c>
      <c r="K763" s="10" t="s">
        <v>2212</v>
      </c>
      <c r="L763" s="10" t="s">
        <v>2212</v>
      </c>
      <c r="M763" s="10" t="s">
        <v>2224</v>
      </c>
      <c r="N763" s="10" t="s">
        <v>2225</v>
      </c>
      <c r="O763" s="10" t="s">
        <v>2226</v>
      </c>
      <c r="P763" s="39" t="s">
        <v>2227</v>
      </c>
    </row>
    <row r="764" spans="2:16" ht="18" customHeight="1" x14ac:dyDescent="0.25">
      <c r="B764" s="21" t="s">
        <v>0</v>
      </c>
      <c r="C764" s="22" t="s">
        <v>1094</v>
      </c>
      <c r="D764" s="22" t="s">
        <v>51</v>
      </c>
      <c r="E764" s="21" t="s">
        <v>2222</v>
      </c>
      <c r="F764" s="23" t="s">
        <v>3</v>
      </c>
      <c r="G764" s="23" t="s">
        <v>4</v>
      </c>
      <c r="H764" s="21" t="str">
        <f t="shared" si="11"/>
        <v>DP_EA_DETAW/DEEP-PERCOLATION</v>
      </c>
      <c r="I764" s="24" t="s">
        <v>2230</v>
      </c>
      <c r="J764" s="10" t="str">
        <f>VLOOKUP(Table1[[#This Row],[UID]],CS3SVComposerConfig!$B$3:$D$1808,3,FALSE)</f>
        <v>IDCOutputEE.dss</v>
      </c>
      <c r="K764" s="10" t="s">
        <v>2212</v>
      </c>
      <c r="L764" s="10" t="s">
        <v>2212</v>
      </c>
      <c r="M764" s="10" t="s">
        <v>2224</v>
      </c>
      <c r="N764" s="10" t="s">
        <v>2225</v>
      </c>
      <c r="O764" s="10" t="s">
        <v>2226</v>
      </c>
      <c r="P764" s="39" t="s">
        <v>2227</v>
      </c>
    </row>
    <row r="765" spans="2:16" ht="18" customHeight="1" x14ac:dyDescent="0.25">
      <c r="B765" s="21" t="s">
        <v>0</v>
      </c>
      <c r="C765" s="22" t="s">
        <v>1095</v>
      </c>
      <c r="D765" s="22" t="s">
        <v>51</v>
      </c>
      <c r="E765" s="21" t="s">
        <v>2222</v>
      </c>
      <c r="F765" s="23" t="s">
        <v>3</v>
      </c>
      <c r="G765" s="23" t="s">
        <v>4</v>
      </c>
      <c r="H765" s="21" t="str">
        <f t="shared" si="11"/>
        <v>DP_EA_NBAY/DEEP-PERCOLATION</v>
      </c>
      <c r="I765" s="24" t="s">
        <v>2230</v>
      </c>
      <c r="J765" s="10" t="str">
        <f>VLOOKUP(Table1[[#This Row],[UID]],CS3SVComposerConfig!$B$3:$D$1808,3,FALSE)</f>
        <v>IDCOutputEE.dss</v>
      </c>
      <c r="K765" s="10" t="s">
        <v>2212</v>
      </c>
      <c r="L765" s="10" t="s">
        <v>2212</v>
      </c>
      <c r="M765" s="10" t="s">
        <v>2224</v>
      </c>
      <c r="N765" s="10" t="s">
        <v>2225</v>
      </c>
      <c r="O765" s="10" t="s">
        <v>2226</v>
      </c>
      <c r="P765" s="39" t="s">
        <v>2227</v>
      </c>
    </row>
    <row r="766" spans="2:16" ht="18" customHeight="1" x14ac:dyDescent="0.25">
      <c r="B766" s="21" t="s">
        <v>0</v>
      </c>
      <c r="C766" s="22" t="s">
        <v>2231</v>
      </c>
      <c r="D766" s="22" t="s">
        <v>2232</v>
      </c>
      <c r="E766" s="21" t="s">
        <v>2222</v>
      </c>
      <c r="F766" s="23" t="s">
        <v>3</v>
      </c>
      <c r="G766" s="23" t="s">
        <v>4</v>
      </c>
      <c r="H766" s="21" t="str">
        <f t="shared" si="11"/>
        <v>I422_PPT/PRECIP-RATE</v>
      </c>
      <c r="I766" s="24" t="s">
        <v>2233</v>
      </c>
      <c r="J766" s="10" t="str">
        <f>VLOOKUP(Table1[[#This Row],[UID]],CS3SVComposerConfig!$B$3:$D$1808,3,FALSE)</f>
        <v>adj_SV_CS3LTO_0803_pointPrec.dss</v>
      </c>
      <c r="K766" s="10" t="s">
        <v>2212</v>
      </c>
      <c r="L766" s="10" t="s">
        <v>2212</v>
      </c>
      <c r="M766" s="10" t="s">
        <v>2212</v>
      </c>
      <c r="N766" s="10" t="s">
        <v>2227</v>
      </c>
      <c r="O766" s="10" t="s">
        <v>2227</v>
      </c>
      <c r="P766" s="39" t="s">
        <v>2227</v>
      </c>
    </row>
    <row r="767" spans="2:16" ht="18" customHeight="1" x14ac:dyDescent="0.25">
      <c r="B767" s="21" t="s">
        <v>0</v>
      </c>
      <c r="C767" s="22" t="s">
        <v>2187</v>
      </c>
      <c r="D767" s="22" t="s">
        <v>1123</v>
      </c>
      <c r="E767" s="21" t="s">
        <v>2222</v>
      </c>
      <c r="F767" s="23" t="s">
        <v>3</v>
      </c>
      <c r="G767" s="23" t="s">
        <v>4</v>
      </c>
      <c r="H767" s="21" t="str">
        <f t="shared" si="11"/>
        <v>P_HTCHY/PRECIP</v>
      </c>
      <c r="I767" s="24" t="s">
        <v>2233</v>
      </c>
      <c r="J767" s="10" t="str">
        <f>VLOOKUP(Table1[[#This Row],[UID]],CS3SVComposerConfig!$B$3:$D$1808,3,FALSE)</f>
        <v>adj_SV_CS3LTO_0803_pointPrec.dss</v>
      </c>
      <c r="K767" s="10" t="s">
        <v>2212</v>
      </c>
      <c r="L767" s="10" t="s">
        <v>2212</v>
      </c>
      <c r="M767" s="10" t="s">
        <v>2224</v>
      </c>
      <c r="N767" s="10" t="s">
        <v>2225</v>
      </c>
      <c r="O767" s="10" t="s">
        <v>2234</v>
      </c>
      <c r="P767" s="39" t="s">
        <v>2227</v>
      </c>
    </row>
    <row r="768" spans="2:16" ht="18" customHeight="1" x14ac:dyDescent="0.25">
      <c r="B768" s="21" t="s">
        <v>0</v>
      </c>
      <c r="C768" s="22" t="s">
        <v>2188</v>
      </c>
      <c r="D768" s="22" t="s">
        <v>1123</v>
      </c>
      <c r="E768" s="21" t="s">
        <v>2222</v>
      </c>
      <c r="F768" s="23" t="s">
        <v>3</v>
      </c>
      <c r="G768" s="23" t="s">
        <v>4</v>
      </c>
      <c r="H768" s="21" t="str">
        <f t="shared" si="11"/>
        <v>P_LODI/PRECIP</v>
      </c>
      <c r="I768" s="24" t="s">
        <v>2233</v>
      </c>
      <c r="J768" s="10" t="str">
        <f>VLOOKUP(Table1[[#This Row],[UID]],CS3SVComposerConfig!$B$3:$D$1808,3,FALSE)</f>
        <v>adj_SV_CS3LTO_0803_pointPrec.dss</v>
      </c>
      <c r="K768" s="10" t="s">
        <v>2212</v>
      </c>
      <c r="L768" s="10" t="s">
        <v>2212</v>
      </c>
      <c r="M768" s="10" t="s">
        <v>2224</v>
      </c>
      <c r="N768" s="10" t="s">
        <v>2225</v>
      </c>
      <c r="O768" s="10" t="s">
        <v>2234</v>
      </c>
      <c r="P768" s="39" t="s">
        <v>2227</v>
      </c>
    </row>
    <row r="769" spans="2:16" ht="18" customHeight="1" x14ac:dyDescent="0.25">
      <c r="B769" s="21" t="s">
        <v>0</v>
      </c>
      <c r="C769" s="22" t="s">
        <v>2162</v>
      </c>
      <c r="D769" s="22" t="s">
        <v>1123</v>
      </c>
      <c r="E769" s="21" t="s">
        <v>2222</v>
      </c>
      <c r="F769" s="23" t="s">
        <v>3</v>
      </c>
      <c r="G769" s="23" t="s">
        <v>4</v>
      </c>
      <c r="H769" s="21" t="str">
        <f t="shared" si="11"/>
        <v>PP_ADS/PRECIP</v>
      </c>
      <c r="I769" s="24" t="s">
        <v>2233</v>
      </c>
      <c r="J769" s="10" t="str">
        <f>VLOOKUP(Table1[[#This Row],[UID]],CS3SVComposerConfig!$B$3:$D$1808,3,FALSE)</f>
        <v>adj_SV_CS3LTO_0803_pointPrec.dss</v>
      </c>
      <c r="K769" s="10" t="s">
        <v>2212</v>
      </c>
      <c r="L769" s="10" t="s">
        <v>2212</v>
      </c>
      <c r="M769" s="10" t="s">
        <v>2224</v>
      </c>
      <c r="N769" s="10" t="s">
        <v>2225</v>
      </c>
      <c r="O769" s="10" t="s">
        <v>2234</v>
      </c>
      <c r="P769" s="39" t="s">
        <v>2227</v>
      </c>
    </row>
    <row r="770" spans="2:16" ht="18" customHeight="1" x14ac:dyDescent="0.25">
      <c r="B770" s="21" t="s">
        <v>0</v>
      </c>
      <c r="C770" s="22" t="s">
        <v>2165</v>
      </c>
      <c r="D770" s="22" t="s">
        <v>1123</v>
      </c>
      <c r="E770" s="21" t="s">
        <v>2222</v>
      </c>
      <c r="F770" s="23" t="s">
        <v>3</v>
      </c>
      <c r="G770" s="23" t="s">
        <v>4</v>
      </c>
      <c r="H770" s="21" t="str">
        <f t="shared" si="11"/>
        <v>PP_BLB/PRECIP</v>
      </c>
      <c r="I770" s="24" t="s">
        <v>2233</v>
      </c>
      <c r="J770" s="10" t="str">
        <f>VLOOKUP(Table1[[#This Row],[UID]],CS3SVComposerConfig!$B$3:$D$1808,3,FALSE)</f>
        <v>adj_SV_CS3LTO_0803_pointPrec.dss</v>
      </c>
      <c r="K770" s="10" t="s">
        <v>2212</v>
      </c>
      <c r="L770" s="10" t="s">
        <v>2212</v>
      </c>
      <c r="M770" s="10" t="s">
        <v>2224</v>
      </c>
      <c r="N770" s="10" t="s">
        <v>2225</v>
      </c>
      <c r="O770" s="10" t="s">
        <v>2234</v>
      </c>
      <c r="P770" s="39" t="s">
        <v>2227</v>
      </c>
    </row>
    <row r="771" spans="2:16" ht="18" customHeight="1" x14ac:dyDescent="0.25">
      <c r="B771" s="21" t="s">
        <v>0</v>
      </c>
      <c r="C771" s="22" t="s">
        <v>2166</v>
      </c>
      <c r="D771" s="22" t="s">
        <v>1123</v>
      </c>
      <c r="E771" s="21" t="s">
        <v>2222</v>
      </c>
      <c r="F771" s="23" t="s">
        <v>3</v>
      </c>
      <c r="G771" s="23" t="s">
        <v>4</v>
      </c>
      <c r="H771" s="21" t="str">
        <f t="shared" ref="H771:H834" si="12">_xlfn.CONCAT(C771,"/",D771)</f>
        <v>PP_BNR/PRECIP</v>
      </c>
      <c r="I771" s="24" t="s">
        <v>2233</v>
      </c>
      <c r="J771" s="10" t="str">
        <f>VLOOKUP(Table1[[#This Row],[UID]],CS3SVComposerConfig!$B$3:$D$1808,3,FALSE)</f>
        <v>adj_SV_CS3LTO_0803_pointPrec.dss</v>
      </c>
      <c r="K771" s="10" t="s">
        <v>2212</v>
      </c>
      <c r="L771" s="10" t="s">
        <v>2212</v>
      </c>
      <c r="M771" s="10" t="s">
        <v>2224</v>
      </c>
      <c r="N771" s="10" t="s">
        <v>2225</v>
      </c>
      <c r="O771" s="10" t="s">
        <v>2234</v>
      </c>
      <c r="P771" s="39" t="s">
        <v>2227</v>
      </c>
    </row>
    <row r="772" spans="2:16" ht="18" customHeight="1" x14ac:dyDescent="0.25">
      <c r="B772" s="21" t="s">
        <v>0</v>
      </c>
      <c r="C772" s="22" t="s">
        <v>2167</v>
      </c>
      <c r="D772" s="22" t="s">
        <v>1123</v>
      </c>
      <c r="E772" s="21" t="s">
        <v>2222</v>
      </c>
      <c r="F772" s="23" t="s">
        <v>3</v>
      </c>
      <c r="G772" s="23" t="s">
        <v>4</v>
      </c>
      <c r="H772" s="21" t="str">
        <f t="shared" si="12"/>
        <v>PP_BRS/PRECIP</v>
      </c>
      <c r="I772" s="24" t="s">
        <v>2233</v>
      </c>
      <c r="J772" s="10" t="str">
        <f>VLOOKUP(Table1[[#This Row],[UID]],CS3SVComposerConfig!$B$3:$D$1808,3,FALSE)</f>
        <v>DCR2023_SV_Danube_Hist_v3.dss</v>
      </c>
      <c r="K772" s="10" t="s">
        <v>2212</v>
      </c>
      <c r="L772" s="10" t="s">
        <v>2212</v>
      </c>
      <c r="M772" s="10" t="s">
        <v>2224</v>
      </c>
      <c r="N772" s="10" t="s">
        <v>2225</v>
      </c>
      <c r="O772" s="10" t="s">
        <v>2234</v>
      </c>
      <c r="P772" s="39" t="s">
        <v>2227</v>
      </c>
    </row>
    <row r="773" spans="2:16" ht="18" customHeight="1" x14ac:dyDescent="0.25">
      <c r="B773" s="21" t="s">
        <v>0</v>
      </c>
      <c r="C773" s="22" t="s">
        <v>2168</v>
      </c>
      <c r="D773" s="22" t="s">
        <v>1123</v>
      </c>
      <c r="E773" s="21" t="s">
        <v>2222</v>
      </c>
      <c r="F773" s="23" t="s">
        <v>3</v>
      </c>
      <c r="G773" s="23" t="s">
        <v>4</v>
      </c>
      <c r="H773" s="21" t="str">
        <f t="shared" si="12"/>
        <v>PP_BUC/PRECIP</v>
      </c>
      <c r="I773" s="24" t="s">
        <v>2233</v>
      </c>
      <c r="J773" s="10" t="str">
        <f>VLOOKUP(Table1[[#This Row],[UID]],CS3SVComposerConfig!$B$3:$D$1808,3,FALSE)</f>
        <v>adj_SV_CS3LTO_0803_pointPrec.dss</v>
      </c>
      <c r="K773" s="10" t="s">
        <v>2212</v>
      </c>
      <c r="L773" s="10" t="s">
        <v>2212</v>
      </c>
      <c r="M773" s="10" t="s">
        <v>2224</v>
      </c>
      <c r="N773" s="10" t="s">
        <v>2225</v>
      </c>
      <c r="O773" s="10" t="s">
        <v>2234</v>
      </c>
      <c r="P773" s="39" t="s">
        <v>2227</v>
      </c>
    </row>
    <row r="774" spans="2:16" ht="18" customHeight="1" x14ac:dyDescent="0.25">
      <c r="B774" s="21" t="s">
        <v>0</v>
      </c>
      <c r="C774" s="22" t="s">
        <v>2169</v>
      </c>
      <c r="D774" s="22" t="s">
        <v>1123</v>
      </c>
      <c r="E774" s="21" t="s">
        <v>2222</v>
      </c>
      <c r="F774" s="23" t="s">
        <v>3</v>
      </c>
      <c r="G774" s="23" t="s">
        <v>4</v>
      </c>
      <c r="H774" s="21" t="str">
        <f t="shared" si="12"/>
        <v>PP_CAM/PRECIP</v>
      </c>
      <c r="I774" s="24" t="s">
        <v>2233</v>
      </c>
      <c r="J774" s="10" t="str">
        <f>VLOOKUP(Table1[[#This Row],[UID]],CS3SVComposerConfig!$B$3:$D$1808,3,FALSE)</f>
        <v>DCR2023_SV_Danube_Hist_v3.dss</v>
      </c>
      <c r="K774" s="10" t="s">
        <v>2212</v>
      </c>
      <c r="L774" s="10" t="s">
        <v>2212</v>
      </c>
      <c r="M774" s="10" t="s">
        <v>2224</v>
      </c>
      <c r="N774" s="10" t="s">
        <v>2225</v>
      </c>
      <c r="O774" s="10" t="s">
        <v>2234</v>
      </c>
      <c r="P774" s="39" t="s">
        <v>2227</v>
      </c>
    </row>
    <row r="775" spans="2:16" ht="18" customHeight="1" x14ac:dyDescent="0.25">
      <c r="B775" s="21" t="s">
        <v>0</v>
      </c>
      <c r="C775" s="22" t="s">
        <v>2170</v>
      </c>
      <c r="D775" s="22" t="s">
        <v>1123</v>
      </c>
      <c r="E775" s="21" t="s">
        <v>2222</v>
      </c>
      <c r="F775" s="23" t="s">
        <v>3</v>
      </c>
      <c r="G775" s="23" t="s">
        <v>4</v>
      </c>
      <c r="H775" s="21" t="str">
        <f t="shared" si="12"/>
        <v>PP_CNY/PRECIP</v>
      </c>
      <c r="I775" s="24" t="s">
        <v>2233</v>
      </c>
      <c r="J775" s="10" t="str">
        <f>VLOOKUP(Table1[[#This Row],[UID]],CS3SVComposerConfig!$B$3:$D$1808,3,FALSE)</f>
        <v>DCR2023_SV_Danube_Hist_v3.dss</v>
      </c>
      <c r="K775" s="10" t="s">
        <v>2212</v>
      </c>
      <c r="L775" s="10" t="s">
        <v>2212</v>
      </c>
      <c r="M775" s="10" t="s">
        <v>2224</v>
      </c>
      <c r="N775" s="10" t="s">
        <v>2225</v>
      </c>
      <c r="O775" s="10" t="s">
        <v>2234</v>
      </c>
      <c r="P775" s="39" t="s">
        <v>2227</v>
      </c>
    </row>
    <row r="776" spans="2:16" ht="18" customHeight="1" x14ac:dyDescent="0.25">
      <c r="B776" s="21" t="s">
        <v>0</v>
      </c>
      <c r="C776" s="22" t="s">
        <v>2171</v>
      </c>
      <c r="D776" s="22" t="s">
        <v>1123</v>
      </c>
      <c r="E776" s="21" t="s">
        <v>2222</v>
      </c>
      <c r="F776" s="23" t="s">
        <v>3</v>
      </c>
      <c r="G776" s="23" t="s">
        <v>4</v>
      </c>
      <c r="H776" s="21" t="str">
        <f t="shared" si="12"/>
        <v>PP_DES/PRECIP</v>
      </c>
      <c r="I776" s="24" t="s">
        <v>2233</v>
      </c>
      <c r="J776" s="10" t="str">
        <f>VLOOKUP(Table1[[#This Row],[UID]],CS3SVComposerConfig!$B$3:$D$1808,3,FALSE)</f>
        <v>DCR2023_SV_Danube_Hist_v3.dss</v>
      </c>
      <c r="K776" s="10" t="s">
        <v>2212</v>
      </c>
      <c r="L776" s="10" t="s">
        <v>2212</v>
      </c>
      <c r="M776" s="10" t="s">
        <v>2224</v>
      </c>
      <c r="N776" s="10" t="s">
        <v>2225</v>
      </c>
      <c r="O776" s="10" t="s">
        <v>2234</v>
      </c>
      <c r="P776" s="39" t="s">
        <v>2227</v>
      </c>
    </row>
    <row r="777" spans="2:16" ht="18" customHeight="1" x14ac:dyDescent="0.25">
      <c r="B777" s="21" t="s">
        <v>0</v>
      </c>
      <c r="C777" s="22" t="s">
        <v>2172</v>
      </c>
      <c r="D777" s="22" t="s">
        <v>1123</v>
      </c>
      <c r="E777" s="21" t="s">
        <v>2222</v>
      </c>
      <c r="F777" s="23" t="s">
        <v>3</v>
      </c>
      <c r="G777" s="23" t="s">
        <v>4</v>
      </c>
      <c r="H777" s="21" t="str">
        <f t="shared" si="12"/>
        <v>PP_HID/PRECIP</v>
      </c>
      <c r="I777" s="24" t="s">
        <v>2233</v>
      </c>
      <c r="J777" s="10" t="str">
        <f>VLOOKUP(Table1[[#This Row],[UID]],CS3SVComposerConfig!$B$3:$D$1808,3,FALSE)</f>
        <v>adj_SV_CS3LTO_0803_pointPrec.dss</v>
      </c>
      <c r="K777" s="10" t="s">
        <v>2212</v>
      </c>
      <c r="L777" s="10" t="s">
        <v>2212</v>
      </c>
      <c r="M777" s="10" t="s">
        <v>2224</v>
      </c>
      <c r="N777" s="10" t="s">
        <v>2225</v>
      </c>
      <c r="O777" s="10" t="s">
        <v>2234</v>
      </c>
      <c r="P777" s="39" t="s">
        <v>2227</v>
      </c>
    </row>
    <row r="778" spans="2:16" ht="18" customHeight="1" x14ac:dyDescent="0.25">
      <c r="B778" s="21" t="s">
        <v>0</v>
      </c>
      <c r="C778" s="22" t="s">
        <v>2173</v>
      </c>
      <c r="D778" s="22" t="s">
        <v>1123</v>
      </c>
      <c r="E778" s="21" t="s">
        <v>2222</v>
      </c>
      <c r="F778" s="23" t="s">
        <v>3</v>
      </c>
      <c r="G778" s="23" t="s">
        <v>4</v>
      </c>
      <c r="H778" s="21" t="str">
        <f t="shared" si="12"/>
        <v>PP_LGS/PRECIP</v>
      </c>
      <c r="I778" s="24" t="s">
        <v>2233</v>
      </c>
      <c r="J778" s="10" t="str">
        <f>VLOOKUP(Table1[[#This Row],[UID]],CS3SVComposerConfig!$B$3:$D$1808,3,FALSE)</f>
        <v>adj_SV_CS3LTO_0803_pointPrec.dss</v>
      </c>
      <c r="K778" s="10" t="s">
        <v>2212</v>
      </c>
      <c r="L778" s="10" t="s">
        <v>2212</v>
      </c>
      <c r="M778" s="10" t="s">
        <v>2224</v>
      </c>
      <c r="N778" s="10" t="s">
        <v>2225</v>
      </c>
      <c r="O778" s="10" t="s">
        <v>2234</v>
      </c>
      <c r="P778" s="39" t="s">
        <v>2227</v>
      </c>
    </row>
    <row r="779" spans="2:16" ht="18" customHeight="1" x14ac:dyDescent="0.25">
      <c r="B779" s="21" t="s">
        <v>0</v>
      </c>
      <c r="C779" s="22" t="s">
        <v>2174</v>
      </c>
      <c r="D779" s="22" t="s">
        <v>1123</v>
      </c>
      <c r="E779" s="21" t="s">
        <v>2222</v>
      </c>
      <c r="F779" s="23" t="s">
        <v>3</v>
      </c>
      <c r="G779" s="23" t="s">
        <v>4</v>
      </c>
      <c r="H779" s="21" t="str">
        <f t="shared" si="12"/>
        <v>PP_MGN/PRECIP</v>
      </c>
      <c r="I779" s="24" t="s">
        <v>2233</v>
      </c>
      <c r="J779" s="10" t="str">
        <f>VLOOKUP(Table1[[#This Row],[UID]],CS3SVComposerConfig!$B$3:$D$1808,3,FALSE)</f>
        <v>adj_SV_CS3LTO_0803_pointPrec.dss</v>
      </c>
      <c r="K779" s="10" t="s">
        <v>2212</v>
      </c>
      <c r="L779" s="10" t="s">
        <v>2212</v>
      </c>
      <c r="M779" s="10" t="s">
        <v>2224</v>
      </c>
      <c r="N779" s="10" t="s">
        <v>2225</v>
      </c>
      <c r="O779" s="10" t="s">
        <v>2234</v>
      </c>
      <c r="P779" s="39" t="s">
        <v>2227</v>
      </c>
    </row>
    <row r="780" spans="2:16" ht="18" customHeight="1" x14ac:dyDescent="0.25">
      <c r="B780" s="21" t="s">
        <v>0</v>
      </c>
      <c r="C780" s="22" t="s">
        <v>2175</v>
      </c>
      <c r="D780" s="22" t="s">
        <v>1123</v>
      </c>
      <c r="E780" s="21" t="s">
        <v>2222</v>
      </c>
      <c r="F780" s="23" t="s">
        <v>3</v>
      </c>
      <c r="G780" s="23" t="s">
        <v>4</v>
      </c>
      <c r="H780" s="21" t="str">
        <f t="shared" si="12"/>
        <v>PP_NHG/PRECIP</v>
      </c>
      <c r="I780" s="24" t="s">
        <v>2233</v>
      </c>
      <c r="J780" s="10" t="str">
        <f>VLOOKUP(Table1[[#This Row],[UID]],CS3SVComposerConfig!$B$3:$D$1808,3,FALSE)</f>
        <v>adj_SV_CS3LTO_0803_pointPrec.dss</v>
      </c>
      <c r="K780" s="10" t="s">
        <v>2212</v>
      </c>
      <c r="L780" s="10" t="s">
        <v>2212</v>
      </c>
      <c r="M780" s="10" t="s">
        <v>2224</v>
      </c>
      <c r="N780" s="10" t="s">
        <v>2225</v>
      </c>
      <c r="O780" s="10" t="s">
        <v>2234</v>
      </c>
      <c r="P780" s="39" t="s">
        <v>2227</v>
      </c>
    </row>
    <row r="781" spans="2:16" ht="18" customHeight="1" x14ac:dyDescent="0.25">
      <c r="B781" s="21" t="s">
        <v>0</v>
      </c>
      <c r="C781" s="22" t="s">
        <v>2176</v>
      </c>
      <c r="D781" s="22" t="s">
        <v>1123</v>
      </c>
      <c r="E781" s="21" t="s">
        <v>2222</v>
      </c>
      <c r="F781" s="23" t="s">
        <v>3</v>
      </c>
      <c r="G781" s="23" t="s">
        <v>4</v>
      </c>
      <c r="H781" s="21" t="str">
        <f t="shared" si="12"/>
        <v>PP_NLS/PRECIP</v>
      </c>
      <c r="I781" s="24" t="s">
        <v>2233</v>
      </c>
      <c r="J781" s="10" t="str">
        <f>VLOOKUP(Table1[[#This Row],[UID]],CS3SVComposerConfig!$B$3:$D$1808,3,FALSE)</f>
        <v>adj_SV_CS3LTO_0803_pointPrec.dss</v>
      </c>
      <c r="K781" s="10" t="s">
        <v>2212</v>
      </c>
      <c r="L781" s="10" t="s">
        <v>2212</v>
      </c>
      <c r="M781" s="10" t="s">
        <v>2224</v>
      </c>
      <c r="N781" s="10" t="s">
        <v>2225</v>
      </c>
      <c r="O781" s="10" t="s">
        <v>2234</v>
      </c>
      <c r="P781" s="39" t="s">
        <v>2227</v>
      </c>
    </row>
    <row r="782" spans="2:16" ht="18" customHeight="1" x14ac:dyDescent="0.25">
      <c r="B782" s="21" t="s">
        <v>0</v>
      </c>
      <c r="C782" s="22" t="s">
        <v>2177</v>
      </c>
      <c r="D782" s="22" t="s">
        <v>1123</v>
      </c>
      <c r="E782" s="21" t="s">
        <v>2222</v>
      </c>
      <c r="F782" s="23" t="s">
        <v>3</v>
      </c>
      <c r="G782" s="23" t="s">
        <v>4</v>
      </c>
      <c r="H782" s="21" t="str">
        <f t="shared" si="12"/>
        <v>PP_OKH/PRECIP</v>
      </c>
      <c r="I782" s="24" t="s">
        <v>2233</v>
      </c>
      <c r="J782" s="10" t="str">
        <f>VLOOKUP(Table1[[#This Row],[UID]],CS3SVComposerConfig!$B$3:$D$1808,3,FALSE)</f>
        <v>adj_SV_CS3LTO_0803_pointPrec.dss</v>
      </c>
      <c r="K782" s="10" t="s">
        <v>2212</v>
      </c>
      <c r="L782" s="10" t="s">
        <v>2212</v>
      </c>
      <c r="M782" s="10" t="s">
        <v>2224</v>
      </c>
      <c r="N782" s="10" t="s">
        <v>2225</v>
      </c>
      <c r="O782" s="10" t="s">
        <v>2234</v>
      </c>
      <c r="P782" s="39" t="s">
        <v>2227</v>
      </c>
    </row>
    <row r="783" spans="2:16" ht="18" customHeight="1" x14ac:dyDescent="0.25">
      <c r="B783" s="21" t="s">
        <v>0</v>
      </c>
      <c r="C783" s="22" t="s">
        <v>2178</v>
      </c>
      <c r="D783" s="22" t="s">
        <v>1123</v>
      </c>
      <c r="E783" s="21" t="s">
        <v>2222</v>
      </c>
      <c r="F783" s="23" t="s">
        <v>3</v>
      </c>
      <c r="G783" s="23" t="s">
        <v>4</v>
      </c>
      <c r="H783" s="21" t="str">
        <f t="shared" si="12"/>
        <v>PP_ORO/PRECIP</v>
      </c>
      <c r="I783" s="24" t="s">
        <v>2233</v>
      </c>
      <c r="J783" s="10" t="str">
        <f>VLOOKUP(Table1[[#This Row],[UID]],CS3SVComposerConfig!$B$3:$D$1808,3,FALSE)</f>
        <v>DCR2023_SV_Danube_Hist_v3.dss</v>
      </c>
      <c r="K783" s="10" t="s">
        <v>2212</v>
      </c>
      <c r="L783" s="10" t="s">
        <v>2212</v>
      </c>
      <c r="M783" s="10" t="s">
        <v>2224</v>
      </c>
      <c r="N783" s="10" t="s">
        <v>2225</v>
      </c>
      <c r="O783" s="10" t="s">
        <v>2234</v>
      </c>
      <c r="P783" s="39" t="s">
        <v>2227</v>
      </c>
    </row>
    <row r="784" spans="2:16" ht="18" customHeight="1" x14ac:dyDescent="0.25">
      <c r="B784" s="21" t="s">
        <v>0</v>
      </c>
      <c r="C784" s="22" t="s">
        <v>2179</v>
      </c>
      <c r="D784" s="22" t="s">
        <v>1123</v>
      </c>
      <c r="E784" s="21" t="s">
        <v>2222</v>
      </c>
      <c r="F784" s="23" t="s">
        <v>3</v>
      </c>
      <c r="G784" s="23" t="s">
        <v>4</v>
      </c>
      <c r="H784" s="21" t="str">
        <f t="shared" si="12"/>
        <v>PP_PRY/PRECIP</v>
      </c>
      <c r="I784" s="24" t="s">
        <v>2233</v>
      </c>
      <c r="J784" s="10" t="str">
        <f>VLOOKUP(Table1[[#This Row],[UID]],CS3SVComposerConfig!$B$3:$D$1808,3,FALSE)</f>
        <v>adj_SV_CS3LTO_0803_pointPrec.dss</v>
      </c>
      <c r="K784" s="10" t="s">
        <v>2212</v>
      </c>
      <c r="L784" s="10" t="s">
        <v>2212</v>
      </c>
      <c r="M784" s="10" t="s">
        <v>2224</v>
      </c>
      <c r="N784" s="10" t="s">
        <v>2225</v>
      </c>
      <c r="O784" s="10" t="s">
        <v>2234</v>
      </c>
      <c r="P784" s="39" t="s">
        <v>2227</v>
      </c>
    </row>
    <row r="785" spans="2:16" ht="18" customHeight="1" x14ac:dyDescent="0.25">
      <c r="B785" s="21" t="s">
        <v>0</v>
      </c>
      <c r="C785" s="22" t="s">
        <v>2180</v>
      </c>
      <c r="D785" s="22" t="s">
        <v>1123</v>
      </c>
      <c r="E785" s="21" t="s">
        <v>2222</v>
      </c>
      <c r="F785" s="23" t="s">
        <v>3</v>
      </c>
      <c r="G785" s="23" t="s">
        <v>4</v>
      </c>
      <c r="H785" s="21" t="str">
        <f t="shared" si="12"/>
        <v>PP_QCY/PRECIP</v>
      </c>
      <c r="I785" s="24" t="s">
        <v>2233</v>
      </c>
      <c r="J785" s="10" t="str">
        <f>VLOOKUP(Table1[[#This Row],[UID]],CS3SVComposerConfig!$B$3:$D$1808,3,FALSE)</f>
        <v>DCR2023_SV_Danube_Hist_v3.dss</v>
      </c>
      <c r="K785" s="10" t="s">
        <v>2212</v>
      </c>
      <c r="L785" s="10" t="s">
        <v>2212</v>
      </c>
      <c r="M785" s="10" t="s">
        <v>2224</v>
      </c>
      <c r="N785" s="10" t="s">
        <v>2225</v>
      </c>
      <c r="O785" s="10" t="s">
        <v>2234</v>
      </c>
      <c r="P785" s="39" t="s">
        <v>2227</v>
      </c>
    </row>
    <row r="786" spans="2:16" ht="18" customHeight="1" x14ac:dyDescent="0.25">
      <c r="B786" s="21" t="s">
        <v>0</v>
      </c>
      <c r="C786" s="22" t="s">
        <v>2181</v>
      </c>
      <c r="D786" s="22" t="s">
        <v>1123</v>
      </c>
      <c r="E786" s="21" t="s">
        <v>2222</v>
      </c>
      <c r="F786" s="23" t="s">
        <v>3</v>
      </c>
      <c r="G786" s="23" t="s">
        <v>4</v>
      </c>
      <c r="H786" s="21" t="str">
        <f t="shared" si="12"/>
        <v>PP_RRF/PRECIP</v>
      </c>
      <c r="I786" s="24" t="s">
        <v>2233</v>
      </c>
      <c r="J786" s="10" t="str">
        <f>VLOOKUP(Table1[[#This Row],[UID]],CS3SVComposerConfig!$B$3:$D$1808,3,FALSE)</f>
        <v>adj_SV_CS3LTO_0803_pointPrec.dss</v>
      </c>
      <c r="K786" s="10" t="s">
        <v>2212</v>
      </c>
      <c r="L786" s="10" t="s">
        <v>2212</v>
      </c>
      <c r="M786" s="10" t="s">
        <v>2224</v>
      </c>
      <c r="N786" s="10" t="s">
        <v>2225</v>
      </c>
      <c r="O786" s="10" t="s">
        <v>2234</v>
      </c>
      <c r="P786" s="39" t="s">
        <v>2227</v>
      </c>
    </row>
    <row r="787" spans="2:16" ht="18" customHeight="1" x14ac:dyDescent="0.25">
      <c r="B787" s="21" t="s">
        <v>0</v>
      </c>
      <c r="C787" s="22" t="s">
        <v>2182</v>
      </c>
      <c r="D787" s="22" t="s">
        <v>1123</v>
      </c>
      <c r="E787" s="21" t="s">
        <v>2222</v>
      </c>
      <c r="F787" s="23" t="s">
        <v>3</v>
      </c>
      <c r="G787" s="23" t="s">
        <v>4</v>
      </c>
      <c r="H787" s="21" t="str">
        <f t="shared" si="12"/>
        <v>PP_SBY/PRECIP</v>
      </c>
      <c r="I787" s="24" t="s">
        <v>2233</v>
      </c>
      <c r="J787" s="10" t="str">
        <f>VLOOKUP(Table1[[#This Row],[UID]],CS3SVComposerConfig!$B$3:$D$1808,3,FALSE)</f>
        <v>DCR2023_SV_Danube_Hist_v3.dss</v>
      </c>
      <c r="K787" s="10" t="s">
        <v>2212</v>
      </c>
      <c r="L787" s="10" t="s">
        <v>2212</v>
      </c>
      <c r="M787" s="10" t="s">
        <v>2224</v>
      </c>
      <c r="N787" s="10" t="s">
        <v>2225</v>
      </c>
      <c r="O787" s="10" t="s">
        <v>2234</v>
      </c>
      <c r="P787" s="39" t="s">
        <v>2227</v>
      </c>
    </row>
    <row r="788" spans="2:16" ht="18" customHeight="1" x14ac:dyDescent="0.25">
      <c r="B788" s="21" t="s">
        <v>0</v>
      </c>
      <c r="C788" s="22" t="s">
        <v>2183</v>
      </c>
      <c r="D788" s="22" t="s">
        <v>1123</v>
      </c>
      <c r="E788" s="21" t="s">
        <v>2222</v>
      </c>
      <c r="F788" s="23" t="s">
        <v>3</v>
      </c>
      <c r="G788" s="23" t="s">
        <v>4</v>
      </c>
      <c r="H788" s="21" t="str">
        <f t="shared" si="12"/>
        <v>PP_SHR/PRECIP</v>
      </c>
      <c r="I788" s="24" t="s">
        <v>2233</v>
      </c>
      <c r="J788" s="10" t="str">
        <f>VLOOKUP(Table1[[#This Row],[UID]],CS3SVComposerConfig!$B$3:$D$1808,3,FALSE)</f>
        <v>adj_SV_CS3LTO_0803_pointPrec.dss</v>
      </c>
      <c r="K788" s="10" t="s">
        <v>2212</v>
      </c>
      <c r="L788" s="10" t="s">
        <v>2212</v>
      </c>
      <c r="M788" s="10" t="s">
        <v>2224</v>
      </c>
      <c r="N788" s="10" t="s">
        <v>2225</v>
      </c>
      <c r="O788" s="10" t="s">
        <v>2234</v>
      </c>
      <c r="P788" s="39" t="s">
        <v>2227</v>
      </c>
    </row>
    <row r="789" spans="2:16" ht="18" customHeight="1" x14ac:dyDescent="0.25">
      <c r="B789" s="21" t="s">
        <v>0</v>
      </c>
      <c r="C789" s="22" t="s">
        <v>2184</v>
      </c>
      <c r="D789" s="22" t="s">
        <v>1123</v>
      </c>
      <c r="E789" s="21" t="s">
        <v>2222</v>
      </c>
      <c r="F789" s="23" t="s">
        <v>3</v>
      </c>
      <c r="G789" s="23" t="s">
        <v>4</v>
      </c>
      <c r="H789" s="21" t="str">
        <f t="shared" si="12"/>
        <v>PP_SVL/PRECIP</v>
      </c>
      <c r="I789" s="24" t="s">
        <v>2233</v>
      </c>
      <c r="J789" s="10" t="str">
        <f>VLOOKUP(Table1[[#This Row],[UID]],CS3SVComposerConfig!$B$3:$D$1808,3,FALSE)</f>
        <v>DCR2023_SV_Danube_Hist_v3.dss</v>
      </c>
      <c r="K789" s="10" t="s">
        <v>2212</v>
      </c>
      <c r="L789" s="10" t="s">
        <v>2212</v>
      </c>
      <c r="M789" s="10" t="s">
        <v>2224</v>
      </c>
      <c r="N789" s="10" t="s">
        <v>2225</v>
      </c>
      <c r="O789" s="10" t="s">
        <v>2234</v>
      </c>
      <c r="P789" s="39" t="s">
        <v>2227</v>
      </c>
    </row>
    <row r="790" spans="2:16" ht="18" customHeight="1" x14ac:dyDescent="0.25">
      <c r="B790" s="21" t="s">
        <v>0</v>
      </c>
      <c r="C790" s="22" t="s">
        <v>2185</v>
      </c>
      <c r="D790" s="22" t="s">
        <v>1123</v>
      </c>
      <c r="E790" s="21" t="s">
        <v>2222</v>
      </c>
      <c r="F790" s="23" t="s">
        <v>3</v>
      </c>
      <c r="G790" s="23" t="s">
        <v>4</v>
      </c>
      <c r="H790" s="21" t="str">
        <f t="shared" si="12"/>
        <v>PP_TRS/PRECIP</v>
      </c>
      <c r="I790" s="24" t="s">
        <v>2233</v>
      </c>
      <c r="J790" s="10" t="str">
        <f>VLOOKUP(Table1[[#This Row],[UID]],CS3SVComposerConfig!$B$3:$D$1808,3,FALSE)</f>
        <v>adj_SV_CS3LTO_0803_pointPrec.dss</v>
      </c>
      <c r="K790" s="10" t="s">
        <v>2212</v>
      </c>
      <c r="L790" s="10" t="s">
        <v>2212</v>
      </c>
      <c r="M790" s="10" t="s">
        <v>2224</v>
      </c>
      <c r="N790" s="10" t="s">
        <v>2225</v>
      </c>
      <c r="O790" s="10" t="s">
        <v>2234</v>
      </c>
      <c r="P790" s="39" t="s">
        <v>2227</v>
      </c>
    </row>
    <row r="791" spans="2:16" ht="18" customHeight="1" x14ac:dyDescent="0.25">
      <c r="B791" s="21" t="s">
        <v>0</v>
      </c>
      <c r="C791" s="22" t="s">
        <v>2186</v>
      </c>
      <c r="D791" s="22" t="s">
        <v>1123</v>
      </c>
      <c r="E791" s="21" t="s">
        <v>2222</v>
      </c>
      <c r="F791" s="23" t="s">
        <v>3</v>
      </c>
      <c r="G791" s="23" t="s">
        <v>4</v>
      </c>
      <c r="H791" s="21" t="str">
        <f t="shared" si="12"/>
        <v>PP_WST/PRECIP</v>
      </c>
      <c r="I791" s="24" t="s">
        <v>2233</v>
      </c>
      <c r="J791" s="10" t="str">
        <f>VLOOKUP(Table1[[#This Row],[UID]],CS3SVComposerConfig!$B$3:$D$1808,3,FALSE)</f>
        <v>adj_SV_CS3LTO_0803_pointPrec.dss</v>
      </c>
      <c r="K791" s="10" t="s">
        <v>2212</v>
      </c>
      <c r="L791" s="10" t="s">
        <v>2212</v>
      </c>
      <c r="M791" s="10" t="s">
        <v>2224</v>
      </c>
      <c r="N791" s="10" t="s">
        <v>2225</v>
      </c>
      <c r="O791" s="10" t="s">
        <v>2234</v>
      </c>
      <c r="P791" s="39" t="s">
        <v>2227</v>
      </c>
    </row>
    <row r="792" spans="2:16" ht="18" customHeight="1" x14ac:dyDescent="0.25">
      <c r="B792" s="21" t="s">
        <v>0</v>
      </c>
      <c r="C792" s="22" t="s">
        <v>2235</v>
      </c>
      <c r="D792" s="22" t="s">
        <v>1123</v>
      </c>
      <c r="E792" s="21" t="s">
        <v>2222</v>
      </c>
      <c r="F792" s="23" t="s">
        <v>3</v>
      </c>
      <c r="G792" s="23" t="s">
        <v>4</v>
      </c>
      <c r="H792" s="21" t="str">
        <f t="shared" si="12"/>
        <v>PPT_FOLS_UHH/PRECIP</v>
      </c>
      <c r="I792" s="24" t="s">
        <v>2233</v>
      </c>
      <c r="J792" s="10" t="str">
        <f>VLOOKUP(Table1[[#This Row],[UID]],CS3SVComposerConfig!$B$3:$D$1808,3,FALSE)</f>
        <v>HydroForecastInputForHao.dss</v>
      </c>
      <c r="K792" s="10" t="s">
        <v>2212</v>
      </c>
      <c r="L792" s="10" t="s">
        <v>2212</v>
      </c>
      <c r="M792" s="10" t="s">
        <v>2224</v>
      </c>
      <c r="N792" s="10" t="s">
        <v>2225</v>
      </c>
      <c r="O792" s="10" t="s">
        <v>2234</v>
      </c>
      <c r="P792" s="39" t="s">
        <v>2227</v>
      </c>
    </row>
    <row r="793" spans="2:16" ht="18" customHeight="1" x14ac:dyDescent="0.25">
      <c r="B793" s="21" t="s">
        <v>0</v>
      </c>
      <c r="C793" s="22" t="s">
        <v>2236</v>
      </c>
      <c r="D793" s="22" t="s">
        <v>1123</v>
      </c>
      <c r="E793" s="21" t="s">
        <v>2222</v>
      </c>
      <c r="F793" s="23" t="s">
        <v>3</v>
      </c>
      <c r="G793" s="23" t="s">
        <v>4</v>
      </c>
      <c r="H793" s="21" t="str">
        <f t="shared" si="12"/>
        <v>PPT_ME_UHH/PRECIP</v>
      </c>
      <c r="I793" s="24" t="s">
        <v>2233</v>
      </c>
      <c r="J793" s="10" t="str">
        <f>VLOOKUP(Table1[[#This Row],[UID]],CS3SVComposerConfig!$B$3:$D$1808,3,FALSE)</f>
        <v>HydroForecastInputForHao.dss</v>
      </c>
      <c r="K793" s="10" t="s">
        <v>2212</v>
      </c>
      <c r="L793" s="10" t="s">
        <v>2212</v>
      </c>
      <c r="M793" s="10" t="s">
        <v>2224</v>
      </c>
      <c r="N793" s="10" t="s">
        <v>2225</v>
      </c>
      <c r="O793" s="10" t="s">
        <v>2234</v>
      </c>
      <c r="P793" s="39" t="s">
        <v>2227</v>
      </c>
    </row>
    <row r="794" spans="2:16" ht="18" customHeight="1" x14ac:dyDescent="0.25">
      <c r="B794" s="21" t="s">
        <v>0</v>
      </c>
      <c r="C794" s="22" t="s">
        <v>2237</v>
      </c>
      <c r="D794" s="22" t="s">
        <v>1123</v>
      </c>
      <c r="E794" s="21" t="s">
        <v>2222</v>
      </c>
      <c r="F794" s="23" t="s">
        <v>3</v>
      </c>
      <c r="G794" s="23" t="s">
        <v>4</v>
      </c>
      <c r="H794" s="21" t="str">
        <f t="shared" si="12"/>
        <v>PPT_OROV_UHH/PRECIP</v>
      </c>
      <c r="I794" s="24" t="s">
        <v>2233</v>
      </c>
      <c r="J794" s="10" t="str">
        <f>VLOOKUP(Table1[[#This Row],[UID]],CS3SVComposerConfig!$B$3:$D$1808,3,FALSE)</f>
        <v>HydroForecastInputForHao.dss</v>
      </c>
      <c r="K794" s="10" t="s">
        <v>2212</v>
      </c>
      <c r="L794" s="10" t="s">
        <v>2212</v>
      </c>
      <c r="M794" s="10" t="s">
        <v>2224</v>
      </c>
      <c r="N794" s="10" t="s">
        <v>2225</v>
      </c>
      <c r="O794" s="10" t="s">
        <v>2234</v>
      </c>
      <c r="P794" s="39" t="s">
        <v>2227</v>
      </c>
    </row>
    <row r="795" spans="2:16" ht="18" customHeight="1" x14ac:dyDescent="0.25">
      <c r="B795" s="21" t="s">
        <v>0</v>
      </c>
      <c r="C795" s="22" t="s">
        <v>2238</v>
      </c>
      <c r="D795" s="22" t="s">
        <v>1123</v>
      </c>
      <c r="E795" s="21" t="s">
        <v>2222</v>
      </c>
      <c r="F795" s="23" t="s">
        <v>3</v>
      </c>
      <c r="G795" s="23" t="s">
        <v>4</v>
      </c>
      <c r="H795" s="21" t="str">
        <f t="shared" si="12"/>
        <v>PPT_SHAS_UHH/PRECIP</v>
      </c>
      <c r="I795" s="24" t="s">
        <v>2233</v>
      </c>
      <c r="J795" s="10" t="str">
        <f>VLOOKUP(Table1[[#This Row],[UID]],CS3SVComposerConfig!$B$3:$D$1808,3,FALSE)</f>
        <v>HydroForecastInputForHao.dss</v>
      </c>
      <c r="K795" s="10" t="s">
        <v>2212</v>
      </c>
      <c r="L795" s="10" t="s">
        <v>2212</v>
      </c>
      <c r="M795" s="10" t="s">
        <v>2224</v>
      </c>
      <c r="N795" s="10" t="s">
        <v>2225</v>
      </c>
      <c r="O795" s="10" t="s">
        <v>2234</v>
      </c>
      <c r="P795" s="39" t="s">
        <v>2227</v>
      </c>
    </row>
    <row r="796" spans="2:16" ht="18" customHeight="1" x14ac:dyDescent="0.25">
      <c r="B796" s="21" t="s">
        <v>0</v>
      </c>
      <c r="C796" s="22" t="s">
        <v>2239</v>
      </c>
      <c r="D796" s="22" t="s">
        <v>1123</v>
      </c>
      <c r="E796" s="21" t="s">
        <v>2222</v>
      </c>
      <c r="F796" s="23" t="s">
        <v>3</v>
      </c>
      <c r="G796" s="23" t="s">
        <v>4</v>
      </c>
      <c r="H796" s="21" t="str">
        <f t="shared" si="12"/>
        <v>PPT_SJ_UHH/PRECIP</v>
      </c>
      <c r="I796" s="24" t="s">
        <v>2233</v>
      </c>
      <c r="J796" s="10" t="str">
        <f>VLOOKUP(Table1[[#This Row],[UID]],CS3SVComposerConfig!$B$3:$D$1808,3,FALSE)</f>
        <v>HydroForecastInputForHao.dss</v>
      </c>
      <c r="K796" s="10" t="s">
        <v>2212</v>
      </c>
      <c r="L796" s="10" t="s">
        <v>2212</v>
      </c>
      <c r="M796" s="10" t="s">
        <v>2224</v>
      </c>
      <c r="N796" s="10" t="s">
        <v>2225</v>
      </c>
      <c r="O796" s="10" t="s">
        <v>2234</v>
      </c>
      <c r="P796" s="39" t="s">
        <v>2227</v>
      </c>
    </row>
    <row r="797" spans="2:16" ht="18" customHeight="1" x14ac:dyDescent="0.25">
      <c r="B797" s="21" t="s">
        <v>0</v>
      </c>
      <c r="C797" s="22" t="s">
        <v>2240</v>
      </c>
      <c r="D797" s="22" t="s">
        <v>1123</v>
      </c>
      <c r="E797" s="21" t="s">
        <v>2222</v>
      </c>
      <c r="F797" s="23" t="s">
        <v>3</v>
      </c>
      <c r="G797" s="23" t="s">
        <v>4</v>
      </c>
      <c r="H797" s="21" t="str">
        <f t="shared" si="12"/>
        <v>PPT_ST_UHH/PRECIP</v>
      </c>
      <c r="I797" s="24" t="s">
        <v>2233</v>
      </c>
      <c r="J797" s="10" t="str">
        <f>VLOOKUP(Table1[[#This Row],[UID]],CS3SVComposerConfig!$B$3:$D$1808,3,FALSE)</f>
        <v>HydroForecastInputForHao.dss</v>
      </c>
      <c r="K797" s="10" t="s">
        <v>2212</v>
      </c>
      <c r="L797" s="10" t="s">
        <v>2212</v>
      </c>
      <c r="M797" s="10" t="s">
        <v>2224</v>
      </c>
      <c r="N797" s="10" t="s">
        <v>2225</v>
      </c>
      <c r="O797" s="10" t="s">
        <v>2234</v>
      </c>
      <c r="P797" s="39" t="s">
        <v>2227</v>
      </c>
    </row>
    <row r="798" spans="2:16" ht="18" customHeight="1" x14ac:dyDescent="0.25">
      <c r="B798" s="21" t="s">
        <v>0</v>
      </c>
      <c r="C798" s="22" t="s">
        <v>2241</v>
      </c>
      <c r="D798" s="22" t="s">
        <v>1123</v>
      </c>
      <c r="E798" s="21" t="s">
        <v>2222</v>
      </c>
      <c r="F798" s="23" t="s">
        <v>3</v>
      </c>
      <c r="G798" s="23" t="s">
        <v>4</v>
      </c>
      <c r="H798" s="21" t="str">
        <f t="shared" si="12"/>
        <v>PPT_TR_UHH/PRECIP</v>
      </c>
      <c r="I798" s="24" t="s">
        <v>2233</v>
      </c>
      <c r="J798" s="10" t="str">
        <f>VLOOKUP(Table1[[#This Row],[UID]],CS3SVComposerConfig!$B$3:$D$1808,3,FALSE)</f>
        <v>HydroForecastInputForHao.dss</v>
      </c>
      <c r="K798" s="10" t="s">
        <v>2212</v>
      </c>
      <c r="L798" s="10" t="s">
        <v>2212</v>
      </c>
      <c r="M798" s="10" t="s">
        <v>2224</v>
      </c>
      <c r="N798" s="10" t="s">
        <v>2225</v>
      </c>
      <c r="O798" s="10" t="s">
        <v>2234</v>
      </c>
      <c r="P798" s="39" t="s">
        <v>2227</v>
      </c>
    </row>
    <row r="799" spans="2:16" ht="18" customHeight="1" x14ac:dyDescent="0.25">
      <c r="B799" s="21" t="s">
        <v>0</v>
      </c>
      <c r="C799" s="22" t="s">
        <v>2242</v>
      </c>
      <c r="D799" s="22" t="s">
        <v>1123</v>
      </c>
      <c r="E799" s="21" t="s">
        <v>2222</v>
      </c>
      <c r="F799" s="23" t="s">
        <v>3</v>
      </c>
      <c r="G799" s="23" t="s">
        <v>4</v>
      </c>
      <c r="H799" s="21" t="str">
        <f t="shared" si="12"/>
        <v>PPT_TU_UHH/PRECIP</v>
      </c>
      <c r="I799" s="24" t="s">
        <v>2233</v>
      </c>
      <c r="J799" s="10" t="str">
        <f>VLOOKUP(Table1[[#This Row],[UID]],CS3SVComposerConfig!$B$3:$D$1808,3,FALSE)</f>
        <v>HydroForecastInputForHao.dss</v>
      </c>
      <c r="K799" s="10" t="s">
        <v>2212</v>
      </c>
      <c r="L799" s="10" t="s">
        <v>2212</v>
      </c>
      <c r="M799" s="10" t="s">
        <v>2224</v>
      </c>
      <c r="N799" s="10" t="s">
        <v>2225</v>
      </c>
      <c r="O799" s="10" t="s">
        <v>2234</v>
      </c>
      <c r="P799" s="39" t="s">
        <v>2227</v>
      </c>
    </row>
    <row r="800" spans="2:16" ht="18" customHeight="1" x14ac:dyDescent="0.25">
      <c r="B800" s="21" t="s">
        <v>0</v>
      </c>
      <c r="C800" s="22" t="s">
        <v>2243</v>
      </c>
      <c r="D800" s="22" t="s">
        <v>1123</v>
      </c>
      <c r="E800" s="21" t="s">
        <v>2222</v>
      </c>
      <c r="F800" s="23" t="s">
        <v>3</v>
      </c>
      <c r="G800" s="23" t="s">
        <v>4</v>
      </c>
      <c r="H800" s="21" t="str">
        <f t="shared" si="12"/>
        <v>PPT_WH_UHH/PRECIP</v>
      </c>
      <c r="I800" s="24" t="s">
        <v>2233</v>
      </c>
      <c r="J800" s="10" t="str">
        <f>VLOOKUP(Table1[[#This Row],[UID]],CS3SVComposerConfig!$B$3:$D$1808,3,FALSE)</f>
        <v>HydroForecastInputForHao.dss</v>
      </c>
      <c r="K800" s="10" t="s">
        <v>2212</v>
      </c>
      <c r="L800" s="10" t="s">
        <v>2212</v>
      </c>
      <c r="M800" s="10" t="s">
        <v>2224</v>
      </c>
      <c r="N800" s="10" t="s">
        <v>2225</v>
      </c>
      <c r="O800" s="10" t="s">
        <v>2234</v>
      </c>
      <c r="P800" s="39" t="s">
        <v>2227</v>
      </c>
    </row>
    <row r="801" spans="2:16" ht="18" customHeight="1" x14ac:dyDescent="0.25">
      <c r="B801" s="21" t="s">
        <v>0</v>
      </c>
      <c r="C801" s="22" t="s">
        <v>2244</v>
      </c>
      <c r="D801" s="22" t="s">
        <v>1123</v>
      </c>
      <c r="E801" s="21" t="s">
        <v>2222</v>
      </c>
      <c r="F801" s="23" t="s">
        <v>3</v>
      </c>
      <c r="G801" s="23" t="s">
        <v>4</v>
      </c>
      <c r="H801" s="21" t="str">
        <f t="shared" si="12"/>
        <v>PPT_YUBA_UHH/PRECIP</v>
      </c>
      <c r="I801" s="24" t="s">
        <v>2233</v>
      </c>
      <c r="J801" s="10" t="str">
        <f>VLOOKUP(Table1[[#This Row],[UID]],CS3SVComposerConfig!$B$3:$D$1808,3,FALSE)</f>
        <v>HydroForecastInputForHao.dss</v>
      </c>
      <c r="K801" s="10" t="s">
        <v>2212</v>
      </c>
      <c r="L801" s="10" t="s">
        <v>2212</v>
      </c>
      <c r="M801" s="10" t="s">
        <v>2224</v>
      </c>
      <c r="N801" s="10" t="s">
        <v>2225</v>
      </c>
      <c r="O801" s="10" t="s">
        <v>2234</v>
      </c>
      <c r="P801" s="39" t="s">
        <v>2227</v>
      </c>
    </row>
    <row r="802" spans="2:16" ht="18" customHeight="1" x14ac:dyDescent="0.25">
      <c r="B802" s="21" t="s">
        <v>0</v>
      </c>
      <c r="C802" s="22" t="s">
        <v>2192</v>
      </c>
      <c r="D802" s="22" t="s">
        <v>1123</v>
      </c>
      <c r="E802" s="21" t="s">
        <v>2222</v>
      </c>
      <c r="F802" s="23" t="s">
        <v>3</v>
      </c>
      <c r="G802" s="23" t="s">
        <v>4</v>
      </c>
      <c r="H802" s="21" t="str">
        <f t="shared" si="12"/>
        <v>SPAULDING_PRECIP/PRECIP</v>
      </c>
      <c r="I802" s="24" t="s">
        <v>2233</v>
      </c>
      <c r="J802" s="10" t="str">
        <f>VLOOKUP(Table1[[#This Row],[UID]],CS3SVComposerConfig!$B$3:$D$1808,3,FALSE)</f>
        <v>adj_SV_CS3LTO_0803_pointPrec.dss</v>
      </c>
      <c r="K802" s="10" t="s">
        <v>2212</v>
      </c>
      <c r="L802" s="10" t="s">
        <v>2212</v>
      </c>
      <c r="M802" s="10" t="s">
        <v>2224</v>
      </c>
      <c r="N802" s="10" t="s">
        <v>2225</v>
      </c>
      <c r="O802" s="10" t="s">
        <v>2234</v>
      </c>
      <c r="P802" s="39" t="s">
        <v>2227</v>
      </c>
    </row>
    <row r="803" spans="2:16" ht="18" customHeight="1" x14ac:dyDescent="0.25">
      <c r="B803" s="21" t="s">
        <v>0</v>
      </c>
      <c r="C803" s="22" t="s">
        <v>2245</v>
      </c>
      <c r="D803" s="22" t="s">
        <v>2246</v>
      </c>
      <c r="E803" s="21" t="s">
        <v>2222</v>
      </c>
      <c r="F803" s="23" t="s">
        <v>3</v>
      </c>
      <c r="G803" s="23" t="s">
        <v>4</v>
      </c>
      <c r="H803" s="21" t="str">
        <f t="shared" si="12"/>
        <v>TFO_UHH/TEMPERATURE</v>
      </c>
      <c r="I803" s="24" t="s">
        <v>2233</v>
      </c>
      <c r="J803" s="10" t="str">
        <f>VLOOKUP(Table1[[#This Row],[UID]],CS3SVComposerConfig!$B$3:$D$1808,3,FALSE)</f>
        <v>HydroForecastInputForHao.dss</v>
      </c>
      <c r="K803" s="10" t="s">
        <v>2212</v>
      </c>
      <c r="L803" s="10" t="s">
        <v>2212</v>
      </c>
      <c r="M803" s="10" t="s">
        <v>2224</v>
      </c>
      <c r="N803" s="10" t="s">
        <v>2225</v>
      </c>
      <c r="O803" s="10" t="s">
        <v>2234</v>
      </c>
      <c r="P803" s="39" t="s">
        <v>2227</v>
      </c>
    </row>
    <row r="804" spans="2:16" ht="18" customHeight="1" x14ac:dyDescent="0.25">
      <c r="B804" s="21" t="s">
        <v>0</v>
      </c>
      <c r="C804" s="22" t="s">
        <v>2247</v>
      </c>
      <c r="D804" s="22" t="s">
        <v>2246</v>
      </c>
      <c r="E804" s="21" t="s">
        <v>2222</v>
      </c>
      <c r="F804" s="23" t="s">
        <v>3</v>
      </c>
      <c r="G804" s="23" t="s">
        <v>4</v>
      </c>
      <c r="H804" s="21" t="str">
        <f t="shared" si="12"/>
        <v>TME_UHH/TEMPERATURE</v>
      </c>
      <c r="I804" s="24" t="s">
        <v>2233</v>
      </c>
      <c r="J804" s="10" t="str">
        <f>VLOOKUP(Table1[[#This Row],[UID]],CS3SVComposerConfig!$B$3:$D$1808,3,FALSE)</f>
        <v>HydroForecastInputForHao.dss</v>
      </c>
      <c r="K804" s="10" t="s">
        <v>2212</v>
      </c>
      <c r="L804" s="10" t="s">
        <v>2212</v>
      </c>
      <c r="M804" s="10" t="s">
        <v>2224</v>
      </c>
      <c r="N804" s="10" t="s">
        <v>2225</v>
      </c>
      <c r="O804" s="10" t="s">
        <v>2234</v>
      </c>
      <c r="P804" s="39" t="s">
        <v>2227</v>
      </c>
    </row>
    <row r="805" spans="2:16" ht="18" customHeight="1" x14ac:dyDescent="0.25">
      <c r="B805" s="21" t="s">
        <v>0</v>
      </c>
      <c r="C805" s="22" t="s">
        <v>2248</v>
      </c>
      <c r="D805" s="22" t="s">
        <v>2246</v>
      </c>
      <c r="E805" s="21" t="s">
        <v>2222</v>
      </c>
      <c r="F805" s="23" t="s">
        <v>3</v>
      </c>
      <c r="G805" s="23" t="s">
        <v>4</v>
      </c>
      <c r="H805" s="21" t="str">
        <f t="shared" si="12"/>
        <v>TOR_UHH/TEMPERATURE</v>
      </c>
      <c r="I805" s="24" t="s">
        <v>2233</v>
      </c>
      <c r="J805" s="10" t="str">
        <f>VLOOKUP(Table1[[#This Row],[UID]],CS3SVComposerConfig!$B$3:$D$1808,3,FALSE)</f>
        <v>HydroForecastInputForHao.dss</v>
      </c>
      <c r="K805" s="10" t="s">
        <v>2212</v>
      </c>
      <c r="L805" s="10" t="s">
        <v>2212</v>
      </c>
      <c r="M805" s="10" t="s">
        <v>2224</v>
      </c>
      <c r="N805" s="10" t="s">
        <v>2225</v>
      </c>
      <c r="O805" s="10" t="s">
        <v>2234</v>
      </c>
      <c r="P805" s="39" t="s">
        <v>2227</v>
      </c>
    </row>
    <row r="806" spans="2:16" ht="18" customHeight="1" x14ac:dyDescent="0.25">
      <c r="B806" s="21" t="s">
        <v>0</v>
      </c>
      <c r="C806" s="22" t="s">
        <v>2249</v>
      </c>
      <c r="D806" s="22" t="s">
        <v>2246</v>
      </c>
      <c r="E806" s="21" t="s">
        <v>2222</v>
      </c>
      <c r="F806" s="23" t="s">
        <v>3</v>
      </c>
      <c r="G806" s="23" t="s">
        <v>4</v>
      </c>
      <c r="H806" s="21" t="str">
        <f t="shared" si="12"/>
        <v>TSH_UHH/TEMPERATURE</v>
      </c>
      <c r="I806" s="24" t="s">
        <v>2233</v>
      </c>
      <c r="J806" s="10" t="str">
        <f>VLOOKUP(Table1[[#This Row],[UID]],CS3SVComposerConfig!$B$3:$D$1808,3,FALSE)</f>
        <v>HydroForecastInputForHao.dss</v>
      </c>
      <c r="K806" s="10" t="s">
        <v>2212</v>
      </c>
      <c r="L806" s="10" t="s">
        <v>2212</v>
      </c>
      <c r="M806" s="10" t="s">
        <v>2224</v>
      </c>
      <c r="N806" s="10" t="s">
        <v>2225</v>
      </c>
      <c r="O806" s="10" t="s">
        <v>2234</v>
      </c>
      <c r="P806" s="39" t="s">
        <v>2227</v>
      </c>
    </row>
    <row r="807" spans="2:16" ht="18" customHeight="1" x14ac:dyDescent="0.25">
      <c r="B807" s="21" t="s">
        <v>0</v>
      </c>
      <c r="C807" s="22" t="s">
        <v>2250</v>
      </c>
      <c r="D807" s="22" t="s">
        <v>2246</v>
      </c>
      <c r="E807" s="21" t="s">
        <v>2222</v>
      </c>
      <c r="F807" s="23" t="s">
        <v>3</v>
      </c>
      <c r="G807" s="23" t="s">
        <v>4</v>
      </c>
      <c r="H807" s="21" t="str">
        <f t="shared" si="12"/>
        <v>TSJ_UHH/TEMPERATURE</v>
      </c>
      <c r="I807" s="24" t="s">
        <v>2233</v>
      </c>
      <c r="J807" s="10" t="str">
        <f>VLOOKUP(Table1[[#This Row],[UID]],CS3SVComposerConfig!$B$3:$D$1808,3,FALSE)</f>
        <v>HydroForecastInputForHao.dss</v>
      </c>
      <c r="K807" s="10" t="s">
        <v>2212</v>
      </c>
      <c r="L807" s="10" t="s">
        <v>2212</v>
      </c>
      <c r="M807" s="10" t="s">
        <v>2224</v>
      </c>
      <c r="N807" s="10" t="s">
        <v>2225</v>
      </c>
      <c r="O807" s="10" t="s">
        <v>2234</v>
      </c>
      <c r="P807" s="39" t="s">
        <v>2227</v>
      </c>
    </row>
    <row r="808" spans="2:16" ht="18" customHeight="1" x14ac:dyDescent="0.25">
      <c r="B808" s="21" t="s">
        <v>0</v>
      </c>
      <c r="C808" s="22" t="s">
        <v>2251</v>
      </c>
      <c r="D808" s="22" t="s">
        <v>2246</v>
      </c>
      <c r="E808" s="21" t="s">
        <v>2222</v>
      </c>
      <c r="F808" s="23" t="s">
        <v>3</v>
      </c>
      <c r="G808" s="23" t="s">
        <v>4</v>
      </c>
      <c r="H808" s="21" t="str">
        <f t="shared" si="12"/>
        <v>TST_UHH/TEMPERATURE</v>
      </c>
      <c r="I808" s="24" t="s">
        <v>2233</v>
      </c>
      <c r="J808" s="10" t="str">
        <f>VLOOKUP(Table1[[#This Row],[UID]],CS3SVComposerConfig!$B$3:$D$1808,3,FALSE)</f>
        <v>HydroForecastInputForHao.dss</v>
      </c>
      <c r="K808" s="10" t="s">
        <v>2212</v>
      </c>
      <c r="L808" s="10" t="s">
        <v>2212</v>
      </c>
      <c r="M808" s="10" t="s">
        <v>2224</v>
      </c>
      <c r="N808" s="10" t="s">
        <v>2225</v>
      </c>
      <c r="O808" s="10" t="s">
        <v>2234</v>
      </c>
      <c r="P808" s="39" t="s">
        <v>2227</v>
      </c>
    </row>
    <row r="809" spans="2:16" ht="18" customHeight="1" x14ac:dyDescent="0.25">
      <c r="B809" s="21" t="s">
        <v>0</v>
      </c>
      <c r="C809" s="22" t="s">
        <v>2252</v>
      </c>
      <c r="D809" s="22" t="s">
        <v>2246</v>
      </c>
      <c r="E809" s="21" t="s">
        <v>2222</v>
      </c>
      <c r="F809" s="23" t="s">
        <v>3</v>
      </c>
      <c r="G809" s="23" t="s">
        <v>4</v>
      </c>
      <c r="H809" s="21" t="str">
        <f t="shared" si="12"/>
        <v>TTR_UHH/TEMPERATURE</v>
      </c>
      <c r="I809" s="24" t="s">
        <v>2233</v>
      </c>
      <c r="J809" s="10" t="str">
        <f>VLOOKUP(Table1[[#This Row],[UID]],CS3SVComposerConfig!$B$3:$D$1808,3,FALSE)</f>
        <v>HydroForecastInputForHao.dss</v>
      </c>
      <c r="K809" s="10" t="s">
        <v>2212</v>
      </c>
      <c r="L809" s="10" t="s">
        <v>2212</v>
      </c>
      <c r="M809" s="10" t="s">
        <v>2224</v>
      </c>
      <c r="N809" s="10" t="s">
        <v>2225</v>
      </c>
      <c r="O809" s="10" t="s">
        <v>2234</v>
      </c>
      <c r="P809" s="39" t="s">
        <v>2227</v>
      </c>
    </row>
    <row r="810" spans="2:16" ht="18" customHeight="1" x14ac:dyDescent="0.25">
      <c r="B810" s="21" t="s">
        <v>0</v>
      </c>
      <c r="C810" s="22" t="s">
        <v>2253</v>
      </c>
      <c r="D810" s="22" t="s">
        <v>2246</v>
      </c>
      <c r="E810" s="21" t="s">
        <v>2222</v>
      </c>
      <c r="F810" s="23" t="s">
        <v>3</v>
      </c>
      <c r="G810" s="23" t="s">
        <v>4</v>
      </c>
      <c r="H810" s="21" t="str">
        <f t="shared" si="12"/>
        <v>TTU_UHH/TEMPERATURE</v>
      </c>
      <c r="I810" s="24" t="s">
        <v>2233</v>
      </c>
      <c r="J810" s="10" t="str">
        <f>VLOOKUP(Table1[[#This Row],[UID]],CS3SVComposerConfig!$B$3:$D$1808,3,FALSE)</f>
        <v>HydroForecastInputForHao.dss</v>
      </c>
      <c r="K810" s="10" t="s">
        <v>2212</v>
      </c>
      <c r="L810" s="10" t="s">
        <v>2212</v>
      </c>
      <c r="M810" s="10" t="s">
        <v>2224</v>
      </c>
      <c r="N810" s="10" t="s">
        <v>2225</v>
      </c>
      <c r="O810" s="10" t="s">
        <v>2234</v>
      </c>
      <c r="P810" s="39" t="s">
        <v>2227</v>
      </c>
    </row>
    <row r="811" spans="2:16" ht="18" customHeight="1" x14ac:dyDescent="0.25">
      <c r="B811" s="21" t="s">
        <v>0</v>
      </c>
      <c r="C811" s="22" t="s">
        <v>2254</v>
      </c>
      <c r="D811" s="22" t="s">
        <v>2246</v>
      </c>
      <c r="E811" s="21" t="s">
        <v>2222</v>
      </c>
      <c r="F811" s="23" t="s">
        <v>3</v>
      </c>
      <c r="G811" s="23" t="s">
        <v>4</v>
      </c>
      <c r="H811" s="21" t="str">
        <f t="shared" si="12"/>
        <v>TWH_UHH/TEMPERATURE</v>
      </c>
      <c r="I811" s="24" t="s">
        <v>2233</v>
      </c>
      <c r="J811" s="10" t="str">
        <f>VLOOKUP(Table1[[#This Row],[UID]],CS3SVComposerConfig!$B$3:$D$1808,3,FALSE)</f>
        <v>HydroForecastInputForHao.dss</v>
      </c>
      <c r="K811" s="10" t="s">
        <v>2212</v>
      </c>
      <c r="L811" s="10" t="s">
        <v>2212</v>
      </c>
      <c r="M811" s="10" t="s">
        <v>2224</v>
      </c>
      <c r="N811" s="10" t="s">
        <v>2225</v>
      </c>
      <c r="O811" s="10" t="s">
        <v>2234</v>
      </c>
      <c r="P811" s="39" t="s">
        <v>2227</v>
      </c>
    </row>
    <row r="812" spans="2:16" ht="18" customHeight="1" x14ac:dyDescent="0.25">
      <c r="B812" s="21" t="s">
        <v>0</v>
      </c>
      <c r="C812" s="22" t="s">
        <v>2255</v>
      </c>
      <c r="D812" s="22" t="s">
        <v>2246</v>
      </c>
      <c r="E812" s="21" t="s">
        <v>2222</v>
      </c>
      <c r="F812" s="23" t="s">
        <v>3</v>
      </c>
      <c r="G812" s="23" t="s">
        <v>4</v>
      </c>
      <c r="H812" s="21" t="str">
        <f t="shared" si="12"/>
        <v>TYU_UHH/TEMPERATURE</v>
      </c>
      <c r="I812" s="24" t="s">
        <v>2233</v>
      </c>
      <c r="J812" s="10" t="str">
        <f>VLOOKUP(Table1[[#This Row],[UID]],CS3SVComposerConfig!$B$3:$D$1808,3,FALSE)</f>
        <v>HydroForecastInputForHao.dss</v>
      </c>
      <c r="K812" s="10" t="s">
        <v>2212</v>
      </c>
      <c r="L812" s="10" t="s">
        <v>2212</v>
      </c>
      <c r="M812" s="10" t="s">
        <v>2224</v>
      </c>
      <c r="N812" s="10" t="s">
        <v>2225</v>
      </c>
      <c r="O812" s="10" t="s">
        <v>2234</v>
      </c>
      <c r="P812" s="39" t="s">
        <v>2227</v>
      </c>
    </row>
    <row r="813" spans="2:16" ht="18" customHeight="1" x14ac:dyDescent="0.25">
      <c r="B813" s="21" t="s">
        <v>0</v>
      </c>
      <c r="C813" s="22" t="s">
        <v>2256</v>
      </c>
      <c r="D813" s="22" t="s">
        <v>2257</v>
      </c>
      <c r="E813" s="21" t="s">
        <v>2222</v>
      </c>
      <c r="F813" s="23" t="s">
        <v>3</v>
      </c>
      <c r="G813" s="23" t="s">
        <v>4</v>
      </c>
      <c r="H813" s="21" t="str">
        <f t="shared" si="12"/>
        <v>VPDFO_UHH/VPD</v>
      </c>
      <c r="I813" s="24" t="s">
        <v>2233</v>
      </c>
      <c r="J813" s="10" t="str">
        <f>VLOOKUP(Table1[[#This Row],[UID]],CS3SVComposerConfig!$B$3:$D$1808,3,FALSE)</f>
        <v>HydroForecastInputForHao.dss</v>
      </c>
      <c r="K813" s="10" t="s">
        <v>2212</v>
      </c>
      <c r="L813" s="10" t="s">
        <v>2212</v>
      </c>
      <c r="M813" s="10" t="s">
        <v>2224</v>
      </c>
      <c r="N813" s="10" t="s">
        <v>2258</v>
      </c>
      <c r="O813" s="10" t="s">
        <v>2259</v>
      </c>
      <c r="P813" s="39" t="s">
        <v>2227</v>
      </c>
    </row>
    <row r="814" spans="2:16" ht="18" customHeight="1" x14ac:dyDescent="0.25">
      <c r="B814" s="21" t="s">
        <v>0</v>
      </c>
      <c r="C814" s="22" t="s">
        <v>2260</v>
      </c>
      <c r="D814" s="22" t="s">
        <v>2257</v>
      </c>
      <c r="E814" s="21" t="s">
        <v>2222</v>
      </c>
      <c r="F814" s="23" t="s">
        <v>3</v>
      </c>
      <c r="G814" s="23" t="s">
        <v>4</v>
      </c>
      <c r="H814" s="21" t="str">
        <f t="shared" si="12"/>
        <v>VPDME_UHH/VPD</v>
      </c>
      <c r="I814" s="24" t="s">
        <v>2233</v>
      </c>
      <c r="J814" s="10" t="str">
        <f>VLOOKUP(Table1[[#This Row],[UID]],CS3SVComposerConfig!$B$3:$D$1808,3,FALSE)</f>
        <v>HydroForecastInputForHao.dss</v>
      </c>
      <c r="K814" s="10" t="s">
        <v>2212</v>
      </c>
      <c r="L814" s="10" t="s">
        <v>2212</v>
      </c>
      <c r="M814" s="10" t="s">
        <v>2224</v>
      </c>
      <c r="N814" s="10" t="s">
        <v>2258</v>
      </c>
      <c r="O814" s="10" t="s">
        <v>2259</v>
      </c>
      <c r="P814" s="39" t="s">
        <v>2227</v>
      </c>
    </row>
    <row r="815" spans="2:16" ht="18" customHeight="1" x14ac:dyDescent="0.25">
      <c r="B815" s="21" t="s">
        <v>0</v>
      </c>
      <c r="C815" s="22" t="s">
        <v>2261</v>
      </c>
      <c r="D815" s="22" t="s">
        <v>2257</v>
      </c>
      <c r="E815" s="21" t="s">
        <v>2222</v>
      </c>
      <c r="F815" s="23" t="s">
        <v>3</v>
      </c>
      <c r="G815" s="23" t="s">
        <v>4</v>
      </c>
      <c r="H815" s="21" t="str">
        <f t="shared" si="12"/>
        <v>VPDOR_UHH/VPD</v>
      </c>
      <c r="I815" s="24" t="s">
        <v>2233</v>
      </c>
      <c r="J815" s="10" t="str">
        <f>VLOOKUP(Table1[[#This Row],[UID]],CS3SVComposerConfig!$B$3:$D$1808,3,FALSE)</f>
        <v>HydroForecastInputForHao.dss</v>
      </c>
      <c r="K815" s="10" t="s">
        <v>2212</v>
      </c>
      <c r="L815" s="10" t="s">
        <v>2212</v>
      </c>
      <c r="M815" s="10" t="s">
        <v>2224</v>
      </c>
      <c r="N815" s="10" t="s">
        <v>2258</v>
      </c>
      <c r="O815" s="10" t="s">
        <v>2259</v>
      </c>
      <c r="P815" s="39" t="s">
        <v>2227</v>
      </c>
    </row>
    <row r="816" spans="2:16" ht="18" customHeight="1" x14ac:dyDescent="0.25">
      <c r="B816" s="21" t="s">
        <v>0</v>
      </c>
      <c r="C816" s="22" t="s">
        <v>2262</v>
      </c>
      <c r="D816" s="22" t="s">
        <v>2257</v>
      </c>
      <c r="E816" s="21" t="s">
        <v>2222</v>
      </c>
      <c r="F816" s="23" t="s">
        <v>3</v>
      </c>
      <c r="G816" s="23" t="s">
        <v>4</v>
      </c>
      <c r="H816" s="21" t="str">
        <f t="shared" si="12"/>
        <v>VPDSH_UHH/VPD</v>
      </c>
      <c r="I816" s="24" t="s">
        <v>2233</v>
      </c>
      <c r="J816" s="10" t="str">
        <f>VLOOKUP(Table1[[#This Row],[UID]],CS3SVComposerConfig!$B$3:$D$1808,3,FALSE)</f>
        <v>HydroForecastInputForHao.dss</v>
      </c>
      <c r="K816" s="10" t="s">
        <v>2212</v>
      </c>
      <c r="L816" s="10" t="s">
        <v>2212</v>
      </c>
      <c r="M816" s="10" t="s">
        <v>2224</v>
      </c>
      <c r="N816" s="10" t="s">
        <v>2258</v>
      </c>
      <c r="O816" s="10" t="s">
        <v>2259</v>
      </c>
      <c r="P816" s="39" t="s">
        <v>2227</v>
      </c>
    </row>
    <row r="817" spans="2:16" ht="18" customHeight="1" x14ac:dyDescent="0.25">
      <c r="B817" s="21" t="s">
        <v>0</v>
      </c>
      <c r="C817" s="22" t="s">
        <v>2263</v>
      </c>
      <c r="D817" s="22" t="s">
        <v>2257</v>
      </c>
      <c r="E817" s="21" t="s">
        <v>2222</v>
      </c>
      <c r="F817" s="23" t="s">
        <v>3</v>
      </c>
      <c r="G817" s="23" t="s">
        <v>4</v>
      </c>
      <c r="H817" s="21" t="str">
        <f t="shared" si="12"/>
        <v>VPDSJ_UHH/VPD</v>
      </c>
      <c r="I817" s="24" t="s">
        <v>2233</v>
      </c>
      <c r="J817" s="10" t="str">
        <f>VLOOKUP(Table1[[#This Row],[UID]],CS3SVComposerConfig!$B$3:$D$1808,3,FALSE)</f>
        <v>HydroForecastInputForHao.dss</v>
      </c>
      <c r="K817" s="10" t="s">
        <v>2212</v>
      </c>
      <c r="L817" s="10" t="s">
        <v>2212</v>
      </c>
      <c r="M817" s="10" t="s">
        <v>2224</v>
      </c>
      <c r="N817" s="10" t="s">
        <v>2258</v>
      </c>
      <c r="O817" s="10" t="s">
        <v>2259</v>
      </c>
      <c r="P817" s="39" t="s">
        <v>2227</v>
      </c>
    </row>
    <row r="818" spans="2:16" ht="18" customHeight="1" x14ac:dyDescent="0.25">
      <c r="B818" s="21" t="s">
        <v>0</v>
      </c>
      <c r="C818" s="22" t="s">
        <v>2264</v>
      </c>
      <c r="D818" s="22" t="s">
        <v>2257</v>
      </c>
      <c r="E818" s="21" t="s">
        <v>2222</v>
      </c>
      <c r="F818" s="23" t="s">
        <v>3</v>
      </c>
      <c r="G818" s="23" t="s">
        <v>4</v>
      </c>
      <c r="H818" s="21" t="str">
        <f t="shared" si="12"/>
        <v>VPDST_UHH/VPD</v>
      </c>
      <c r="I818" s="24" t="s">
        <v>2233</v>
      </c>
      <c r="J818" s="10" t="str">
        <f>VLOOKUP(Table1[[#This Row],[UID]],CS3SVComposerConfig!$B$3:$D$1808,3,FALSE)</f>
        <v>HydroForecastInputForHao.dss</v>
      </c>
      <c r="K818" s="10" t="s">
        <v>2212</v>
      </c>
      <c r="L818" s="10" t="s">
        <v>2212</v>
      </c>
      <c r="M818" s="10" t="s">
        <v>2224</v>
      </c>
      <c r="N818" s="10" t="s">
        <v>2258</v>
      </c>
      <c r="O818" s="10" t="s">
        <v>2259</v>
      </c>
      <c r="P818" s="39" t="s">
        <v>2227</v>
      </c>
    </row>
    <row r="819" spans="2:16" ht="18" customHeight="1" x14ac:dyDescent="0.25">
      <c r="B819" s="21" t="s">
        <v>0</v>
      </c>
      <c r="C819" s="22" t="s">
        <v>2265</v>
      </c>
      <c r="D819" s="22" t="s">
        <v>2257</v>
      </c>
      <c r="E819" s="21" t="s">
        <v>2222</v>
      </c>
      <c r="F819" s="23" t="s">
        <v>3</v>
      </c>
      <c r="G819" s="23" t="s">
        <v>4</v>
      </c>
      <c r="H819" s="21" t="str">
        <f t="shared" si="12"/>
        <v>VPDTR_UHH/VPD</v>
      </c>
      <c r="I819" s="24" t="s">
        <v>2233</v>
      </c>
      <c r="J819" s="10" t="str">
        <f>VLOOKUP(Table1[[#This Row],[UID]],CS3SVComposerConfig!$B$3:$D$1808,3,FALSE)</f>
        <v>HydroForecastInputForHao.dss</v>
      </c>
      <c r="K819" s="10" t="s">
        <v>2212</v>
      </c>
      <c r="L819" s="10" t="s">
        <v>2212</v>
      </c>
      <c r="M819" s="10" t="s">
        <v>2224</v>
      </c>
      <c r="N819" s="10" t="s">
        <v>2258</v>
      </c>
      <c r="O819" s="10" t="s">
        <v>2259</v>
      </c>
      <c r="P819" s="39" t="s">
        <v>2227</v>
      </c>
    </row>
    <row r="820" spans="2:16" ht="18" customHeight="1" x14ac:dyDescent="0.25">
      <c r="B820" s="21" t="s">
        <v>0</v>
      </c>
      <c r="C820" s="22" t="s">
        <v>2266</v>
      </c>
      <c r="D820" s="22" t="s">
        <v>2257</v>
      </c>
      <c r="E820" s="21" t="s">
        <v>2222</v>
      </c>
      <c r="F820" s="23" t="s">
        <v>3</v>
      </c>
      <c r="G820" s="23" t="s">
        <v>4</v>
      </c>
      <c r="H820" s="21" t="str">
        <f t="shared" si="12"/>
        <v>VPDTU_UHH/VPD</v>
      </c>
      <c r="I820" s="24" t="s">
        <v>2233</v>
      </c>
      <c r="J820" s="10" t="str">
        <f>VLOOKUP(Table1[[#This Row],[UID]],CS3SVComposerConfig!$B$3:$D$1808,3,FALSE)</f>
        <v>HydroForecastInputForHao.dss</v>
      </c>
      <c r="K820" s="10" t="s">
        <v>2212</v>
      </c>
      <c r="L820" s="10" t="s">
        <v>2212</v>
      </c>
      <c r="M820" s="10" t="s">
        <v>2224</v>
      </c>
      <c r="N820" s="10" t="s">
        <v>2258</v>
      </c>
      <c r="O820" s="10" t="s">
        <v>2259</v>
      </c>
      <c r="P820" s="39" t="s">
        <v>2227</v>
      </c>
    </row>
    <row r="821" spans="2:16" ht="18" customHeight="1" x14ac:dyDescent="0.25">
      <c r="B821" s="21" t="s">
        <v>0</v>
      </c>
      <c r="C821" s="22" t="s">
        <v>2267</v>
      </c>
      <c r="D821" s="22" t="s">
        <v>2257</v>
      </c>
      <c r="E821" s="21" t="s">
        <v>2222</v>
      </c>
      <c r="F821" s="23" t="s">
        <v>3</v>
      </c>
      <c r="G821" s="23" t="s">
        <v>4</v>
      </c>
      <c r="H821" s="21" t="str">
        <f t="shared" si="12"/>
        <v>VPDWH_UHH/VPD</v>
      </c>
      <c r="I821" s="24" t="s">
        <v>2233</v>
      </c>
      <c r="J821" s="10" t="str">
        <f>VLOOKUP(Table1[[#This Row],[UID]],CS3SVComposerConfig!$B$3:$D$1808,3,FALSE)</f>
        <v>HydroForecastInputForHao.dss</v>
      </c>
      <c r="K821" s="10" t="s">
        <v>2212</v>
      </c>
      <c r="L821" s="10" t="s">
        <v>2212</v>
      </c>
      <c r="M821" s="10" t="s">
        <v>2224</v>
      </c>
      <c r="N821" s="10" t="s">
        <v>2258</v>
      </c>
      <c r="O821" s="10" t="s">
        <v>2259</v>
      </c>
      <c r="P821" s="39" t="s">
        <v>2227</v>
      </c>
    </row>
    <row r="822" spans="2:16" ht="18" customHeight="1" x14ac:dyDescent="0.25">
      <c r="B822" s="21" t="s">
        <v>0</v>
      </c>
      <c r="C822" s="22" t="s">
        <v>2268</v>
      </c>
      <c r="D822" s="22" t="s">
        <v>2257</v>
      </c>
      <c r="E822" s="21" t="s">
        <v>2222</v>
      </c>
      <c r="F822" s="23" t="s">
        <v>3</v>
      </c>
      <c r="G822" s="23" t="s">
        <v>4</v>
      </c>
      <c r="H822" s="21" t="str">
        <f t="shared" si="12"/>
        <v>VPDYU_UHH/VPD</v>
      </c>
      <c r="I822" s="24" t="s">
        <v>2233</v>
      </c>
      <c r="J822" s="10" t="str">
        <f>VLOOKUP(Table1[[#This Row],[UID]],CS3SVComposerConfig!$B$3:$D$1808,3,FALSE)</f>
        <v>HydroForecastInputForHao.dss</v>
      </c>
      <c r="K822" s="10" t="s">
        <v>2212</v>
      </c>
      <c r="L822" s="10" t="s">
        <v>2212</v>
      </c>
      <c r="M822" s="10" t="s">
        <v>2224</v>
      </c>
      <c r="N822" s="10" t="s">
        <v>2258</v>
      </c>
      <c r="O822" s="10" t="s">
        <v>2259</v>
      </c>
      <c r="P822" s="39" t="s">
        <v>2227</v>
      </c>
    </row>
    <row r="823" spans="2:16" ht="18" customHeight="1" x14ac:dyDescent="0.25">
      <c r="B823" s="21" t="s">
        <v>0</v>
      </c>
      <c r="C823" s="22" t="s">
        <v>1148</v>
      </c>
      <c r="D823" s="22" t="s">
        <v>1149</v>
      </c>
      <c r="E823" s="21" t="s">
        <v>2222</v>
      </c>
      <c r="F823" s="23" t="s">
        <v>3</v>
      </c>
      <c r="G823" s="23" t="s">
        <v>4</v>
      </c>
      <c r="H823" s="21" t="str">
        <f t="shared" si="12"/>
        <v>CT_BENDBRIDGE_SV/CLOSURE-TERM</v>
      </c>
      <c r="I823" s="24" t="s">
        <v>2269</v>
      </c>
      <c r="J823" s="10" t="str">
        <f>VLOOKUP(Table1[[#This Row],[UID]],CS3SVComposerConfig!$B$3:$D$1808,3,FALSE)</f>
        <v>ClosureTerms.dss</v>
      </c>
      <c r="K823" s="10" t="s">
        <v>2212</v>
      </c>
      <c r="L823" s="10" t="s">
        <v>2212</v>
      </c>
      <c r="M823" s="10" t="s">
        <v>2224</v>
      </c>
      <c r="N823" s="10" t="s">
        <v>2225</v>
      </c>
      <c r="O823" s="10" t="s">
        <v>5379</v>
      </c>
      <c r="P823" s="39" t="s">
        <v>2227</v>
      </c>
    </row>
    <row r="824" spans="2:16" ht="18" customHeight="1" x14ac:dyDescent="0.25">
      <c r="B824" s="21" t="s">
        <v>0</v>
      </c>
      <c r="C824" s="22" t="s">
        <v>1152</v>
      </c>
      <c r="D824" s="22" t="s">
        <v>1149</v>
      </c>
      <c r="E824" s="21" t="s">
        <v>2222</v>
      </c>
      <c r="F824" s="23" t="s">
        <v>3</v>
      </c>
      <c r="G824" s="23" t="s">
        <v>4</v>
      </c>
      <c r="H824" s="21" t="str">
        <f t="shared" si="12"/>
        <v>CT_BUTTECITY_SV/CLOSURE-TERM</v>
      </c>
      <c r="I824" s="24" t="s">
        <v>2269</v>
      </c>
      <c r="J824" s="10" t="str">
        <f>VLOOKUP(Table1[[#This Row],[UID]],CS3SVComposerConfig!$B$3:$D$1808,3,FALSE)</f>
        <v>ClosureTerms.dss</v>
      </c>
      <c r="K824" s="10" t="s">
        <v>2212</v>
      </c>
      <c r="L824" s="10" t="s">
        <v>2212</v>
      </c>
      <c r="M824" s="10" t="s">
        <v>2224</v>
      </c>
      <c r="N824" s="10" t="s">
        <v>2225</v>
      </c>
      <c r="O824" s="10" t="s">
        <v>5379</v>
      </c>
      <c r="P824" s="39" t="s">
        <v>2227</v>
      </c>
    </row>
    <row r="825" spans="2:16" ht="18" customHeight="1" x14ac:dyDescent="0.25">
      <c r="B825" s="21" t="s">
        <v>0</v>
      </c>
      <c r="C825" s="22" t="s">
        <v>1153</v>
      </c>
      <c r="D825" s="22" t="s">
        <v>1149</v>
      </c>
      <c r="E825" s="21" t="s">
        <v>2222</v>
      </c>
      <c r="F825" s="23" t="s">
        <v>3</v>
      </c>
      <c r="G825" s="23" t="s">
        <v>4</v>
      </c>
      <c r="H825" s="21" t="str">
        <f t="shared" si="12"/>
        <v>CT_COLUSA_SV/CLOSURE-TERM</v>
      </c>
      <c r="I825" s="24" t="s">
        <v>2269</v>
      </c>
      <c r="J825" s="10" t="str">
        <f>VLOOKUP(Table1[[#This Row],[UID]],CS3SVComposerConfig!$B$3:$D$1808,3,FALSE)</f>
        <v>ClosureTerms.dss</v>
      </c>
      <c r="K825" s="10" t="s">
        <v>2224</v>
      </c>
      <c r="L825" s="10" t="s">
        <v>2212</v>
      </c>
      <c r="M825" s="10" t="s">
        <v>2224</v>
      </c>
      <c r="N825" s="10" t="s">
        <v>2227</v>
      </c>
      <c r="O825" s="10" t="s">
        <v>2227</v>
      </c>
      <c r="P825" s="39" t="s">
        <v>2227</v>
      </c>
    </row>
    <row r="826" spans="2:16" ht="18" customHeight="1" x14ac:dyDescent="0.25">
      <c r="B826" s="21" t="s">
        <v>0</v>
      </c>
      <c r="C826" s="22" t="s">
        <v>1155</v>
      </c>
      <c r="D826" s="22" t="s">
        <v>1149</v>
      </c>
      <c r="E826" s="21" t="s">
        <v>2222</v>
      </c>
      <c r="F826" s="23" t="s">
        <v>3</v>
      </c>
      <c r="G826" s="23" t="s">
        <v>4</v>
      </c>
      <c r="H826" s="21" t="str">
        <f t="shared" si="12"/>
        <v>CT_DAVIS_SV/CLOSURE-TERM</v>
      </c>
      <c r="I826" s="24" t="s">
        <v>2269</v>
      </c>
      <c r="J826" s="10" t="str">
        <f>VLOOKUP(Table1[[#This Row],[UID]],CS3SVComposerConfig!$B$3:$D$1808,3,FALSE)</f>
        <v>ClosureTerms.dss</v>
      </c>
      <c r="K826" s="10" t="s">
        <v>2224</v>
      </c>
      <c r="L826" s="10" t="s">
        <v>2212</v>
      </c>
      <c r="M826" s="10" t="s">
        <v>2224</v>
      </c>
      <c r="N826" s="10" t="s">
        <v>2227</v>
      </c>
      <c r="O826" s="10" t="s">
        <v>2227</v>
      </c>
      <c r="P826" s="39" t="s">
        <v>2227</v>
      </c>
    </row>
    <row r="827" spans="2:16" ht="18" customHeight="1" x14ac:dyDescent="0.25">
      <c r="B827" s="21" t="s">
        <v>0</v>
      </c>
      <c r="C827" s="22" t="s">
        <v>1156</v>
      </c>
      <c r="D827" s="22" t="s">
        <v>1149</v>
      </c>
      <c r="E827" s="21" t="s">
        <v>2222</v>
      </c>
      <c r="F827" s="23" t="s">
        <v>3</v>
      </c>
      <c r="G827" s="23" t="s">
        <v>4</v>
      </c>
      <c r="H827" s="21" t="str">
        <f t="shared" si="12"/>
        <v>CT_FAIROAKS_SV/CLOSURE-TERM</v>
      </c>
      <c r="I827" s="24" t="s">
        <v>2269</v>
      </c>
      <c r="J827" s="10" t="str">
        <f>VLOOKUP(Table1[[#This Row],[UID]],CS3SVComposerConfig!$B$3:$D$1808,3,FALSE)</f>
        <v>ClosureTerms.dss</v>
      </c>
      <c r="K827" s="10" t="s">
        <v>2212</v>
      </c>
      <c r="L827" s="10" t="s">
        <v>2212</v>
      </c>
      <c r="M827" s="10" t="s">
        <v>2224</v>
      </c>
      <c r="N827" s="10" t="s">
        <v>2225</v>
      </c>
      <c r="O827" s="10" t="s">
        <v>5379</v>
      </c>
      <c r="P827" s="39" t="s">
        <v>2227</v>
      </c>
    </row>
    <row r="828" spans="2:16" ht="18" customHeight="1" x14ac:dyDescent="0.25">
      <c r="B828" s="21" t="s">
        <v>0</v>
      </c>
      <c r="C828" s="22" t="s">
        <v>1158</v>
      </c>
      <c r="D828" s="22" t="s">
        <v>1149</v>
      </c>
      <c r="E828" s="21" t="s">
        <v>2222</v>
      </c>
      <c r="F828" s="23" t="s">
        <v>3</v>
      </c>
      <c r="G828" s="23" t="s">
        <v>4</v>
      </c>
      <c r="H828" s="21" t="str">
        <f t="shared" si="12"/>
        <v>CT_FREEPORT_SV/CLOSURE-TERM</v>
      </c>
      <c r="I828" s="24" t="s">
        <v>2269</v>
      </c>
      <c r="J828" s="10" t="str">
        <f>VLOOKUP(Table1[[#This Row],[UID]],CS3SVComposerConfig!$B$3:$D$1808,3,FALSE)</f>
        <v>ClosureTerms.dss</v>
      </c>
      <c r="K828" s="10" t="s">
        <v>2212</v>
      </c>
      <c r="L828" s="10" t="s">
        <v>2212</v>
      </c>
      <c r="M828" s="10" t="s">
        <v>2224</v>
      </c>
      <c r="N828" s="10" t="s">
        <v>2225</v>
      </c>
      <c r="O828" s="10" t="s">
        <v>5379</v>
      </c>
      <c r="P828" s="39" t="s">
        <v>2227</v>
      </c>
    </row>
    <row r="829" spans="2:16" ht="18" customHeight="1" x14ac:dyDescent="0.25">
      <c r="B829" s="21" t="s">
        <v>0</v>
      </c>
      <c r="C829" s="22" t="s">
        <v>1160</v>
      </c>
      <c r="D829" s="22" t="s">
        <v>1149</v>
      </c>
      <c r="E829" s="21" t="s">
        <v>2222</v>
      </c>
      <c r="F829" s="23" t="s">
        <v>3</v>
      </c>
      <c r="G829" s="23" t="s">
        <v>4</v>
      </c>
      <c r="H829" s="21" t="str">
        <f t="shared" si="12"/>
        <v>CT_GRAVELLYFORD_SV/CLOSURE-TERM</v>
      </c>
      <c r="I829" s="24" t="s">
        <v>2269</v>
      </c>
      <c r="J829" s="10" t="str">
        <f>VLOOKUP(Table1[[#This Row],[UID]],CS3SVComposerConfig!$B$3:$D$1808,3,FALSE)</f>
        <v>CS3_SJCT_08032023_dwr_v.00_04152024.dss</v>
      </c>
      <c r="K829" s="10" t="s">
        <v>2212</v>
      </c>
      <c r="L829" s="10" t="s">
        <v>2224</v>
      </c>
      <c r="M829" s="10" t="s">
        <v>2224</v>
      </c>
      <c r="N829" s="10" t="s">
        <v>2270</v>
      </c>
      <c r="O829" s="10" t="s">
        <v>2270</v>
      </c>
      <c r="P829" s="39" t="s">
        <v>2227</v>
      </c>
    </row>
    <row r="830" spans="2:16" ht="18" customHeight="1" x14ac:dyDescent="0.25">
      <c r="B830" s="21" t="s">
        <v>0</v>
      </c>
      <c r="C830" s="22" t="s">
        <v>1787</v>
      </c>
      <c r="D830" s="22" t="s">
        <v>1149</v>
      </c>
      <c r="E830" s="21" t="s">
        <v>2222</v>
      </c>
      <c r="F830" s="23" t="s">
        <v>3</v>
      </c>
      <c r="G830" s="23" t="s">
        <v>4</v>
      </c>
      <c r="H830" s="21" t="str">
        <f t="shared" si="12"/>
        <v>CT_MELON_SV/CLOSURE-TERM</v>
      </c>
      <c r="I830" s="24" t="s">
        <v>2269</v>
      </c>
      <c r="J830" s="10" t="str">
        <f>VLOOKUP(Table1[[#This Row],[UID]],CS3SVComposerConfig!$B$3:$D$1808,3,FALSE)</f>
        <v>DCR2023_SV_Danube_Hist_v3.dss</v>
      </c>
      <c r="K830" s="10" t="s">
        <v>2212</v>
      </c>
      <c r="L830" s="10" t="s">
        <v>2212</v>
      </c>
      <c r="M830" s="10" t="s">
        <v>2224</v>
      </c>
      <c r="N830" s="10" t="s">
        <v>2225</v>
      </c>
      <c r="O830" s="10" t="s">
        <v>5379</v>
      </c>
      <c r="P830" s="39" t="s">
        <v>2227</v>
      </c>
    </row>
    <row r="831" spans="2:16" ht="18" customHeight="1" x14ac:dyDescent="0.25">
      <c r="B831" s="21" t="s">
        <v>0</v>
      </c>
      <c r="C831" s="22" t="s">
        <v>1161</v>
      </c>
      <c r="D831" s="22" t="s">
        <v>1149</v>
      </c>
      <c r="E831" s="21" t="s">
        <v>2222</v>
      </c>
      <c r="F831" s="23" t="s">
        <v>3</v>
      </c>
      <c r="G831" s="23" t="s">
        <v>4</v>
      </c>
      <c r="H831" s="21" t="str">
        <f t="shared" si="12"/>
        <v>CT_MERCED_SV/CLOSURE-TERM</v>
      </c>
      <c r="I831" s="24" t="s">
        <v>2269</v>
      </c>
      <c r="J831" s="10" t="str">
        <f>VLOOKUP(Table1[[#This Row],[UID]],CS3SVComposerConfig!$B$3:$D$1808,3,FALSE)</f>
        <v>CS3_SJCT_08032023_dwr_v.00_04152024.dss</v>
      </c>
      <c r="K831" s="10" t="s">
        <v>2212</v>
      </c>
      <c r="L831" s="10" t="s">
        <v>2224</v>
      </c>
      <c r="M831" s="10" t="s">
        <v>2224</v>
      </c>
      <c r="N831" s="10" t="s">
        <v>2270</v>
      </c>
      <c r="O831" s="10" t="s">
        <v>2270</v>
      </c>
      <c r="P831" s="39" t="s">
        <v>2227</v>
      </c>
    </row>
    <row r="832" spans="2:16" ht="18" customHeight="1" x14ac:dyDescent="0.25">
      <c r="B832" s="21" t="s">
        <v>0</v>
      </c>
      <c r="C832" s="22" t="s">
        <v>1162</v>
      </c>
      <c r="D832" s="22" t="s">
        <v>1149</v>
      </c>
      <c r="E832" s="21" t="s">
        <v>2222</v>
      </c>
      <c r="F832" s="23" t="s">
        <v>3</v>
      </c>
      <c r="G832" s="23" t="s">
        <v>4</v>
      </c>
      <c r="H832" s="21" t="str">
        <f t="shared" si="12"/>
        <v>CT_MODESTO_SV/CLOSURE-TERM</v>
      </c>
      <c r="I832" s="24" t="s">
        <v>2269</v>
      </c>
      <c r="J832" s="10" t="str">
        <f>VLOOKUP(Table1[[#This Row],[UID]],CS3SVComposerConfig!$B$3:$D$1808,3,FALSE)</f>
        <v>CS3_SJCT_08032023_dwr_v.00_04152024.dss</v>
      </c>
      <c r="K832" s="10" t="s">
        <v>2212</v>
      </c>
      <c r="L832" s="10" t="s">
        <v>2224</v>
      </c>
      <c r="M832" s="10" t="s">
        <v>2224</v>
      </c>
      <c r="N832" s="10" t="s">
        <v>2270</v>
      </c>
      <c r="O832" s="10" t="s">
        <v>2270</v>
      </c>
      <c r="P832" s="39" t="s">
        <v>2227</v>
      </c>
    </row>
    <row r="833" spans="2:16" ht="18" customHeight="1" x14ac:dyDescent="0.25">
      <c r="B833" s="21" t="s">
        <v>0</v>
      </c>
      <c r="C833" s="22" t="s">
        <v>1163</v>
      </c>
      <c r="D833" s="22" t="s">
        <v>1149</v>
      </c>
      <c r="E833" s="21" t="s">
        <v>2222</v>
      </c>
      <c r="F833" s="23" t="s">
        <v>3</v>
      </c>
      <c r="G833" s="23" t="s">
        <v>4</v>
      </c>
      <c r="H833" s="21" t="str">
        <f t="shared" si="12"/>
        <v>CT_MUDSLOUGH_SV/CLOSURE-TERM</v>
      </c>
      <c r="I833" s="24" t="s">
        <v>2269</v>
      </c>
      <c r="J833" s="10" t="str">
        <f>VLOOKUP(Table1[[#This Row],[UID]],CS3SVComposerConfig!$B$3:$D$1808,3,FALSE)</f>
        <v>CS3_SJCT_08032023_dwr_v.00_04152024.dss</v>
      </c>
      <c r="K833" s="10" t="s">
        <v>2212</v>
      </c>
      <c r="L833" s="10" t="s">
        <v>2224</v>
      </c>
      <c r="M833" s="10" t="s">
        <v>2224</v>
      </c>
      <c r="N833" s="10" t="s">
        <v>2270</v>
      </c>
      <c r="O833" s="10" t="s">
        <v>2270</v>
      </c>
      <c r="P833" s="39" t="s">
        <v>2227</v>
      </c>
    </row>
    <row r="834" spans="2:16" ht="18" customHeight="1" x14ac:dyDescent="0.25">
      <c r="B834" s="21" t="s">
        <v>0</v>
      </c>
      <c r="C834" s="22" t="s">
        <v>1164</v>
      </c>
      <c r="D834" s="22" t="s">
        <v>1149</v>
      </c>
      <c r="E834" s="21" t="s">
        <v>2222</v>
      </c>
      <c r="F834" s="23" t="s">
        <v>3</v>
      </c>
      <c r="G834" s="23" t="s">
        <v>4</v>
      </c>
      <c r="H834" s="21" t="str">
        <f t="shared" si="12"/>
        <v>CT_NICOLAUS_SV/CLOSURE-TERM</v>
      </c>
      <c r="I834" s="24" t="s">
        <v>2269</v>
      </c>
      <c r="J834" s="10" t="str">
        <f>VLOOKUP(Table1[[#This Row],[UID]],CS3SVComposerConfig!$B$3:$D$1808,3,FALSE)</f>
        <v>ClosureTerms.dss</v>
      </c>
      <c r="K834" s="10" t="s">
        <v>2212</v>
      </c>
      <c r="L834" s="10" t="s">
        <v>2212</v>
      </c>
      <c r="M834" s="10" t="s">
        <v>2224</v>
      </c>
      <c r="N834" s="10" t="s">
        <v>2225</v>
      </c>
      <c r="O834" s="10" t="s">
        <v>5379</v>
      </c>
      <c r="P834" s="39" t="s">
        <v>2227</v>
      </c>
    </row>
    <row r="835" spans="2:16" ht="18" customHeight="1" x14ac:dyDescent="0.25">
      <c r="B835" s="21" t="s">
        <v>0</v>
      </c>
      <c r="C835" s="22" t="s">
        <v>1165</v>
      </c>
      <c r="D835" s="22" t="s">
        <v>1149</v>
      </c>
      <c r="E835" s="21" t="s">
        <v>2222</v>
      </c>
      <c r="F835" s="23" t="s">
        <v>3</v>
      </c>
      <c r="G835" s="23" t="s">
        <v>4</v>
      </c>
      <c r="H835" s="21" t="str">
        <f t="shared" ref="H835:H898" si="13">_xlfn.CONCAT(C835,"/",D835)</f>
        <v>CT_OROVILLE_SV/CLOSURE-TERM</v>
      </c>
      <c r="I835" s="24" t="s">
        <v>2269</v>
      </c>
      <c r="J835" s="10" t="str">
        <f>VLOOKUP(Table1[[#This Row],[UID]],CS3SVComposerConfig!$B$3:$D$1808,3,FALSE)</f>
        <v>ClosureTerms.dss</v>
      </c>
      <c r="K835" s="10" t="s">
        <v>2212</v>
      </c>
      <c r="L835" s="10" t="s">
        <v>2212</v>
      </c>
      <c r="M835" s="10" t="s">
        <v>2224</v>
      </c>
      <c r="N835" s="10" t="s">
        <v>2225</v>
      </c>
      <c r="O835" s="10" t="s">
        <v>5379</v>
      </c>
      <c r="P835" s="39" t="s">
        <v>2227</v>
      </c>
    </row>
    <row r="836" spans="2:16" ht="18" customHeight="1" x14ac:dyDescent="0.25">
      <c r="B836" s="21" t="s">
        <v>0</v>
      </c>
      <c r="C836" s="22" t="s">
        <v>1167</v>
      </c>
      <c r="D836" s="22" t="s">
        <v>1149</v>
      </c>
      <c r="E836" s="21" t="s">
        <v>2222</v>
      </c>
      <c r="F836" s="23" t="s">
        <v>3</v>
      </c>
      <c r="G836" s="23" t="s">
        <v>4</v>
      </c>
      <c r="H836" s="21" t="str">
        <f t="shared" si="13"/>
        <v>CT_PARDE_SV/CLOSURE-TERM</v>
      </c>
      <c r="I836" s="24" t="s">
        <v>2269</v>
      </c>
      <c r="J836" s="10" t="str">
        <f>VLOOKUP(Table1[[#This Row],[UID]],CS3SVComposerConfig!$B$3:$D$1808,3,FALSE)</f>
        <v>DCR2023_SV_Danube_Hist_v3.dss</v>
      </c>
      <c r="K836" s="10" t="s">
        <v>2212</v>
      </c>
      <c r="L836" s="10" t="s">
        <v>2212</v>
      </c>
      <c r="M836" s="10" t="s">
        <v>2224</v>
      </c>
      <c r="N836" s="10" t="s">
        <v>2225</v>
      </c>
      <c r="O836" s="10" t="s">
        <v>5379</v>
      </c>
      <c r="P836" s="39" t="s">
        <v>2227</v>
      </c>
    </row>
    <row r="837" spans="2:16" ht="18" customHeight="1" x14ac:dyDescent="0.25">
      <c r="B837" s="21" t="s">
        <v>0</v>
      </c>
      <c r="C837" s="22" t="s">
        <v>1790</v>
      </c>
      <c r="D837" s="22" t="s">
        <v>1149</v>
      </c>
      <c r="E837" s="21" t="s">
        <v>2222</v>
      </c>
      <c r="F837" s="23" t="s">
        <v>3</v>
      </c>
      <c r="G837" s="23" t="s">
        <v>4</v>
      </c>
      <c r="H837" s="21" t="str">
        <f t="shared" si="13"/>
        <v>CT_PEDRO_SV/CLOSURE-TERM</v>
      </c>
      <c r="I837" s="24" t="s">
        <v>2269</v>
      </c>
      <c r="J837" s="10" t="str">
        <f>VLOOKUP(Table1[[#This Row],[UID]],CS3SVComposerConfig!$B$3:$D$1808,3,FALSE)</f>
        <v>DCR2023_SV_Danube_Hist_v3.dss</v>
      </c>
      <c r="K837" s="10" t="s">
        <v>2212</v>
      </c>
      <c r="L837" s="10" t="s">
        <v>2212</v>
      </c>
      <c r="M837" s="10" t="s">
        <v>2224</v>
      </c>
      <c r="N837" s="10" t="s">
        <v>2225</v>
      </c>
      <c r="O837" s="10" t="s">
        <v>5379</v>
      </c>
      <c r="P837" s="39" t="s">
        <v>2227</v>
      </c>
    </row>
    <row r="838" spans="2:16" ht="18" customHeight="1" x14ac:dyDescent="0.25">
      <c r="B838" s="21" t="s">
        <v>0</v>
      </c>
      <c r="C838" s="22" t="s">
        <v>1168</v>
      </c>
      <c r="D838" s="22" t="s">
        <v>1149</v>
      </c>
      <c r="E838" s="21" t="s">
        <v>2222</v>
      </c>
      <c r="F838" s="23" t="s">
        <v>3</v>
      </c>
      <c r="G838" s="23" t="s">
        <v>4</v>
      </c>
      <c r="H838" s="21" t="str">
        <f t="shared" si="13"/>
        <v>CT_RIPON_SV/CLOSURE-TERM</v>
      </c>
      <c r="I838" s="24" t="s">
        <v>2269</v>
      </c>
      <c r="J838" s="10" t="str">
        <f>VLOOKUP(Table1[[#This Row],[UID]],CS3SVComposerConfig!$B$3:$D$1808,3,FALSE)</f>
        <v>CS3_SJCT_08032023_dwr_v.00_04152024.dss</v>
      </c>
      <c r="K838" s="10" t="s">
        <v>2212</v>
      </c>
      <c r="L838" s="10" t="s">
        <v>2224</v>
      </c>
      <c r="M838" s="10" t="s">
        <v>2224</v>
      </c>
      <c r="N838" s="10" t="s">
        <v>2270</v>
      </c>
      <c r="O838" s="10" t="s">
        <v>2270</v>
      </c>
      <c r="P838" s="39" t="s">
        <v>2227</v>
      </c>
    </row>
    <row r="839" spans="2:16" ht="18" customHeight="1" x14ac:dyDescent="0.25">
      <c r="B839" s="21" t="s">
        <v>0</v>
      </c>
      <c r="C839" s="22" t="s">
        <v>1169</v>
      </c>
      <c r="D839" s="22" t="s">
        <v>1149</v>
      </c>
      <c r="E839" s="21" t="s">
        <v>2222</v>
      </c>
      <c r="F839" s="23" t="s">
        <v>3</v>
      </c>
      <c r="G839" s="23" t="s">
        <v>4</v>
      </c>
      <c r="H839" s="21" t="str">
        <f t="shared" si="13"/>
        <v>CT_SACSLOUGH_SV/CLOSURE-TERM</v>
      </c>
      <c r="I839" s="24" t="s">
        <v>2269</v>
      </c>
      <c r="J839" s="10" t="str">
        <f>VLOOKUP(Table1[[#This Row],[UID]],CS3SVComposerConfig!$B$3:$D$1808,3,FALSE)</f>
        <v>ClosureTerms.dss</v>
      </c>
      <c r="K839" s="10" t="s">
        <v>2224</v>
      </c>
      <c r="L839" s="10" t="s">
        <v>2212</v>
      </c>
      <c r="M839" s="10" t="s">
        <v>2224</v>
      </c>
      <c r="N839" s="10" t="s">
        <v>2227</v>
      </c>
      <c r="O839" s="10" t="s">
        <v>2227</v>
      </c>
      <c r="P839" s="39" t="s">
        <v>2227</v>
      </c>
    </row>
    <row r="840" spans="2:16" ht="18" customHeight="1" x14ac:dyDescent="0.25">
      <c r="B840" s="21" t="s">
        <v>0</v>
      </c>
      <c r="C840" s="22" t="s">
        <v>1171</v>
      </c>
      <c r="D840" s="22" t="s">
        <v>1149</v>
      </c>
      <c r="E840" s="21" t="s">
        <v>2222</v>
      </c>
      <c r="F840" s="23" t="s">
        <v>3</v>
      </c>
      <c r="G840" s="23" t="s">
        <v>4</v>
      </c>
      <c r="H840" s="21" t="str">
        <f t="shared" si="13"/>
        <v>CT_SALTSLOUGH_SV/CLOSURE-TERM</v>
      </c>
      <c r="I840" s="24" t="s">
        <v>2269</v>
      </c>
      <c r="J840" s="10" t="str">
        <f>VLOOKUP(Table1[[#This Row],[UID]],CS3SVComposerConfig!$B$3:$D$1808,3,FALSE)</f>
        <v>CS3_SJCT_08032023_dwr_v.00_04152024.dss</v>
      </c>
      <c r="K840" s="10" t="s">
        <v>2212</v>
      </c>
      <c r="L840" s="10" t="s">
        <v>2224</v>
      </c>
      <c r="M840" s="10" t="s">
        <v>2224</v>
      </c>
      <c r="N840" s="10" t="s">
        <v>2270</v>
      </c>
      <c r="O840" s="10" t="s">
        <v>2270</v>
      </c>
      <c r="P840" s="39" t="s">
        <v>2227</v>
      </c>
    </row>
    <row r="841" spans="2:16" ht="18" customHeight="1" x14ac:dyDescent="0.25">
      <c r="B841" s="21" t="s">
        <v>0</v>
      </c>
      <c r="C841" s="22" t="s">
        <v>1173</v>
      </c>
      <c r="D841" s="22" t="s">
        <v>1149</v>
      </c>
      <c r="E841" s="21" t="s">
        <v>2222</v>
      </c>
      <c r="F841" s="23" t="s">
        <v>3</v>
      </c>
      <c r="G841" s="23" t="s">
        <v>4</v>
      </c>
      <c r="H841" s="21" t="str">
        <f t="shared" si="13"/>
        <v>CT_SMARTVILLE_SV/CLOSURE-TERM</v>
      </c>
      <c r="I841" s="24" t="s">
        <v>2269</v>
      </c>
      <c r="J841" s="10" t="str">
        <f>VLOOKUP(Table1[[#This Row],[UID]],CS3SVComposerConfig!$B$3:$D$1808,3,FALSE)</f>
        <v>ClosureTerms.dss</v>
      </c>
      <c r="K841" s="10" t="s">
        <v>2212</v>
      </c>
      <c r="L841" s="10" t="s">
        <v>2212</v>
      </c>
      <c r="M841" s="10" t="s">
        <v>2224</v>
      </c>
      <c r="N841" s="10" t="s">
        <v>2225</v>
      </c>
      <c r="O841" s="10" t="s">
        <v>5379</v>
      </c>
      <c r="P841" s="39" t="s">
        <v>2227</v>
      </c>
    </row>
    <row r="842" spans="2:16" ht="18" customHeight="1" x14ac:dyDescent="0.25">
      <c r="B842" s="21" t="s">
        <v>0</v>
      </c>
      <c r="C842" s="22" t="s">
        <v>1174</v>
      </c>
      <c r="D842" s="22" t="s">
        <v>1149</v>
      </c>
      <c r="E842" s="21" t="s">
        <v>2222</v>
      </c>
      <c r="F842" s="23" t="s">
        <v>3</v>
      </c>
      <c r="G842" s="23" t="s">
        <v>4</v>
      </c>
      <c r="H842" s="21" t="str">
        <f t="shared" si="13"/>
        <v>CT_STEVINSON_SV/CLOSURE-TERM</v>
      </c>
      <c r="I842" s="24" t="s">
        <v>2269</v>
      </c>
      <c r="J842" s="10" t="str">
        <f>VLOOKUP(Table1[[#This Row],[UID]],CS3SVComposerConfig!$B$3:$D$1808,3,FALSE)</f>
        <v>CS3_SJCT_08032023_dwr_v.00_04152024.dss</v>
      </c>
      <c r="K842" s="10" t="s">
        <v>2212</v>
      </c>
      <c r="L842" s="10" t="s">
        <v>2224</v>
      </c>
      <c r="M842" s="10" t="s">
        <v>2224</v>
      </c>
      <c r="N842" s="10" t="s">
        <v>2270</v>
      </c>
      <c r="O842" s="10" t="s">
        <v>2270</v>
      </c>
      <c r="P842" s="39" t="s">
        <v>2227</v>
      </c>
    </row>
    <row r="843" spans="2:16" ht="18" customHeight="1" x14ac:dyDescent="0.25">
      <c r="B843" s="21" t="s">
        <v>0</v>
      </c>
      <c r="C843" s="22" t="s">
        <v>1175</v>
      </c>
      <c r="D843" s="22" t="s">
        <v>1149</v>
      </c>
      <c r="E843" s="21" t="s">
        <v>2222</v>
      </c>
      <c r="F843" s="23" t="s">
        <v>3</v>
      </c>
      <c r="G843" s="23" t="s">
        <v>4</v>
      </c>
      <c r="H843" s="21" t="str">
        <f t="shared" si="13"/>
        <v>CT_VERNALIS_SV/CLOSURE-TERM</v>
      </c>
      <c r="I843" s="24" t="s">
        <v>2269</v>
      </c>
      <c r="J843" s="10" t="str">
        <f>VLOOKUP(Table1[[#This Row],[UID]],CS3SVComposerConfig!$B$3:$D$1808,3,FALSE)</f>
        <v>CS3_SJCT_08032023_dwr_v.00_04152024.dss</v>
      </c>
      <c r="K843" s="10" t="s">
        <v>2212</v>
      </c>
      <c r="L843" s="10" t="s">
        <v>2224</v>
      </c>
      <c r="M843" s="10" t="s">
        <v>2224</v>
      </c>
      <c r="N843" s="10" t="s">
        <v>2270</v>
      </c>
      <c r="O843" s="10" t="s">
        <v>2270</v>
      </c>
      <c r="P843" s="39" t="s">
        <v>2227</v>
      </c>
    </row>
    <row r="844" spans="2:16" ht="18" customHeight="1" x14ac:dyDescent="0.25">
      <c r="B844" s="21" t="s">
        <v>0</v>
      </c>
      <c r="C844" s="22" t="s">
        <v>1176</v>
      </c>
      <c r="D844" s="22" t="s">
        <v>1149</v>
      </c>
      <c r="E844" s="21" t="s">
        <v>2222</v>
      </c>
      <c r="F844" s="23" t="s">
        <v>3</v>
      </c>
      <c r="G844" s="23" t="s">
        <v>4</v>
      </c>
      <c r="H844" s="21" t="str">
        <f t="shared" si="13"/>
        <v>CT_VERONA_SV/CLOSURE-TERM</v>
      </c>
      <c r="I844" s="24" t="s">
        <v>2269</v>
      </c>
      <c r="J844" s="10" t="str">
        <f>VLOOKUP(Table1[[#This Row],[UID]],CS3SVComposerConfig!$B$3:$D$1808,3,FALSE)</f>
        <v>ClosureTerms.dss</v>
      </c>
      <c r="K844" s="10" t="s">
        <v>2212</v>
      </c>
      <c r="L844" s="10" t="s">
        <v>2212</v>
      </c>
      <c r="M844" s="10" t="s">
        <v>2224</v>
      </c>
      <c r="N844" s="10" t="s">
        <v>2225</v>
      </c>
      <c r="O844" s="10" t="s">
        <v>5379</v>
      </c>
      <c r="P844" s="39" t="s">
        <v>2227</v>
      </c>
    </row>
    <row r="845" spans="2:16" ht="18" customHeight="1" x14ac:dyDescent="0.25">
      <c r="B845" s="21" t="s">
        <v>0</v>
      </c>
      <c r="C845" s="22" t="s">
        <v>1177</v>
      </c>
      <c r="D845" s="22" t="s">
        <v>1149</v>
      </c>
      <c r="E845" s="21" t="s">
        <v>2222</v>
      </c>
      <c r="F845" s="23" t="s">
        <v>3</v>
      </c>
      <c r="G845" s="23" t="s">
        <v>4</v>
      </c>
      <c r="H845" s="21" t="str">
        <f t="shared" si="13"/>
        <v>CT_WHEATLAND_SV/CLOSURE-TERM</v>
      </c>
      <c r="I845" s="24" t="s">
        <v>2269</v>
      </c>
      <c r="J845" s="10" t="str">
        <f>VLOOKUP(Table1[[#This Row],[UID]],CS3SVComposerConfig!$B$3:$D$1808,3,FALSE)</f>
        <v>ClosureTerms.dss</v>
      </c>
      <c r="K845" s="10" t="s">
        <v>2212</v>
      </c>
      <c r="L845" s="10" t="s">
        <v>2212</v>
      </c>
      <c r="M845" s="10" t="s">
        <v>2224</v>
      </c>
      <c r="N845" s="10" t="s">
        <v>2225</v>
      </c>
      <c r="O845" s="10" t="s">
        <v>5379</v>
      </c>
      <c r="P845" s="39" t="s">
        <v>2227</v>
      </c>
    </row>
    <row r="846" spans="2:16" ht="18" customHeight="1" x14ac:dyDescent="0.25">
      <c r="B846" s="21" t="s">
        <v>0</v>
      </c>
      <c r="C846" s="22" t="s">
        <v>1178</v>
      </c>
      <c r="D846" s="22" t="s">
        <v>1149</v>
      </c>
      <c r="E846" s="21" t="s">
        <v>2222</v>
      </c>
      <c r="F846" s="23" t="s">
        <v>3</v>
      </c>
      <c r="G846" s="23" t="s">
        <v>4</v>
      </c>
      <c r="H846" s="21" t="str">
        <f t="shared" si="13"/>
        <v>CT_WILKINSSL_SV/CLOSURE-TERM</v>
      </c>
      <c r="I846" s="24" t="s">
        <v>2269</v>
      </c>
      <c r="J846" s="10" t="str">
        <f>VLOOKUP(Table1[[#This Row],[UID]],CS3SVComposerConfig!$B$3:$D$1808,3,FALSE)</f>
        <v>ClosureTerms.dss</v>
      </c>
      <c r="K846" s="10" t="s">
        <v>2212</v>
      </c>
      <c r="L846" s="10" t="s">
        <v>2212</v>
      </c>
      <c r="M846" s="10" t="s">
        <v>2224</v>
      </c>
      <c r="N846" s="10" t="s">
        <v>2225</v>
      </c>
      <c r="O846" s="10" t="s">
        <v>5379</v>
      </c>
      <c r="P846" s="39" t="s">
        <v>2227</v>
      </c>
    </row>
    <row r="847" spans="2:16" ht="18" customHeight="1" x14ac:dyDescent="0.25">
      <c r="B847" s="21" t="s">
        <v>0</v>
      </c>
      <c r="C847" s="22" t="s">
        <v>1179</v>
      </c>
      <c r="D847" s="22" t="s">
        <v>1149</v>
      </c>
      <c r="E847" s="21" t="s">
        <v>2222</v>
      </c>
      <c r="F847" s="23" t="s">
        <v>3</v>
      </c>
      <c r="G847" s="23" t="s">
        <v>4</v>
      </c>
      <c r="H847" s="21" t="str">
        <f t="shared" si="13"/>
        <v>CT_WOODLAND_SV/CLOSURE-TERM</v>
      </c>
      <c r="I847" s="24" t="s">
        <v>2269</v>
      </c>
      <c r="J847" s="10" t="str">
        <f>VLOOKUP(Table1[[#This Row],[UID]],CS3SVComposerConfig!$B$3:$D$1808,3,FALSE)</f>
        <v>ClosureTerms.dss</v>
      </c>
      <c r="K847" s="10" t="s">
        <v>2224</v>
      </c>
      <c r="L847" s="10" t="s">
        <v>2212</v>
      </c>
      <c r="M847" s="10" t="s">
        <v>2224</v>
      </c>
      <c r="N847" s="10" t="s">
        <v>2227</v>
      </c>
      <c r="O847" s="10" t="s">
        <v>2227</v>
      </c>
      <c r="P847" s="39" t="s">
        <v>2227</v>
      </c>
    </row>
    <row r="848" spans="2:16" ht="18" customHeight="1" x14ac:dyDescent="0.25">
      <c r="B848" s="21" t="s">
        <v>0</v>
      </c>
      <c r="C848" s="22" t="s">
        <v>1180</v>
      </c>
      <c r="D848" s="22" t="s">
        <v>1149</v>
      </c>
      <c r="E848" s="21" t="s">
        <v>2222</v>
      </c>
      <c r="F848" s="23" t="s">
        <v>3</v>
      </c>
      <c r="G848" s="23" t="s">
        <v>4</v>
      </c>
      <c r="H848" s="21" t="str">
        <f t="shared" si="13"/>
        <v>CT_YOLO_SV/CLOSURE-TERM</v>
      </c>
      <c r="I848" s="24" t="s">
        <v>2269</v>
      </c>
      <c r="J848" s="10" t="str">
        <f>VLOOKUP(Table1[[#This Row],[UID]],CS3SVComposerConfig!$B$3:$D$1808,3,FALSE)</f>
        <v>ClosureTerms.dss</v>
      </c>
      <c r="K848" s="10" t="s">
        <v>2224</v>
      </c>
      <c r="L848" s="10" t="s">
        <v>2212</v>
      </c>
      <c r="M848" s="10" t="s">
        <v>2224</v>
      </c>
      <c r="N848" s="10" t="s">
        <v>2227</v>
      </c>
      <c r="O848" s="10" t="s">
        <v>2227</v>
      </c>
      <c r="P848" s="39" t="s">
        <v>2227</v>
      </c>
    </row>
    <row r="849" spans="2:16" ht="18" customHeight="1" x14ac:dyDescent="0.25">
      <c r="B849" s="21" t="s">
        <v>0</v>
      </c>
      <c r="C849" s="22" t="s">
        <v>1960</v>
      </c>
      <c r="D849" s="22" t="s">
        <v>1961</v>
      </c>
      <c r="E849" s="21" t="s">
        <v>2222</v>
      </c>
      <c r="F849" s="23" t="s">
        <v>3</v>
      </c>
      <c r="G849" s="23" t="s">
        <v>4</v>
      </c>
      <c r="H849" s="21" t="str">
        <f t="shared" si="13"/>
        <v>DAY1/VOL-FRACTION</v>
      </c>
      <c r="I849" s="24" t="s">
        <v>2271</v>
      </c>
      <c r="J849" s="10" t="str">
        <f>VLOOKUP(Table1[[#This Row],[UID]],CS3SVComposerConfig!$B$3:$D$1808,3,FALSE)</f>
        <v>DCR2023_SV_Danube_Hist_v3.dss</v>
      </c>
      <c r="K849" s="10" t="s">
        <v>2212</v>
      </c>
      <c r="L849" s="10" t="s">
        <v>2212</v>
      </c>
      <c r="M849" s="10" t="s">
        <v>2224</v>
      </c>
      <c r="N849" s="10" t="s">
        <v>2258</v>
      </c>
      <c r="O849" s="10" t="s">
        <v>5379</v>
      </c>
      <c r="P849" s="39">
        <v>0</v>
      </c>
    </row>
    <row r="850" spans="2:16" ht="18" customHeight="1" x14ac:dyDescent="0.25">
      <c r="B850" s="21" t="s">
        <v>0</v>
      </c>
      <c r="C850" s="22" t="s">
        <v>1963</v>
      </c>
      <c r="D850" s="22" t="s">
        <v>1961</v>
      </c>
      <c r="E850" s="21" t="s">
        <v>2222</v>
      </c>
      <c r="F850" s="23" t="s">
        <v>3</v>
      </c>
      <c r="G850" s="23" t="s">
        <v>4</v>
      </c>
      <c r="H850" s="21" t="str">
        <f t="shared" si="13"/>
        <v>DAY10/VOL-FRACTION</v>
      </c>
      <c r="I850" s="24" t="s">
        <v>2271</v>
      </c>
      <c r="J850" s="10" t="str">
        <f>VLOOKUP(Table1[[#This Row],[UID]],CS3SVComposerConfig!$B$3:$D$1808,3,FALSE)</f>
        <v>DCR2023_SV_Danube_Hist_v3.dss</v>
      </c>
      <c r="K850" s="10" t="s">
        <v>2212</v>
      </c>
      <c r="L850" s="10" t="s">
        <v>2212</v>
      </c>
      <c r="M850" s="10" t="s">
        <v>2224</v>
      </c>
      <c r="N850" s="10" t="s">
        <v>2258</v>
      </c>
      <c r="O850" s="10" t="s">
        <v>5379</v>
      </c>
      <c r="P850" s="39">
        <v>0</v>
      </c>
    </row>
    <row r="851" spans="2:16" ht="18" customHeight="1" x14ac:dyDescent="0.25">
      <c r="B851" s="21" t="s">
        <v>0</v>
      </c>
      <c r="C851" s="22" t="s">
        <v>1964</v>
      </c>
      <c r="D851" s="22" t="s">
        <v>1961</v>
      </c>
      <c r="E851" s="21" t="s">
        <v>2222</v>
      </c>
      <c r="F851" s="23" t="s">
        <v>3</v>
      </c>
      <c r="G851" s="23" t="s">
        <v>4</v>
      </c>
      <c r="H851" s="21" t="str">
        <f t="shared" si="13"/>
        <v>DAY11/VOL-FRACTION</v>
      </c>
      <c r="I851" s="24" t="s">
        <v>2271</v>
      </c>
      <c r="J851" s="10" t="str">
        <f>VLOOKUP(Table1[[#This Row],[UID]],CS3SVComposerConfig!$B$3:$D$1808,3,FALSE)</f>
        <v>DCR2023_SV_Danube_Hist_v3.dss</v>
      </c>
      <c r="K851" s="10" t="s">
        <v>2212</v>
      </c>
      <c r="L851" s="10" t="s">
        <v>2212</v>
      </c>
      <c r="M851" s="10" t="s">
        <v>2224</v>
      </c>
      <c r="N851" s="10" t="s">
        <v>2258</v>
      </c>
      <c r="O851" s="10" t="s">
        <v>5379</v>
      </c>
      <c r="P851" s="39">
        <v>0</v>
      </c>
    </row>
    <row r="852" spans="2:16" ht="18" customHeight="1" x14ac:dyDescent="0.25">
      <c r="B852" s="21" t="s">
        <v>0</v>
      </c>
      <c r="C852" s="22" t="s">
        <v>1965</v>
      </c>
      <c r="D852" s="22" t="s">
        <v>1961</v>
      </c>
      <c r="E852" s="21" t="s">
        <v>2222</v>
      </c>
      <c r="F852" s="23" t="s">
        <v>3</v>
      </c>
      <c r="G852" s="23" t="s">
        <v>4</v>
      </c>
      <c r="H852" s="21" t="str">
        <f t="shared" si="13"/>
        <v>DAY12/VOL-FRACTION</v>
      </c>
      <c r="I852" s="24" t="s">
        <v>2271</v>
      </c>
      <c r="J852" s="10" t="str">
        <f>VLOOKUP(Table1[[#This Row],[UID]],CS3SVComposerConfig!$B$3:$D$1808,3,FALSE)</f>
        <v>DCR2023_SV_Danube_Hist_v3.dss</v>
      </c>
      <c r="K852" s="10" t="s">
        <v>2212</v>
      </c>
      <c r="L852" s="10" t="s">
        <v>2212</v>
      </c>
      <c r="M852" s="10" t="s">
        <v>2224</v>
      </c>
      <c r="N852" s="10" t="s">
        <v>2258</v>
      </c>
      <c r="O852" s="10" t="s">
        <v>5379</v>
      </c>
      <c r="P852" s="39">
        <v>0</v>
      </c>
    </row>
    <row r="853" spans="2:16" ht="18" customHeight="1" x14ac:dyDescent="0.25">
      <c r="B853" s="21" t="s">
        <v>0</v>
      </c>
      <c r="C853" s="22" t="s">
        <v>1967</v>
      </c>
      <c r="D853" s="22" t="s">
        <v>1961</v>
      </c>
      <c r="E853" s="21" t="s">
        <v>2222</v>
      </c>
      <c r="F853" s="23" t="s">
        <v>3</v>
      </c>
      <c r="G853" s="23" t="s">
        <v>4</v>
      </c>
      <c r="H853" s="21" t="str">
        <f t="shared" si="13"/>
        <v>DAY13/VOL-FRACTION</v>
      </c>
      <c r="I853" s="24" t="s">
        <v>2271</v>
      </c>
      <c r="J853" s="10" t="str">
        <f>VLOOKUP(Table1[[#This Row],[UID]],CS3SVComposerConfig!$B$3:$D$1808,3,FALSE)</f>
        <v>DCR2023_SV_Danube_Hist_v3.dss</v>
      </c>
      <c r="K853" s="10" t="s">
        <v>2212</v>
      </c>
      <c r="L853" s="10" t="s">
        <v>2212</v>
      </c>
      <c r="M853" s="10" t="s">
        <v>2224</v>
      </c>
      <c r="N853" s="10" t="s">
        <v>2258</v>
      </c>
      <c r="O853" s="10" t="s">
        <v>5379</v>
      </c>
      <c r="P853" s="39">
        <v>0</v>
      </c>
    </row>
    <row r="854" spans="2:16" ht="18" customHeight="1" x14ac:dyDescent="0.25">
      <c r="B854" s="21" t="s">
        <v>0</v>
      </c>
      <c r="C854" s="22" t="s">
        <v>1968</v>
      </c>
      <c r="D854" s="22" t="s">
        <v>1961</v>
      </c>
      <c r="E854" s="21" t="s">
        <v>2222</v>
      </c>
      <c r="F854" s="23" t="s">
        <v>3</v>
      </c>
      <c r="G854" s="23" t="s">
        <v>4</v>
      </c>
      <c r="H854" s="21" t="str">
        <f t="shared" si="13"/>
        <v>DAY14/VOL-FRACTION</v>
      </c>
      <c r="I854" s="24" t="s">
        <v>2271</v>
      </c>
      <c r="J854" s="10" t="str">
        <f>VLOOKUP(Table1[[#This Row],[UID]],CS3SVComposerConfig!$B$3:$D$1808,3,FALSE)</f>
        <v>DCR2023_SV_Danube_Hist_v3.dss</v>
      </c>
      <c r="K854" s="10" t="s">
        <v>2212</v>
      </c>
      <c r="L854" s="10" t="s">
        <v>2212</v>
      </c>
      <c r="M854" s="10" t="s">
        <v>2224</v>
      </c>
      <c r="N854" s="10" t="s">
        <v>2258</v>
      </c>
      <c r="O854" s="10" t="s">
        <v>5379</v>
      </c>
      <c r="P854" s="39">
        <v>0</v>
      </c>
    </row>
    <row r="855" spans="2:16" ht="18" customHeight="1" x14ac:dyDescent="0.25">
      <c r="B855" s="21" t="s">
        <v>0</v>
      </c>
      <c r="C855" s="22" t="s">
        <v>1969</v>
      </c>
      <c r="D855" s="22" t="s">
        <v>1961</v>
      </c>
      <c r="E855" s="21" t="s">
        <v>2222</v>
      </c>
      <c r="F855" s="23" t="s">
        <v>3</v>
      </c>
      <c r="G855" s="23" t="s">
        <v>4</v>
      </c>
      <c r="H855" s="21" t="str">
        <f t="shared" si="13"/>
        <v>DAY15/VOL-FRACTION</v>
      </c>
      <c r="I855" s="24" t="s">
        <v>2271</v>
      </c>
      <c r="J855" s="10" t="str">
        <f>VLOOKUP(Table1[[#This Row],[UID]],CS3SVComposerConfig!$B$3:$D$1808,3,FALSE)</f>
        <v>DCR2023_SV_Danube_Hist_v3.dss</v>
      </c>
      <c r="K855" s="10" t="s">
        <v>2212</v>
      </c>
      <c r="L855" s="10" t="s">
        <v>2212</v>
      </c>
      <c r="M855" s="10" t="s">
        <v>2224</v>
      </c>
      <c r="N855" s="10" t="s">
        <v>2258</v>
      </c>
      <c r="O855" s="10" t="s">
        <v>5379</v>
      </c>
      <c r="P855" s="39">
        <v>0</v>
      </c>
    </row>
    <row r="856" spans="2:16" ht="18" customHeight="1" x14ac:dyDescent="0.25">
      <c r="B856" s="21" t="s">
        <v>0</v>
      </c>
      <c r="C856" s="22" t="s">
        <v>1970</v>
      </c>
      <c r="D856" s="22" t="s">
        <v>1961</v>
      </c>
      <c r="E856" s="21" t="s">
        <v>2222</v>
      </c>
      <c r="F856" s="23" t="s">
        <v>3</v>
      </c>
      <c r="G856" s="23" t="s">
        <v>4</v>
      </c>
      <c r="H856" s="21" t="str">
        <f t="shared" si="13"/>
        <v>DAY16/VOL-FRACTION</v>
      </c>
      <c r="I856" s="24" t="s">
        <v>2271</v>
      </c>
      <c r="J856" s="10" t="str">
        <f>VLOOKUP(Table1[[#This Row],[UID]],CS3SVComposerConfig!$B$3:$D$1808,3,FALSE)</f>
        <v>DCR2023_SV_Danube_Hist_v3.dss</v>
      </c>
      <c r="K856" s="10" t="s">
        <v>2212</v>
      </c>
      <c r="L856" s="10" t="s">
        <v>2212</v>
      </c>
      <c r="M856" s="10" t="s">
        <v>2224</v>
      </c>
      <c r="N856" s="10" t="s">
        <v>2258</v>
      </c>
      <c r="O856" s="10" t="s">
        <v>5379</v>
      </c>
      <c r="P856" s="39">
        <v>0</v>
      </c>
    </row>
    <row r="857" spans="2:16" ht="18" customHeight="1" x14ac:dyDescent="0.25">
      <c r="B857" s="21" t="s">
        <v>0</v>
      </c>
      <c r="C857" s="22" t="s">
        <v>1971</v>
      </c>
      <c r="D857" s="22" t="s">
        <v>1961</v>
      </c>
      <c r="E857" s="21" t="s">
        <v>2222</v>
      </c>
      <c r="F857" s="23" t="s">
        <v>3</v>
      </c>
      <c r="G857" s="23" t="s">
        <v>4</v>
      </c>
      <c r="H857" s="21" t="str">
        <f t="shared" si="13"/>
        <v>DAY17/VOL-FRACTION</v>
      </c>
      <c r="I857" s="24" t="s">
        <v>2271</v>
      </c>
      <c r="J857" s="10" t="str">
        <f>VLOOKUP(Table1[[#This Row],[UID]],CS3SVComposerConfig!$B$3:$D$1808,3,FALSE)</f>
        <v>DCR2023_SV_Danube_Hist_v3.dss</v>
      </c>
      <c r="K857" s="10" t="s">
        <v>2212</v>
      </c>
      <c r="L857" s="10" t="s">
        <v>2212</v>
      </c>
      <c r="M857" s="10" t="s">
        <v>2224</v>
      </c>
      <c r="N857" s="10" t="s">
        <v>2258</v>
      </c>
      <c r="O857" s="10" t="s">
        <v>5379</v>
      </c>
      <c r="P857" s="39">
        <v>0</v>
      </c>
    </row>
    <row r="858" spans="2:16" ht="18" customHeight="1" x14ac:dyDescent="0.25">
      <c r="B858" s="21" t="s">
        <v>0</v>
      </c>
      <c r="C858" s="22" t="s">
        <v>1972</v>
      </c>
      <c r="D858" s="22" t="s">
        <v>1961</v>
      </c>
      <c r="E858" s="21" t="s">
        <v>2222</v>
      </c>
      <c r="F858" s="23" t="s">
        <v>3</v>
      </c>
      <c r="G858" s="23" t="s">
        <v>4</v>
      </c>
      <c r="H858" s="21" t="str">
        <f t="shared" si="13"/>
        <v>DAY18/VOL-FRACTION</v>
      </c>
      <c r="I858" s="24" t="s">
        <v>2271</v>
      </c>
      <c r="J858" s="10" t="str">
        <f>VLOOKUP(Table1[[#This Row],[UID]],CS3SVComposerConfig!$B$3:$D$1808,3,FALSE)</f>
        <v>DCR2023_SV_Danube_Hist_v3.dss</v>
      </c>
      <c r="K858" s="10" t="s">
        <v>2212</v>
      </c>
      <c r="L858" s="10" t="s">
        <v>2212</v>
      </c>
      <c r="M858" s="10" t="s">
        <v>2224</v>
      </c>
      <c r="N858" s="10" t="s">
        <v>2258</v>
      </c>
      <c r="O858" s="10" t="s">
        <v>5379</v>
      </c>
      <c r="P858" s="39">
        <v>0</v>
      </c>
    </row>
    <row r="859" spans="2:16" ht="18" customHeight="1" x14ac:dyDescent="0.25">
      <c r="B859" s="21" t="s">
        <v>0</v>
      </c>
      <c r="C859" s="22" t="s">
        <v>1973</v>
      </c>
      <c r="D859" s="22" t="s">
        <v>1961</v>
      </c>
      <c r="E859" s="21" t="s">
        <v>2222</v>
      </c>
      <c r="F859" s="23" t="s">
        <v>3</v>
      </c>
      <c r="G859" s="23" t="s">
        <v>4</v>
      </c>
      <c r="H859" s="21" t="str">
        <f t="shared" si="13"/>
        <v>DAY19/VOL-FRACTION</v>
      </c>
      <c r="I859" s="24" t="s">
        <v>2271</v>
      </c>
      <c r="J859" s="10" t="str">
        <f>VLOOKUP(Table1[[#This Row],[UID]],CS3SVComposerConfig!$B$3:$D$1808,3,FALSE)</f>
        <v>DCR2023_SV_Danube_Hist_v3.dss</v>
      </c>
      <c r="K859" s="10" t="s">
        <v>2212</v>
      </c>
      <c r="L859" s="10" t="s">
        <v>2212</v>
      </c>
      <c r="M859" s="10" t="s">
        <v>2224</v>
      </c>
      <c r="N859" s="10" t="s">
        <v>2258</v>
      </c>
      <c r="O859" s="10" t="s">
        <v>5379</v>
      </c>
      <c r="P859" s="39">
        <v>0</v>
      </c>
    </row>
    <row r="860" spans="2:16" ht="18" customHeight="1" x14ac:dyDescent="0.25">
      <c r="B860" s="21" t="s">
        <v>0</v>
      </c>
      <c r="C860" s="22" t="s">
        <v>1974</v>
      </c>
      <c r="D860" s="22" t="s">
        <v>1961</v>
      </c>
      <c r="E860" s="21" t="s">
        <v>2222</v>
      </c>
      <c r="F860" s="23" t="s">
        <v>3</v>
      </c>
      <c r="G860" s="23" t="s">
        <v>4</v>
      </c>
      <c r="H860" s="21" t="str">
        <f t="shared" si="13"/>
        <v>DAY2/VOL-FRACTION</v>
      </c>
      <c r="I860" s="24" t="s">
        <v>2271</v>
      </c>
      <c r="J860" s="10" t="str">
        <f>VLOOKUP(Table1[[#This Row],[UID]],CS3SVComposerConfig!$B$3:$D$1808,3,FALSE)</f>
        <v>DCR2023_SV_Danube_Hist_v3.dss</v>
      </c>
      <c r="K860" s="10" t="s">
        <v>2212</v>
      </c>
      <c r="L860" s="10" t="s">
        <v>2212</v>
      </c>
      <c r="M860" s="10" t="s">
        <v>2224</v>
      </c>
      <c r="N860" s="10" t="s">
        <v>2258</v>
      </c>
      <c r="O860" s="10" t="s">
        <v>5379</v>
      </c>
      <c r="P860" s="39">
        <v>0</v>
      </c>
    </row>
    <row r="861" spans="2:16" ht="18" customHeight="1" x14ac:dyDescent="0.25">
      <c r="B861" s="21" t="s">
        <v>0</v>
      </c>
      <c r="C861" s="22" t="s">
        <v>1975</v>
      </c>
      <c r="D861" s="22" t="s">
        <v>1961</v>
      </c>
      <c r="E861" s="21" t="s">
        <v>2222</v>
      </c>
      <c r="F861" s="23" t="s">
        <v>3</v>
      </c>
      <c r="G861" s="23" t="s">
        <v>4</v>
      </c>
      <c r="H861" s="21" t="str">
        <f t="shared" si="13"/>
        <v>DAY20/VOL-FRACTION</v>
      </c>
      <c r="I861" s="24" t="s">
        <v>2271</v>
      </c>
      <c r="J861" s="10" t="str">
        <f>VLOOKUP(Table1[[#This Row],[UID]],CS3SVComposerConfig!$B$3:$D$1808,3,FALSE)</f>
        <v>DCR2023_SV_Danube_Hist_v3.dss</v>
      </c>
      <c r="K861" s="10" t="s">
        <v>2212</v>
      </c>
      <c r="L861" s="10" t="s">
        <v>2212</v>
      </c>
      <c r="M861" s="10" t="s">
        <v>2224</v>
      </c>
      <c r="N861" s="10" t="s">
        <v>2258</v>
      </c>
      <c r="O861" s="10" t="s">
        <v>5379</v>
      </c>
      <c r="P861" s="39">
        <v>0</v>
      </c>
    </row>
    <row r="862" spans="2:16" ht="18" customHeight="1" x14ac:dyDescent="0.25">
      <c r="B862" s="21" t="s">
        <v>0</v>
      </c>
      <c r="C862" s="22" t="s">
        <v>1976</v>
      </c>
      <c r="D862" s="22" t="s">
        <v>1961</v>
      </c>
      <c r="E862" s="21" t="s">
        <v>2222</v>
      </c>
      <c r="F862" s="23" t="s">
        <v>3</v>
      </c>
      <c r="G862" s="23" t="s">
        <v>4</v>
      </c>
      <c r="H862" s="21" t="str">
        <f t="shared" si="13"/>
        <v>DAY21/VOL-FRACTION</v>
      </c>
      <c r="I862" s="24" t="s">
        <v>2271</v>
      </c>
      <c r="J862" s="10" t="str">
        <f>VLOOKUP(Table1[[#This Row],[UID]],CS3SVComposerConfig!$B$3:$D$1808,3,FALSE)</f>
        <v>DCR2023_SV_Danube_Hist_v3.dss</v>
      </c>
      <c r="K862" s="10" t="s">
        <v>2212</v>
      </c>
      <c r="L862" s="10" t="s">
        <v>2212</v>
      </c>
      <c r="M862" s="10" t="s">
        <v>2224</v>
      </c>
      <c r="N862" s="10" t="s">
        <v>2258</v>
      </c>
      <c r="O862" s="10" t="s">
        <v>5379</v>
      </c>
      <c r="P862" s="39">
        <v>0</v>
      </c>
    </row>
    <row r="863" spans="2:16" ht="18" customHeight="1" x14ac:dyDescent="0.25">
      <c r="B863" s="21" t="s">
        <v>0</v>
      </c>
      <c r="C863" s="22" t="s">
        <v>1977</v>
      </c>
      <c r="D863" s="22" t="s">
        <v>1961</v>
      </c>
      <c r="E863" s="21" t="s">
        <v>2222</v>
      </c>
      <c r="F863" s="23" t="s">
        <v>3</v>
      </c>
      <c r="G863" s="23" t="s">
        <v>4</v>
      </c>
      <c r="H863" s="21" t="str">
        <f t="shared" si="13"/>
        <v>DAY22/VOL-FRACTION</v>
      </c>
      <c r="I863" s="24" t="s">
        <v>2271</v>
      </c>
      <c r="J863" s="10" t="str">
        <f>VLOOKUP(Table1[[#This Row],[UID]],CS3SVComposerConfig!$B$3:$D$1808,3,FALSE)</f>
        <v>DCR2023_SV_Danube_Hist_v3.dss</v>
      </c>
      <c r="K863" s="10" t="s">
        <v>2212</v>
      </c>
      <c r="L863" s="10" t="s">
        <v>2212</v>
      </c>
      <c r="M863" s="10" t="s">
        <v>2224</v>
      </c>
      <c r="N863" s="10" t="s">
        <v>2258</v>
      </c>
      <c r="O863" s="10" t="s">
        <v>5379</v>
      </c>
      <c r="P863" s="39">
        <v>0</v>
      </c>
    </row>
    <row r="864" spans="2:16" ht="18" customHeight="1" x14ac:dyDescent="0.25">
      <c r="B864" s="21" t="s">
        <v>0</v>
      </c>
      <c r="C864" s="22" t="s">
        <v>2033</v>
      </c>
      <c r="D864" s="22" t="s">
        <v>1961</v>
      </c>
      <c r="E864" s="21" t="s">
        <v>2222</v>
      </c>
      <c r="F864" s="23" t="s">
        <v>3</v>
      </c>
      <c r="G864" s="23" t="s">
        <v>4</v>
      </c>
      <c r="H864" s="21" t="str">
        <f t="shared" si="13"/>
        <v>DAY23/VOL-FRACTION</v>
      </c>
      <c r="I864" s="24" t="s">
        <v>2271</v>
      </c>
      <c r="J864" s="10" t="str">
        <f>VLOOKUP(Table1[[#This Row],[UID]],CS3SVComposerConfig!$B$3:$D$1808,3,FALSE)</f>
        <v>DCR2023_SV_Danube_Hist_v3.dss</v>
      </c>
      <c r="K864" s="10" t="s">
        <v>2212</v>
      </c>
      <c r="L864" s="10" t="s">
        <v>2212</v>
      </c>
      <c r="M864" s="10" t="s">
        <v>2224</v>
      </c>
      <c r="N864" s="10" t="s">
        <v>2258</v>
      </c>
      <c r="O864" s="10" t="s">
        <v>5379</v>
      </c>
      <c r="P864" s="39">
        <v>0</v>
      </c>
    </row>
    <row r="865" spans="2:16" ht="18" customHeight="1" x14ac:dyDescent="0.25">
      <c r="B865" s="21" t="s">
        <v>0</v>
      </c>
      <c r="C865" s="22" t="s">
        <v>2034</v>
      </c>
      <c r="D865" s="22" t="s">
        <v>1961</v>
      </c>
      <c r="E865" s="21" t="s">
        <v>2222</v>
      </c>
      <c r="F865" s="23" t="s">
        <v>3</v>
      </c>
      <c r="G865" s="23" t="s">
        <v>4</v>
      </c>
      <c r="H865" s="21" t="str">
        <f t="shared" si="13"/>
        <v>DAY24/VOL-FRACTION</v>
      </c>
      <c r="I865" s="24" t="s">
        <v>2271</v>
      </c>
      <c r="J865" s="10" t="str">
        <f>VLOOKUP(Table1[[#This Row],[UID]],CS3SVComposerConfig!$B$3:$D$1808,3,FALSE)</f>
        <v>DCR2023_SV_Danube_Hist_v3.dss</v>
      </c>
      <c r="K865" s="10" t="s">
        <v>2212</v>
      </c>
      <c r="L865" s="10" t="s">
        <v>2212</v>
      </c>
      <c r="M865" s="10" t="s">
        <v>2224</v>
      </c>
      <c r="N865" s="10" t="s">
        <v>2258</v>
      </c>
      <c r="O865" s="10" t="s">
        <v>5379</v>
      </c>
      <c r="P865" s="39">
        <v>0</v>
      </c>
    </row>
    <row r="866" spans="2:16" ht="18" customHeight="1" x14ac:dyDescent="0.25">
      <c r="B866" s="21" t="s">
        <v>0</v>
      </c>
      <c r="C866" s="22" t="s">
        <v>2035</v>
      </c>
      <c r="D866" s="22" t="s">
        <v>1961</v>
      </c>
      <c r="E866" s="21" t="s">
        <v>2222</v>
      </c>
      <c r="F866" s="23" t="s">
        <v>3</v>
      </c>
      <c r="G866" s="23" t="s">
        <v>4</v>
      </c>
      <c r="H866" s="21" t="str">
        <f t="shared" si="13"/>
        <v>DAY25/VOL-FRACTION</v>
      </c>
      <c r="I866" s="24" t="s">
        <v>2271</v>
      </c>
      <c r="J866" s="10" t="str">
        <f>VLOOKUP(Table1[[#This Row],[UID]],CS3SVComposerConfig!$B$3:$D$1808,3,FALSE)</f>
        <v>DCR2023_SV_Danube_Hist_v3.dss</v>
      </c>
      <c r="K866" s="10" t="s">
        <v>2212</v>
      </c>
      <c r="L866" s="10" t="s">
        <v>2212</v>
      </c>
      <c r="M866" s="10" t="s">
        <v>2224</v>
      </c>
      <c r="N866" s="10" t="s">
        <v>2258</v>
      </c>
      <c r="O866" s="10" t="s">
        <v>5379</v>
      </c>
      <c r="P866" s="39">
        <v>0</v>
      </c>
    </row>
    <row r="867" spans="2:16" ht="18" customHeight="1" x14ac:dyDescent="0.25">
      <c r="B867" s="21" t="s">
        <v>0</v>
      </c>
      <c r="C867" s="22" t="s">
        <v>2036</v>
      </c>
      <c r="D867" s="22" t="s">
        <v>1961</v>
      </c>
      <c r="E867" s="21" t="s">
        <v>2222</v>
      </c>
      <c r="F867" s="23" t="s">
        <v>3</v>
      </c>
      <c r="G867" s="23" t="s">
        <v>4</v>
      </c>
      <c r="H867" s="21" t="str">
        <f t="shared" si="13"/>
        <v>DAY26/VOL-FRACTION</v>
      </c>
      <c r="I867" s="24" t="s">
        <v>2271</v>
      </c>
      <c r="J867" s="10" t="str">
        <f>VLOOKUP(Table1[[#This Row],[UID]],CS3SVComposerConfig!$B$3:$D$1808,3,FALSE)</f>
        <v>DCR2023_SV_Danube_Hist_v3.dss</v>
      </c>
      <c r="K867" s="10" t="s">
        <v>2212</v>
      </c>
      <c r="L867" s="10" t="s">
        <v>2212</v>
      </c>
      <c r="M867" s="10" t="s">
        <v>2224</v>
      </c>
      <c r="N867" s="10" t="s">
        <v>2258</v>
      </c>
      <c r="O867" s="10" t="s">
        <v>5379</v>
      </c>
      <c r="P867" s="39">
        <v>0</v>
      </c>
    </row>
    <row r="868" spans="2:16" ht="18" customHeight="1" x14ac:dyDescent="0.25">
      <c r="B868" s="21" t="s">
        <v>0</v>
      </c>
      <c r="C868" s="22" t="s">
        <v>2037</v>
      </c>
      <c r="D868" s="22" t="s">
        <v>1961</v>
      </c>
      <c r="E868" s="21" t="s">
        <v>2222</v>
      </c>
      <c r="F868" s="23" t="s">
        <v>3</v>
      </c>
      <c r="G868" s="23" t="s">
        <v>4</v>
      </c>
      <c r="H868" s="21" t="str">
        <f t="shared" si="13"/>
        <v>DAY27/VOL-FRACTION</v>
      </c>
      <c r="I868" s="24" t="s">
        <v>2271</v>
      </c>
      <c r="J868" s="10" t="str">
        <f>VLOOKUP(Table1[[#This Row],[UID]],CS3SVComposerConfig!$B$3:$D$1808,3,FALSE)</f>
        <v>DCR2023_SV_Danube_Hist_v3.dss</v>
      </c>
      <c r="K868" s="10" t="s">
        <v>2212</v>
      </c>
      <c r="L868" s="10" t="s">
        <v>2212</v>
      </c>
      <c r="M868" s="10" t="s">
        <v>2224</v>
      </c>
      <c r="N868" s="10" t="s">
        <v>2258</v>
      </c>
      <c r="O868" s="10" t="s">
        <v>5379</v>
      </c>
      <c r="P868" s="39">
        <v>0</v>
      </c>
    </row>
    <row r="869" spans="2:16" ht="18" customHeight="1" x14ac:dyDescent="0.25">
      <c r="B869" s="21" t="s">
        <v>0</v>
      </c>
      <c r="C869" s="22" t="s">
        <v>2193</v>
      </c>
      <c r="D869" s="22" t="s">
        <v>1961</v>
      </c>
      <c r="E869" s="21" t="s">
        <v>2222</v>
      </c>
      <c r="F869" s="23" t="s">
        <v>3</v>
      </c>
      <c r="G869" s="23" t="s">
        <v>4</v>
      </c>
      <c r="H869" s="21" t="str">
        <f t="shared" si="13"/>
        <v>DAY28/VOL-FRACTION</v>
      </c>
      <c r="I869" s="24" t="s">
        <v>2271</v>
      </c>
      <c r="J869" s="10" t="str">
        <f>VLOOKUP(Table1[[#This Row],[UID]],CS3SVComposerConfig!$B$3:$D$1808,3,FALSE)</f>
        <v>DCR2023_SV_Danube_Hist_v3.dss</v>
      </c>
      <c r="K869" s="10" t="s">
        <v>2212</v>
      </c>
      <c r="L869" s="10" t="s">
        <v>2212</v>
      </c>
      <c r="M869" s="10" t="s">
        <v>2224</v>
      </c>
      <c r="N869" s="10" t="s">
        <v>2258</v>
      </c>
      <c r="O869" s="10" t="s">
        <v>5379</v>
      </c>
      <c r="P869" s="39">
        <v>0</v>
      </c>
    </row>
    <row r="870" spans="2:16" ht="18" customHeight="1" x14ac:dyDescent="0.25">
      <c r="B870" s="21" t="s">
        <v>0</v>
      </c>
      <c r="C870" s="22" t="s">
        <v>2194</v>
      </c>
      <c r="D870" s="22" t="s">
        <v>1961</v>
      </c>
      <c r="E870" s="21" t="s">
        <v>2222</v>
      </c>
      <c r="F870" s="23" t="s">
        <v>3</v>
      </c>
      <c r="G870" s="23" t="s">
        <v>4</v>
      </c>
      <c r="H870" s="21" t="str">
        <f t="shared" si="13"/>
        <v>DAY29/VOL-FRACTION</v>
      </c>
      <c r="I870" s="24" t="s">
        <v>2271</v>
      </c>
      <c r="J870" s="10" t="str">
        <f>VLOOKUP(Table1[[#This Row],[UID]],CS3SVComposerConfig!$B$3:$D$1808,3,FALSE)</f>
        <v>DCR2023_SV_Danube_Hist_v3.dss</v>
      </c>
      <c r="K870" s="10" t="s">
        <v>2212</v>
      </c>
      <c r="L870" s="10" t="s">
        <v>2212</v>
      </c>
      <c r="M870" s="10" t="s">
        <v>2224</v>
      </c>
      <c r="N870" s="10" t="s">
        <v>2258</v>
      </c>
      <c r="O870" s="10" t="s">
        <v>5379</v>
      </c>
      <c r="P870" s="39">
        <v>0</v>
      </c>
    </row>
    <row r="871" spans="2:16" ht="18" customHeight="1" x14ac:dyDescent="0.25">
      <c r="B871" s="21" t="s">
        <v>0</v>
      </c>
      <c r="C871" s="22" t="s">
        <v>2195</v>
      </c>
      <c r="D871" s="22" t="s">
        <v>1961</v>
      </c>
      <c r="E871" s="21" t="s">
        <v>2222</v>
      </c>
      <c r="F871" s="23" t="s">
        <v>3</v>
      </c>
      <c r="G871" s="23" t="s">
        <v>4</v>
      </c>
      <c r="H871" s="21" t="str">
        <f t="shared" si="13"/>
        <v>DAY3/VOL-FRACTION</v>
      </c>
      <c r="I871" s="24" t="s">
        <v>2271</v>
      </c>
      <c r="J871" s="10" t="str">
        <f>VLOOKUP(Table1[[#This Row],[UID]],CS3SVComposerConfig!$B$3:$D$1808,3,FALSE)</f>
        <v>DCR2023_SV_Danube_Hist_v3.dss</v>
      </c>
      <c r="K871" s="10" t="s">
        <v>2212</v>
      </c>
      <c r="L871" s="10" t="s">
        <v>2212</v>
      </c>
      <c r="M871" s="10" t="s">
        <v>2224</v>
      </c>
      <c r="N871" s="10" t="s">
        <v>2258</v>
      </c>
      <c r="O871" s="10" t="s">
        <v>5379</v>
      </c>
      <c r="P871" s="39">
        <v>0</v>
      </c>
    </row>
    <row r="872" spans="2:16" ht="18" customHeight="1" x14ac:dyDescent="0.25">
      <c r="B872" s="21" t="s">
        <v>0</v>
      </c>
      <c r="C872" s="22" t="s">
        <v>2196</v>
      </c>
      <c r="D872" s="22" t="s">
        <v>1961</v>
      </c>
      <c r="E872" s="21" t="s">
        <v>2222</v>
      </c>
      <c r="F872" s="23" t="s">
        <v>3</v>
      </c>
      <c r="G872" s="23" t="s">
        <v>4</v>
      </c>
      <c r="H872" s="21" t="str">
        <f t="shared" si="13"/>
        <v>DAY30/VOL-FRACTION</v>
      </c>
      <c r="I872" s="24" t="s">
        <v>2271</v>
      </c>
      <c r="J872" s="10" t="str">
        <f>VLOOKUP(Table1[[#This Row],[UID]],CS3SVComposerConfig!$B$3:$D$1808,3,FALSE)</f>
        <v>DCR2023_SV_Danube_Hist_v3.dss</v>
      </c>
      <c r="K872" s="10" t="s">
        <v>2212</v>
      </c>
      <c r="L872" s="10" t="s">
        <v>2212</v>
      </c>
      <c r="M872" s="10" t="s">
        <v>2224</v>
      </c>
      <c r="N872" s="10" t="s">
        <v>2258</v>
      </c>
      <c r="O872" s="10" t="s">
        <v>5379</v>
      </c>
      <c r="P872" s="39">
        <v>0</v>
      </c>
    </row>
    <row r="873" spans="2:16" ht="18" customHeight="1" x14ac:dyDescent="0.25">
      <c r="B873" s="21" t="s">
        <v>0</v>
      </c>
      <c r="C873" s="22" t="s">
        <v>2197</v>
      </c>
      <c r="D873" s="22" t="s">
        <v>1961</v>
      </c>
      <c r="E873" s="21" t="s">
        <v>2222</v>
      </c>
      <c r="F873" s="23" t="s">
        <v>3</v>
      </c>
      <c r="G873" s="23" t="s">
        <v>4</v>
      </c>
      <c r="H873" s="21" t="str">
        <f t="shared" si="13"/>
        <v>DAY31/VOL-FRACTION</v>
      </c>
      <c r="I873" s="24" t="s">
        <v>2271</v>
      </c>
      <c r="J873" s="10" t="str">
        <f>VLOOKUP(Table1[[#This Row],[UID]],CS3SVComposerConfig!$B$3:$D$1808,3,FALSE)</f>
        <v>DCR2023_SV_Danube_Hist_v3.dss</v>
      </c>
      <c r="K873" s="10" t="s">
        <v>2212</v>
      </c>
      <c r="L873" s="10" t="s">
        <v>2212</v>
      </c>
      <c r="M873" s="10" t="s">
        <v>2224</v>
      </c>
      <c r="N873" s="10" t="s">
        <v>2258</v>
      </c>
      <c r="O873" s="10" t="s">
        <v>5379</v>
      </c>
      <c r="P873" s="39">
        <v>0</v>
      </c>
    </row>
    <row r="874" spans="2:16" ht="18" customHeight="1" x14ac:dyDescent="0.25">
      <c r="B874" s="21" t="s">
        <v>0</v>
      </c>
      <c r="C874" s="22" t="s">
        <v>2198</v>
      </c>
      <c r="D874" s="22" t="s">
        <v>1961</v>
      </c>
      <c r="E874" s="21" t="s">
        <v>2222</v>
      </c>
      <c r="F874" s="23" t="s">
        <v>3</v>
      </c>
      <c r="G874" s="23" t="s">
        <v>4</v>
      </c>
      <c r="H874" s="21" t="str">
        <f t="shared" si="13"/>
        <v>DAY4/VOL-FRACTION</v>
      </c>
      <c r="I874" s="24" t="s">
        <v>2271</v>
      </c>
      <c r="J874" s="10" t="str">
        <f>VLOOKUP(Table1[[#This Row],[UID]],CS3SVComposerConfig!$B$3:$D$1808,3,FALSE)</f>
        <v>DCR2023_SV_Danube_Hist_v3.dss</v>
      </c>
      <c r="K874" s="10" t="s">
        <v>2212</v>
      </c>
      <c r="L874" s="10" t="s">
        <v>2212</v>
      </c>
      <c r="M874" s="10" t="s">
        <v>2224</v>
      </c>
      <c r="N874" s="10" t="s">
        <v>2258</v>
      </c>
      <c r="O874" s="10" t="s">
        <v>5379</v>
      </c>
      <c r="P874" s="39">
        <v>0</v>
      </c>
    </row>
    <row r="875" spans="2:16" ht="18" customHeight="1" x14ac:dyDescent="0.25">
      <c r="B875" s="21" t="s">
        <v>0</v>
      </c>
      <c r="C875" s="22" t="s">
        <v>2199</v>
      </c>
      <c r="D875" s="22" t="s">
        <v>1961</v>
      </c>
      <c r="E875" s="21" t="s">
        <v>2222</v>
      </c>
      <c r="F875" s="23" t="s">
        <v>3</v>
      </c>
      <c r="G875" s="23" t="s">
        <v>4</v>
      </c>
      <c r="H875" s="21" t="str">
        <f t="shared" si="13"/>
        <v>DAY5/VOL-FRACTION</v>
      </c>
      <c r="I875" s="24" t="s">
        <v>2271</v>
      </c>
      <c r="J875" s="10" t="str">
        <f>VLOOKUP(Table1[[#This Row],[UID]],CS3SVComposerConfig!$B$3:$D$1808,3,FALSE)</f>
        <v>DCR2023_SV_Danube_Hist_v3.dss</v>
      </c>
      <c r="K875" s="10" t="s">
        <v>2212</v>
      </c>
      <c r="L875" s="10" t="s">
        <v>2212</v>
      </c>
      <c r="M875" s="10" t="s">
        <v>2224</v>
      </c>
      <c r="N875" s="10" t="s">
        <v>2258</v>
      </c>
      <c r="O875" s="10" t="s">
        <v>5379</v>
      </c>
      <c r="P875" s="39">
        <v>0</v>
      </c>
    </row>
    <row r="876" spans="2:16" ht="18" customHeight="1" x14ac:dyDescent="0.25">
      <c r="B876" s="21" t="s">
        <v>0</v>
      </c>
      <c r="C876" s="22" t="s">
        <v>2200</v>
      </c>
      <c r="D876" s="22" t="s">
        <v>1961</v>
      </c>
      <c r="E876" s="21" t="s">
        <v>2222</v>
      </c>
      <c r="F876" s="23" t="s">
        <v>3</v>
      </c>
      <c r="G876" s="23" t="s">
        <v>4</v>
      </c>
      <c r="H876" s="21" t="str">
        <f t="shared" si="13"/>
        <v>DAY6/VOL-FRACTION</v>
      </c>
      <c r="I876" s="24" t="s">
        <v>2271</v>
      </c>
      <c r="J876" s="10" t="str">
        <f>VLOOKUP(Table1[[#This Row],[UID]],CS3SVComposerConfig!$B$3:$D$1808,3,FALSE)</f>
        <v>DCR2023_SV_Danube_Hist_v3.dss</v>
      </c>
      <c r="K876" s="10" t="s">
        <v>2212</v>
      </c>
      <c r="L876" s="10" t="s">
        <v>2212</v>
      </c>
      <c r="M876" s="10" t="s">
        <v>2224</v>
      </c>
      <c r="N876" s="10" t="s">
        <v>2258</v>
      </c>
      <c r="O876" s="10" t="s">
        <v>5379</v>
      </c>
      <c r="P876" s="39">
        <v>0</v>
      </c>
    </row>
    <row r="877" spans="2:16" ht="18" customHeight="1" x14ac:dyDescent="0.25">
      <c r="B877" s="21" t="s">
        <v>0</v>
      </c>
      <c r="C877" s="22" t="s">
        <v>2201</v>
      </c>
      <c r="D877" s="22" t="s">
        <v>1961</v>
      </c>
      <c r="E877" s="21" t="s">
        <v>2222</v>
      </c>
      <c r="F877" s="23" t="s">
        <v>3</v>
      </c>
      <c r="G877" s="23" t="s">
        <v>4</v>
      </c>
      <c r="H877" s="21" t="str">
        <f t="shared" si="13"/>
        <v>DAY7/VOL-FRACTION</v>
      </c>
      <c r="I877" s="24" t="s">
        <v>2271</v>
      </c>
      <c r="J877" s="10" t="str">
        <f>VLOOKUP(Table1[[#This Row],[UID]],CS3SVComposerConfig!$B$3:$D$1808,3,FALSE)</f>
        <v>DCR2023_SV_Danube_Hist_v3.dss</v>
      </c>
      <c r="K877" s="10" t="s">
        <v>2212</v>
      </c>
      <c r="L877" s="10" t="s">
        <v>2212</v>
      </c>
      <c r="M877" s="10" t="s">
        <v>2224</v>
      </c>
      <c r="N877" s="10" t="s">
        <v>2258</v>
      </c>
      <c r="O877" s="10" t="s">
        <v>5379</v>
      </c>
      <c r="P877" s="39">
        <v>0</v>
      </c>
    </row>
    <row r="878" spans="2:16" ht="18" customHeight="1" x14ac:dyDescent="0.25">
      <c r="B878" s="21" t="s">
        <v>0</v>
      </c>
      <c r="C878" s="22" t="s">
        <v>2202</v>
      </c>
      <c r="D878" s="22" t="s">
        <v>1961</v>
      </c>
      <c r="E878" s="21" t="s">
        <v>2222</v>
      </c>
      <c r="F878" s="23" t="s">
        <v>3</v>
      </c>
      <c r="G878" s="23" t="s">
        <v>4</v>
      </c>
      <c r="H878" s="21" t="str">
        <f t="shared" si="13"/>
        <v>DAY8/VOL-FRACTION</v>
      </c>
      <c r="I878" s="24" t="s">
        <v>2271</v>
      </c>
      <c r="J878" s="10" t="str">
        <f>VLOOKUP(Table1[[#This Row],[UID]],CS3SVComposerConfig!$B$3:$D$1808,3,FALSE)</f>
        <v>DCR2023_SV_Danube_Hist_v3.dss</v>
      </c>
      <c r="K878" s="10" t="s">
        <v>2212</v>
      </c>
      <c r="L878" s="10" t="s">
        <v>2212</v>
      </c>
      <c r="M878" s="10" t="s">
        <v>2224</v>
      </c>
      <c r="N878" s="10" t="s">
        <v>2258</v>
      </c>
      <c r="O878" s="10" t="s">
        <v>5379</v>
      </c>
      <c r="P878" s="39">
        <v>0</v>
      </c>
    </row>
    <row r="879" spans="2:16" ht="18" customHeight="1" x14ac:dyDescent="0.25">
      <c r="B879" s="21" t="s">
        <v>0</v>
      </c>
      <c r="C879" s="22" t="s">
        <v>2203</v>
      </c>
      <c r="D879" s="22" t="s">
        <v>1961</v>
      </c>
      <c r="E879" s="21" t="s">
        <v>2222</v>
      </c>
      <c r="F879" s="23" t="s">
        <v>3</v>
      </c>
      <c r="G879" s="23" t="s">
        <v>4</v>
      </c>
      <c r="H879" s="21" t="str">
        <f t="shared" si="13"/>
        <v>DAY9/VOL-FRACTION</v>
      </c>
      <c r="I879" s="24" t="s">
        <v>2271</v>
      </c>
      <c r="J879" s="10" t="str">
        <f>VLOOKUP(Table1[[#This Row],[UID]],CS3SVComposerConfig!$B$3:$D$1808,3,FALSE)</f>
        <v>DCR2023_SV_Danube_Hist_v3.dss</v>
      </c>
      <c r="K879" s="10" t="s">
        <v>2212</v>
      </c>
      <c r="L879" s="10" t="s">
        <v>2212</v>
      </c>
      <c r="M879" s="10" t="s">
        <v>2224</v>
      </c>
      <c r="N879" s="10" t="s">
        <v>2258</v>
      </c>
      <c r="O879" s="10" t="s">
        <v>5379</v>
      </c>
      <c r="P879" s="39">
        <v>0</v>
      </c>
    </row>
    <row r="880" spans="2:16" ht="18" customHeight="1" x14ac:dyDescent="0.25">
      <c r="B880" s="21" t="s">
        <v>0</v>
      </c>
      <c r="C880" s="22" t="s">
        <v>1831</v>
      </c>
      <c r="D880" s="22" t="s">
        <v>62</v>
      </c>
      <c r="E880" s="21" t="s">
        <v>2222</v>
      </c>
      <c r="F880" s="23" t="s">
        <v>3</v>
      </c>
      <c r="G880" s="23" t="s">
        <v>4</v>
      </c>
      <c r="H880" s="21" t="str">
        <f t="shared" si="13"/>
        <v>DP_DELTA_DCD/DP-FLOW</v>
      </c>
      <c r="I880" s="24" t="s">
        <v>2272</v>
      </c>
      <c r="J880" s="10" t="str">
        <f>VLOOKUP(Table1[[#This Row],[UID]],CS3SVComposerConfig!$B$3:$D$1808,3,FALSE)</f>
        <v>DCD_island_month.dss</v>
      </c>
      <c r="K880" s="10" t="s">
        <v>2212</v>
      </c>
      <c r="L880" s="10" t="s">
        <v>2212</v>
      </c>
      <c r="M880" s="10" t="s">
        <v>2224</v>
      </c>
      <c r="N880" s="10" t="s">
        <v>2225</v>
      </c>
      <c r="O880" s="10" t="s">
        <v>2226</v>
      </c>
      <c r="P880" s="39" t="s">
        <v>2227</v>
      </c>
    </row>
    <row r="881" spans="2:16" ht="18" customHeight="1" x14ac:dyDescent="0.25">
      <c r="B881" s="21" t="s">
        <v>0</v>
      </c>
      <c r="C881" s="22" t="s">
        <v>61</v>
      </c>
      <c r="D881" s="22" t="s">
        <v>62</v>
      </c>
      <c r="E881" s="21" t="s">
        <v>2222</v>
      </c>
      <c r="F881" s="23" t="s">
        <v>3</v>
      </c>
      <c r="G881" s="23" t="s">
        <v>4</v>
      </c>
      <c r="H881" s="21" t="str">
        <f t="shared" si="13"/>
        <v>DP_WBA50_DCD/DP-FLOW</v>
      </c>
      <c r="I881" s="24" t="s">
        <v>2272</v>
      </c>
      <c r="J881" s="10" t="str">
        <f>VLOOKUP(Table1[[#This Row],[UID]],CS3SVComposerConfig!$B$3:$D$1808,3,FALSE)</f>
        <v>DCD_island_month.dss</v>
      </c>
      <c r="K881" s="10" t="s">
        <v>2212</v>
      </c>
      <c r="L881" s="10" t="s">
        <v>2212</v>
      </c>
      <c r="M881" s="10" t="s">
        <v>2224</v>
      </c>
      <c r="N881" s="10" t="s">
        <v>2225</v>
      </c>
      <c r="O881" s="10" t="s">
        <v>2226</v>
      </c>
      <c r="P881" s="39" t="s">
        <v>2227</v>
      </c>
    </row>
    <row r="882" spans="2:16" ht="18" customHeight="1" x14ac:dyDescent="0.25">
      <c r="B882" s="21" t="s">
        <v>0</v>
      </c>
      <c r="C882" s="22" t="s">
        <v>1834</v>
      </c>
      <c r="D882" s="22" t="s">
        <v>1835</v>
      </c>
      <c r="E882" s="21" t="s">
        <v>2222</v>
      </c>
      <c r="F882" s="23" t="s">
        <v>3</v>
      </c>
      <c r="G882" s="23" t="s">
        <v>4</v>
      </c>
      <c r="H882" s="21" t="str">
        <f t="shared" si="13"/>
        <v>DRN_50_PA2/DRN</v>
      </c>
      <c r="I882" s="24" t="s">
        <v>2272</v>
      </c>
      <c r="J882" s="10" t="str">
        <f>VLOOKUP(Table1[[#This Row],[UID]],CS3SVComposerConfig!$B$3:$D$1808,3,FALSE)</f>
        <v>DCD_island_month.dss</v>
      </c>
      <c r="K882" s="10" t="s">
        <v>2212</v>
      </c>
      <c r="L882" s="10" t="s">
        <v>2212</v>
      </c>
      <c r="M882" s="10" t="s">
        <v>2224</v>
      </c>
      <c r="N882" s="10" t="s">
        <v>2225</v>
      </c>
      <c r="O882" s="10" t="s">
        <v>2226</v>
      </c>
      <c r="P882" s="39" t="s">
        <v>2227</v>
      </c>
    </row>
    <row r="883" spans="2:16" ht="18" customHeight="1" x14ac:dyDescent="0.25">
      <c r="B883" s="21" t="s">
        <v>0</v>
      </c>
      <c r="C883" s="22" t="s">
        <v>1836</v>
      </c>
      <c r="D883" s="22" t="s">
        <v>1835</v>
      </c>
      <c r="E883" s="21" t="s">
        <v>2222</v>
      </c>
      <c r="F883" s="23" t="s">
        <v>3</v>
      </c>
      <c r="G883" s="23" t="s">
        <v>4</v>
      </c>
      <c r="H883" s="21" t="str">
        <f t="shared" si="13"/>
        <v>DRN_MOK/DRN</v>
      </c>
      <c r="I883" s="24" t="s">
        <v>2272</v>
      </c>
      <c r="J883" s="10" t="str">
        <f>VLOOKUP(Table1[[#This Row],[UID]],CS3SVComposerConfig!$B$3:$D$1808,3,FALSE)</f>
        <v>DCD_island_month.dss</v>
      </c>
      <c r="K883" s="10" t="s">
        <v>2212</v>
      </c>
      <c r="L883" s="10" t="s">
        <v>2212</v>
      </c>
      <c r="M883" s="10" t="s">
        <v>2224</v>
      </c>
      <c r="N883" s="10" t="s">
        <v>2225</v>
      </c>
      <c r="O883" s="10" t="s">
        <v>2226</v>
      </c>
      <c r="P883" s="39" t="s">
        <v>2227</v>
      </c>
    </row>
    <row r="884" spans="2:16" ht="18" customHeight="1" x14ac:dyDescent="0.25">
      <c r="B884" s="21" t="s">
        <v>0</v>
      </c>
      <c r="C884" s="22" t="s">
        <v>1837</v>
      </c>
      <c r="D884" s="22" t="s">
        <v>1835</v>
      </c>
      <c r="E884" s="21" t="s">
        <v>2222</v>
      </c>
      <c r="F884" s="23" t="s">
        <v>3</v>
      </c>
      <c r="G884" s="23" t="s">
        <v>4</v>
      </c>
      <c r="H884" s="21" t="str">
        <f t="shared" si="13"/>
        <v>DRN_OMR/DRN</v>
      </c>
      <c r="I884" s="24" t="s">
        <v>2272</v>
      </c>
      <c r="J884" s="10" t="str">
        <f>VLOOKUP(Table1[[#This Row],[UID]],CS3SVComposerConfig!$B$3:$D$1808,3,FALSE)</f>
        <v>DCD_island_month.dss</v>
      </c>
      <c r="K884" s="10" t="s">
        <v>2212</v>
      </c>
      <c r="L884" s="10" t="s">
        <v>2212</v>
      </c>
      <c r="M884" s="10" t="s">
        <v>2224</v>
      </c>
      <c r="N884" s="10" t="s">
        <v>2225</v>
      </c>
      <c r="O884" s="10" t="s">
        <v>2226</v>
      </c>
      <c r="P884" s="39" t="s">
        <v>2227</v>
      </c>
    </row>
    <row r="885" spans="2:16" ht="18" customHeight="1" x14ac:dyDescent="0.25">
      <c r="B885" s="21" t="s">
        <v>0</v>
      </c>
      <c r="C885" s="22" t="s">
        <v>1838</v>
      </c>
      <c r="D885" s="22" t="s">
        <v>1835</v>
      </c>
      <c r="E885" s="21" t="s">
        <v>2222</v>
      </c>
      <c r="F885" s="23" t="s">
        <v>3</v>
      </c>
      <c r="G885" s="23" t="s">
        <v>4</v>
      </c>
      <c r="H885" s="21" t="str">
        <f t="shared" si="13"/>
        <v>DRN_SAC_NORTH/DRN</v>
      </c>
      <c r="I885" s="24" t="s">
        <v>2272</v>
      </c>
      <c r="J885" s="10" t="str">
        <f>VLOOKUP(Table1[[#This Row],[UID]],CS3SVComposerConfig!$B$3:$D$1808,3,FALSE)</f>
        <v>DCD_island_month.dss</v>
      </c>
      <c r="K885" s="10" t="s">
        <v>2212</v>
      </c>
      <c r="L885" s="10" t="s">
        <v>2212</v>
      </c>
      <c r="M885" s="10" t="s">
        <v>2224</v>
      </c>
      <c r="N885" s="10" t="s">
        <v>2225</v>
      </c>
      <c r="O885" s="10" t="s">
        <v>2226</v>
      </c>
      <c r="P885" s="39" t="s">
        <v>2227</v>
      </c>
    </row>
    <row r="886" spans="2:16" ht="18" customHeight="1" x14ac:dyDescent="0.25">
      <c r="B886" s="21" t="s">
        <v>0</v>
      </c>
      <c r="C886" s="22" t="s">
        <v>1839</v>
      </c>
      <c r="D886" s="22" t="s">
        <v>1835</v>
      </c>
      <c r="E886" s="21" t="s">
        <v>2222</v>
      </c>
      <c r="F886" s="23" t="s">
        <v>3</v>
      </c>
      <c r="G886" s="23" t="s">
        <v>4</v>
      </c>
      <c r="H886" s="21" t="str">
        <f t="shared" si="13"/>
        <v>DRN_SAC_SOUTH/DRN</v>
      </c>
      <c r="I886" s="24" t="s">
        <v>2272</v>
      </c>
      <c r="J886" s="10" t="str">
        <f>VLOOKUP(Table1[[#This Row],[UID]],CS3SVComposerConfig!$B$3:$D$1808,3,FALSE)</f>
        <v>DCD_island_month.dss</v>
      </c>
      <c r="K886" s="10" t="s">
        <v>2212</v>
      </c>
      <c r="L886" s="10" t="s">
        <v>2212</v>
      </c>
      <c r="M886" s="10" t="s">
        <v>2224</v>
      </c>
      <c r="N886" s="10" t="s">
        <v>2225</v>
      </c>
      <c r="O886" s="10" t="s">
        <v>2226</v>
      </c>
      <c r="P886" s="39" t="s">
        <v>2227</v>
      </c>
    </row>
    <row r="887" spans="2:16" ht="18" customHeight="1" x14ac:dyDescent="0.25">
      <c r="B887" s="21" t="s">
        <v>0</v>
      </c>
      <c r="C887" s="22" t="s">
        <v>1840</v>
      </c>
      <c r="D887" s="22" t="s">
        <v>1835</v>
      </c>
      <c r="E887" s="21" t="s">
        <v>2222</v>
      </c>
      <c r="F887" s="23" t="s">
        <v>3</v>
      </c>
      <c r="G887" s="23" t="s">
        <v>4</v>
      </c>
      <c r="H887" s="21" t="str">
        <f t="shared" si="13"/>
        <v>DRN_SAC_WEST/DRN</v>
      </c>
      <c r="I887" s="24" t="s">
        <v>2272</v>
      </c>
      <c r="J887" s="10" t="str">
        <f>VLOOKUP(Table1[[#This Row],[UID]],CS3SVComposerConfig!$B$3:$D$1808,3,FALSE)</f>
        <v>DCD_island_month.dss</v>
      </c>
      <c r="K887" s="10" t="s">
        <v>2212</v>
      </c>
      <c r="L887" s="10" t="s">
        <v>2212</v>
      </c>
      <c r="M887" s="10" t="s">
        <v>2224</v>
      </c>
      <c r="N887" s="10" t="s">
        <v>2225</v>
      </c>
      <c r="O887" s="10" t="s">
        <v>2226</v>
      </c>
      <c r="P887" s="39" t="s">
        <v>2227</v>
      </c>
    </row>
    <row r="888" spans="2:16" ht="18" customHeight="1" x14ac:dyDescent="0.25">
      <c r="B888" s="21" t="s">
        <v>0</v>
      </c>
      <c r="C888" s="22" t="s">
        <v>1841</v>
      </c>
      <c r="D888" s="22" t="s">
        <v>1835</v>
      </c>
      <c r="E888" s="21" t="s">
        <v>2222</v>
      </c>
      <c r="F888" s="23" t="s">
        <v>3</v>
      </c>
      <c r="G888" s="23" t="s">
        <v>4</v>
      </c>
      <c r="H888" s="21" t="str">
        <f t="shared" si="13"/>
        <v>DRN_SJR_EAST/DRN</v>
      </c>
      <c r="I888" s="24" t="s">
        <v>2272</v>
      </c>
      <c r="J888" s="10" t="str">
        <f>VLOOKUP(Table1[[#This Row],[UID]],CS3SVComposerConfig!$B$3:$D$1808,3,FALSE)</f>
        <v>DCD_island_month.dss</v>
      </c>
      <c r="K888" s="10" t="s">
        <v>2212</v>
      </c>
      <c r="L888" s="10" t="s">
        <v>2212</v>
      </c>
      <c r="M888" s="10" t="s">
        <v>2224</v>
      </c>
      <c r="N888" s="10" t="s">
        <v>2225</v>
      </c>
      <c r="O888" s="10" t="s">
        <v>2226</v>
      </c>
      <c r="P888" s="39" t="s">
        <v>2227</v>
      </c>
    </row>
    <row r="889" spans="2:16" ht="18" customHeight="1" x14ac:dyDescent="0.25">
      <c r="B889" s="21" t="s">
        <v>0</v>
      </c>
      <c r="C889" s="22" t="s">
        <v>1842</v>
      </c>
      <c r="D889" s="22" t="s">
        <v>1835</v>
      </c>
      <c r="E889" s="21" t="s">
        <v>2222</v>
      </c>
      <c r="F889" s="23" t="s">
        <v>3</v>
      </c>
      <c r="G889" s="23" t="s">
        <v>4</v>
      </c>
      <c r="H889" s="21" t="str">
        <f t="shared" si="13"/>
        <v>DRN_SJR_WEST/DRN</v>
      </c>
      <c r="I889" s="24" t="s">
        <v>2272</v>
      </c>
      <c r="J889" s="10" t="str">
        <f>VLOOKUP(Table1[[#This Row],[UID]],CS3SVComposerConfig!$B$3:$D$1808,3,FALSE)</f>
        <v>DCD_island_month.dss</v>
      </c>
      <c r="K889" s="10" t="s">
        <v>2212</v>
      </c>
      <c r="L889" s="10" t="s">
        <v>2212</v>
      </c>
      <c r="M889" s="10" t="s">
        <v>2224</v>
      </c>
      <c r="N889" s="10" t="s">
        <v>2225</v>
      </c>
      <c r="O889" s="10" t="s">
        <v>2226</v>
      </c>
      <c r="P889" s="39" t="s">
        <v>2227</v>
      </c>
    </row>
    <row r="890" spans="2:16" ht="18" customHeight="1" x14ac:dyDescent="0.25">
      <c r="B890" s="21" t="s">
        <v>0</v>
      </c>
      <c r="C890" s="22" t="s">
        <v>1843</v>
      </c>
      <c r="D890" s="22" t="s">
        <v>1844</v>
      </c>
      <c r="E890" s="21" t="s">
        <v>2222</v>
      </c>
      <c r="F890" s="23" t="s">
        <v>3</v>
      </c>
      <c r="G890" s="23" t="s">
        <v>4</v>
      </c>
      <c r="H890" s="21" t="str">
        <f t="shared" si="13"/>
        <v>GW_DELTA_DCD/GW-FLOW</v>
      </c>
      <c r="I890" s="24" t="s">
        <v>2272</v>
      </c>
      <c r="J890" s="10" t="str">
        <f>VLOOKUP(Table1[[#This Row],[UID]],CS3SVComposerConfig!$B$3:$D$1808,3,FALSE)</f>
        <v>DCD_island_month.dss</v>
      </c>
      <c r="K890" s="10" t="s">
        <v>2212</v>
      </c>
      <c r="L890" s="10" t="s">
        <v>2212</v>
      </c>
      <c r="M890" s="10" t="s">
        <v>2224</v>
      </c>
      <c r="N890" s="10" t="s">
        <v>2225</v>
      </c>
      <c r="O890" s="10" t="s">
        <v>2226</v>
      </c>
      <c r="P890" s="39" t="s">
        <v>2227</v>
      </c>
    </row>
    <row r="891" spans="2:16" ht="18" customHeight="1" x14ac:dyDescent="0.25">
      <c r="B891" s="21" t="s">
        <v>0</v>
      </c>
      <c r="C891" s="22" t="s">
        <v>1845</v>
      </c>
      <c r="D891" s="22" t="s">
        <v>1844</v>
      </c>
      <c r="E891" s="21" t="s">
        <v>2222</v>
      </c>
      <c r="F891" s="23" t="s">
        <v>3</v>
      </c>
      <c r="G891" s="23" t="s">
        <v>4</v>
      </c>
      <c r="H891" s="21" t="str">
        <f t="shared" si="13"/>
        <v>GW_WBA50_DCD/GW-FLOW</v>
      </c>
      <c r="I891" s="24" t="s">
        <v>2272</v>
      </c>
      <c r="J891" s="10" t="str">
        <f>VLOOKUP(Table1[[#This Row],[UID]],CS3SVComposerConfig!$B$3:$D$1808,3,FALSE)</f>
        <v>DCD_island_month.dss</v>
      </c>
      <c r="K891" s="10" t="s">
        <v>2212</v>
      </c>
      <c r="L891" s="10" t="s">
        <v>2212</v>
      </c>
      <c r="M891" s="10" t="s">
        <v>2224</v>
      </c>
      <c r="N891" s="10" t="s">
        <v>2225</v>
      </c>
      <c r="O891" s="10" t="s">
        <v>2226</v>
      </c>
      <c r="P891" s="39" t="s">
        <v>2227</v>
      </c>
    </row>
    <row r="892" spans="2:16" ht="18" customHeight="1" x14ac:dyDescent="0.25">
      <c r="B892" s="21" t="s">
        <v>0</v>
      </c>
      <c r="C892" s="22" t="s">
        <v>1846</v>
      </c>
      <c r="D892" s="22" t="s">
        <v>1847</v>
      </c>
      <c r="E892" s="21" t="s">
        <v>2222</v>
      </c>
      <c r="F892" s="23" t="s">
        <v>3</v>
      </c>
      <c r="G892" s="23" t="s">
        <v>4</v>
      </c>
      <c r="H892" s="21" t="str">
        <f t="shared" si="13"/>
        <v>IRR_50_PA2/IRR</v>
      </c>
      <c r="I892" s="24" t="s">
        <v>2272</v>
      </c>
      <c r="J892" s="10" t="str">
        <f>VLOOKUP(Table1[[#This Row],[UID]],CS3SVComposerConfig!$B$3:$D$1808,3,FALSE)</f>
        <v>DCD_island_month.dss</v>
      </c>
      <c r="K892" s="10" t="s">
        <v>2212</v>
      </c>
      <c r="L892" s="10" t="s">
        <v>2212</v>
      </c>
      <c r="M892" s="10" t="s">
        <v>2224</v>
      </c>
      <c r="N892" s="10" t="s">
        <v>2225</v>
      </c>
      <c r="O892" s="10" t="s">
        <v>2226</v>
      </c>
      <c r="P892" s="39" t="s">
        <v>2227</v>
      </c>
    </row>
    <row r="893" spans="2:16" ht="18" customHeight="1" x14ac:dyDescent="0.25">
      <c r="B893" s="21" t="s">
        <v>0</v>
      </c>
      <c r="C893" s="22" t="s">
        <v>1848</v>
      </c>
      <c r="D893" s="22" t="s">
        <v>1847</v>
      </c>
      <c r="E893" s="21" t="s">
        <v>2222</v>
      </c>
      <c r="F893" s="23" t="s">
        <v>3</v>
      </c>
      <c r="G893" s="23" t="s">
        <v>4</v>
      </c>
      <c r="H893" s="21" t="str">
        <f t="shared" si="13"/>
        <v>IRR_MOK/IRR</v>
      </c>
      <c r="I893" s="24" t="s">
        <v>2272</v>
      </c>
      <c r="J893" s="10" t="str">
        <f>VLOOKUP(Table1[[#This Row],[UID]],CS3SVComposerConfig!$B$3:$D$1808,3,FALSE)</f>
        <v>DCD_island_month.dss</v>
      </c>
      <c r="K893" s="10" t="s">
        <v>2212</v>
      </c>
      <c r="L893" s="10" t="s">
        <v>2212</v>
      </c>
      <c r="M893" s="10" t="s">
        <v>2224</v>
      </c>
      <c r="N893" s="10" t="s">
        <v>2225</v>
      </c>
      <c r="O893" s="10" t="s">
        <v>2226</v>
      </c>
      <c r="P893" s="39" t="s">
        <v>2227</v>
      </c>
    </row>
    <row r="894" spans="2:16" ht="18" customHeight="1" x14ac:dyDescent="0.25">
      <c r="B894" s="21" t="s">
        <v>0</v>
      </c>
      <c r="C894" s="22" t="s">
        <v>1849</v>
      </c>
      <c r="D894" s="22" t="s">
        <v>1847</v>
      </c>
      <c r="E894" s="21" t="s">
        <v>2222</v>
      </c>
      <c r="F894" s="23" t="s">
        <v>3</v>
      </c>
      <c r="G894" s="23" t="s">
        <v>4</v>
      </c>
      <c r="H894" s="21" t="str">
        <f t="shared" si="13"/>
        <v>IRR_OMR/IRR</v>
      </c>
      <c r="I894" s="24" t="s">
        <v>2272</v>
      </c>
      <c r="J894" s="10" t="str">
        <f>VLOOKUP(Table1[[#This Row],[UID]],CS3SVComposerConfig!$B$3:$D$1808,3,FALSE)</f>
        <v>DCD_island_month.dss</v>
      </c>
      <c r="K894" s="10" t="s">
        <v>2212</v>
      </c>
      <c r="L894" s="10" t="s">
        <v>2212</v>
      </c>
      <c r="M894" s="10" t="s">
        <v>2224</v>
      </c>
      <c r="N894" s="10" t="s">
        <v>2225</v>
      </c>
      <c r="O894" s="10" t="s">
        <v>2226</v>
      </c>
      <c r="P894" s="39" t="s">
        <v>2227</v>
      </c>
    </row>
    <row r="895" spans="2:16" ht="18" customHeight="1" x14ac:dyDescent="0.25">
      <c r="B895" s="21" t="s">
        <v>0</v>
      </c>
      <c r="C895" s="22" t="s">
        <v>1850</v>
      </c>
      <c r="D895" s="22" t="s">
        <v>1847</v>
      </c>
      <c r="E895" s="21" t="s">
        <v>2222</v>
      </c>
      <c r="F895" s="23" t="s">
        <v>3</v>
      </c>
      <c r="G895" s="23" t="s">
        <v>4</v>
      </c>
      <c r="H895" s="21" t="str">
        <f t="shared" si="13"/>
        <v>IRR_SAC_NORTH/IRR</v>
      </c>
      <c r="I895" s="24" t="s">
        <v>2272</v>
      </c>
      <c r="J895" s="10" t="str">
        <f>VLOOKUP(Table1[[#This Row],[UID]],CS3SVComposerConfig!$B$3:$D$1808,3,FALSE)</f>
        <v>DCD_island_month.dss</v>
      </c>
      <c r="K895" s="10" t="s">
        <v>2212</v>
      </c>
      <c r="L895" s="10" t="s">
        <v>2212</v>
      </c>
      <c r="M895" s="10" t="s">
        <v>2224</v>
      </c>
      <c r="N895" s="10" t="s">
        <v>2225</v>
      </c>
      <c r="O895" s="10" t="s">
        <v>2226</v>
      </c>
      <c r="P895" s="39" t="s">
        <v>2227</v>
      </c>
    </row>
    <row r="896" spans="2:16" ht="18" customHeight="1" x14ac:dyDescent="0.25">
      <c r="B896" s="21" t="s">
        <v>0</v>
      </c>
      <c r="C896" s="22" t="s">
        <v>1851</v>
      </c>
      <c r="D896" s="22" t="s">
        <v>1847</v>
      </c>
      <c r="E896" s="21" t="s">
        <v>2222</v>
      </c>
      <c r="F896" s="23" t="s">
        <v>3</v>
      </c>
      <c r="G896" s="23" t="s">
        <v>4</v>
      </c>
      <c r="H896" s="21" t="str">
        <f t="shared" si="13"/>
        <v>IRR_SAC_SOUTH/IRR</v>
      </c>
      <c r="I896" s="24" t="s">
        <v>2272</v>
      </c>
      <c r="J896" s="10" t="str">
        <f>VLOOKUP(Table1[[#This Row],[UID]],CS3SVComposerConfig!$B$3:$D$1808,3,FALSE)</f>
        <v>DCD_island_month.dss</v>
      </c>
      <c r="K896" s="10" t="s">
        <v>2212</v>
      </c>
      <c r="L896" s="10" t="s">
        <v>2212</v>
      </c>
      <c r="M896" s="10" t="s">
        <v>2224</v>
      </c>
      <c r="N896" s="10" t="s">
        <v>2225</v>
      </c>
      <c r="O896" s="10" t="s">
        <v>2226</v>
      </c>
      <c r="P896" s="39" t="s">
        <v>2227</v>
      </c>
    </row>
    <row r="897" spans="2:16" ht="18" customHeight="1" x14ac:dyDescent="0.25">
      <c r="B897" s="21" t="s">
        <v>0</v>
      </c>
      <c r="C897" s="22" t="s">
        <v>1852</v>
      </c>
      <c r="D897" s="22" t="s">
        <v>1847</v>
      </c>
      <c r="E897" s="21" t="s">
        <v>2222</v>
      </c>
      <c r="F897" s="23" t="s">
        <v>3</v>
      </c>
      <c r="G897" s="23" t="s">
        <v>4</v>
      </c>
      <c r="H897" s="21" t="str">
        <f t="shared" si="13"/>
        <v>IRR_SAC_WEST/IRR</v>
      </c>
      <c r="I897" s="24" t="s">
        <v>2272</v>
      </c>
      <c r="J897" s="10" t="str">
        <f>VLOOKUP(Table1[[#This Row],[UID]],CS3SVComposerConfig!$B$3:$D$1808,3,FALSE)</f>
        <v>DCD_island_month.dss</v>
      </c>
      <c r="K897" s="10" t="s">
        <v>2212</v>
      </c>
      <c r="L897" s="10" t="s">
        <v>2212</v>
      </c>
      <c r="M897" s="10" t="s">
        <v>2224</v>
      </c>
      <c r="N897" s="10" t="s">
        <v>2225</v>
      </c>
      <c r="O897" s="10" t="s">
        <v>2226</v>
      </c>
      <c r="P897" s="39" t="s">
        <v>2227</v>
      </c>
    </row>
    <row r="898" spans="2:16" ht="18" customHeight="1" x14ac:dyDescent="0.25">
      <c r="B898" s="21" t="s">
        <v>0</v>
      </c>
      <c r="C898" s="22" t="s">
        <v>1853</v>
      </c>
      <c r="D898" s="22" t="s">
        <v>1847</v>
      </c>
      <c r="E898" s="21" t="s">
        <v>2222</v>
      </c>
      <c r="F898" s="23" t="s">
        <v>3</v>
      </c>
      <c r="G898" s="23" t="s">
        <v>4</v>
      </c>
      <c r="H898" s="21" t="str">
        <f t="shared" si="13"/>
        <v>IRR_SJR_EAST/IRR</v>
      </c>
      <c r="I898" s="24" t="s">
        <v>2272</v>
      </c>
      <c r="J898" s="10" t="str">
        <f>VLOOKUP(Table1[[#This Row],[UID]],CS3SVComposerConfig!$B$3:$D$1808,3,FALSE)</f>
        <v>DCD_island_month.dss</v>
      </c>
      <c r="K898" s="10" t="s">
        <v>2212</v>
      </c>
      <c r="L898" s="10" t="s">
        <v>2212</v>
      </c>
      <c r="M898" s="10" t="s">
        <v>2224</v>
      </c>
      <c r="N898" s="10" t="s">
        <v>2225</v>
      </c>
      <c r="O898" s="10" t="s">
        <v>2226</v>
      </c>
      <c r="P898" s="39" t="s">
        <v>2227</v>
      </c>
    </row>
    <row r="899" spans="2:16" ht="18" customHeight="1" x14ac:dyDescent="0.25">
      <c r="B899" s="21" t="s">
        <v>0</v>
      </c>
      <c r="C899" s="22" t="s">
        <v>1854</v>
      </c>
      <c r="D899" s="22" t="s">
        <v>1847</v>
      </c>
      <c r="E899" s="21" t="s">
        <v>2222</v>
      </c>
      <c r="F899" s="23" t="s">
        <v>3</v>
      </c>
      <c r="G899" s="23" t="s">
        <v>4</v>
      </c>
      <c r="H899" s="21" t="str">
        <f t="shared" ref="H899:H962" si="14">_xlfn.CONCAT(C899,"/",D899)</f>
        <v>IRR_SJR_WEST/IRR</v>
      </c>
      <c r="I899" s="24" t="s">
        <v>2272</v>
      </c>
      <c r="J899" s="10" t="str">
        <f>VLOOKUP(Table1[[#This Row],[UID]],CS3SVComposerConfig!$B$3:$D$1808,3,FALSE)</f>
        <v>DCD_island_month.dss</v>
      </c>
      <c r="K899" s="10" t="s">
        <v>2212</v>
      </c>
      <c r="L899" s="10" t="s">
        <v>2212</v>
      </c>
      <c r="M899" s="10" t="s">
        <v>2224</v>
      </c>
      <c r="N899" s="10" t="s">
        <v>2225</v>
      </c>
      <c r="O899" s="10" t="s">
        <v>2226</v>
      </c>
      <c r="P899" s="39" t="s">
        <v>2227</v>
      </c>
    </row>
    <row r="900" spans="2:16" ht="18" customHeight="1" x14ac:dyDescent="0.25">
      <c r="B900" s="21" t="s">
        <v>0</v>
      </c>
      <c r="C900" s="22" t="s">
        <v>1855</v>
      </c>
      <c r="D900" s="22" t="s">
        <v>1856</v>
      </c>
      <c r="E900" s="21" t="s">
        <v>2222</v>
      </c>
      <c r="F900" s="23" t="s">
        <v>3</v>
      </c>
      <c r="G900" s="23" t="s">
        <v>4</v>
      </c>
      <c r="H900" s="21" t="str">
        <f t="shared" si="14"/>
        <v>SEEP_50_PA2/SEEP</v>
      </c>
      <c r="I900" s="24" t="s">
        <v>2272</v>
      </c>
      <c r="J900" s="10" t="str">
        <f>VLOOKUP(Table1[[#This Row],[UID]],CS3SVComposerConfig!$B$3:$D$1808,3,FALSE)</f>
        <v>DCD_island_month.dss</v>
      </c>
      <c r="K900" s="10" t="s">
        <v>2212</v>
      </c>
      <c r="L900" s="10" t="s">
        <v>2212</v>
      </c>
      <c r="M900" s="10" t="s">
        <v>2224</v>
      </c>
      <c r="N900" s="10" t="s">
        <v>2225</v>
      </c>
      <c r="O900" s="10" t="s">
        <v>2226</v>
      </c>
      <c r="P900" s="39" t="s">
        <v>2227</v>
      </c>
    </row>
    <row r="901" spans="2:16" ht="18" customHeight="1" x14ac:dyDescent="0.25">
      <c r="B901" s="21" t="s">
        <v>0</v>
      </c>
      <c r="C901" s="22" t="s">
        <v>1857</v>
      </c>
      <c r="D901" s="22" t="s">
        <v>1856</v>
      </c>
      <c r="E901" s="21" t="s">
        <v>2222</v>
      </c>
      <c r="F901" s="23" t="s">
        <v>3</v>
      </c>
      <c r="G901" s="23" t="s">
        <v>4</v>
      </c>
      <c r="H901" s="21" t="str">
        <f t="shared" si="14"/>
        <v>SEEP_MOK/SEEP</v>
      </c>
      <c r="I901" s="24" t="s">
        <v>2272</v>
      </c>
      <c r="J901" s="10" t="str">
        <f>VLOOKUP(Table1[[#This Row],[UID]],CS3SVComposerConfig!$B$3:$D$1808,3,FALSE)</f>
        <v>DCD_island_month.dss</v>
      </c>
      <c r="K901" s="10" t="s">
        <v>2212</v>
      </c>
      <c r="L901" s="10" t="s">
        <v>2212</v>
      </c>
      <c r="M901" s="10" t="s">
        <v>2224</v>
      </c>
      <c r="N901" s="10" t="s">
        <v>2225</v>
      </c>
      <c r="O901" s="10" t="s">
        <v>2226</v>
      </c>
      <c r="P901" s="39" t="s">
        <v>2227</v>
      </c>
    </row>
    <row r="902" spans="2:16" ht="18" customHeight="1" x14ac:dyDescent="0.25">
      <c r="B902" s="21" t="s">
        <v>0</v>
      </c>
      <c r="C902" s="22" t="s">
        <v>1858</v>
      </c>
      <c r="D902" s="22" t="s">
        <v>1856</v>
      </c>
      <c r="E902" s="21" t="s">
        <v>2222</v>
      </c>
      <c r="F902" s="23" t="s">
        <v>3</v>
      </c>
      <c r="G902" s="23" t="s">
        <v>4</v>
      </c>
      <c r="H902" s="21" t="str">
        <f t="shared" si="14"/>
        <v>SEEP_OMR/SEEP</v>
      </c>
      <c r="I902" s="24" t="s">
        <v>2272</v>
      </c>
      <c r="J902" s="10" t="str">
        <f>VLOOKUP(Table1[[#This Row],[UID]],CS3SVComposerConfig!$B$3:$D$1808,3,FALSE)</f>
        <v>DCD_island_month.dss</v>
      </c>
      <c r="K902" s="10" t="s">
        <v>2212</v>
      </c>
      <c r="L902" s="10" t="s">
        <v>2212</v>
      </c>
      <c r="M902" s="10" t="s">
        <v>2224</v>
      </c>
      <c r="N902" s="10" t="s">
        <v>2225</v>
      </c>
      <c r="O902" s="10" t="s">
        <v>2226</v>
      </c>
      <c r="P902" s="39" t="s">
        <v>2227</v>
      </c>
    </row>
    <row r="903" spans="2:16" ht="18" customHeight="1" x14ac:dyDescent="0.25">
      <c r="B903" s="21" t="s">
        <v>0</v>
      </c>
      <c r="C903" s="22" t="s">
        <v>1859</v>
      </c>
      <c r="D903" s="22" t="s">
        <v>1856</v>
      </c>
      <c r="E903" s="21" t="s">
        <v>2222</v>
      </c>
      <c r="F903" s="23" t="s">
        <v>3</v>
      </c>
      <c r="G903" s="23" t="s">
        <v>4</v>
      </c>
      <c r="H903" s="21" t="str">
        <f t="shared" si="14"/>
        <v>SEEP_SAC_NORTH/SEEP</v>
      </c>
      <c r="I903" s="24" t="s">
        <v>2272</v>
      </c>
      <c r="J903" s="10" t="str">
        <f>VLOOKUP(Table1[[#This Row],[UID]],CS3SVComposerConfig!$B$3:$D$1808,3,FALSE)</f>
        <v>DCD_island_month.dss</v>
      </c>
      <c r="K903" s="10" t="s">
        <v>2212</v>
      </c>
      <c r="L903" s="10" t="s">
        <v>2212</v>
      </c>
      <c r="M903" s="10" t="s">
        <v>2224</v>
      </c>
      <c r="N903" s="10" t="s">
        <v>2225</v>
      </c>
      <c r="O903" s="10" t="s">
        <v>2226</v>
      </c>
      <c r="P903" s="39" t="s">
        <v>2227</v>
      </c>
    </row>
    <row r="904" spans="2:16" ht="18" customHeight="1" x14ac:dyDescent="0.25">
      <c r="B904" s="21" t="s">
        <v>0</v>
      </c>
      <c r="C904" s="22" t="s">
        <v>1860</v>
      </c>
      <c r="D904" s="22" t="s">
        <v>1856</v>
      </c>
      <c r="E904" s="21" t="s">
        <v>2222</v>
      </c>
      <c r="F904" s="23" t="s">
        <v>3</v>
      </c>
      <c r="G904" s="23" t="s">
        <v>4</v>
      </c>
      <c r="H904" s="21" t="str">
        <f t="shared" si="14"/>
        <v>SEEP_SAC_SOUTH/SEEP</v>
      </c>
      <c r="I904" s="24" t="s">
        <v>2272</v>
      </c>
      <c r="J904" s="10" t="str">
        <f>VLOOKUP(Table1[[#This Row],[UID]],CS3SVComposerConfig!$B$3:$D$1808,3,FALSE)</f>
        <v>DCD_island_month.dss</v>
      </c>
      <c r="K904" s="10" t="s">
        <v>2212</v>
      </c>
      <c r="L904" s="10" t="s">
        <v>2212</v>
      </c>
      <c r="M904" s="10" t="s">
        <v>2224</v>
      </c>
      <c r="N904" s="10" t="s">
        <v>2225</v>
      </c>
      <c r="O904" s="10" t="s">
        <v>2226</v>
      </c>
      <c r="P904" s="39" t="s">
        <v>2227</v>
      </c>
    </row>
    <row r="905" spans="2:16" ht="18" customHeight="1" x14ac:dyDescent="0.25">
      <c r="B905" s="21" t="s">
        <v>0</v>
      </c>
      <c r="C905" s="22" t="s">
        <v>1861</v>
      </c>
      <c r="D905" s="22" t="s">
        <v>1856</v>
      </c>
      <c r="E905" s="21" t="s">
        <v>2222</v>
      </c>
      <c r="F905" s="23" t="s">
        <v>3</v>
      </c>
      <c r="G905" s="23" t="s">
        <v>4</v>
      </c>
      <c r="H905" s="21" t="str">
        <f t="shared" si="14"/>
        <v>SEEP_SAC_WEST/SEEP</v>
      </c>
      <c r="I905" s="24" t="s">
        <v>2272</v>
      </c>
      <c r="J905" s="10" t="str">
        <f>VLOOKUP(Table1[[#This Row],[UID]],CS3SVComposerConfig!$B$3:$D$1808,3,FALSE)</f>
        <v>DCD_island_month.dss</v>
      </c>
      <c r="K905" s="10" t="s">
        <v>2212</v>
      </c>
      <c r="L905" s="10" t="s">
        <v>2212</v>
      </c>
      <c r="M905" s="10" t="s">
        <v>2224</v>
      </c>
      <c r="N905" s="10" t="s">
        <v>2225</v>
      </c>
      <c r="O905" s="10" t="s">
        <v>2226</v>
      </c>
      <c r="P905" s="39" t="s">
        <v>2227</v>
      </c>
    </row>
    <row r="906" spans="2:16" ht="18" customHeight="1" x14ac:dyDescent="0.25">
      <c r="B906" s="21" t="s">
        <v>0</v>
      </c>
      <c r="C906" s="22" t="s">
        <v>1862</v>
      </c>
      <c r="D906" s="22" t="s">
        <v>1856</v>
      </c>
      <c r="E906" s="21" t="s">
        <v>2222</v>
      </c>
      <c r="F906" s="23" t="s">
        <v>3</v>
      </c>
      <c r="G906" s="23" t="s">
        <v>4</v>
      </c>
      <c r="H906" s="21" t="str">
        <f t="shared" si="14"/>
        <v>SEEP_SJR_EAST/SEEP</v>
      </c>
      <c r="I906" s="24" t="s">
        <v>2272</v>
      </c>
      <c r="J906" s="10" t="str">
        <f>VLOOKUP(Table1[[#This Row],[UID]],CS3SVComposerConfig!$B$3:$D$1808,3,FALSE)</f>
        <v>DCD_island_month.dss</v>
      </c>
      <c r="K906" s="10" t="s">
        <v>2212</v>
      </c>
      <c r="L906" s="10" t="s">
        <v>2212</v>
      </c>
      <c r="M906" s="10" t="s">
        <v>2224</v>
      </c>
      <c r="N906" s="10" t="s">
        <v>2225</v>
      </c>
      <c r="O906" s="10" t="s">
        <v>2226</v>
      </c>
      <c r="P906" s="39" t="s">
        <v>2227</v>
      </c>
    </row>
    <row r="907" spans="2:16" ht="18" customHeight="1" x14ac:dyDescent="0.25">
      <c r="B907" s="21" t="s">
        <v>0</v>
      </c>
      <c r="C907" s="22" t="s">
        <v>1863</v>
      </c>
      <c r="D907" s="22" t="s">
        <v>1856</v>
      </c>
      <c r="E907" s="21" t="s">
        <v>2222</v>
      </c>
      <c r="F907" s="23" t="s">
        <v>3</v>
      </c>
      <c r="G907" s="23" t="s">
        <v>4</v>
      </c>
      <c r="H907" s="21" t="str">
        <f t="shared" si="14"/>
        <v>SEEP_SJR_WEST/SEEP</v>
      </c>
      <c r="I907" s="24" t="s">
        <v>2272</v>
      </c>
      <c r="J907" s="10" t="str">
        <f>VLOOKUP(Table1[[#This Row],[UID]],CS3SVComposerConfig!$B$3:$D$1808,3,FALSE)</f>
        <v>DCD_island_month.dss</v>
      </c>
      <c r="K907" s="10" t="s">
        <v>2212</v>
      </c>
      <c r="L907" s="10" t="s">
        <v>2212</v>
      </c>
      <c r="M907" s="10" t="s">
        <v>2224</v>
      </c>
      <c r="N907" s="10" t="s">
        <v>2225</v>
      </c>
      <c r="O907" s="10" t="s">
        <v>2226</v>
      </c>
      <c r="P907" s="39" t="s">
        <v>2227</v>
      </c>
    </row>
    <row r="908" spans="2:16" ht="18" customHeight="1" x14ac:dyDescent="0.25">
      <c r="B908" s="21" t="s">
        <v>0</v>
      </c>
      <c r="C908" s="22" t="s">
        <v>1918</v>
      </c>
      <c r="D908" s="22" t="s">
        <v>1919</v>
      </c>
      <c r="E908" s="21" t="s">
        <v>2222</v>
      </c>
      <c r="F908" s="23" t="s">
        <v>3</v>
      </c>
      <c r="G908" s="23" t="s">
        <v>4</v>
      </c>
      <c r="H908" s="21" t="str">
        <f t="shared" si="14"/>
        <v>MF_KSWCK/FLOW-MIN-REQUIRED</v>
      </c>
      <c r="I908" s="24" t="s">
        <v>2273</v>
      </c>
      <c r="J908" s="10" t="str">
        <f>VLOOKUP(Table1[[#This Row],[UID]],CS3SVComposerConfig!$B$3:$D$1808,3,FALSE)</f>
        <v>DCR2023_SV_Danube_Hist_v3.dss</v>
      </c>
      <c r="K908" s="10" t="s">
        <v>2212</v>
      </c>
      <c r="L908" s="10" t="s">
        <v>2224</v>
      </c>
      <c r="M908" s="10" t="s">
        <v>2224</v>
      </c>
      <c r="N908" s="10" t="s">
        <v>2270</v>
      </c>
      <c r="O908" s="10" t="s">
        <v>2270</v>
      </c>
      <c r="P908" s="39" t="s">
        <v>2227</v>
      </c>
    </row>
    <row r="909" spans="2:16" ht="18" customHeight="1" x14ac:dyDescent="0.25">
      <c r="B909" s="21" t="s">
        <v>0</v>
      </c>
      <c r="C909" s="22" t="s">
        <v>2002</v>
      </c>
      <c r="D909" s="22" t="s">
        <v>1919</v>
      </c>
      <c r="E909" s="21" t="s">
        <v>2222</v>
      </c>
      <c r="F909" s="23" t="s">
        <v>3</v>
      </c>
      <c r="G909" s="23" t="s">
        <v>4</v>
      </c>
      <c r="H909" s="21" t="str">
        <f t="shared" si="14"/>
        <v>MINFLOWFEATHER/FLOW-MIN-REQUIRED</v>
      </c>
      <c r="I909" s="24" t="s">
        <v>2273</v>
      </c>
      <c r="J909" s="10" t="str">
        <f>VLOOKUP(Table1[[#This Row],[UID]],CS3SVComposerConfig!$B$3:$D$1808,3,FALSE)</f>
        <v>DCR2023_SV_Danube_Hist_v3.dss</v>
      </c>
      <c r="K909" s="10" t="s">
        <v>2212</v>
      </c>
      <c r="L909" s="10" t="s">
        <v>2212</v>
      </c>
      <c r="M909" s="10" t="s">
        <v>2224</v>
      </c>
      <c r="N909" s="10" t="s">
        <v>2258</v>
      </c>
      <c r="O909" s="10" t="s">
        <v>5377</v>
      </c>
      <c r="P909" s="39">
        <v>0.89</v>
      </c>
    </row>
    <row r="910" spans="2:16" ht="18" customHeight="1" x14ac:dyDescent="0.25">
      <c r="B910" s="21" t="s">
        <v>0</v>
      </c>
      <c r="C910" s="22" t="s">
        <v>2004</v>
      </c>
      <c r="D910" s="22" t="s">
        <v>2005</v>
      </c>
      <c r="E910" s="21" t="s">
        <v>2222</v>
      </c>
      <c r="F910" s="23" t="s">
        <v>3</v>
      </c>
      <c r="G910" s="23" t="s">
        <v>4</v>
      </c>
      <c r="H910" s="21" t="str">
        <f t="shared" si="14"/>
        <v>REST_RCH_NP/REST_FLOW</v>
      </c>
      <c r="I910" s="24" t="s">
        <v>2273</v>
      </c>
      <c r="J910" s="10" t="str">
        <f>VLOOKUP(Table1[[#This Row],[UID]],CS3SVComposerConfig!$B$3:$D$1808,3,FALSE)</f>
        <v>DCR2023_SV_Danube_Hist_v3.dss</v>
      </c>
      <c r="K910" s="10" t="s">
        <v>2212</v>
      </c>
      <c r="L910" s="10" t="s">
        <v>2212</v>
      </c>
      <c r="M910" s="10" t="s">
        <v>2212</v>
      </c>
      <c r="N910" s="10" t="s">
        <v>2227</v>
      </c>
      <c r="O910" s="10" t="s">
        <v>2227</v>
      </c>
      <c r="P910" s="39" t="s">
        <v>2227</v>
      </c>
    </row>
    <row r="911" spans="2:16" ht="18" customHeight="1" x14ac:dyDescent="0.25">
      <c r="B911" s="21" t="s">
        <v>0</v>
      </c>
      <c r="C911" s="22" t="s">
        <v>2007</v>
      </c>
      <c r="D911" s="22" t="s">
        <v>2005</v>
      </c>
      <c r="E911" s="21" t="s">
        <v>2222</v>
      </c>
      <c r="F911" s="23" t="s">
        <v>3</v>
      </c>
      <c r="G911" s="23" t="s">
        <v>4</v>
      </c>
      <c r="H911" s="21" t="str">
        <f t="shared" si="14"/>
        <v>REST_RCH_P/REST_FLOW</v>
      </c>
      <c r="I911" s="24" t="s">
        <v>2273</v>
      </c>
      <c r="J911" s="10" t="str">
        <f>VLOOKUP(Table1[[#This Row],[UID]],CS3SVComposerConfig!$B$3:$D$1808,3,FALSE)</f>
        <v>DCR2023_SV_Danube_Hist_v3.dss</v>
      </c>
      <c r="K911" s="10" t="s">
        <v>2212</v>
      </c>
      <c r="L911" s="10" t="s">
        <v>2212</v>
      </c>
      <c r="M911" s="10" t="s">
        <v>2212</v>
      </c>
      <c r="N911" s="10" t="s">
        <v>2227</v>
      </c>
      <c r="O911" s="10" t="s">
        <v>2227</v>
      </c>
      <c r="P911" s="39" t="s">
        <v>2227</v>
      </c>
    </row>
    <row r="912" spans="2:16" ht="18" customHeight="1" x14ac:dyDescent="0.25">
      <c r="B912" s="21" t="s">
        <v>0</v>
      </c>
      <c r="C912" s="22" t="s">
        <v>1922</v>
      </c>
      <c r="D912" s="22" t="s">
        <v>1923</v>
      </c>
      <c r="E912" s="21" t="s">
        <v>2222</v>
      </c>
      <c r="F912" s="23" t="s">
        <v>3</v>
      </c>
      <c r="G912" s="23" t="s">
        <v>4</v>
      </c>
      <c r="H912" s="21" t="str">
        <f t="shared" si="14"/>
        <v>REST_REQ_NP/RELEASE-HYDROGRAPH</v>
      </c>
      <c r="I912" s="24" t="s">
        <v>2273</v>
      </c>
      <c r="J912" s="10" t="str">
        <f>VLOOKUP(Table1[[#This Row],[UID]],CS3SVComposerConfig!$B$3:$D$1808,3,FALSE)</f>
        <v>DCR2023_SV_Danube_Hist_v3.dss</v>
      </c>
      <c r="K912" s="10" t="s">
        <v>2212</v>
      </c>
      <c r="L912" s="10" t="s">
        <v>2212</v>
      </c>
      <c r="M912" s="10" t="s">
        <v>2224</v>
      </c>
      <c r="N912" s="10" t="s">
        <v>2258</v>
      </c>
      <c r="O912" s="10" t="s">
        <v>2274</v>
      </c>
      <c r="P912" s="39">
        <v>0</v>
      </c>
    </row>
    <row r="913" spans="2:16" ht="18" customHeight="1" x14ac:dyDescent="0.25">
      <c r="B913" s="21" t="s">
        <v>0</v>
      </c>
      <c r="C913" s="22" t="s">
        <v>1925</v>
      </c>
      <c r="D913" s="22" t="s">
        <v>1923</v>
      </c>
      <c r="E913" s="21" t="s">
        <v>2222</v>
      </c>
      <c r="F913" s="23" t="s">
        <v>3</v>
      </c>
      <c r="G913" s="23" t="s">
        <v>4</v>
      </c>
      <c r="H913" s="21" t="str">
        <f t="shared" si="14"/>
        <v>REST_REQ_P/RELEASE-HYDROGRAPH</v>
      </c>
      <c r="I913" s="24" t="s">
        <v>2273</v>
      </c>
      <c r="J913" s="10" t="str">
        <f>VLOOKUP(Table1[[#This Row],[UID]],CS3SVComposerConfig!$B$3:$D$1808,3,FALSE)</f>
        <v>DCR2023_SV_Danube_Hist_v3.dss</v>
      </c>
      <c r="K913" s="10" t="s">
        <v>2212</v>
      </c>
      <c r="L913" s="10" t="s">
        <v>2212</v>
      </c>
      <c r="M913" s="10" t="s">
        <v>2224</v>
      </c>
      <c r="N913" s="10" t="s">
        <v>2258</v>
      </c>
      <c r="O913" s="10" t="s">
        <v>2274</v>
      </c>
      <c r="P913" s="39">
        <v>0</v>
      </c>
    </row>
    <row r="914" spans="2:16" ht="18" customHeight="1" x14ac:dyDescent="0.25">
      <c r="B914" s="21" t="s">
        <v>0</v>
      </c>
      <c r="C914" s="22" t="s">
        <v>1908</v>
      </c>
      <c r="D914" s="22" t="s">
        <v>1893</v>
      </c>
      <c r="E914" s="21" t="s">
        <v>2222</v>
      </c>
      <c r="F914" s="23" t="s">
        <v>3</v>
      </c>
      <c r="G914" s="23" t="s">
        <v>4</v>
      </c>
      <c r="H914" s="21" t="str">
        <f t="shared" si="14"/>
        <v>APR_FORECAST_GOODYEAR_B120/FLOW</v>
      </c>
      <c r="I914" s="24" t="s">
        <v>2275</v>
      </c>
      <c r="J914" s="10" t="str">
        <f>VLOOKUP(Table1[[#This Row],[UID]],CS3SVComposerConfig!$B$3:$D$1808,3,FALSE)</f>
        <v>DCR2023_SV_Danube_Hist_v3.dss</v>
      </c>
      <c r="K914" s="10" t="s">
        <v>2212</v>
      </c>
      <c r="L914" s="10" t="s">
        <v>2212</v>
      </c>
      <c r="M914" s="10" t="s">
        <v>2212</v>
      </c>
      <c r="N914" s="10" t="s">
        <v>2227</v>
      </c>
      <c r="O914" s="10" t="s">
        <v>2227</v>
      </c>
      <c r="P914" s="39" t="s">
        <v>2227</v>
      </c>
    </row>
    <row r="915" spans="2:16" ht="18" customHeight="1" x14ac:dyDescent="0.25">
      <c r="B915" s="21" t="s">
        <v>0</v>
      </c>
      <c r="C915" s="22" t="s">
        <v>1910</v>
      </c>
      <c r="D915" s="22" t="s">
        <v>1893</v>
      </c>
      <c r="E915" s="21" t="s">
        <v>2222</v>
      </c>
      <c r="F915" s="23" t="s">
        <v>3</v>
      </c>
      <c r="G915" s="23" t="s">
        <v>4</v>
      </c>
      <c r="H915" s="21" t="str">
        <f t="shared" si="14"/>
        <v>APR_FORECAST_SMARTVILLE_B120/FLOW</v>
      </c>
      <c r="I915" s="24" t="s">
        <v>2275</v>
      </c>
      <c r="J915" s="10" t="str">
        <f>VLOOKUP(Table1[[#This Row],[UID]],CS3SVComposerConfig!$B$3:$D$1808,3,FALSE)</f>
        <v>DCR2023_SV_Danube_Hist_v3.dss</v>
      </c>
      <c r="K915" s="10" t="s">
        <v>2212</v>
      </c>
      <c r="L915" s="10" t="s">
        <v>2212</v>
      </c>
      <c r="M915" s="10" t="s">
        <v>2212</v>
      </c>
      <c r="N915" s="10" t="s">
        <v>2227</v>
      </c>
      <c r="O915" s="10" t="s">
        <v>2227</v>
      </c>
      <c r="P915" s="39" t="s">
        <v>2227</v>
      </c>
    </row>
    <row r="916" spans="2:16" ht="18" customHeight="1" x14ac:dyDescent="0.25">
      <c r="B916" s="21" t="s">
        <v>0</v>
      </c>
      <c r="C916" s="22" t="s">
        <v>1</v>
      </c>
      <c r="D916" s="22" t="s">
        <v>2</v>
      </c>
      <c r="E916" s="21" t="s">
        <v>2222</v>
      </c>
      <c r="F916" s="23" t="s">
        <v>3</v>
      </c>
      <c r="G916" s="23" t="s">
        <v>4</v>
      </c>
      <c r="H916" s="21" t="str">
        <f t="shared" si="14"/>
        <v>AW_EDCOCA_NA1/AG-DEMAND</v>
      </c>
      <c r="I916" s="24" t="s">
        <v>2275</v>
      </c>
      <c r="J916" s="10" t="str">
        <f>VLOOKUP(Table1[[#This Row],[UID]],CS3SVComposerConfig!$B$3:$D$1808,3,FALSE)</f>
        <v>DCR2023_SV_Danube_Hist_v3.dss</v>
      </c>
      <c r="K916" s="10" t="s">
        <v>2224</v>
      </c>
      <c r="L916" s="10" t="s">
        <v>2212</v>
      </c>
      <c r="M916" s="10" t="s">
        <v>2224</v>
      </c>
      <c r="N916" s="10" t="s">
        <v>2227</v>
      </c>
      <c r="O916" s="10" t="s">
        <v>2227</v>
      </c>
      <c r="P916" s="39" t="s">
        <v>2227</v>
      </c>
    </row>
    <row r="917" spans="2:16" ht="18" customHeight="1" x14ac:dyDescent="0.25">
      <c r="B917" s="21" t="s">
        <v>0</v>
      </c>
      <c r="C917" s="22" t="s">
        <v>10</v>
      </c>
      <c r="D917" s="22" t="s">
        <v>2</v>
      </c>
      <c r="E917" s="21" t="s">
        <v>2222</v>
      </c>
      <c r="F917" s="23" t="s">
        <v>3</v>
      </c>
      <c r="G917" s="23" t="s">
        <v>4</v>
      </c>
      <c r="H917" s="21" t="str">
        <f t="shared" si="14"/>
        <v>AW_EDCOCA_NA2/AG-DEMAND</v>
      </c>
      <c r="I917" s="24" t="s">
        <v>2275</v>
      </c>
      <c r="J917" s="10" t="str">
        <f>VLOOKUP(Table1[[#This Row],[UID]],CS3SVComposerConfig!$B$3:$D$1808,3,FALSE)</f>
        <v>DCR2023_SV_Danube_Hist_v3.dss</v>
      </c>
      <c r="K917" s="10" t="s">
        <v>2224</v>
      </c>
      <c r="L917" s="10" t="s">
        <v>2212</v>
      </c>
      <c r="M917" s="10" t="s">
        <v>2224</v>
      </c>
      <c r="N917" s="10" t="s">
        <v>2227</v>
      </c>
      <c r="O917" s="10" t="s">
        <v>2227</v>
      </c>
      <c r="P917" s="39" t="s">
        <v>2227</v>
      </c>
    </row>
    <row r="918" spans="2:16" ht="18" customHeight="1" x14ac:dyDescent="0.25">
      <c r="B918" s="21" t="s">
        <v>0</v>
      </c>
      <c r="C918" s="22" t="s">
        <v>11</v>
      </c>
      <c r="D918" s="22" t="s">
        <v>2</v>
      </c>
      <c r="E918" s="21" t="s">
        <v>2222</v>
      </c>
      <c r="F918" s="23" t="s">
        <v>3</v>
      </c>
      <c r="G918" s="23" t="s">
        <v>4</v>
      </c>
      <c r="H918" s="21" t="str">
        <f t="shared" si="14"/>
        <v>AW_EDCOCA_NA3/AG-DEMAND</v>
      </c>
      <c r="I918" s="24" t="s">
        <v>2275</v>
      </c>
      <c r="J918" s="10" t="str">
        <f>VLOOKUP(Table1[[#This Row],[UID]],CS3SVComposerConfig!$B$3:$D$1808,3,FALSE)</f>
        <v>DCR2023_SV_Danube_Hist_v3.dss</v>
      </c>
      <c r="K918" s="10" t="s">
        <v>2224</v>
      </c>
      <c r="L918" s="10" t="s">
        <v>2212</v>
      </c>
      <c r="M918" s="10" t="s">
        <v>2224</v>
      </c>
      <c r="N918" s="10" t="s">
        <v>2227</v>
      </c>
      <c r="O918" s="10" t="s">
        <v>2227</v>
      </c>
      <c r="P918" s="39" t="s">
        <v>2227</v>
      </c>
    </row>
    <row r="919" spans="2:16" ht="18" customHeight="1" x14ac:dyDescent="0.25">
      <c r="B919" s="21" t="s">
        <v>0</v>
      </c>
      <c r="C919" s="22" t="s">
        <v>12</v>
      </c>
      <c r="D919" s="22" t="s">
        <v>2</v>
      </c>
      <c r="E919" s="21" t="s">
        <v>2222</v>
      </c>
      <c r="F919" s="23" t="s">
        <v>3</v>
      </c>
      <c r="G919" s="23" t="s">
        <v>4</v>
      </c>
      <c r="H919" s="21" t="str">
        <f t="shared" si="14"/>
        <v>AW_ELDID_NA1/AG-DEMAND</v>
      </c>
      <c r="I919" s="24" t="s">
        <v>2275</v>
      </c>
      <c r="J919" s="10" t="str">
        <f>VLOOKUP(Table1[[#This Row],[UID]],CS3SVComposerConfig!$B$3:$D$1808,3,FALSE)</f>
        <v>DCR2023_SV_Danube_Hist_v3.dss</v>
      </c>
      <c r="K919" s="10" t="s">
        <v>2212</v>
      </c>
      <c r="L919" s="10" t="s">
        <v>2224</v>
      </c>
      <c r="M919" s="10" t="s">
        <v>2224</v>
      </c>
      <c r="N919" s="10" t="s">
        <v>2270</v>
      </c>
      <c r="O919" s="10" t="s">
        <v>2270</v>
      </c>
      <c r="P919" s="39" t="s">
        <v>2227</v>
      </c>
    </row>
    <row r="920" spans="2:16" ht="18" customHeight="1" x14ac:dyDescent="0.25">
      <c r="B920" s="21" t="s">
        <v>0</v>
      </c>
      <c r="C920" s="22" t="s">
        <v>14</v>
      </c>
      <c r="D920" s="22" t="s">
        <v>2</v>
      </c>
      <c r="E920" s="21" t="s">
        <v>2222</v>
      </c>
      <c r="F920" s="23" t="s">
        <v>3</v>
      </c>
      <c r="G920" s="23" t="s">
        <v>4</v>
      </c>
      <c r="H920" s="21" t="str">
        <f t="shared" si="14"/>
        <v>AW_ELDID_NA2/AG-DEMAND</v>
      </c>
      <c r="I920" s="24" t="s">
        <v>2275</v>
      </c>
      <c r="J920" s="10" t="str">
        <f>VLOOKUP(Table1[[#This Row],[UID]],CS3SVComposerConfig!$B$3:$D$1808,3,FALSE)</f>
        <v>DCR2023_SV_Danube_Hist_v3.dss</v>
      </c>
      <c r="K920" s="10" t="s">
        <v>2224</v>
      </c>
      <c r="L920" s="10" t="s">
        <v>2212</v>
      </c>
      <c r="M920" s="10" t="s">
        <v>2224</v>
      </c>
      <c r="N920" s="10" t="s">
        <v>2227</v>
      </c>
      <c r="O920" s="10" t="s">
        <v>2227</v>
      </c>
      <c r="P920" s="39" t="s">
        <v>2227</v>
      </c>
    </row>
    <row r="921" spans="2:16" ht="18" customHeight="1" x14ac:dyDescent="0.25">
      <c r="B921" s="21" t="s">
        <v>0</v>
      </c>
      <c r="C921" s="22" t="s">
        <v>15</v>
      </c>
      <c r="D921" s="22" t="s">
        <v>2</v>
      </c>
      <c r="E921" s="21" t="s">
        <v>2222</v>
      </c>
      <c r="F921" s="23" t="s">
        <v>3</v>
      </c>
      <c r="G921" s="23" t="s">
        <v>4</v>
      </c>
      <c r="H921" s="21" t="str">
        <f t="shared" si="14"/>
        <v>AW_ELDID_NA3/AG-DEMAND</v>
      </c>
      <c r="I921" s="24" t="s">
        <v>2275</v>
      </c>
      <c r="J921" s="10" t="str">
        <f>VLOOKUP(Table1[[#This Row],[UID]],CS3SVComposerConfig!$B$3:$D$1808,3,FALSE)</f>
        <v>DCR2023_SV_Danube_Hist_v3.dss</v>
      </c>
      <c r="K921" s="10" t="s">
        <v>2224</v>
      </c>
      <c r="L921" s="10" t="s">
        <v>2212</v>
      </c>
      <c r="M921" s="10" t="s">
        <v>2224</v>
      </c>
      <c r="N921" s="10" t="s">
        <v>2227</v>
      </c>
      <c r="O921" s="10" t="s">
        <v>2227</v>
      </c>
      <c r="P921" s="39" t="s">
        <v>2227</v>
      </c>
    </row>
    <row r="922" spans="2:16" ht="18" customHeight="1" x14ac:dyDescent="0.25">
      <c r="B922" s="21" t="s">
        <v>0</v>
      </c>
      <c r="C922" s="22" t="s">
        <v>16</v>
      </c>
      <c r="D922" s="22" t="s">
        <v>2</v>
      </c>
      <c r="E922" s="21" t="s">
        <v>2222</v>
      </c>
      <c r="F922" s="23" t="s">
        <v>3</v>
      </c>
      <c r="G922" s="23" t="s">
        <v>4</v>
      </c>
      <c r="H922" s="21" t="str">
        <f t="shared" si="14"/>
        <v>AW_GDPUD_NA/AG-DEMAND</v>
      </c>
      <c r="I922" s="24" t="s">
        <v>2275</v>
      </c>
      <c r="J922" s="10" t="str">
        <f>VLOOKUP(Table1[[#This Row],[UID]],CS3SVComposerConfig!$B$3:$D$1808,3,FALSE)</f>
        <v>DCR2023_SV_Danube_Hist_v3.dss</v>
      </c>
      <c r="K922" s="10" t="s">
        <v>2212</v>
      </c>
      <c r="L922" s="10" t="s">
        <v>2224</v>
      </c>
      <c r="M922" s="10" t="s">
        <v>2224</v>
      </c>
      <c r="N922" s="10" t="s">
        <v>2270</v>
      </c>
      <c r="O922" s="10" t="s">
        <v>2270</v>
      </c>
      <c r="P922" s="39" t="s">
        <v>2227</v>
      </c>
    </row>
    <row r="923" spans="2:16" ht="18" customHeight="1" x14ac:dyDescent="0.25">
      <c r="B923" s="21" t="s">
        <v>0</v>
      </c>
      <c r="C923" s="22" t="s">
        <v>16</v>
      </c>
      <c r="D923" s="22" t="s">
        <v>892</v>
      </c>
      <c r="E923" s="21" t="s">
        <v>2222</v>
      </c>
      <c r="F923" s="23" t="s">
        <v>3</v>
      </c>
      <c r="G923" s="23" t="s">
        <v>4</v>
      </c>
      <c r="H923" s="21" t="str">
        <f t="shared" si="14"/>
        <v>AW_GDPUD_NA/URBAN-DEMAND</v>
      </c>
      <c r="I923" s="24" t="s">
        <v>2275</v>
      </c>
      <c r="J923" s="10" t="str">
        <f>VLOOKUP(Table1[[#This Row],[UID]],CS3SVComposerConfig!$B$3:$D$1808,3,FALSE)</f>
        <v>DCR2023_SV_Danube_Hist_v3.dss</v>
      </c>
      <c r="K923" s="10" t="s">
        <v>2212</v>
      </c>
      <c r="L923" s="10" t="s">
        <v>2224</v>
      </c>
      <c r="M923" s="10" t="s">
        <v>2224</v>
      </c>
      <c r="N923" s="10" t="s">
        <v>2270</v>
      </c>
      <c r="O923" s="10" t="s">
        <v>2270</v>
      </c>
      <c r="P923" s="39" t="s">
        <v>2227</v>
      </c>
    </row>
    <row r="924" spans="2:16" ht="18" customHeight="1" x14ac:dyDescent="0.25">
      <c r="B924" s="21" t="s">
        <v>0</v>
      </c>
      <c r="C924" s="22" t="s">
        <v>17</v>
      </c>
      <c r="D924" s="22" t="s">
        <v>18</v>
      </c>
      <c r="E924" s="21" t="s">
        <v>2222</v>
      </c>
      <c r="F924" s="23" t="s">
        <v>3</v>
      </c>
      <c r="G924" s="23" t="s">
        <v>4</v>
      </c>
      <c r="H924" s="21" t="str">
        <f t="shared" si="14"/>
        <v>AW_NIDBR_NA/APPLIED-WATER</v>
      </c>
      <c r="I924" s="24" t="s">
        <v>2275</v>
      </c>
      <c r="J924" s="10" t="str">
        <f>VLOOKUP(Table1[[#This Row],[UID]],CS3SVComposerConfig!$B$3:$D$1808,3,FALSE)</f>
        <v>DCR2023_SV_Danube_Hist_v3.dss</v>
      </c>
      <c r="K924" s="10" t="s">
        <v>2212</v>
      </c>
      <c r="L924" s="10" t="s">
        <v>2224</v>
      </c>
      <c r="M924" s="10" t="s">
        <v>2224</v>
      </c>
      <c r="N924" s="10" t="s">
        <v>2270</v>
      </c>
      <c r="O924" s="10" t="s">
        <v>2270</v>
      </c>
      <c r="P924" s="39" t="s">
        <v>2227</v>
      </c>
    </row>
    <row r="925" spans="2:16" ht="18" customHeight="1" x14ac:dyDescent="0.25">
      <c r="B925" s="21" t="s">
        <v>0</v>
      </c>
      <c r="C925" s="22" t="s">
        <v>20</v>
      </c>
      <c r="D925" s="22" t="s">
        <v>18</v>
      </c>
      <c r="E925" s="21" t="s">
        <v>2222</v>
      </c>
      <c r="F925" s="23" t="s">
        <v>3</v>
      </c>
      <c r="G925" s="23" t="s">
        <v>4</v>
      </c>
      <c r="H925" s="21" t="str">
        <f t="shared" si="14"/>
        <v>AW_NIDDC_NA1/APPLIED-WATER</v>
      </c>
      <c r="I925" s="24" t="s">
        <v>2275</v>
      </c>
      <c r="J925" s="10" t="str">
        <f>VLOOKUP(Table1[[#This Row],[UID]],CS3SVComposerConfig!$B$3:$D$1808,3,FALSE)</f>
        <v>DCR2023_SV_Danube_Hist_v3.dss</v>
      </c>
      <c r="K925" s="10" t="s">
        <v>2212</v>
      </c>
      <c r="L925" s="10" t="s">
        <v>2224</v>
      </c>
      <c r="M925" s="10" t="s">
        <v>2224</v>
      </c>
      <c r="N925" s="10" t="s">
        <v>2270</v>
      </c>
      <c r="O925" s="10" t="s">
        <v>2270</v>
      </c>
      <c r="P925" s="39" t="s">
        <v>2227</v>
      </c>
    </row>
    <row r="926" spans="2:16" ht="18" customHeight="1" x14ac:dyDescent="0.25">
      <c r="B926" s="21" t="s">
        <v>0</v>
      </c>
      <c r="C926" s="22" t="s">
        <v>21</v>
      </c>
      <c r="D926" s="22" t="s">
        <v>18</v>
      </c>
      <c r="E926" s="21" t="s">
        <v>2222</v>
      </c>
      <c r="F926" s="23" t="s">
        <v>3</v>
      </c>
      <c r="G926" s="23" t="s">
        <v>4</v>
      </c>
      <c r="H926" s="21" t="str">
        <f t="shared" si="14"/>
        <v>AW_NIDDC_NA2/APPLIED-WATER</v>
      </c>
      <c r="I926" s="24" t="s">
        <v>2275</v>
      </c>
      <c r="J926" s="10" t="str">
        <f>VLOOKUP(Table1[[#This Row],[UID]],CS3SVComposerConfig!$B$3:$D$1808,3,FALSE)</f>
        <v>DCR2023_SV_Danube_Hist_v3.dss</v>
      </c>
      <c r="K926" s="10" t="s">
        <v>2212</v>
      </c>
      <c r="L926" s="10" t="s">
        <v>2224</v>
      </c>
      <c r="M926" s="10" t="s">
        <v>2224</v>
      </c>
      <c r="N926" s="10" t="s">
        <v>2270</v>
      </c>
      <c r="O926" s="10" t="s">
        <v>2270</v>
      </c>
      <c r="P926" s="39" t="s">
        <v>2227</v>
      </c>
    </row>
    <row r="927" spans="2:16" ht="18" customHeight="1" x14ac:dyDescent="0.25">
      <c r="B927" s="21" t="s">
        <v>0</v>
      </c>
      <c r="C927" s="22" t="s">
        <v>22</v>
      </c>
      <c r="D927" s="22" t="s">
        <v>18</v>
      </c>
      <c r="E927" s="21" t="s">
        <v>2222</v>
      </c>
      <c r="F927" s="23" t="s">
        <v>3</v>
      </c>
      <c r="G927" s="23" t="s">
        <v>4</v>
      </c>
      <c r="H927" s="21" t="str">
        <f t="shared" si="14"/>
        <v>AW_NIDDC_NA3/APPLIED-WATER</v>
      </c>
      <c r="I927" s="24" t="s">
        <v>2275</v>
      </c>
      <c r="J927" s="10" t="str">
        <f>VLOOKUP(Table1[[#This Row],[UID]],CS3SVComposerConfig!$B$3:$D$1808,3,FALSE)</f>
        <v>DCR2023_SV_Danube_Hist_v3.dss</v>
      </c>
      <c r="K927" s="10" t="s">
        <v>2212</v>
      </c>
      <c r="L927" s="10" t="s">
        <v>2224</v>
      </c>
      <c r="M927" s="10" t="s">
        <v>2224</v>
      </c>
      <c r="N927" s="10" t="s">
        <v>2270</v>
      </c>
      <c r="O927" s="10" t="s">
        <v>2270</v>
      </c>
      <c r="P927" s="39" t="s">
        <v>2227</v>
      </c>
    </row>
    <row r="928" spans="2:16" ht="18" customHeight="1" x14ac:dyDescent="0.25">
      <c r="B928" s="21" t="s">
        <v>0</v>
      </c>
      <c r="C928" s="22" t="s">
        <v>1892</v>
      </c>
      <c r="D928" s="22" t="s">
        <v>1893</v>
      </c>
      <c r="E928" s="21" t="s">
        <v>2222</v>
      </c>
      <c r="F928" s="23" t="s">
        <v>3</v>
      </c>
      <c r="G928" s="23" t="s">
        <v>4</v>
      </c>
      <c r="H928" s="21" t="str">
        <f t="shared" si="14"/>
        <v>C_CBD001HIST/FLOW</v>
      </c>
      <c r="I928" s="24" t="s">
        <v>2275</v>
      </c>
      <c r="J928" s="10" t="str">
        <f>VLOOKUP(Table1[[#This Row],[UID]],CS3SVComposerConfig!$B$3:$D$1808,3,FALSE)</f>
        <v>DCR2023_SV_Danube_Hist_v3.dss</v>
      </c>
      <c r="K928" s="10" t="s">
        <v>2212</v>
      </c>
      <c r="L928" s="10" t="s">
        <v>2212</v>
      </c>
      <c r="M928" s="10" t="s">
        <v>2224</v>
      </c>
      <c r="N928" s="26" t="s">
        <v>2258</v>
      </c>
      <c r="O928" s="26" t="s">
        <v>2276</v>
      </c>
      <c r="P928" s="39">
        <v>0.66</v>
      </c>
    </row>
    <row r="929" spans="2:16" ht="18" customHeight="1" x14ac:dyDescent="0.25">
      <c r="B929" s="21" t="s">
        <v>0</v>
      </c>
      <c r="C929" s="22" t="s">
        <v>1896</v>
      </c>
      <c r="D929" s="22" t="s">
        <v>1893</v>
      </c>
      <c r="E929" s="21" t="s">
        <v>2222</v>
      </c>
      <c r="F929" s="23" t="s">
        <v>3</v>
      </c>
      <c r="G929" s="23" t="s">
        <v>4</v>
      </c>
      <c r="H929" s="21" t="str">
        <f t="shared" si="14"/>
        <v>C_KLR005HIST/FLOW</v>
      </c>
      <c r="I929" s="24" t="s">
        <v>2275</v>
      </c>
      <c r="J929" s="10" t="str">
        <f>VLOOKUP(Table1[[#This Row],[UID]],CS3SVComposerConfig!$B$3:$D$1808,3,FALSE)</f>
        <v>DCR2023_SV_Danube_Hist_v3.dss</v>
      </c>
      <c r="K929" s="10" t="s">
        <v>2212</v>
      </c>
      <c r="L929" s="10" t="s">
        <v>2212</v>
      </c>
      <c r="M929" s="10" t="s">
        <v>2224</v>
      </c>
      <c r="N929" s="26" t="s">
        <v>2258</v>
      </c>
      <c r="O929" s="26" t="s">
        <v>2276</v>
      </c>
      <c r="P929" s="39">
        <v>0.73</v>
      </c>
    </row>
    <row r="930" spans="2:16" ht="18" customHeight="1" x14ac:dyDescent="0.25">
      <c r="B930" s="21" t="s">
        <v>0</v>
      </c>
      <c r="C930" s="22" t="s">
        <v>1978</v>
      </c>
      <c r="D930" s="22" t="s">
        <v>1979</v>
      </c>
      <c r="E930" s="21" t="s">
        <v>2222</v>
      </c>
      <c r="F930" s="23" t="s">
        <v>3</v>
      </c>
      <c r="G930" s="23" t="s">
        <v>4</v>
      </c>
      <c r="H930" s="21" t="str">
        <f t="shared" si="14"/>
        <v>CAP_C_CAA238_CVC_F/CAPACITY</v>
      </c>
      <c r="I930" s="24" t="s">
        <v>2275</v>
      </c>
      <c r="J930" s="10" t="str">
        <f>VLOOKUP(Table1[[#This Row],[UID]],CS3SVComposerConfig!$B$3:$D$1808,3,FALSE)</f>
        <v>DCR2023_SV_Danube_Hist_v3.dss</v>
      </c>
      <c r="K930" s="10" t="s">
        <v>2212</v>
      </c>
      <c r="L930" s="10" t="s">
        <v>2224</v>
      </c>
      <c r="M930" s="10" t="s">
        <v>2224</v>
      </c>
      <c r="N930" s="10" t="s">
        <v>2270</v>
      </c>
      <c r="O930" s="10" t="s">
        <v>2270</v>
      </c>
      <c r="P930" s="39" t="s">
        <v>2227</v>
      </c>
    </row>
    <row r="931" spans="2:16" ht="18" customHeight="1" x14ac:dyDescent="0.25">
      <c r="B931" s="21" t="s">
        <v>0</v>
      </c>
      <c r="C931" s="22" t="s">
        <v>1983</v>
      </c>
      <c r="D931" s="22" t="s">
        <v>1979</v>
      </c>
      <c r="E931" s="21" t="s">
        <v>2222</v>
      </c>
      <c r="F931" s="23" t="s">
        <v>3</v>
      </c>
      <c r="G931" s="23" t="s">
        <v>4</v>
      </c>
      <c r="H931" s="21" t="str">
        <f t="shared" si="14"/>
        <v>CAP_C_CAA238_CVC_R/CAPACITY</v>
      </c>
      <c r="I931" s="24" t="s">
        <v>2275</v>
      </c>
      <c r="J931" s="10" t="str">
        <f>VLOOKUP(Table1[[#This Row],[UID]],CS3SVComposerConfig!$B$3:$D$1808,3,FALSE)</f>
        <v>DCR2023_SV_Danube_Hist_v3.dss</v>
      </c>
      <c r="K931" s="10" t="s">
        <v>2212</v>
      </c>
      <c r="L931" s="10" t="s">
        <v>2224</v>
      </c>
      <c r="M931" s="10" t="s">
        <v>2224</v>
      </c>
      <c r="N931" s="10" t="s">
        <v>2270</v>
      </c>
      <c r="O931" s="10" t="s">
        <v>2270</v>
      </c>
      <c r="P931" s="39" t="s">
        <v>2227</v>
      </c>
    </row>
    <row r="932" spans="2:16" ht="18" customHeight="1" x14ac:dyDescent="0.25">
      <c r="B932" s="21" t="s">
        <v>0</v>
      </c>
      <c r="C932" s="22" t="s">
        <v>37</v>
      </c>
      <c r="D932" s="22" t="s">
        <v>38</v>
      </c>
      <c r="E932" s="21" t="s">
        <v>2222</v>
      </c>
      <c r="F932" s="23" t="s">
        <v>3</v>
      </c>
      <c r="G932" s="23" t="s">
        <v>4</v>
      </c>
      <c r="H932" s="21" t="str">
        <f t="shared" si="14"/>
        <v>CL_DGR/CONTRACT-LIMIT</v>
      </c>
      <c r="I932" s="24" t="s">
        <v>2275</v>
      </c>
      <c r="J932" s="10" t="str">
        <f>VLOOKUP(Table1[[#This Row],[UID]],CS3SVComposerConfig!$B$3:$D$1808,3,FALSE)</f>
        <v>DCR2023_SV_Danube_Hist_v3.dss</v>
      </c>
      <c r="K932" s="10" t="s">
        <v>2212</v>
      </c>
      <c r="L932" s="10" t="s">
        <v>2224</v>
      </c>
      <c r="M932" s="10" t="s">
        <v>2224</v>
      </c>
      <c r="N932" s="10" t="s">
        <v>2270</v>
      </c>
      <c r="O932" s="10" t="s">
        <v>2270</v>
      </c>
      <c r="P932" s="39" t="s">
        <v>2227</v>
      </c>
    </row>
    <row r="933" spans="2:16" ht="18" customHeight="1" x14ac:dyDescent="0.25">
      <c r="B933" s="21" t="s">
        <v>0</v>
      </c>
      <c r="C933" s="22" t="s">
        <v>2277</v>
      </c>
      <c r="D933" s="22" t="s">
        <v>1992</v>
      </c>
      <c r="E933" s="21" t="s">
        <v>2222</v>
      </c>
      <c r="F933" s="23" t="s">
        <v>3</v>
      </c>
      <c r="G933" s="23" t="s">
        <v>4</v>
      </c>
      <c r="H933" s="21" t="str">
        <f t="shared" si="14"/>
        <v>D_CVT005_UTC000_DEM/FLOW-HISTORICAL</v>
      </c>
      <c r="I933" s="24" t="s">
        <v>2275</v>
      </c>
      <c r="J933" s="10" t="str">
        <f>VLOOKUP(Table1[[#This Row],[UID]],CS3SVComposerConfig!$B$3:$D$1808,3,FALSE)</f>
        <v>DCR2023_SV_Danube_Hist_v3.dss</v>
      </c>
      <c r="K933" s="10" t="s">
        <v>2212</v>
      </c>
      <c r="L933" s="10" t="s">
        <v>2224</v>
      </c>
      <c r="M933" s="10" t="s">
        <v>2224</v>
      </c>
      <c r="N933" s="10" t="s">
        <v>2270</v>
      </c>
      <c r="O933" s="10" t="s">
        <v>2270</v>
      </c>
      <c r="P933" s="39" t="s">
        <v>2227</v>
      </c>
    </row>
    <row r="934" spans="2:16" ht="18" customHeight="1" x14ac:dyDescent="0.25">
      <c r="B934" s="21" t="s">
        <v>0</v>
      </c>
      <c r="C934" s="22" t="s">
        <v>2278</v>
      </c>
      <c r="D934" s="22" t="s">
        <v>2039</v>
      </c>
      <c r="E934" s="21" t="s">
        <v>2222</v>
      </c>
      <c r="F934" s="23" t="s">
        <v>3</v>
      </c>
      <c r="G934" s="23" t="s">
        <v>4</v>
      </c>
      <c r="H934" s="21" t="str">
        <f t="shared" si="14"/>
        <v>D_FOLSM_EDCOCA/DIVERSION</v>
      </c>
      <c r="I934" s="24" t="s">
        <v>2275</v>
      </c>
      <c r="J934" s="10" t="str">
        <f>VLOOKUP(Table1[[#This Row],[UID]],CS3SVComposerConfig!$B$3:$D$1808,3,FALSE)</f>
        <v>DCR2023_SV_Danube_Hist_v3.dss</v>
      </c>
      <c r="K934" s="10" t="s">
        <v>2224</v>
      </c>
      <c r="L934" s="10" t="s">
        <v>2212</v>
      </c>
      <c r="M934" s="10" t="s">
        <v>2224</v>
      </c>
      <c r="N934" s="10" t="s">
        <v>2227</v>
      </c>
      <c r="O934" s="10" t="s">
        <v>2227</v>
      </c>
      <c r="P934" s="39" t="s">
        <v>2227</v>
      </c>
    </row>
    <row r="935" spans="2:16" ht="18" customHeight="1" x14ac:dyDescent="0.25">
      <c r="B935" s="21" t="s">
        <v>0</v>
      </c>
      <c r="C935" s="22" t="s">
        <v>2079</v>
      </c>
      <c r="D935" s="22" t="s">
        <v>2279</v>
      </c>
      <c r="E935" s="21" t="s">
        <v>2222</v>
      </c>
      <c r="F935" s="23" t="s">
        <v>3</v>
      </c>
      <c r="G935" s="23" t="s">
        <v>4</v>
      </c>
      <c r="H935" s="21" t="str">
        <f t="shared" si="14"/>
        <v>D_FOLSM_EDCOCA_CVP_SV/DIVERSION-CVP</v>
      </c>
      <c r="I935" s="24" t="s">
        <v>2275</v>
      </c>
      <c r="J935" s="10" t="str">
        <f>VLOOKUP(Table1[[#This Row],[UID]],CS3SVComposerConfig!$B$3:$D$1808,3,FALSE)</f>
        <v>DCR2023_SV_Danube_Hist_v3.dss</v>
      </c>
      <c r="K935" s="10" t="s">
        <v>2224</v>
      </c>
      <c r="L935" s="10" t="s">
        <v>2212</v>
      </c>
      <c r="M935" s="10" t="s">
        <v>2224</v>
      </c>
      <c r="N935" s="10" t="s">
        <v>2227</v>
      </c>
      <c r="O935" s="10" t="s">
        <v>2227</v>
      </c>
      <c r="P935" s="39" t="s">
        <v>2227</v>
      </c>
    </row>
    <row r="936" spans="2:16" ht="18" customHeight="1" x14ac:dyDescent="0.25">
      <c r="B936" s="21" t="s">
        <v>0</v>
      </c>
      <c r="C936" s="22" t="s">
        <v>1991</v>
      </c>
      <c r="D936" s="22" t="s">
        <v>1992</v>
      </c>
      <c r="E936" s="21" t="s">
        <v>2222</v>
      </c>
      <c r="F936" s="23" t="s">
        <v>3</v>
      </c>
      <c r="G936" s="23" t="s">
        <v>4</v>
      </c>
      <c r="H936" s="21" t="str">
        <f t="shared" si="14"/>
        <v>D_LYONS_TCN000_DEM/FLOW-HISTORICAL</v>
      </c>
      <c r="I936" s="24" t="s">
        <v>2275</v>
      </c>
      <c r="J936" s="10" t="str">
        <f>VLOOKUP(Table1[[#This Row],[UID]],CS3SVComposerConfig!$B$3:$D$1808,3,FALSE)</f>
        <v>DCR2023_SV_Danube_Hist_v3.dss</v>
      </c>
      <c r="K936" s="10" t="s">
        <v>2212</v>
      </c>
      <c r="L936" s="10" t="s">
        <v>2224</v>
      </c>
      <c r="M936" s="10" t="s">
        <v>2224</v>
      </c>
      <c r="N936" s="10" t="s">
        <v>2270</v>
      </c>
      <c r="O936" s="10" t="s">
        <v>2270</v>
      </c>
      <c r="P936" s="39" t="s">
        <v>2227</v>
      </c>
    </row>
    <row r="937" spans="2:16" ht="18" customHeight="1" x14ac:dyDescent="0.25">
      <c r="B937" s="21" t="s">
        <v>0</v>
      </c>
      <c r="C937" s="22" t="s">
        <v>1994</v>
      </c>
      <c r="D937" s="22" t="s">
        <v>1992</v>
      </c>
      <c r="E937" s="21" t="s">
        <v>2222</v>
      </c>
      <c r="F937" s="23" t="s">
        <v>3</v>
      </c>
      <c r="G937" s="23" t="s">
        <v>4</v>
      </c>
      <c r="H937" s="21" t="str">
        <f t="shared" si="14"/>
        <v>D_UTC000_CACWD_DEM/FLOW-HISTORICAL</v>
      </c>
      <c r="I937" s="24" t="s">
        <v>2275</v>
      </c>
      <c r="J937" s="10" t="str">
        <f>VLOOKUP(Table1[[#This Row],[UID]],CS3SVComposerConfig!$B$3:$D$1808,3,FALSE)</f>
        <v>DCR2023_SV_Danube_Hist_v3.dss</v>
      </c>
      <c r="K937" s="10" t="s">
        <v>2212</v>
      </c>
      <c r="L937" s="10" t="s">
        <v>2224</v>
      </c>
      <c r="M937" s="10" t="s">
        <v>2224</v>
      </c>
      <c r="N937" s="10" t="s">
        <v>2270</v>
      </c>
      <c r="O937" s="10" t="s">
        <v>2270</v>
      </c>
      <c r="P937" s="39" t="s">
        <v>2227</v>
      </c>
    </row>
    <row r="938" spans="2:16" ht="18" customHeight="1" x14ac:dyDescent="0.25">
      <c r="B938" s="21" t="s">
        <v>0</v>
      </c>
      <c r="C938" s="22" t="s">
        <v>1900</v>
      </c>
      <c r="D938" s="22" t="s">
        <v>1893</v>
      </c>
      <c r="E938" s="21" t="s">
        <v>2222</v>
      </c>
      <c r="F938" s="23" t="s">
        <v>3</v>
      </c>
      <c r="G938" s="23" t="s">
        <v>4</v>
      </c>
      <c r="H938" s="21" t="str">
        <f t="shared" si="14"/>
        <v>DELTAACCRETIONFORNDOI/FLOW</v>
      </c>
      <c r="I938" s="24" t="s">
        <v>2275</v>
      </c>
      <c r="J938" s="10" t="str">
        <f>VLOOKUP(Table1[[#This Row],[UID]],CS3SVComposerConfig!$B$3:$D$1808,3,FALSE)</f>
        <v>DCR2023_SV_Danube_Hist_v3.dss</v>
      </c>
      <c r="K938" s="10" t="s">
        <v>2212</v>
      </c>
      <c r="L938" s="10" t="s">
        <v>2212</v>
      </c>
      <c r="M938" s="10" t="s">
        <v>2224</v>
      </c>
      <c r="N938" s="26" t="s">
        <v>2258</v>
      </c>
      <c r="O938" s="26" t="s">
        <v>5377</v>
      </c>
      <c r="P938" s="39">
        <v>0.92</v>
      </c>
    </row>
    <row r="939" spans="2:16" ht="18" customHeight="1" x14ac:dyDescent="0.25">
      <c r="B939" s="21" t="s">
        <v>0</v>
      </c>
      <c r="C939" s="22" t="s">
        <v>1907</v>
      </c>
      <c r="D939" s="22" t="s">
        <v>1893</v>
      </c>
      <c r="E939" s="21" t="s">
        <v>2222</v>
      </c>
      <c r="F939" s="23" t="s">
        <v>3</v>
      </c>
      <c r="G939" s="23" t="s">
        <v>4</v>
      </c>
      <c r="H939" s="21" t="str">
        <f t="shared" si="14"/>
        <v>DELTADEPLETIONFORNDOI/FLOW</v>
      </c>
      <c r="I939" s="24" t="s">
        <v>2275</v>
      </c>
      <c r="J939" s="10" t="str">
        <f>VLOOKUP(Table1[[#This Row],[UID]],CS3SVComposerConfig!$B$3:$D$1808,3,FALSE)</f>
        <v>DCR2023_SV_Danube_Hist_v3.dss</v>
      </c>
      <c r="K939" s="10" t="s">
        <v>2212</v>
      </c>
      <c r="L939" s="10" t="s">
        <v>2224</v>
      </c>
      <c r="M939" s="10" t="s">
        <v>2224</v>
      </c>
      <c r="N939" s="10" t="s">
        <v>2270</v>
      </c>
      <c r="O939" s="10" t="s">
        <v>2270</v>
      </c>
      <c r="P939" s="39" t="s">
        <v>2227</v>
      </c>
    </row>
    <row r="940" spans="2:16" ht="18" customHeight="1" x14ac:dyDescent="0.25">
      <c r="B940" s="21" t="s">
        <v>0</v>
      </c>
      <c r="C940" s="22" t="s">
        <v>282</v>
      </c>
      <c r="D940" s="22" t="s">
        <v>43</v>
      </c>
      <c r="E940" s="21" t="s">
        <v>2222</v>
      </c>
      <c r="F940" s="23" t="s">
        <v>3</v>
      </c>
      <c r="G940" s="23" t="s">
        <v>4</v>
      </c>
      <c r="H940" s="21" t="str">
        <f t="shared" si="14"/>
        <v>DEM_D_CAA046_71_PA7_PIN/DEMAND-SWP-IN</v>
      </c>
      <c r="I940" s="24" t="s">
        <v>2275</v>
      </c>
      <c r="J940" s="10" t="str">
        <f>VLOOKUP(Table1[[#This Row],[UID]],CS3SVComposerConfig!$B$3:$D$1808,3,FALSE)</f>
        <v>DCR2023_SV_Danube_Hist_v3.dss</v>
      </c>
      <c r="K940" s="10" t="s">
        <v>2212</v>
      </c>
      <c r="L940" s="10" t="s">
        <v>2224</v>
      </c>
      <c r="M940" s="10" t="s">
        <v>2224</v>
      </c>
      <c r="N940" s="10" t="s">
        <v>2270</v>
      </c>
      <c r="O940" s="10" t="s">
        <v>2270</v>
      </c>
      <c r="P940" s="39" t="s">
        <v>2227</v>
      </c>
    </row>
    <row r="941" spans="2:16" ht="18" customHeight="1" x14ac:dyDescent="0.25">
      <c r="B941" s="21" t="s">
        <v>0</v>
      </c>
      <c r="C941" s="22" t="s">
        <v>1864</v>
      </c>
      <c r="D941" s="22" t="s">
        <v>43</v>
      </c>
      <c r="E941" s="21" t="s">
        <v>2222</v>
      </c>
      <c r="F941" s="23" t="s">
        <v>3</v>
      </c>
      <c r="G941" s="23" t="s">
        <v>4</v>
      </c>
      <c r="H941" s="21" t="str">
        <f t="shared" si="14"/>
        <v>DEM_D_CAA173_EMPIRE_PIN/DEMAND-SWP-IN</v>
      </c>
      <c r="I941" s="24" t="s">
        <v>2275</v>
      </c>
      <c r="J941" s="10" t="str">
        <f>VLOOKUP(Table1[[#This Row],[UID]],CS3SVComposerConfig!$B$3:$D$1808,3,FALSE)</f>
        <v>DCR2023_SV_Danube_Hist_v3.dss</v>
      </c>
      <c r="K941" s="10" t="s">
        <v>2212</v>
      </c>
      <c r="L941" s="10" t="s">
        <v>2224</v>
      </c>
      <c r="M941" s="10" t="s">
        <v>2224</v>
      </c>
      <c r="N941" s="10" t="s">
        <v>2270</v>
      </c>
      <c r="O941" s="10" t="s">
        <v>2270</v>
      </c>
      <c r="P941" s="39" t="s">
        <v>2227</v>
      </c>
    </row>
    <row r="942" spans="2:16" ht="18" customHeight="1" x14ac:dyDescent="0.25">
      <c r="B942" s="21" t="s">
        <v>0</v>
      </c>
      <c r="C942" s="22" t="s">
        <v>1866</v>
      </c>
      <c r="D942" s="22" t="s">
        <v>43</v>
      </c>
      <c r="E942" s="21" t="s">
        <v>2222</v>
      </c>
      <c r="F942" s="23" t="s">
        <v>3</v>
      </c>
      <c r="G942" s="23" t="s">
        <v>4</v>
      </c>
      <c r="H942" s="21" t="str">
        <f t="shared" si="14"/>
        <v>DEM_D_CAA181_KINGS_PIN/DEMAND-SWP-IN</v>
      </c>
      <c r="I942" s="24" t="s">
        <v>2275</v>
      </c>
      <c r="J942" s="10" t="str">
        <f>VLOOKUP(Table1[[#This Row],[UID]],CS3SVComposerConfig!$B$3:$D$1808,3,FALSE)</f>
        <v>DCR2023_SV_Danube_Hist_v3.dss</v>
      </c>
      <c r="K942" s="10" t="s">
        <v>2212</v>
      </c>
      <c r="L942" s="10" t="s">
        <v>2224</v>
      </c>
      <c r="M942" s="10" t="s">
        <v>2224</v>
      </c>
      <c r="N942" s="10" t="s">
        <v>2270</v>
      </c>
      <c r="O942" s="10" t="s">
        <v>2270</v>
      </c>
      <c r="P942" s="39" t="s">
        <v>2227</v>
      </c>
    </row>
    <row r="943" spans="2:16" ht="18" customHeight="1" x14ac:dyDescent="0.25">
      <c r="B943" s="21" t="s">
        <v>0</v>
      </c>
      <c r="C943" s="22" t="s">
        <v>1867</v>
      </c>
      <c r="D943" s="22" t="s">
        <v>43</v>
      </c>
      <c r="E943" s="21" t="s">
        <v>2222</v>
      </c>
      <c r="F943" s="23" t="s">
        <v>3</v>
      </c>
      <c r="G943" s="23" t="s">
        <v>4</v>
      </c>
      <c r="H943" s="21" t="str">
        <f t="shared" si="14"/>
        <v>DEM_D_CAA183_TULARE_PIN/DEMAND-SWP-IN</v>
      </c>
      <c r="I943" s="24" t="s">
        <v>2275</v>
      </c>
      <c r="J943" s="10" t="str">
        <f>VLOOKUP(Table1[[#This Row],[UID]],CS3SVComposerConfig!$B$3:$D$1808,3,FALSE)</f>
        <v>DCR2023_SV_Danube_Hist_v3.dss</v>
      </c>
      <c r="K943" s="10" t="s">
        <v>2212</v>
      </c>
      <c r="L943" s="10" t="s">
        <v>2224</v>
      </c>
      <c r="M943" s="10" t="s">
        <v>2224</v>
      </c>
      <c r="N943" s="10" t="s">
        <v>2270</v>
      </c>
      <c r="O943" s="10" t="s">
        <v>2270</v>
      </c>
      <c r="P943" s="39" t="s">
        <v>2227</v>
      </c>
    </row>
    <row r="944" spans="2:16" ht="18" customHeight="1" x14ac:dyDescent="0.25">
      <c r="B944" s="21" t="s">
        <v>0</v>
      </c>
      <c r="C944" s="22" t="s">
        <v>284</v>
      </c>
      <c r="D944" s="22" t="s">
        <v>43</v>
      </c>
      <c r="E944" s="21" t="s">
        <v>2222</v>
      </c>
      <c r="F944" s="23" t="s">
        <v>3</v>
      </c>
      <c r="G944" s="23" t="s">
        <v>4</v>
      </c>
      <c r="H944" s="21" t="str">
        <f t="shared" si="14"/>
        <v>DEM_D_CAA184_DUDLEY_PIN/DEMAND-SWP-IN</v>
      </c>
      <c r="I944" s="24" t="s">
        <v>2275</v>
      </c>
      <c r="J944" s="10" t="str">
        <f>VLOOKUP(Table1[[#This Row],[UID]],CS3SVComposerConfig!$B$3:$D$1808,3,FALSE)</f>
        <v>DCR2023_SV_Danube_Hist_v3.dss</v>
      </c>
      <c r="K944" s="10" t="s">
        <v>2212</v>
      </c>
      <c r="L944" s="10" t="s">
        <v>2224</v>
      </c>
      <c r="M944" s="10" t="s">
        <v>2224</v>
      </c>
      <c r="N944" s="10" t="s">
        <v>2270</v>
      </c>
      <c r="O944" s="10" t="s">
        <v>2270</v>
      </c>
      <c r="P944" s="39" t="s">
        <v>2227</v>
      </c>
    </row>
    <row r="945" spans="2:16" ht="18" customHeight="1" x14ac:dyDescent="0.25">
      <c r="B945" s="21" t="s">
        <v>0</v>
      </c>
      <c r="C945" s="22" t="s">
        <v>1882</v>
      </c>
      <c r="D945" s="22" t="s">
        <v>1880</v>
      </c>
      <c r="E945" s="21" t="s">
        <v>2222</v>
      </c>
      <c r="F945" s="23" t="s">
        <v>3</v>
      </c>
      <c r="G945" s="23" t="s">
        <v>4</v>
      </c>
      <c r="H945" s="21" t="str">
        <f t="shared" si="14"/>
        <v>DEM_D_CAA220_CAALOS_PLS/DEMAND-SWP-LS</v>
      </c>
      <c r="I945" s="24" t="s">
        <v>2275</v>
      </c>
      <c r="J945" s="10" t="str">
        <f>VLOOKUP(Table1[[#This Row],[UID]],CS3SVComposerConfig!$B$3:$D$1808,3,FALSE)</f>
        <v>DCR2023_SV_Danube_Hist_v3.dss</v>
      </c>
      <c r="K945" s="10" t="s">
        <v>2212</v>
      </c>
      <c r="L945" s="10" t="s">
        <v>2224</v>
      </c>
      <c r="M945" s="10" t="s">
        <v>2224</v>
      </c>
      <c r="N945" s="10" t="s">
        <v>2270</v>
      </c>
      <c r="O945" s="10" t="s">
        <v>2270</v>
      </c>
      <c r="P945" s="39" t="s">
        <v>2227</v>
      </c>
    </row>
    <row r="946" spans="2:16" ht="18" customHeight="1" x14ac:dyDescent="0.25">
      <c r="B946" s="21" t="s">
        <v>0</v>
      </c>
      <c r="C946" s="22" t="s">
        <v>1985</v>
      </c>
      <c r="D946" s="22" t="s">
        <v>1986</v>
      </c>
      <c r="E946" s="21" t="s">
        <v>2222</v>
      </c>
      <c r="F946" s="23" t="s">
        <v>3</v>
      </c>
      <c r="G946" s="23" t="s">
        <v>4</v>
      </c>
      <c r="H946" s="21" t="str">
        <f t="shared" si="14"/>
        <v>DEM_D_CAA239_CVPRF_PRF/DEMAND-CVP-RF</v>
      </c>
      <c r="I946" s="24" t="s">
        <v>2275</v>
      </c>
      <c r="J946" s="10" t="str">
        <f>VLOOKUP(Table1[[#This Row],[UID]],CS3SVComposerConfig!$B$3:$D$1808,3,FALSE)</f>
        <v>DCR2023_SV_Danube_Hist_v3.dss</v>
      </c>
      <c r="K946" s="10" t="s">
        <v>2212</v>
      </c>
      <c r="L946" s="10" t="s">
        <v>2224</v>
      </c>
      <c r="M946" s="10" t="s">
        <v>2224</v>
      </c>
      <c r="N946" s="10" t="s">
        <v>2270</v>
      </c>
      <c r="O946" s="10" t="s">
        <v>2270</v>
      </c>
      <c r="P946" s="39" t="s">
        <v>2227</v>
      </c>
    </row>
    <row r="947" spans="2:16" ht="18" customHeight="1" x14ac:dyDescent="0.25">
      <c r="B947" s="21" t="s">
        <v>0</v>
      </c>
      <c r="C947" s="22" t="s">
        <v>1877</v>
      </c>
      <c r="D947" s="22" t="s">
        <v>43</v>
      </c>
      <c r="E947" s="21" t="s">
        <v>2222</v>
      </c>
      <c r="F947" s="23" t="s">
        <v>3</v>
      </c>
      <c r="G947" s="23" t="s">
        <v>4</v>
      </c>
      <c r="H947" s="21" t="str">
        <f t="shared" si="14"/>
        <v>DEM_D_CAA242_KERN_PIN/DEMAND-SWP-IN</v>
      </c>
      <c r="I947" s="24" t="s">
        <v>2275</v>
      </c>
      <c r="J947" s="10" t="str">
        <f>VLOOKUP(Table1[[#This Row],[UID]],CS3SVComposerConfig!$B$3:$D$1808,3,FALSE)</f>
        <v>DCR2023_SV_Danube_Hist_v3.dss</v>
      </c>
      <c r="K947" s="10" t="s">
        <v>2212</v>
      </c>
      <c r="L947" s="10" t="s">
        <v>2224</v>
      </c>
      <c r="M947" s="10" t="s">
        <v>2224</v>
      </c>
      <c r="N947" s="10" t="s">
        <v>2270</v>
      </c>
      <c r="O947" s="10" t="s">
        <v>2270</v>
      </c>
      <c r="P947" s="39" t="s">
        <v>2227</v>
      </c>
    </row>
    <row r="948" spans="2:16" ht="18" customHeight="1" x14ac:dyDescent="0.25">
      <c r="B948" s="21" t="s">
        <v>0</v>
      </c>
      <c r="C948" s="22" t="s">
        <v>1883</v>
      </c>
      <c r="D948" s="22" t="s">
        <v>1880</v>
      </c>
      <c r="E948" s="21" t="s">
        <v>2222</v>
      </c>
      <c r="F948" s="23" t="s">
        <v>3</v>
      </c>
      <c r="G948" s="23" t="s">
        <v>4</v>
      </c>
      <c r="H948" s="21" t="str">
        <f t="shared" si="14"/>
        <v>DEM_D_CAA278_CAALOS_PLS/DEMAND-SWP-LS</v>
      </c>
      <c r="I948" s="24" t="s">
        <v>2275</v>
      </c>
      <c r="J948" s="10" t="str">
        <f>VLOOKUP(Table1[[#This Row],[UID]],CS3SVComposerConfig!$B$3:$D$1808,3,FALSE)</f>
        <v>DCR2023_SV_Danube_Hist_v3.dss</v>
      </c>
      <c r="K948" s="10" t="s">
        <v>2212</v>
      </c>
      <c r="L948" s="10" t="s">
        <v>2224</v>
      </c>
      <c r="M948" s="10" t="s">
        <v>2224</v>
      </c>
      <c r="N948" s="10" t="s">
        <v>2270</v>
      </c>
      <c r="O948" s="10" t="s">
        <v>2270</v>
      </c>
      <c r="P948" s="39" t="s">
        <v>2227</v>
      </c>
    </row>
    <row r="949" spans="2:16" ht="18" customHeight="1" x14ac:dyDescent="0.25">
      <c r="B949" s="21" t="s">
        <v>0</v>
      </c>
      <c r="C949" s="22" t="s">
        <v>1884</v>
      </c>
      <c r="D949" s="22" t="s">
        <v>1880</v>
      </c>
      <c r="E949" s="21" t="s">
        <v>2222</v>
      </c>
      <c r="F949" s="23" t="s">
        <v>3</v>
      </c>
      <c r="G949" s="23" t="s">
        <v>4</v>
      </c>
      <c r="H949" s="21" t="str">
        <f t="shared" si="14"/>
        <v>DEM_D_CAA280_CAALOS_PLS/DEMAND-SWP-LS</v>
      </c>
      <c r="I949" s="24" t="s">
        <v>2275</v>
      </c>
      <c r="J949" s="10" t="str">
        <f>VLOOKUP(Table1[[#This Row],[UID]],CS3SVComposerConfig!$B$3:$D$1808,3,FALSE)</f>
        <v>DCR2023_SV_Danube_Hist_v3.dss</v>
      </c>
      <c r="K949" s="10" t="s">
        <v>2212</v>
      </c>
      <c r="L949" s="10" t="s">
        <v>2224</v>
      </c>
      <c r="M949" s="10" t="s">
        <v>2224</v>
      </c>
      <c r="N949" s="10" t="s">
        <v>2270</v>
      </c>
      <c r="O949" s="10" t="s">
        <v>2270</v>
      </c>
      <c r="P949" s="39" t="s">
        <v>2227</v>
      </c>
    </row>
    <row r="950" spans="2:16" ht="18" customHeight="1" x14ac:dyDescent="0.25">
      <c r="B950" s="21" t="s">
        <v>0</v>
      </c>
      <c r="C950" s="22" t="s">
        <v>1878</v>
      </c>
      <c r="D950" s="22" t="s">
        <v>43</v>
      </c>
      <c r="E950" s="21" t="s">
        <v>2222</v>
      </c>
      <c r="F950" s="23" t="s">
        <v>3</v>
      </c>
      <c r="G950" s="23" t="s">
        <v>4</v>
      </c>
      <c r="H950" s="21" t="str">
        <f t="shared" si="14"/>
        <v>DEM_D_CSB009_CLRTA1_DDWD_PIN/DEMAND-SWP-IN</v>
      </c>
      <c r="I950" s="24" t="s">
        <v>2275</v>
      </c>
      <c r="J950" s="10" t="str">
        <f>VLOOKUP(Table1[[#This Row],[UID]],CS3SVComposerConfig!$B$3:$D$1808,3,FALSE)</f>
        <v>DCR2023_SV_Danube_Hist_v3.dss</v>
      </c>
      <c r="K950" s="10" t="s">
        <v>2212</v>
      </c>
      <c r="L950" s="10" t="s">
        <v>2224</v>
      </c>
      <c r="M950" s="10" t="s">
        <v>2224</v>
      </c>
      <c r="N950" s="10" t="s">
        <v>2270</v>
      </c>
      <c r="O950" s="10" t="s">
        <v>2270</v>
      </c>
      <c r="P950" s="39" t="s">
        <v>2227</v>
      </c>
    </row>
    <row r="951" spans="2:16" ht="18" customHeight="1" x14ac:dyDescent="0.25">
      <c r="B951" s="21" t="s">
        <v>0</v>
      </c>
      <c r="C951" s="22" t="s">
        <v>286</v>
      </c>
      <c r="D951" s="22" t="s">
        <v>43</v>
      </c>
      <c r="E951" s="21" t="s">
        <v>2222</v>
      </c>
      <c r="F951" s="23" t="s">
        <v>3</v>
      </c>
      <c r="G951" s="23" t="s">
        <v>4</v>
      </c>
      <c r="H951" s="21" t="str">
        <f t="shared" si="14"/>
        <v>DEM_D_CSB038_OBISPO_PIN/DEMAND-SWP-IN</v>
      </c>
      <c r="I951" s="24" t="s">
        <v>2275</v>
      </c>
      <c r="J951" s="10" t="str">
        <f>VLOOKUP(Table1[[#This Row],[UID]],CS3SVComposerConfig!$B$3:$D$1808,3,FALSE)</f>
        <v>DCR2023_SV_Danube_Hist_v3.dss</v>
      </c>
      <c r="K951" s="10" t="s">
        <v>2212</v>
      </c>
      <c r="L951" s="10" t="s">
        <v>2224</v>
      </c>
      <c r="M951" s="10" t="s">
        <v>2224</v>
      </c>
      <c r="N951" s="10" t="s">
        <v>2270</v>
      </c>
      <c r="O951" s="10" t="s">
        <v>2270</v>
      </c>
      <c r="P951" s="39" t="s">
        <v>2227</v>
      </c>
    </row>
    <row r="952" spans="2:16" ht="18" customHeight="1" x14ac:dyDescent="0.25">
      <c r="B952" s="21" t="s">
        <v>0</v>
      </c>
      <c r="C952" s="22" t="s">
        <v>288</v>
      </c>
      <c r="D952" s="22" t="s">
        <v>43</v>
      </c>
      <c r="E952" s="21" t="s">
        <v>2222</v>
      </c>
      <c r="F952" s="23" t="s">
        <v>3</v>
      </c>
      <c r="G952" s="23" t="s">
        <v>4</v>
      </c>
      <c r="H952" s="21" t="str">
        <f t="shared" si="14"/>
        <v>DEM_D_CSB103_BRBRA_PIN/DEMAND-SWP-IN</v>
      </c>
      <c r="I952" s="24" t="s">
        <v>2275</v>
      </c>
      <c r="J952" s="10" t="str">
        <f>VLOOKUP(Table1[[#This Row],[UID]],CS3SVComposerConfig!$B$3:$D$1808,3,FALSE)</f>
        <v>DCR2023_SV_Danube_Hist_v3.dss</v>
      </c>
      <c r="K952" s="10" t="s">
        <v>2212</v>
      </c>
      <c r="L952" s="10" t="s">
        <v>2224</v>
      </c>
      <c r="M952" s="10" t="s">
        <v>2224</v>
      </c>
      <c r="N952" s="10" t="s">
        <v>2270</v>
      </c>
      <c r="O952" s="10" t="s">
        <v>2270</v>
      </c>
      <c r="P952" s="39" t="s">
        <v>2227</v>
      </c>
    </row>
    <row r="953" spans="2:16" ht="18" customHeight="1" x14ac:dyDescent="0.25">
      <c r="B953" s="21" t="s">
        <v>0</v>
      </c>
      <c r="C953" s="22" t="s">
        <v>290</v>
      </c>
      <c r="D953" s="22" t="s">
        <v>43</v>
      </c>
      <c r="E953" s="21" t="s">
        <v>2222</v>
      </c>
      <c r="F953" s="23" t="s">
        <v>3</v>
      </c>
      <c r="G953" s="23" t="s">
        <v>4</v>
      </c>
      <c r="H953" s="21" t="str">
        <f t="shared" si="14"/>
        <v>DEM_D_CSTIC_VNTRA_PIN/DEMAND-SWP-IN</v>
      </c>
      <c r="I953" s="24" t="s">
        <v>2275</v>
      </c>
      <c r="J953" s="10" t="str">
        <f>VLOOKUP(Table1[[#This Row],[UID]],CS3SVComposerConfig!$B$3:$D$1808,3,FALSE)</f>
        <v>DCR2023_SV_Danube_Hist_v3.dss</v>
      </c>
      <c r="K953" s="10" t="s">
        <v>2212</v>
      </c>
      <c r="L953" s="10" t="s">
        <v>2224</v>
      </c>
      <c r="M953" s="10" t="s">
        <v>2224</v>
      </c>
      <c r="N953" s="10" t="s">
        <v>2270</v>
      </c>
      <c r="O953" s="10" t="s">
        <v>2270</v>
      </c>
      <c r="P953" s="39" t="s">
        <v>2227</v>
      </c>
    </row>
    <row r="954" spans="2:16" ht="18" customHeight="1" x14ac:dyDescent="0.25">
      <c r="B954" s="21" t="s">
        <v>0</v>
      </c>
      <c r="C954" s="22" t="s">
        <v>292</v>
      </c>
      <c r="D954" s="22" t="s">
        <v>43</v>
      </c>
      <c r="E954" s="21" t="s">
        <v>2222</v>
      </c>
      <c r="F954" s="23" t="s">
        <v>3</v>
      </c>
      <c r="G954" s="23" t="s">
        <v>4</v>
      </c>
      <c r="H954" s="21" t="str">
        <f t="shared" si="14"/>
        <v>DEM_D_ESB324_AVEK_PIN/DEMAND-SWP-IN</v>
      </c>
      <c r="I954" s="24" t="s">
        <v>2275</v>
      </c>
      <c r="J954" s="10" t="str">
        <f>VLOOKUP(Table1[[#This Row],[UID]],CS3SVComposerConfig!$B$3:$D$1808,3,FALSE)</f>
        <v>DCR2023_SV_Danube_Hist_v3.dss</v>
      </c>
      <c r="K954" s="10" t="s">
        <v>2212</v>
      </c>
      <c r="L954" s="10" t="s">
        <v>2224</v>
      </c>
      <c r="M954" s="10" t="s">
        <v>2224</v>
      </c>
      <c r="N954" s="10" t="s">
        <v>2270</v>
      </c>
      <c r="O954" s="10" t="s">
        <v>2270</v>
      </c>
      <c r="P954" s="39" t="s">
        <v>2227</v>
      </c>
    </row>
    <row r="955" spans="2:16" ht="18" customHeight="1" x14ac:dyDescent="0.25">
      <c r="B955" s="21" t="s">
        <v>0</v>
      </c>
      <c r="C955" s="22" t="s">
        <v>294</v>
      </c>
      <c r="D955" s="22" t="s">
        <v>43</v>
      </c>
      <c r="E955" s="21" t="s">
        <v>2222</v>
      </c>
      <c r="F955" s="23" t="s">
        <v>3</v>
      </c>
      <c r="G955" s="23" t="s">
        <v>4</v>
      </c>
      <c r="H955" s="21" t="str">
        <f t="shared" si="14"/>
        <v>DEM_D_ESB347_PLMDL_PIN/DEMAND-SWP-IN</v>
      </c>
      <c r="I955" s="24" t="s">
        <v>2275</v>
      </c>
      <c r="J955" s="10" t="str">
        <f>VLOOKUP(Table1[[#This Row],[UID]],CS3SVComposerConfig!$B$3:$D$1808,3,FALSE)</f>
        <v>DCR2023_SV_Danube_Hist_v3.dss</v>
      </c>
      <c r="K955" s="10" t="s">
        <v>2212</v>
      </c>
      <c r="L955" s="10" t="s">
        <v>2224</v>
      </c>
      <c r="M955" s="10" t="s">
        <v>2224</v>
      </c>
      <c r="N955" s="10" t="s">
        <v>2270</v>
      </c>
      <c r="O955" s="10" t="s">
        <v>2270</v>
      </c>
      <c r="P955" s="39" t="s">
        <v>2227</v>
      </c>
    </row>
    <row r="956" spans="2:16" ht="18" customHeight="1" x14ac:dyDescent="0.25">
      <c r="B956" s="21" t="s">
        <v>0</v>
      </c>
      <c r="C956" s="22" t="s">
        <v>2280</v>
      </c>
      <c r="D956" s="22" t="s">
        <v>43</v>
      </c>
      <c r="E956" s="21" t="s">
        <v>2222</v>
      </c>
      <c r="F956" s="23" t="s">
        <v>3</v>
      </c>
      <c r="G956" s="23" t="s">
        <v>4</v>
      </c>
      <c r="H956" s="21" t="str">
        <f t="shared" si="14"/>
        <v>DEM_D_ESB355_LROCK_PIN/DEMAND-SWP-IN</v>
      </c>
      <c r="I956" s="24" t="s">
        <v>2275</v>
      </c>
      <c r="J956" s="10" t="str">
        <f>VLOOKUP(Table1[[#This Row],[UID]],CS3SVComposerConfig!$B$3:$D$1808,3,FALSE)</f>
        <v>DCR2023_SV_Danube_Hist_v3.dss</v>
      </c>
      <c r="K956" s="10" t="s">
        <v>2212</v>
      </c>
      <c r="L956" s="10" t="s">
        <v>2224</v>
      </c>
      <c r="M956" s="10" t="s">
        <v>2224</v>
      </c>
      <c r="N956" s="10" t="s">
        <v>2270</v>
      </c>
      <c r="O956" s="10" t="s">
        <v>2270</v>
      </c>
      <c r="P956" s="39" t="s">
        <v>2227</v>
      </c>
    </row>
    <row r="957" spans="2:16" ht="18" customHeight="1" x14ac:dyDescent="0.25">
      <c r="B957" s="21" t="s">
        <v>0</v>
      </c>
      <c r="C957" s="22" t="s">
        <v>1885</v>
      </c>
      <c r="D957" s="22" t="s">
        <v>1880</v>
      </c>
      <c r="E957" s="21" t="s">
        <v>2222</v>
      </c>
      <c r="F957" s="23" t="s">
        <v>3</v>
      </c>
      <c r="G957" s="23" t="s">
        <v>4</v>
      </c>
      <c r="H957" s="21" t="str">
        <f t="shared" si="14"/>
        <v>DEM_D_ESB361_ESBLOS_PLS/DEMAND-SWP-LS</v>
      </c>
      <c r="I957" s="24" t="s">
        <v>2275</v>
      </c>
      <c r="J957" s="10" t="str">
        <f>VLOOKUP(Table1[[#This Row],[UID]],CS3SVComposerConfig!$B$3:$D$1808,3,FALSE)</f>
        <v>DCR2023_SV_Danube_Hist_v3.dss</v>
      </c>
      <c r="K957" s="10" t="s">
        <v>2212</v>
      </c>
      <c r="L957" s="10" t="s">
        <v>2224</v>
      </c>
      <c r="M957" s="10" t="s">
        <v>2224</v>
      </c>
      <c r="N957" s="10" t="s">
        <v>2270</v>
      </c>
      <c r="O957" s="10" t="s">
        <v>2270</v>
      </c>
      <c r="P957" s="39" t="s">
        <v>2227</v>
      </c>
    </row>
    <row r="958" spans="2:16" ht="18" customHeight="1" x14ac:dyDescent="0.25">
      <c r="B958" s="21" t="s">
        <v>0</v>
      </c>
      <c r="C958" s="22" t="s">
        <v>2281</v>
      </c>
      <c r="D958" s="22" t="s">
        <v>43</v>
      </c>
      <c r="E958" s="21" t="s">
        <v>2222</v>
      </c>
      <c r="F958" s="23" t="s">
        <v>3</v>
      </c>
      <c r="G958" s="23" t="s">
        <v>4</v>
      </c>
      <c r="H958" s="21" t="str">
        <f t="shared" si="14"/>
        <v>DEM_D_ESB403_MOJVE_PIN/DEMAND-SWP-IN</v>
      </c>
      <c r="I958" s="24" t="s">
        <v>2275</v>
      </c>
      <c r="J958" s="10" t="str">
        <f>VLOOKUP(Table1[[#This Row],[UID]],CS3SVComposerConfig!$B$3:$D$1808,3,FALSE)</f>
        <v>DCR2023_SV_Danube_Hist_v3.dss</v>
      </c>
      <c r="K958" s="10" t="s">
        <v>2212</v>
      </c>
      <c r="L958" s="10" t="s">
        <v>2224</v>
      </c>
      <c r="M958" s="10" t="s">
        <v>2224</v>
      </c>
      <c r="N958" s="10" t="s">
        <v>2270</v>
      </c>
      <c r="O958" s="10" t="s">
        <v>2270</v>
      </c>
      <c r="P958" s="39" t="s">
        <v>2227</v>
      </c>
    </row>
    <row r="959" spans="2:16" ht="18" customHeight="1" x14ac:dyDescent="0.25">
      <c r="B959" s="21" t="s">
        <v>0</v>
      </c>
      <c r="C959" s="22" t="s">
        <v>1886</v>
      </c>
      <c r="D959" s="22" t="s">
        <v>1880</v>
      </c>
      <c r="E959" s="21" t="s">
        <v>2222</v>
      </c>
      <c r="F959" s="23" t="s">
        <v>3</v>
      </c>
      <c r="G959" s="23" t="s">
        <v>4</v>
      </c>
      <c r="H959" s="21" t="str">
        <f t="shared" si="14"/>
        <v>DEM_D_ESB406_ESBLOS_PLS/DEMAND-SWP-LS</v>
      </c>
      <c r="I959" s="24" t="s">
        <v>2275</v>
      </c>
      <c r="J959" s="10" t="str">
        <f>VLOOKUP(Table1[[#This Row],[UID]],CS3SVComposerConfig!$B$3:$D$1808,3,FALSE)</f>
        <v>DCR2023_SV_Danube_Hist_v3.dss</v>
      </c>
      <c r="K959" s="10" t="s">
        <v>2212</v>
      </c>
      <c r="L959" s="10" t="s">
        <v>2224</v>
      </c>
      <c r="M959" s="10" t="s">
        <v>2224</v>
      </c>
      <c r="N959" s="10" t="s">
        <v>2270</v>
      </c>
      <c r="O959" s="10" t="s">
        <v>2270</v>
      </c>
      <c r="P959" s="39" t="s">
        <v>2227</v>
      </c>
    </row>
    <row r="960" spans="2:16" ht="18" customHeight="1" x14ac:dyDescent="0.25">
      <c r="B960" s="21" t="s">
        <v>0</v>
      </c>
      <c r="C960" s="22" t="s">
        <v>296</v>
      </c>
      <c r="D960" s="22" t="s">
        <v>43</v>
      </c>
      <c r="E960" s="21" t="s">
        <v>2222</v>
      </c>
      <c r="F960" s="23" t="s">
        <v>3</v>
      </c>
      <c r="G960" s="23" t="s">
        <v>4</v>
      </c>
      <c r="H960" s="21" t="str">
        <f t="shared" si="14"/>
        <v>DEM_D_ESB407_CCHLA_PIN/DEMAND-SWP-IN</v>
      </c>
      <c r="I960" s="24" t="s">
        <v>2275</v>
      </c>
      <c r="J960" s="10" t="str">
        <f>VLOOKUP(Table1[[#This Row],[UID]],CS3SVComposerConfig!$B$3:$D$1808,3,FALSE)</f>
        <v>DCR2023_SV_Danube_Hist_v3.dss</v>
      </c>
      <c r="K960" s="10" t="s">
        <v>2212</v>
      </c>
      <c r="L960" s="10" t="s">
        <v>2224</v>
      </c>
      <c r="M960" s="10" t="s">
        <v>2224</v>
      </c>
      <c r="N960" s="10" t="s">
        <v>2270</v>
      </c>
      <c r="O960" s="10" t="s">
        <v>2270</v>
      </c>
      <c r="P960" s="39" t="s">
        <v>2227</v>
      </c>
    </row>
    <row r="961" spans="2:16" ht="18" customHeight="1" x14ac:dyDescent="0.25">
      <c r="B961" s="21" t="s">
        <v>0</v>
      </c>
      <c r="C961" s="22" t="s">
        <v>298</v>
      </c>
      <c r="D961" s="22" t="s">
        <v>43</v>
      </c>
      <c r="E961" s="21" t="s">
        <v>2222</v>
      </c>
      <c r="F961" s="23" t="s">
        <v>3</v>
      </c>
      <c r="G961" s="23" t="s">
        <v>4</v>
      </c>
      <c r="H961" s="21" t="str">
        <f t="shared" si="14"/>
        <v>DEM_D_ESB408_DESRT_PIN/DEMAND-SWP-IN</v>
      </c>
      <c r="I961" s="24" t="s">
        <v>2275</v>
      </c>
      <c r="J961" s="10" t="str">
        <f>VLOOKUP(Table1[[#This Row],[UID]],CS3SVComposerConfig!$B$3:$D$1808,3,FALSE)</f>
        <v>DCR2023_SV_Danube_Hist_v3.dss</v>
      </c>
      <c r="K961" s="10" t="s">
        <v>2212</v>
      </c>
      <c r="L961" s="10" t="s">
        <v>2224</v>
      </c>
      <c r="M961" s="10" t="s">
        <v>2224</v>
      </c>
      <c r="N961" s="10" t="s">
        <v>2270</v>
      </c>
      <c r="O961" s="10" t="s">
        <v>2270</v>
      </c>
      <c r="P961" s="39" t="s">
        <v>2227</v>
      </c>
    </row>
    <row r="962" spans="2:16" ht="18" customHeight="1" x14ac:dyDescent="0.25">
      <c r="B962" s="21" t="s">
        <v>0</v>
      </c>
      <c r="C962" s="22" t="s">
        <v>300</v>
      </c>
      <c r="D962" s="22" t="s">
        <v>43</v>
      </c>
      <c r="E962" s="21" t="s">
        <v>2222</v>
      </c>
      <c r="F962" s="23" t="s">
        <v>3</v>
      </c>
      <c r="G962" s="23" t="s">
        <v>4</v>
      </c>
      <c r="H962" s="21" t="str">
        <f t="shared" si="14"/>
        <v>DEM_D_ESB413_MWDSC_PIN/DEMAND-SWP-IN</v>
      </c>
      <c r="I962" s="24" t="s">
        <v>2275</v>
      </c>
      <c r="J962" s="10" t="str">
        <f>VLOOKUP(Table1[[#This Row],[UID]],CS3SVComposerConfig!$B$3:$D$1808,3,FALSE)</f>
        <v>DCR2023_SV_Danube_Hist_v3.dss</v>
      </c>
      <c r="K962" s="10" t="s">
        <v>2212</v>
      </c>
      <c r="L962" s="10" t="s">
        <v>2224</v>
      </c>
      <c r="M962" s="10" t="s">
        <v>2224</v>
      </c>
      <c r="N962" s="10" t="s">
        <v>2270</v>
      </c>
      <c r="O962" s="10" t="s">
        <v>2270</v>
      </c>
      <c r="P962" s="39" t="s">
        <v>2227</v>
      </c>
    </row>
    <row r="963" spans="2:16" ht="18" customHeight="1" x14ac:dyDescent="0.25">
      <c r="B963" s="21" t="s">
        <v>0</v>
      </c>
      <c r="C963" s="22" t="s">
        <v>302</v>
      </c>
      <c r="D963" s="22" t="s">
        <v>43</v>
      </c>
      <c r="E963" s="21" t="s">
        <v>2222</v>
      </c>
      <c r="F963" s="23" t="s">
        <v>3</v>
      </c>
      <c r="G963" s="23" t="s">
        <v>4</v>
      </c>
      <c r="H963" s="21" t="str">
        <f t="shared" ref="H963:H1026" si="15">_xlfn.CONCAT(C963,"/",D963)</f>
        <v>DEM_D_ESB414_BRDNO_PIN/DEMAND-SWP-IN</v>
      </c>
      <c r="I963" s="24" t="s">
        <v>2275</v>
      </c>
      <c r="J963" s="10" t="str">
        <f>VLOOKUP(Table1[[#This Row],[UID]],CS3SVComposerConfig!$B$3:$D$1808,3,FALSE)</f>
        <v>DCR2023_SV_Danube_Hist_v3.dss</v>
      </c>
      <c r="K963" s="10" t="s">
        <v>2212</v>
      </c>
      <c r="L963" s="10" t="s">
        <v>2224</v>
      </c>
      <c r="M963" s="10" t="s">
        <v>2224</v>
      </c>
      <c r="N963" s="10" t="s">
        <v>2270</v>
      </c>
      <c r="O963" s="10" t="s">
        <v>2270</v>
      </c>
      <c r="P963" s="39" t="s">
        <v>2227</v>
      </c>
    </row>
    <row r="964" spans="2:16" ht="18" customHeight="1" x14ac:dyDescent="0.25">
      <c r="B964" s="21" t="s">
        <v>0</v>
      </c>
      <c r="C964" s="22" t="s">
        <v>1096</v>
      </c>
      <c r="D964" s="22" t="s">
        <v>43</v>
      </c>
      <c r="E964" s="21" t="s">
        <v>2222</v>
      </c>
      <c r="F964" s="23" t="s">
        <v>3</v>
      </c>
      <c r="G964" s="23" t="s">
        <v>4</v>
      </c>
      <c r="H964" s="21" t="str">
        <f t="shared" si="15"/>
        <v>DEM_D_ESB415_GABRL_PIN/DEMAND-SWP-IN</v>
      </c>
      <c r="I964" s="24" t="s">
        <v>2275</v>
      </c>
      <c r="J964" s="10" t="str">
        <f>VLOOKUP(Table1[[#This Row],[UID]],CS3SVComposerConfig!$B$3:$D$1808,3,FALSE)</f>
        <v>DCR2023_SV_Danube_Hist_v3.dss</v>
      </c>
      <c r="K964" s="10" t="s">
        <v>2212</v>
      </c>
      <c r="L964" s="10" t="s">
        <v>2224</v>
      </c>
      <c r="M964" s="10" t="s">
        <v>2224</v>
      </c>
      <c r="N964" s="10" t="s">
        <v>2270</v>
      </c>
      <c r="O964" s="10" t="s">
        <v>2270</v>
      </c>
      <c r="P964" s="39" t="s">
        <v>2227</v>
      </c>
    </row>
    <row r="965" spans="2:16" ht="18" customHeight="1" x14ac:dyDescent="0.25">
      <c r="B965" s="21" t="s">
        <v>0</v>
      </c>
      <c r="C965" s="22" t="s">
        <v>1098</v>
      </c>
      <c r="D965" s="22" t="s">
        <v>43</v>
      </c>
      <c r="E965" s="21" t="s">
        <v>2222</v>
      </c>
      <c r="F965" s="23" t="s">
        <v>3</v>
      </c>
      <c r="G965" s="23" t="s">
        <v>4</v>
      </c>
      <c r="H965" s="21" t="str">
        <f t="shared" si="15"/>
        <v>DEM_D_ESB420_GRGNO_PIN/DEMAND-SWP-IN</v>
      </c>
      <c r="I965" s="24" t="s">
        <v>2275</v>
      </c>
      <c r="J965" s="10" t="str">
        <f>VLOOKUP(Table1[[#This Row],[UID]],CS3SVComposerConfig!$B$3:$D$1808,3,FALSE)</f>
        <v>DCR2023_SV_Danube_Hist_v3.dss</v>
      </c>
      <c r="K965" s="10" t="s">
        <v>2212</v>
      </c>
      <c r="L965" s="10" t="s">
        <v>2224</v>
      </c>
      <c r="M965" s="10" t="s">
        <v>2224</v>
      </c>
      <c r="N965" s="10" t="s">
        <v>2270</v>
      </c>
      <c r="O965" s="10" t="s">
        <v>2270</v>
      </c>
      <c r="P965" s="39" t="s">
        <v>2227</v>
      </c>
    </row>
    <row r="966" spans="2:16" ht="18" customHeight="1" x14ac:dyDescent="0.25">
      <c r="B966" s="21" t="s">
        <v>0</v>
      </c>
      <c r="C966" s="22" t="s">
        <v>1887</v>
      </c>
      <c r="D966" s="22" t="s">
        <v>1880</v>
      </c>
      <c r="E966" s="21" t="s">
        <v>2222</v>
      </c>
      <c r="F966" s="23" t="s">
        <v>3</v>
      </c>
      <c r="G966" s="23" t="s">
        <v>4</v>
      </c>
      <c r="H966" s="21" t="str">
        <f t="shared" si="15"/>
        <v>DEM_D_ESB425_ESBLOS_PLS/DEMAND-SWP-LS</v>
      </c>
      <c r="I966" s="24" t="s">
        <v>2275</v>
      </c>
      <c r="J966" s="10" t="str">
        <f>VLOOKUP(Table1[[#This Row],[UID]],CS3SVComposerConfig!$B$3:$D$1808,3,FALSE)</f>
        <v>DCR2023_SV_Danube_Hist_v3.dss</v>
      </c>
      <c r="K966" s="10" t="s">
        <v>2212</v>
      </c>
      <c r="L966" s="10" t="s">
        <v>2224</v>
      </c>
      <c r="M966" s="10" t="s">
        <v>2224</v>
      </c>
      <c r="N966" s="10" t="s">
        <v>2270</v>
      </c>
      <c r="O966" s="10" t="s">
        <v>2270</v>
      </c>
      <c r="P966" s="39" t="s">
        <v>2227</v>
      </c>
    </row>
    <row r="967" spans="2:16" ht="18" customHeight="1" x14ac:dyDescent="0.25">
      <c r="B967" s="21" t="s">
        <v>0</v>
      </c>
      <c r="C967" s="22" t="s">
        <v>1100</v>
      </c>
      <c r="D967" s="22" t="s">
        <v>43</v>
      </c>
      <c r="E967" s="21" t="s">
        <v>2222</v>
      </c>
      <c r="F967" s="23" t="s">
        <v>3</v>
      </c>
      <c r="G967" s="23" t="s">
        <v>4</v>
      </c>
      <c r="H967" s="21" t="str">
        <f t="shared" si="15"/>
        <v>DEM_D_ESB433_MWDSC_PIN/DEMAND-SWP-IN</v>
      </c>
      <c r="I967" s="24" t="s">
        <v>2275</v>
      </c>
      <c r="J967" s="10" t="str">
        <f>VLOOKUP(Table1[[#This Row],[UID]],CS3SVComposerConfig!$B$3:$D$1808,3,FALSE)</f>
        <v>DCR2023_SV_Danube_Hist_v3.dss</v>
      </c>
      <c r="K967" s="10" t="s">
        <v>2212</v>
      </c>
      <c r="L967" s="10" t="s">
        <v>2224</v>
      </c>
      <c r="M967" s="10" t="s">
        <v>2224</v>
      </c>
      <c r="N967" s="10" t="s">
        <v>2270</v>
      </c>
      <c r="O967" s="10" t="s">
        <v>2270</v>
      </c>
      <c r="P967" s="39" t="s">
        <v>2227</v>
      </c>
    </row>
    <row r="968" spans="2:16" ht="18" customHeight="1" x14ac:dyDescent="0.25">
      <c r="B968" s="21" t="s">
        <v>0</v>
      </c>
      <c r="C968" s="22" t="s">
        <v>1102</v>
      </c>
      <c r="D968" s="22" t="s">
        <v>43</v>
      </c>
      <c r="E968" s="21" t="s">
        <v>2222</v>
      </c>
      <c r="F968" s="23" t="s">
        <v>3</v>
      </c>
      <c r="G968" s="23" t="s">
        <v>4</v>
      </c>
      <c r="H968" s="21" t="str">
        <f t="shared" si="15"/>
        <v>DEM_D_PRRIS_MWDSC_PIN/DEMAND-SWP-IN</v>
      </c>
      <c r="I968" s="24" t="s">
        <v>2275</v>
      </c>
      <c r="J968" s="10" t="str">
        <f>VLOOKUP(Table1[[#This Row],[UID]],CS3SVComposerConfig!$B$3:$D$1808,3,FALSE)</f>
        <v>DCR2023_SV_Danube_Hist_v3.dss</v>
      </c>
      <c r="K968" s="10" t="s">
        <v>2212</v>
      </c>
      <c r="L968" s="10" t="s">
        <v>2224</v>
      </c>
      <c r="M968" s="10" t="s">
        <v>2224</v>
      </c>
      <c r="N968" s="10" t="s">
        <v>2270</v>
      </c>
      <c r="O968" s="10" t="s">
        <v>2270</v>
      </c>
      <c r="P968" s="39" t="s">
        <v>2227</v>
      </c>
    </row>
    <row r="969" spans="2:16" ht="18" customHeight="1" x14ac:dyDescent="0.25">
      <c r="B969" s="21" t="s">
        <v>0</v>
      </c>
      <c r="C969" s="22" t="s">
        <v>1104</v>
      </c>
      <c r="D969" s="22" t="s">
        <v>43</v>
      </c>
      <c r="E969" s="21" t="s">
        <v>2222</v>
      </c>
      <c r="F969" s="23" t="s">
        <v>3</v>
      </c>
      <c r="G969" s="23" t="s">
        <v>4</v>
      </c>
      <c r="H969" s="21" t="str">
        <f t="shared" si="15"/>
        <v>DEM_D_SBA009_ACFC_PIN/DEMAND-SWP-IN</v>
      </c>
      <c r="I969" s="24" t="s">
        <v>2275</v>
      </c>
      <c r="J969" s="10" t="str">
        <f>VLOOKUP(Table1[[#This Row],[UID]],CS3SVComposerConfig!$B$3:$D$1808,3,FALSE)</f>
        <v>DCR2023_SV_Danube_Hist_v3.dss</v>
      </c>
      <c r="K969" s="10" t="s">
        <v>2212</v>
      </c>
      <c r="L969" s="10" t="s">
        <v>2224</v>
      </c>
      <c r="M969" s="10" t="s">
        <v>2224</v>
      </c>
      <c r="N969" s="10" t="s">
        <v>2270</v>
      </c>
      <c r="O969" s="10" t="s">
        <v>2270</v>
      </c>
      <c r="P969" s="39" t="s">
        <v>2227</v>
      </c>
    </row>
    <row r="970" spans="2:16" ht="18" customHeight="1" x14ac:dyDescent="0.25">
      <c r="B970" s="21" t="s">
        <v>0</v>
      </c>
      <c r="C970" s="22" t="s">
        <v>1106</v>
      </c>
      <c r="D970" s="22" t="s">
        <v>43</v>
      </c>
      <c r="E970" s="21" t="s">
        <v>2222</v>
      </c>
      <c r="F970" s="23" t="s">
        <v>3</v>
      </c>
      <c r="G970" s="23" t="s">
        <v>4</v>
      </c>
      <c r="H970" s="21" t="str">
        <f t="shared" si="15"/>
        <v>DEM_D_SBA029_ACWD_PIN/DEMAND-SWP-IN</v>
      </c>
      <c r="I970" s="24" t="s">
        <v>2275</v>
      </c>
      <c r="J970" s="10" t="str">
        <f>VLOOKUP(Table1[[#This Row],[UID]],CS3SVComposerConfig!$B$3:$D$1808,3,FALSE)</f>
        <v>DCR2023_SV_Danube_Hist_v3.dss</v>
      </c>
      <c r="K970" s="10" t="s">
        <v>2212</v>
      </c>
      <c r="L970" s="10" t="s">
        <v>2224</v>
      </c>
      <c r="M970" s="10" t="s">
        <v>2224</v>
      </c>
      <c r="N970" s="10" t="s">
        <v>2270</v>
      </c>
      <c r="O970" s="10" t="s">
        <v>2270</v>
      </c>
      <c r="P970" s="39" t="s">
        <v>2227</v>
      </c>
    </row>
    <row r="971" spans="2:16" ht="18" customHeight="1" x14ac:dyDescent="0.25">
      <c r="B971" s="21" t="s">
        <v>0</v>
      </c>
      <c r="C971" s="22" t="s">
        <v>1108</v>
      </c>
      <c r="D971" s="22" t="s">
        <v>43</v>
      </c>
      <c r="E971" s="21" t="s">
        <v>2222</v>
      </c>
      <c r="F971" s="23" t="s">
        <v>3</v>
      </c>
      <c r="G971" s="23" t="s">
        <v>4</v>
      </c>
      <c r="H971" s="21" t="str">
        <f t="shared" si="15"/>
        <v>DEM_D_SBA036_SCVWD_PIN/DEMAND-SWP-IN</v>
      </c>
      <c r="I971" s="24" t="s">
        <v>2275</v>
      </c>
      <c r="J971" s="10" t="str">
        <f>VLOOKUP(Table1[[#This Row],[UID]],CS3SVComposerConfig!$B$3:$D$1808,3,FALSE)</f>
        <v>DCR2023_SV_Danube_Hist_v3.dss</v>
      </c>
      <c r="K971" s="10" t="s">
        <v>2212</v>
      </c>
      <c r="L971" s="10" t="s">
        <v>2224</v>
      </c>
      <c r="M971" s="10" t="s">
        <v>2224</v>
      </c>
      <c r="N971" s="10" t="s">
        <v>2270</v>
      </c>
      <c r="O971" s="10" t="s">
        <v>2270</v>
      </c>
      <c r="P971" s="39" t="s">
        <v>2227</v>
      </c>
    </row>
    <row r="972" spans="2:16" ht="18" customHeight="1" x14ac:dyDescent="0.25">
      <c r="B972" s="21" t="s">
        <v>0</v>
      </c>
      <c r="C972" s="22" t="s">
        <v>1888</v>
      </c>
      <c r="D972" s="22" t="s">
        <v>1880</v>
      </c>
      <c r="E972" s="21" t="s">
        <v>2222</v>
      </c>
      <c r="F972" s="23" t="s">
        <v>3</v>
      </c>
      <c r="G972" s="23" t="s">
        <v>4</v>
      </c>
      <c r="H972" s="21" t="str">
        <f t="shared" si="15"/>
        <v>DEM_D_SBA042_SBALOS_PLS/DEMAND-SWP-LS</v>
      </c>
      <c r="I972" s="24" t="s">
        <v>2275</v>
      </c>
      <c r="J972" s="10" t="str">
        <f>VLOOKUP(Table1[[#This Row],[UID]],CS3SVComposerConfig!$B$3:$D$1808,3,FALSE)</f>
        <v>DCR2023_SV_Danube_Hist_v3.dss</v>
      </c>
      <c r="K972" s="10" t="s">
        <v>2212</v>
      </c>
      <c r="L972" s="10" t="s">
        <v>2224</v>
      </c>
      <c r="M972" s="10" t="s">
        <v>2224</v>
      </c>
      <c r="N972" s="10" t="s">
        <v>2270</v>
      </c>
      <c r="O972" s="10" t="s">
        <v>2270</v>
      </c>
      <c r="P972" s="39" t="s">
        <v>2227</v>
      </c>
    </row>
    <row r="973" spans="2:16" ht="18" customHeight="1" x14ac:dyDescent="0.25">
      <c r="B973" s="21" t="s">
        <v>0</v>
      </c>
      <c r="C973" s="22" t="s">
        <v>1889</v>
      </c>
      <c r="D973" s="22" t="s">
        <v>1880</v>
      </c>
      <c r="E973" s="21" t="s">
        <v>2222</v>
      </c>
      <c r="F973" s="23" t="s">
        <v>3</v>
      </c>
      <c r="G973" s="23" t="s">
        <v>4</v>
      </c>
      <c r="H973" s="21" t="str">
        <f t="shared" si="15"/>
        <v>DEM_D_WSB006_WSBLOS_PLS/DEMAND-SWP-LS</v>
      </c>
      <c r="I973" s="24" t="s">
        <v>2275</v>
      </c>
      <c r="J973" s="10" t="str">
        <f>VLOOKUP(Table1[[#This Row],[UID]],CS3SVComposerConfig!$B$3:$D$1808,3,FALSE)</f>
        <v>DCR2023_SV_Danube_Hist_v3.dss</v>
      </c>
      <c r="K973" s="10" t="s">
        <v>2212</v>
      </c>
      <c r="L973" s="10" t="s">
        <v>2224</v>
      </c>
      <c r="M973" s="10" t="s">
        <v>2224</v>
      </c>
      <c r="N973" s="10" t="s">
        <v>2270</v>
      </c>
      <c r="O973" s="10" t="s">
        <v>2270</v>
      </c>
      <c r="P973" s="39" t="s">
        <v>2227</v>
      </c>
    </row>
    <row r="974" spans="2:16" ht="18" customHeight="1" x14ac:dyDescent="0.25">
      <c r="B974" s="21" t="s">
        <v>0</v>
      </c>
      <c r="C974" s="22" t="s">
        <v>1890</v>
      </c>
      <c r="D974" s="22" t="s">
        <v>1880</v>
      </c>
      <c r="E974" s="21" t="s">
        <v>2222</v>
      </c>
      <c r="F974" s="23" t="s">
        <v>3</v>
      </c>
      <c r="G974" s="23" t="s">
        <v>4</v>
      </c>
      <c r="H974" s="21" t="str">
        <f t="shared" si="15"/>
        <v>DEM_D_WSB026_WSBLOS_PLS/DEMAND-SWP-LS</v>
      </c>
      <c r="I974" s="24" t="s">
        <v>2275</v>
      </c>
      <c r="J974" s="10" t="str">
        <f>VLOOKUP(Table1[[#This Row],[UID]],CS3SVComposerConfig!$B$3:$D$1808,3,FALSE)</f>
        <v>DCR2023_SV_Danube_Hist_v3.dss</v>
      </c>
      <c r="K974" s="10" t="s">
        <v>2212</v>
      </c>
      <c r="L974" s="10" t="s">
        <v>2224</v>
      </c>
      <c r="M974" s="10" t="s">
        <v>2224</v>
      </c>
      <c r="N974" s="10" t="s">
        <v>2270</v>
      </c>
      <c r="O974" s="10" t="s">
        <v>2270</v>
      </c>
      <c r="P974" s="39" t="s">
        <v>2227</v>
      </c>
    </row>
    <row r="975" spans="2:16" ht="18" customHeight="1" x14ac:dyDescent="0.25">
      <c r="B975" s="21" t="s">
        <v>0</v>
      </c>
      <c r="C975" s="22" t="s">
        <v>1891</v>
      </c>
      <c r="D975" s="22" t="s">
        <v>1880</v>
      </c>
      <c r="E975" s="21" t="s">
        <v>2222</v>
      </c>
      <c r="F975" s="23" t="s">
        <v>3</v>
      </c>
      <c r="G975" s="23" t="s">
        <v>4</v>
      </c>
      <c r="H975" s="21" t="str">
        <f t="shared" si="15"/>
        <v>DEM_D_WSB027_WSBLOS_PLS/DEMAND-SWP-LS</v>
      </c>
      <c r="I975" s="24" t="s">
        <v>2275</v>
      </c>
      <c r="J975" s="10" t="str">
        <f>VLOOKUP(Table1[[#This Row],[UID]],CS3SVComposerConfig!$B$3:$D$1808,3,FALSE)</f>
        <v>DCR2023_SV_Danube_Hist_v3.dss</v>
      </c>
      <c r="K975" s="10" t="s">
        <v>2212</v>
      </c>
      <c r="L975" s="10" t="s">
        <v>2224</v>
      </c>
      <c r="M975" s="10" t="s">
        <v>2224</v>
      </c>
      <c r="N975" s="10" t="s">
        <v>2270</v>
      </c>
      <c r="O975" s="10" t="s">
        <v>2270</v>
      </c>
      <c r="P975" s="39" t="s">
        <v>2227</v>
      </c>
    </row>
    <row r="976" spans="2:16" ht="18" customHeight="1" x14ac:dyDescent="0.25">
      <c r="B976" s="21" t="s">
        <v>0</v>
      </c>
      <c r="C976" s="22" t="s">
        <v>1110</v>
      </c>
      <c r="D976" s="22" t="s">
        <v>43</v>
      </c>
      <c r="E976" s="21" t="s">
        <v>2222</v>
      </c>
      <c r="F976" s="23" t="s">
        <v>3</v>
      </c>
      <c r="G976" s="23" t="s">
        <v>4</v>
      </c>
      <c r="H976" s="21" t="str">
        <f t="shared" si="15"/>
        <v>DEM_D_WSB031_MWDSC_PIN/DEMAND-SWP-IN</v>
      </c>
      <c r="I976" s="24" t="s">
        <v>2275</v>
      </c>
      <c r="J976" s="10" t="str">
        <f>VLOOKUP(Table1[[#This Row],[UID]],CS3SVComposerConfig!$B$3:$D$1808,3,FALSE)</f>
        <v>DCR2023_SV_Danube_Hist_v3.dss</v>
      </c>
      <c r="K976" s="10" t="s">
        <v>2212</v>
      </c>
      <c r="L976" s="10" t="s">
        <v>2224</v>
      </c>
      <c r="M976" s="10" t="s">
        <v>2224</v>
      </c>
      <c r="N976" s="10" t="s">
        <v>2270</v>
      </c>
      <c r="O976" s="10" t="s">
        <v>2270</v>
      </c>
      <c r="P976" s="39" t="s">
        <v>2227</v>
      </c>
    </row>
    <row r="977" spans="2:16" ht="18" customHeight="1" x14ac:dyDescent="0.25">
      <c r="B977" s="21" t="s">
        <v>0</v>
      </c>
      <c r="C977" s="22" t="s">
        <v>1112</v>
      </c>
      <c r="D977" s="22" t="s">
        <v>43</v>
      </c>
      <c r="E977" s="21" t="s">
        <v>2222</v>
      </c>
      <c r="F977" s="23" t="s">
        <v>3</v>
      </c>
      <c r="G977" s="23" t="s">
        <v>4</v>
      </c>
      <c r="H977" s="21" t="str">
        <f t="shared" si="15"/>
        <v>DEM_D_WTPCYC_16_PU_SWP_PIN/DEMAND-SWP-IN</v>
      </c>
      <c r="I977" s="24" t="s">
        <v>2275</v>
      </c>
      <c r="J977" s="10" t="str">
        <f>VLOOKUP(Table1[[#This Row],[UID]],CS3SVComposerConfig!$B$3:$D$1808,3,FALSE)</f>
        <v>DCR2023_SV_Danube_Hist_v3.dss</v>
      </c>
      <c r="K977" s="10" t="s">
        <v>2212</v>
      </c>
      <c r="L977" s="10" t="s">
        <v>2224</v>
      </c>
      <c r="M977" s="10" t="s">
        <v>2224</v>
      </c>
      <c r="N977" s="10" t="s">
        <v>2270</v>
      </c>
      <c r="O977" s="10" t="s">
        <v>2270</v>
      </c>
      <c r="P977" s="39" t="s">
        <v>2227</v>
      </c>
    </row>
    <row r="978" spans="2:16" ht="18" customHeight="1" x14ac:dyDescent="0.25">
      <c r="B978" s="21" t="s">
        <v>0</v>
      </c>
      <c r="C978" s="22" t="s">
        <v>42</v>
      </c>
      <c r="D978" s="22" t="s">
        <v>43</v>
      </c>
      <c r="E978" s="21" t="s">
        <v>2222</v>
      </c>
      <c r="F978" s="23" t="s">
        <v>3</v>
      </c>
      <c r="G978" s="23" t="s">
        <v>4</v>
      </c>
      <c r="H978" s="21" t="str">
        <f t="shared" si="15"/>
        <v>DEM_D810_PIN/DEMAND-SWP-IN</v>
      </c>
      <c r="I978" s="24" t="s">
        <v>2275</v>
      </c>
      <c r="J978" s="10" t="str">
        <f>VLOOKUP(Table1[[#This Row],[UID]],CS3SVComposerConfig!$B$3:$D$1808,3,FALSE)</f>
        <v>DCR2023_SV_Danube_Hist_v3.dss</v>
      </c>
      <c r="K978" s="10" t="s">
        <v>2212</v>
      </c>
      <c r="L978" s="10" t="s">
        <v>2224</v>
      </c>
      <c r="M978" s="10" t="s">
        <v>2224</v>
      </c>
      <c r="N978" s="10" t="s">
        <v>2270</v>
      </c>
      <c r="O978" s="10" t="s">
        <v>2270</v>
      </c>
      <c r="P978" s="39" t="s">
        <v>2227</v>
      </c>
    </row>
    <row r="979" spans="2:16" ht="18" customHeight="1" x14ac:dyDescent="0.25">
      <c r="B979" s="21" t="s">
        <v>0</v>
      </c>
      <c r="C979" s="22" t="s">
        <v>46</v>
      </c>
      <c r="D979" s="22" t="s">
        <v>43</v>
      </c>
      <c r="E979" s="21" t="s">
        <v>2222</v>
      </c>
      <c r="F979" s="23" t="s">
        <v>3</v>
      </c>
      <c r="G979" s="23" t="s">
        <v>4</v>
      </c>
      <c r="H979" s="21" t="str">
        <f t="shared" si="15"/>
        <v>DEM_D814_PIN/DEMAND-SWP-IN</v>
      </c>
      <c r="I979" s="24" t="s">
        <v>2275</v>
      </c>
      <c r="J979" s="10" t="str">
        <f>VLOOKUP(Table1[[#This Row],[UID]],CS3SVComposerConfig!$B$3:$D$1808,3,FALSE)</f>
        <v>DCR2023_SV_Danube_Hist_v3.dss</v>
      </c>
      <c r="K979" s="10" t="s">
        <v>2212</v>
      </c>
      <c r="L979" s="10" t="s">
        <v>2224</v>
      </c>
      <c r="M979" s="10" t="s">
        <v>2224</v>
      </c>
      <c r="N979" s="10" t="s">
        <v>2270</v>
      </c>
      <c r="O979" s="10" t="s">
        <v>2270</v>
      </c>
      <c r="P979" s="39" t="s">
        <v>2227</v>
      </c>
    </row>
    <row r="980" spans="2:16" ht="18" customHeight="1" x14ac:dyDescent="0.25">
      <c r="B980" s="21" t="s">
        <v>0</v>
      </c>
      <c r="C980" s="22" t="s">
        <v>48</v>
      </c>
      <c r="D980" s="22" t="s">
        <v>43</v>
      </c>
      <c r="E980" s="21" t="s">
        <v>2222</v>
      </c>
      <c r="F980" s="23" t="s">
        <v>3</v>
      </c>
      <c r="G980" s="23" t="s">
        <v>4</v>
      </c>
      <c r="H980" s="21" t="str">
        <f t="shared" si="15"/>
        <v>DEM_D815_PIN/DEMAND-SWP-IN</v>
      </c>
      <c r="I980" s="24" t="s">
        <v>2275</v>
      </c>
      <c r="J980" s="10" t="str">
        <f>VLOOKUP(Table1[[#This Row],[UID]],CS3SVComposerConfig!$B$3:$D$1808,3,FALSE)</f>
        <v>DCR2023_SV_Danube_Hist_v3.dss</v>
      </c>
      <c r="K980" s="10" t="s">
        <v>2212</v>
      </c>
      <c r="L980" s="10" t="s">
        <v>2224</v>
      </c>
      <c r="M980" s="10" t="s">
        <v>2224</v>
      </c>
      <c r="N980" s="10" t="s">
        <v>2270</v>
      </c>
      <c r="O980" s="10" t="s">
        <v>2270</v>
      </c>
      <c r="P980" s="39" t="s">
        <v>2227</v>
      </c>
    </row>
    <row r="981" spans="2:16" ht="18" customHeight="1" x14ac:dyDescent="0.25">
      <c r="B981" s="21" t="s">
        <v>0</v>
      </c>
      <c r="C981" s="22" t="s">
        <v>1879</v>
      </c>
      <c r="D981" s="22" t="s">
        <v>1880</v>
      </c>
      <c r="E981" s="21" t="s">
        <v>2222</v>
      </c>
      <c r="F981" s="23" t="s">
        <v>3</v>
      </c>
      <c r="G981" s="23" t="s">
        <v>4</v>
      </c>
      <c r="H981" s="21" t="str">
        <f t="shared" si="15"/>
        <v>DEM_D816_PLS/DEMAND-SWP-LS</v>
      </c>
      <c r="I981" s="24" t="s">
        <v>2275</v>
      </c>
      <c r="J981" s="10" t="str">
        <f>VLOOKUP(Table1[[#This Row],[UID]],CS3SVComposerConfig!$B$3:$D$1808,3,FALSE)</f>
        <v>DCR2023_SV_Danube_Hist_v3.dss</v>
      </c>
      <c r="K981" s="10" t="s">
        <v>2212</v>
      </c>
      <c r="L981" s="10" t="s">
        <v>2224</v>
      </c>
      <c r="M981" s="10" t="s">
        <v>2224</v>
      </c>
      <c r="N981" s="10" t="s">
        <v>2270</v>
      </c>
      <c r="O981" s="10" t="s">
        <v>2270</v>
      </c>
      <c r="P981" s="39" t="s">
        <v>2227</v>
      </c>
    </row>
    <row r="982" spans="2:16" ht="18" customHeight="1" x14ac:dyDescent="0.25">
      <c r="B982" s="21" t="s">
        <v>0</v>
      </c>
      <c r="C982" s="22" t="s">
        <v>1377</v>
      </c>
      <c r="D982" s="22" t="s">
        <v>43</v>
      </c>
      <c r="E982" s="21" t="s">
        <v>2222</v>
      </c>
      <c r="F982" s="23" t="s">
        <v>3</v>
      </c>
      <c r="G982" s="23" t="s">
        <v>4</v>
      </c>
      <c r="H982" s="21" t="str">
        <f t="shared" si="15"/>
        <v>DEM_NAPA_PIN/DEMAND-SWP-IN</v>
      </c>
      <c r="I982" s="24" t="s">
        <v>2275</v>
      </c>
      <c r="J982" s="10" t="str">
        <f>VLOOKUP(Table1[[#This Row],[UID]],CS3SVComposerConfig!$B$3:$D$1808,3,FALSE)</f>
        <v>DCR2023_SV_Danube_Hist_v3.dss</v>
      </c>
      <c r="K982" s="10" t="s">
        <v>2212</v>
      </c>
      <c r="L982" s="10" t="s">
        <v>2224</v>
      </c>
      <c r="M982" s="10" t="s">
        <v>2224</v>
      </c>
      <c r="N982" s="10" t="s">
        <v>2270</v>
      </c>
      <c r="O982" s="10" t="s">
        <v>2270</v>
      </c>
      <c r="P982" s="39" t="s">
        <v>2227</v>
      </c>
    </row>
    <row r="983" spans="2:16" ht="18" customHeight="1" x14ac:dyDescent="0.25">
      <c r="B983" s="21" t="s">
        <v>0</v>
      </c>
      <c r="C983" s="22" t="s">
        <v>1378</v>
      </c>
      <c r="D983" s="22" t="s">
        <v>43</v>
      </c>
      <c r="E983" s="21" t="s">
        <v>2222</v>
      </c>
      <c r="F983" s="23" t="s">
        <v>3</v>
      </c>
      <c r="G983" s="23" t="s">
        <v>4</v>
      </c>
      <c r="H983" s="21" t="str">
        <f t="shared" si="15"/>
        <v>DEM_SCWA_PIN/DEMAND-SWP-IN</v>
      </c>
      <c r="I983" s="24" t="s">
        <v>2275</v>
      </c>
      <c r="J983" s="10" t="str">
        <f>VLOOKUP(Table1[[#This Row],[UID]],CS3SVComposerConfig!$B$3:$D$1808,3,FALSE)</f>
        <v>DCR2023_SV_Danube_Hist_v3.dss</v>
      </c>
      <c r="K983" s="10" t="s">
        <v>2212</v>
      </c>
      <c r="L983" s="10" t="s">
        <v>2224</v>
      </c>
      <c r="M983" s="10" t="s">
        <v>2224</v>
      </c>
      <c r="N983" s="10" t="s">
        <v>2270</v>
      </c>
      <c r="O983" s="10" t="s">
        <v>2270</v>
      </c>
      <c r="P983" s="39" t="s">
        <v>2227</v>
      </c>
    </row>
    <row r="984" spans="2:16" ht="18" customHeight="1" x14ac:dyDescent="0.25">
      <c r="B984" s="21" t="s">
        <v>0</v>
      </c>
      <c r="C984" s="22" t="s">
        <v>1987</v>
      </c>
      <c r="D984" s="22" t="s">
        <v>1988</v>
      </c>
      <c r="E984" s="21" t="s">
        <v>2222</v>
      </c>
      <c r="F984" s="23" t="s">
        <v>3</v>
      </c>
      <c r="G984" s="23" t="s">
        <v>4</v>
      </c>
      <c r="H984" s="21" t="str">
        <f t="shared" si="15"/>
        <v>DMD_CBC001_24_NA1_NID/DEMAND</v>
      </c>
      <c r="I984" s="24" t="s">
        <v>2275</v>
      </c>
      <c r="J984" s="10" t="str">
        <f>VLOOKUP(Table1[[#This Row],[UID]],CS3SVComposerConfig!$B$3:$D$1808,3,FALSE)</f>
        <v>DCR2023_SV_Danube_Hist_v3.dss</v>
      </c>
      <c r="K984" s="10" t="s">
        <v>2212</v>
      </c>
      <c r="L984" s="10" t="s">
        <v>2224</v>
      </c>
      <c r="M984" s="10" t="s">
        <v>2224</v>
      </c>
      <c r="N984" s="10" t="s">
        <v>2270</v>
      </c>
      <c r="O984" s="10" t="s">
        <v>2270</v>
      </c>
      <c r="P984" s="39" t="s">
        <v>2227</v>
      </c>
    </row>
    <row r="985" spans="2:16" ht="18" customHeight="1" x14ac:dyDescent="0.25">
      <c r="B985" s="21" t="s">
        <v>0</v>
      </c>
      <c r="C985" s="22" t="s">
        <v>1990</v>
      </c>
      <c r="D985" s="22" t="s">
        <v>1988</v>
      </c>
      <c r="E985" s="21" t="s">
        <v>2222</v>
      </c>
      <c r="F985" s="23" t="s">
        <v>3</v>
      </c>
      <c r="G985" s="23" t="s">
        <v>4</v>
      </c>
      <c r="H985" s="21" t="str">
        <f t="shared" si="15"/>
        <v>DMD_CBC001_CCK036_NID/DEMAND</v>
      </c>
      <c r="I985" s="24" t="s">
        <v>2275</v>
      </c>
      <c r="J985" s="10" t="str">
        <f>VLOOKUP(Table1[[#This Row],[UID]],CS3SVComposerConfig!$B$3:$D$1808,3,FALSE)</f>
        <v>DCR2023_SV_Danube_Hist_v3.dss</v>
      </c>
      <c r="K985" s="10" t="s">
        <v>2212</v>
      </c>
      <c r="L985" s="10" t="s">
        <v>2224</v>
      </c>
      <c r="M985" s="10" t="s">
        <v>2224</v>
      </c>
      <c r="N985" s="10" t="s">
        <v>2270</v>
      </c>
      <c r="O985" s="10" t="s">
        <v>2270</v>
      </c>
      <c r="P985" s="39" t="s">
        <v>2227</v>
      </c>
    </row>
    <row r="986" spans="2:16" ht="18" customHeight="1" x14ac:dyDescent="0.25">
      <c r="B986" s="21" t="s">
        <v>0</v>
      </c>
      <c r="C986" s="22" t="s">
        <v>1394</v>
      </c>
      <c r="D986" s="22" t="s">
        <v>1395</v>
      </c>
      <c r="E986" s="21" t="s">
        <v>2222</v>
      </c>
      <c r="F986" s="23" t="s">
        <v>3</v>
      </c>
      <c r="G986" s="23" t="s">
        <v>4</v>
      </c>
      <c r="H986" s="21" t="str">
        <f t="shared" si="15"/>
        <v>EBTML_LOSS/LOSS</v>
      </c>
      <c r="I986" s="24" t="s">
        <v>2275</v>
      </c>
      <c r="J986" s="10" t="str">
        <f>VLOOKUP(Table1[[#This Row],[UID]],CS3SVComposerConfig!$B$3:$D$1808,3,FALSE)</f>
        <v>DCR2023_SV_Danube_Hist_v3.dss</v>
      </c>
      <c r="K986" s="10" t="s">
        <v>2212</v>
      </c>
      <c r="L986" s="10" t="s">
        <v>2212</v>
      </c>
      <c r="M986" s="10" t="s">
        <v>2224</v>
      </c>
      <c r="N986" s="10" t="s">
        <v>2258</v>
      </c>
      <c r="O986" s="10" t="s">
        <v>2282</v>
      </c>
      <c r="P986" s="39">
        <v>0.99</v>
      </c>
    </row>
    <row r="987" spans="2:16" ht="18" customHeight="1" x14ac:dyDescent="0.25">
      <c r="B987" s="21" t="s">
        <v>0</v>
      </c>
      <c r="C987" s="22" t="s">
        <v>2283</v>
      </c>
      <c r="D987" s="22" t="s">
        <v>1182</v>
      </c>
      <c r="E987" s="21" t="s">
        <v>2222</v>
      </c>
      <c r="F987" s="23" t="s">
        <v>3</v>
      </c>
      <c r="G987" s="23" t="s">
        <v>4</v>
      </c>
      <c r="H987" s="21" t="str">
        <f t="shared" si="15"/>
        <v>ER_S17/EVAPORATION-RATE</v>
      </c>
      <c r="I987" s="24" t="s">
        <v>2275</v>
      </c>
      <c r="J987" s="10" t="str">
        <f>VLOOKUP(Table1[[#This Row],[UID]],CS3SVComposerConfig!$B$3:$D$1808,3,FALSE)</f>
        <v>DCR2023_SV_Danube_Hist_v3.dss</v>
      </c>
      <c r="K987" s="10" t="s">
        <v>2212</v>
      </c>
      <c r="L987" s="10" t="s">
        <v>2212</v>
      </c>
      <c r="M987" s="10" t="s">
        <v>2212</v>
      </c>
      <c r="N987" s="26" t="s">
        <v>2227</v>
      </c>
      <c r="O987" s="26" t="s">
        <v>2227</v>
      </c>
      <c r="P987" s="40" t="s">
        <v>2227</v>
      </c>
    </row>
    <row r="988" spans="2:16" ht="18" customHeight="1" x14ac:dyDescent="0.25">
      <c r="B988" s="21" t="s">
        <v>0</v>
      </c>
      <c r="C988" s="22" t="s">
        <v>1996</v>
      </c>
      <c r="D988" s="22" t="s">
        <v>1182</v>
      </c>
      <c r="E988" s="21" t="s">
        <v>2222</v>
      </c>
      <c r="F988" s="23" t="s">
        <v>3</v>
      </c>
      <c r="G988" s="23" t="s">
        <v>4</v>
      </c>
      <c r="H988" s="21" t="str">
        <f t="shared" si="15"/>
        <v>ER_S30/EVAPORATION-RATE</v>
      </c>
      <c r="I988" s="24" t="s">
        <v>2275</v>
      </c>
      <c r="J988" s="10" t="str">
        <f>VLOOKUP(Table1[[#This Row],[UID]],CS3SVComposerConfig!$B$3:$D$1808,3,FALSE)</f>
        <v>DCR2023_SV_Danube_Hist_v3.dss</v>
      </c>
      <c r="K988" s="10" t="s">
        <v>2212</v>
      </c>
      <c r="L988" s="10" t="s">
        <v>2224</v>
      </c>
      <c r="M988" s="10" t="s">
        <v>2224</v>
      </c>
      <c r="N988" s="26" t="s">
        <v>2270</v>
      </c>
      <c r="O988" s="26" t="s">
        <v>2270</v>
      </c>
      <c r="P988" s="39" t="s">
        <v>2227</v>
      </c>
    </row>
    <row r="989" spans="2:16" ht="18" customHeight="1" x14ac:dyDescent="0.25">
      <c r="B989" s="21" t="s">
        <v>0</v>
      </c>
      <c r="C989" s="22" t="s">
        <v>1911</v>
      </c>
      <c r="D989" s="22" t="s">
        <v>1893</v>
      </c>
      <c r="E989" s="21" t="s">
        <v>2222</v>
      </c>
      <c r="F989" s="23" t="s">
        <v>3</v>
      </c>
      <c r="G989" s="23" t="s">
        <v>4</v>
      </c>
      <c r="H989" s="21" t="str">
        <f t="shared" si="15"/>
        <v>FEB_FORECAST_GOODYEAR_B120/FLOW</v>
      </c>
      <c r="I989" s="24" t="s">
        <v>2275</v>
      </c>
      <c r="J989" s="10" t="str">
        <f>VLOOKUP(Table1[[#This Row],[UID]],CS3SVComposerConfig!$B$3:$D$1808,3,FALSE)</f>
        <v>DCR2023_SV_Danube_Hist_v3.dss</v>
      </c>
      <c r="K989" s="10" t="s">
        <v>2212</v>
      </c>
      <c r="L989" s="10" t="s">
        <v>2212</v>
      </c>
      <c r="M989" s="10" t="s">
        <v>2212</v>
      </c>
      <c r="N989" s="10" t="s">
        <v>2227</v>
      </c>
      <c r="O989" s="10" t="s">
        <v>2227</v>
      </c>
      <c r="P989" s="39" t="s">
        <v>2227</v>
      </c>
    </row>
    <row r="990" spans="2:16" ht="18" customHeight="1" x14ac:dyDescent="0.25">
      <c r="B990" s="21" t="s">
        <v>0</v>
      </c>
      <c r="C990" s="22" t="s">
        <v>1912</v>
      </c>
      <c r="D990" s="22" t="s">
        <v>1893</v>
      </c>
      <c r="E990" s="21" t="s">
        <v>2222</v>
      </c>
      <c r="F990" s="23" t="s">
        <v>3</v>
      </c>
      <c r="G990" s="23" t="s">
        <v>4</v>
      </c>
      <c r="H990" s="21" t="str">
        <f t="shared" si="15"/>
        <v>FEB_FORECAST_SMARTVILLE_B120/FLOW</v>
      </c>
      <c r="I990" s="24" t="s">
        <v>2275</v>
      </c>
      <c r="J990" s="10" t="str">
        <f>VLOOKUP(Table1[[#This Row],[UID]],CS3SVComposerConfig!$B$3:$D$1808,3,FALSE)</f>
        <v>DCR2023_SV_Danube_Hist_v3.dss</v>
      </c>
      <c r="K990" s="10" t="s">
        <v>2212</v>
      </c>
      <c r="L990" s="10" t="s">
        <v>2212</v>
      </c>
      <c r="M990" s="10" t="s">
        <v>2212</v>
      </c>
      <c r="N990" s="10" t="s">
        <v>2227</v>
      </c>
      <c r="O990" s="10" t="s">
        <v>2227</v>
      </c>
      <c r="P990" s="39" t="s">
        <v>2227</v>
      </c>
    </row>
    <row r="991" spans="2:16" ht="18" customHeight="1" x14ac:dyDescent="0.25">
      <c r="B991" s="21" t="s">
        <v>0</v>
      </c>
      <c r="C991" s="22" t="s">
        <v>1998</v>
      </c>
      <c r="D991" s="22" t="s">
        <v>1114</v>
      </c>
      <c r="E991" s="21" t="s">
        <v>2222</v>
      </c>
      <c r="F991" s="23" t="s">
        <v>3</v>
      </c>
      <c r="G991" s="23" t="s">
        <v>4</v>
      </c>
      <c r="H991" s="21" t="str">
        <f t="shared" si="15"/>
        <v>FSC_LOSSES/SEEPAGE</v>
      </c>
      <c r="I991" s="24" t="s">
        <v>2275</v>
      </c>
      <c r="J991" s="10" t="str">
        <f>VLOOKUP(Table1[[#This Row],[UID]],CS3SVComposerConfig!$B$3:$D$1808,3,FALSE)</f>
        <v>DCR2023_SV_Danube_Hist_v3.dss</v>
      </c>
      <c r="K991" s="10" t="s">
        <v>2212</v>
      </c>
      <c r="L991" s="10" t="s">
        <v>2224</v>
      </c>
      <c r="M991" s="10" t="s">
        <v>2224</v>
      </c>
      <c r="N991" s="10" t="s">
        <v>2270</v>
      </c>
      <c r="O991" s="10" t="s">
        <v>2270</v>
      </c>
      <c r="P991" s="39" t="s">
        <v>2227</v>
      </c>
    </row>
    <row r="992" spans="2:16" ht="18" customHeight="1" x14ac:dyDescent="0.25">
      <c r="B992" s="21" t="s">
        <v>0</v>
      </c>
      <c r="C992" s="22" t="s">
        <v>2000</v>
      </c>
      <c r="D992" s="22" t="s">
        <v>1423</v>
      </c>
      <c r="E992" s="21" t="s">
        <v>2222</v>
      </c>
      <c r="F992" s="23" t="s">
        <v>3</v>
      </c>
      <c r="G992" s="23" t="s">
        <v>4</v>
      </c>
      <c r="H992" s="21" t="str">
        <f t="shared" si="15"/>
        <v>I_CAA245/FLOW-INFLOW</v>
      </c>
      <c r="I992" s="24" t="s">
        <v>2275</v>
      </c>
      <c r="J992" s="10" t="str">
        <f>VLOOKUP(Table1[[#This Row],[UID]],CS3SVComposerConfig!$B$3:$D$1808,3,FALSE)</f>
        <v>DCR2023_SV_Danube_Hist_v3.dss</v>
      </c>
      <c r="K992" s="10" t="s">
        <v>2224</v>
      </c>
      <c r="L992" s="10" t="s">
        <v>2212</v>
      </c>
      <c r="M992" s="10" t="s">
        <v>2224</v>
      </c>
      <c r="N992" s="10" t="s">
        <v>2227</v>
      </c>
      <c r="O992" s="10" t="s">
        <v>2227</v>
      </c>
      <c r="P992" s="39" t="s">
        <v>2227</v>
      </c>
    </row>
    <row r="993" spans="2:16" ht="18" customHeight="1" x14ac:dyDescent="0.25">
      <c r="B993" s="21" t="s">
        <v>0</v>
      </c>
      <c r="C993" s="22" t="s">
        <v>1913</v>
      </c>
      <c r="D993" s="22" t="s">
        <v>1893</v>
      </c>
      <c r="E993" s="21" t="s">
        <v>2222</v>
      </c>
      <c r="F993" s="23" t="s">
        <v>3</v>
      </c>
      <c r="G993" s="23" t="s">
        <v>4</v>
      </c>
      <c r="H993" s="21" t="str">
        <f t="shared" si="15"/>
        <v>MAR_FORECAST_GOODYEAR_B120/FLOW</v>
      </c>
      <c r="I993" s="24" t="s">
        <v>2275</v>
      </c>
      <c r="J993" s="10" t="str">
        <f>VLOOKUP(Table1[[#This Row],[UID]],CS3SVComposerConfig!$B$3:$D$1808,3,FALSE)</f>
        <v>DCR2023_SV_Danube_Hist_v3.dss</v>
      </c>
      <c r="K993" s="10" t="s">
        <v>2212</v>
      </c>
      <c r="L993" s="10" t="s">
        <v>2212</v>
      </c>
      <c r="M993" s="10" t="s">
        <v>2212</v>
      </c>
      <c r="N993" s="10" t="s">
        <v>2227</v>
      </c>
      <c r="O993" s="10" t="s">
        <v>2227</v>
      </c>
      <c r="P993" s="39" t="s">
        <v>2227</v>
      </c>
    </row>
    <row r="994" spans="2:16" ht="18" customHeight="1" x14ac:dyDescent="0.25">
      <c r="B994" s="21" t="s">
        <v>0</v>
      </c>
      <c r="C994" s="22" t="s">
        <v>1914</v>
      </c>
      <c r="D994" s="22" t="s">
        <v>1893</v>
      </c>
      <c r="E994" s="21" t="s">
        <v>2222</v>
      </c>
      <c r="F994" s="23" t="s">
        <v>3</v>
      </c>
      <c r="G994" s="23" t="s">
        <v>4</v>
      </c>
      <c r="H994" s="21" t="str">
        <f t="shared" si="15"/>
        <v>MAR_FORECAST_SMARTVILLE_B120/FLOW</v>
      </c>
      <c r="I994" s="24" t="s">
        <v>2275</v>
      </c>
      <c r="J994" s="10" t="str">
        <f>VLOOKUP(Table1[[#This Row],[UID]],CS3SVComposerConfig!$B$3:$D$1808,3,FALSE)</f>
        <v>DCR2023_SV_Danube_Hist_v3.dss</v>
      </c>
      <c r="K994" s="10" t="s">
        <v>2212</v>
      </c>
      <c r="L994" s="10" t="s">
        <v>2212</v>
      </c>
      <c r="M994" s="10" t="s">
        <v>2212</v>
      </c>
      <c r="N994" s="10" t="s">
        <v>2227</v>
      </c>
      <c r="O994" s="10" t="s">
        <v>2227</v>
      </c>
      <c r="P994" s="39" t="s">
        <v>2227</v>
      </c>
    </row>
    <row r="995" spans="2:16" ht="18" customHeight="1" x14ac:dyDescent="0.25">
      <c r="B995" s="21" t="s">
        <v>0</v>
      </c>
      <c r="C995" s="22" t="s">
        <v>1915</v>
      </c>
      <c r="D995" s="22" t="s">
        <v>1893</v>
      </c>
      <c r="E995" s="21" t="s">
        <v>2222</v>
      </c>
      <c r="F995" s="23" t="s">
        <v>3</v>
      </c>
      <c r="G995" s="23" t="s">
        <v>4</v>
      </c>
      <c r="H995" s="21" t="str">
        <f t="shared" si="15"/>
        <v>MAY_FORECAST_GOODYEAR_B120/FLOW</v>
      </c>
      <c r="I995" s="24" t="s">
        <v>2275</v>
      </c>
      <c r="J995" s="10" t="str">
        <f>VLOOKUP(Table1[[#This Row],[UID]],CS3SVComposerConfig!$B$3:$D$1808,3,FALSE)</f>
        <v>DCR2023_SV_Danube_Hist_v3.dss</v>
      </c>
      <c r="K995" s="10" t="s">
        <v>2212</v>
      </c>
      <c r="L995" s="10" t="s">
        <v>2212</v>
      </c>
      <c r="M995" s="10" t="s">
        <v>2212</v>
      </c>
      <c r="N995" s="10" t="s">
        <v>2227</v>
      </c>
      <c r="O995" s="10" t="s">
        <v>2227</v>
      </c>
      <c r="P995" s="39" t="s">
        <v>2227</v>
      </c>
    </row>
    <row r="996" spans="2:16" ht="18" customHeight="1" x14ac:dyDescent="0.25">
      <c r="B996" s="21" t="s">
        <v>0</v>
      </c>
      <c r="C996" s="22" t="s">
        <v>1916</v>
      </c>
      <c r="D996" s="22" t="s">
        <v>1893</v>
      </c>
      <c r="E996" s="21" t="s">
        <v>2222</v>
      </c>
      <c r="F996" s="23" t="s">
        <v>3</v>
      </c>
      <c r="G996" s="23" t="s">
        <v>4</v>
      </c>
      <c r="H996" s="21" t="str">
        <f t="shared" si="15"/>
        <v>MAY_FORECAST_SMARTVILLE_B120/FLOW</v>
      </c>
      <c r="I996" s="24" t="s">
        <v>2275</v>
      </c>
      <c r="J996" s="10" t="str">
        <f>VLOOKUP(Table1[[#This Row],[UID]],CS3SVComposerConfig!$B$3:$D$1808,3,FALSE)</f>
        <v>DCR2023_SV_Danube_Hist_v3.dss</v>
      </c>
      <c r="K996" s="10" t="s">
        <v>2212</v>
      </c>
      <c r="L996" s="10" t="s">
        <v>2212</v>
      </c>
      <c r="M996" s="10" t="s">
        <v>2212</v>
      </c>
      <c r="N996" s="10" t="s">
        <v>2227</v>
      </c>
      <c r="O996" s="10" t="s">
        <v>2227</v>
      </c>
      <c r="P996" s="39" t="s">
        <v>2227</v>
      </c>
    </row>
    <row r="997" spans="2:16" ht="18" customHeight="1" x14ac:dyDescent="0.25">
      <c r="B997" s="21" t="s">
        <v>0</v>
      </c>
      <c r="C997" s="22" t="s">
        <v>1113</v>
      </c>
      <c r="D997" s="22" t="s">
        <v>1114</v>
      </c>
      <c r="E997" s="21" t="s">
        <v>2222</v>
      </c>
      <c r="F997" s="23" t="s">
        <v>3</v>
      </c>
      <c r="G997" s="23" t="s">
        <v>4</v>
      </c>
      <c r="H997" s="21" t="str">
        <f t="shared" si="15"/>
        <v>NBA_LOSSES/SEEPAGE</v>
      </c>
      <c r="I997" s="24" t="s">
        <v>2275</v>
      </c>
      <c r="J997" s="10" t="str">
        <f>VLOOKUP(Table1[[#This Row],[UID]],CS3SVComposerConfig!$B$3:$D$1808,3,FALSE)</f>
        <v>DCR2023_SV_Danube_Hist_v3.dss</v>
      </c>
      <c r="K997" s="10" t="s">
        <v>2212</v>
      </c>
      <c r="L997" s="10" t="s">
        <v>2224</v>
      </c>
      <c r="M997" s="10" t="s">
        <v>2224</v>
      </c>
      <c r="N997" s="10" t="s">
        <v>2270</v>
      </c>
      <c r="O997" s="10" t="s">
        <v>2270</v>
      </c>
      <c r="P997" s="39" t="s">
        <v>2227</v>
      </c>
    </row>
    <row r="998" spans="2:16" ht="18" customHeight="1" x14ac:dyDescent="0.25">
      <c r="B998" s="21" t="s">
        <v>0</v>
      </c>
      <c r="C998" s="22" t="s">
        <v>2010</v>
      </c>
      <c r="D998" s="22" t="s">
        <v>690</v>
      </c>
      <c r="E998" s="21" t="s">
        <v>2222</v>
      </c>
      <c r="F998" s="23" t="s">
        <v>3</v>
      </c>
      <c r="G998" s="23" t="s">
        <v>4</v>
      </c>
      <c r="H998" s="21" t="str">
        <f t="shared" si="15"/>
        <v>R_60N_NA4_SJR022_SV/RETURN-FLOW</v>
      </c>
      <c r="I998" s="24" t="s">
        <v>2275</v>
      </c>
      <c r="J998" s="10" t="str">
        <f>VLOOKUP(Table1[[#This Row],[UID]],CS3SVComposerConfig!$B$3:$D$1808,3,FALSE)</f>
        <v>DCR2023_SV_Danube_Hist_v3.dss</v>
      </c>
      <c r="K998" s="10" t="s">
        <v>2212</v>
      </c>
      <c r="L998" s="10" t="s">
        <v>2212</v>
      </c>
      <c r="M998" s="10" t="s">
        <v>2224</v>
      </c>
      <c r="N998" s="10" t="s">
        <v>2258</v>
      </c>
      <c r="O998" s="10" t="s">
        <v>2282</v>
      </c>
      <c r="P998" s="39">
        <v>0.97</v>
      </c>
    </row>
    <row r="999" spans="2:16" ht="18" customHeight="1" x14ac:dyDescent="0.25">
      <c r="B999" s="21" t="s">
        <v>0</v>
      </c>
      <c r="C999" s="22" t="s">
        <v>2012</v>
      </c>
      <c r="D999" s="22" t="s">
        <v>690</v>
      </c>
      <c r="E999" s="21" t="s">
        <v>2222</v>
      </c>
      <c r="F999" s="23" t="s">
        <v>3</v>
      </c>
      <c r="G999" s="23" t="s">
        <v>4</v>
      </c>
      <c r="H999" s="21" t="str">
        <f t="shared" si="15"/>
        <v>R_RFS71A_OMR039_SV/RETURN-FLOW</v>
      </c>
      <c r="I999" s="24" t="s">
        <v>2275</v>
      </c>
      <c r="J999" s="10" t="str">
        <f>VLOOKUP(Table1[[#This Row],[UID]],CS3SVComposerConfig!$B$3:$D$1808,3,FALSE)</f>
        <v>DCR2023_SV_Danube_Hist_v3.dss</v>
      </c>
      <c r="K999" s="10" t="s">
        <v>2212</v>
      </c>
      <c r="L999" s="10" t="s">
        <v>2212</v>
      </c>
      <c r="M999" s="10" t="s">
        <v>2224</v>
      </c>
      <c r="N999" s="10" t="s">
        <v>2258</v>
      </c>
      <c r="O999" s="10" t="s">
        <v>2282</v>
      </c>
      <c r="P999" s="39">
        <v>0.55000000000000004</v>
      </c>
    </row>
    <row r="1000" spans="2:16" ht="18" customHeight="1" x14ac:dyDescent="0.25">
      <c r="B1000" s="21" t="s">
        <v>0</v>
      </c>
      <c r="C1000" s="22" t="s">
        <v>2189</v>
      </c>
      <c r="D1000" s="22" t="s">
        <v>2190</v>
      </c>
      <c r="E1000" s="21" t="s">
        <v>2222</v>
      </c>
      <c r="F1000" s="23" t="s">
        <v>3</v>
      </c>
      <c r="G1000" s="23" t="s">
        <v>4</v>
      </c>
      <c r="H1000" s="21" t="str">
        <f t="shared" si="15"/>
        <v>RUFR_24_NA2_TS/REUSE-FRACTION</v>
      </c>
      <c r="I1000" s="24" t="s">
        <v>2275</v>
      </c>
      <c r="J1000" s="10" t="str">
        <f>VLOOKUP(Table1[[#This Row],[UID]],CS3SVComposerConfig!$B$3:$D$1808,3,FALSE)</f>
        <v>DCR2023_SV_Danube_Hist_v3.dss</v>
      </c>
      <c r="K1000" s="10" t="s">
        <v>2212</v>
      </c>
      <c r="L1000" s="10" t="s">
        <v>2224</v>
      </c>
      <c r="M1000" s="10" t="s">
        <v>2224</v>
      </c>
      <c r="N1000" s="10" t="s">
        <v>2270</v>
      </c>
      <c r="O1000" s="10" t="s">
        <v>2270</v>
      </c>
      <c r="P1000" s="39" t="s">
        <v>2227</v>
      </c>
    </row>
    <row r="1001" spans="2:16" ht="18" customHeight="1" x14ac:dyDescent="0.25">
      <c r="B1001" s="21" t="s">
        <v>0</v>
      </c>
      <c r="C1001" s="22" t="s">
        <v>2191</v>
      </c>
      <c r="D1001" s="22" t="s">
        <v>2190</v>
      </c>
      <c r="E1001" s="21" t="s">
        <v>2222</v>
      </c>
      <c r="F1001" s="23" t="s">
        <v>3</v>
      </c>
      <c r="G1001" s="23" t="s">
        <v>4</v>
      </c>
      <c r="H1001" s="21" t="str">
        <f t="shared" si="15"/>
        <v>RUFR_24_NA3_TS/REUSE-FRACTION</v>
      </c>
      <c r="I1001" s="24" t="s">
        <v>2275</v>
      </c>
      <c r="J1001" s="10" t="str">
        <f>VLOOKUP(Table1[[#This Row],[UID]],CS3SVComposerConfig!$B$3:$D$1808,3,FALSE)</f>
        <v>DCR2023_SV_Danube_Hist_v3.dss</v>
      </c>
      <c r="K1001" s="10" t="s">
        <v>2212</v>
      </c>
      <c r="L1001" s="10" t="s">
        <v>2224</v>
      </c>
      <c r="M1001" s="10" t="s">
        <v>2224</v>
      </c>
      <c r="N1001" s="10" t="s">
        <v>2270</v>
      </c>
      <c r="O1001" s="10" t="s">
        <v>2270</v>
      </c>
      <c r="P1001" s="39" t="s">
        <v>2227</v>
      </c>
    </row>
    <row r="1002" spans="2:16" ht="18" customHeight="1" x14ac:dyDescent="0.25">
      <c r="B1002" s="21" t="s">
        <v>0</v>
      </c>
      <c r="C1002" s="22" t="s">
        <v>1926</v>
      </c>
      <c r="D1002" s="22" t="s">
        <v>1927</v>
      </c>
      <c r="E1002" s="21" t="s">
        <v>2222</v>
      </c>
      <c r="F1002" s="23" t="s">
        <v>3</v>
      </c>
      <c r="G1002" s="23" t="s">
        <v>4</v>
      </c>
      <c r="H1002" s="21" t="str">
        <f t="shared" si="15"/>
        <v>RUFR1_TS/REUSE-FACTOR</v>
      </c>
      <c r="I1002" s="24" t="s">
        <v>2275</v>
      </c>
      <c r="J1002" s="10" t="str">
        <f>VLOOKUP(Table1[[#This Row],[UID]],CS3SVComposerConfig!$B$3:$D$1808,3,FALSE)</f>
        <v>DCR2023_SV_Danube_Hist_v3.dss</v>
      </c>
      <c r="K1002" s="10" t="s">
        <v>2212</v>
      </c>
      <c r="L1002" s="10" t="s">
        <v>2224</v>
      </c>
      <c r="M1002" s="10" t="s">
        <v>2224</v>
      </c>
      <c r="N1002" s="10" t="s">
        <v>2270</v>
      </c>
      <c r="O1002" s="10" t="s">
        <v>2270</v>
      </c>
      <c r="P1002" s="39" t="s">
        <v>2227</v>
      </c>
    </row>
    <row r="1003" spans="2:16" ht="18" customHeight="1" x14ac:dyDescent="0.25">
      <c r="B1003" s="21" t="s">
        <v>0</v>
      </c>
      <c r="C1003" s="22" t="s">
        <v>1931</v>
      </c>
      <c r="D1003" s="22" t="s">
        <v>1927</v>
      </c>
      <c r="E1003" s="21" t="s">
        <v>2222</v>
      </c>
      <c r="F1003" s="23" t="s">
        <v>3</v>
      </c>
      <c r="G1003" s="23" t="s">
        <v>4</v>
      </c>
      <c r="H1003" s="21" t="str">
        <f t="shared" si="15"/>
        <v>RUFR2_TS/REUSE-FACTOR</v>
      </c>
      <c r="I1003" s="24" t="s">
        <v>2275</v>
      </c>
      <c r="J1003" s="10" t="str">
        <f>VLOOKUP(Table1[[#This Row],[UID]],CS3SVComposerConfig!$B$3:$D$1808,3,FALSE)</f>
        <v>DCR2023_SV_Danube_Hist_v3.dss</v>
      </c>
      <c r="K1003" s="10" t="s">
        <v>2212</v>
      </c>
      <c r="L1003" s="10" t="s">
        <v>2224</v>
      </c>
      <c r="M1003" s="10" t="s">
        <v>2224</v>
      </c>
      <c r="N1003" s="10" t="s">
        <v>2270</v>
      </c>
      <c r="O1003" s="10" t="s">
        <v>2270</v>
      </c>
      <c r="P1003" s="39" t="s">
        <v>2227</v>
      </c>
    </row>
    <row r="1004" spans="2:16" ht="18" customHeight="1" x14ac:dyDescent="0.25">
      <c r="B1004" s="21" t="s">
        <v>0</v>
      </c>
      <c r="C1004" s="22" t="s">
        <v>1933</v>
      </c>
      <c r="D1004" s="22" t="s">
        <v>1927</v>
      </c>
      <c r="E1004" s="21" t="s">
        <v>2222</v>
      </c>
      <c r="F1004" s="23" t="s">
        <v>3</v>
      </c>
      <c r="G1004" s="23" t="s">
        <v>4</v>
      </c>
      <c r="H1004" s="21" t="str">
        <f t="shared" si="15"/>
        <v>RUFR3_TS/REUSE-FACTOR</v>
      </c>
      <c r="I1004" s="24" t="s">
        <v>2275</v>
      </c>
      <c r="J1004" s="10" t="str">
        <f>VLOOKUP(Table1[[#This Row],[UID]],CS3SVComposerConfig!$B$3:$D$1808,3,FALSE)</f>
        <v>DCR2023_SV_Danube_Hist_v3.dss</v>
      </c>
      <c r="K1004" s="10" t="s">
        <v>2212</v>
      </c>
      <c r="L1004" s="10" t="s">
        <v>2224</v>
      </c>
      <c r="M1004" s="10" t="s">
        <v>2224</v>
      </c>
      <c r="N1004" s="10" t="s">
        <v>2270</v>
      </c>
      <c r="O1004" s="10" t="s">
        <v>2270</v>
      </c>
      <c r="P1004" s="39" t="s">
        <v>2227</v>
      </c>
    </row>
    <row r="1005" spans="2:16" ht="18" customHeight="1" x14ac:dyDescent="0.25">
      <c r="B1005" s="21" t="s">
        <v>0</v>
      </c>
      <c r="C1005" s="22" t="s">
        <v>1935</v>
      </c>
      <c r="D1005" s="22" t="s">
        <v>1927</v>
      </c>
      <c r="E1005" s="21" t="s">
        <v>2222</v>
      </c>
      <c r="F1005" s="23" t="s">
        <v>3</v>
      </c>
      <c r="G1005" s="23" t="s">
        <v>4</v>
      </c>
      <c r="H1005" s="21" t="str">
        <f t="shared" si="15"/>
        <v>RUFR4_TS/REUSE-FACTOR</v>
      </c>
      <c r="I1005" s="24" t="s">
        <v>2275</v>
      </c>
      <c r="J1005" s="10" t="str">
        <f>VLOOKUP(Table1[[#This Row],[UID]],CS3SVComposerConfig!$B$3:$D$1808,3,FALSE)</f>
        <v>DCR2023_SV_Danube_Hist_v3.dss</v>
      </c>
      <c r="K1005" s="10" t="s">
        <v>2212</v>
      </c>
      <c r="L1005" s="10" t="s">
        <v>2224</v>
      </c>
      <c r="M1005" s="10" t="s">
        <v>2224</v>
      </c>
      <c r="N1005" s="10" t="s">
        <v>2270</v>
      </c>
      <c r="O1005" s="10" t="s">
        <v>2270</v>
      </c>
      <c r="P1005" s="39" t="s">
        <v>2227</v>
      </c>
    </row>
    <row r="1006" spans="2:16" ht="18" customHeight="1" x14ac:dyDescent="0.25">
      <c r="B1006" s="21" t="s">
        <v>0</v>
      </c>
      <c r="C1006" s="22" t="s">
        <v>1937</v>
      </c>
      <c r="D1006" s="22" t="s">
        <v>1927</v>
      </c>
      <c r="E1006" s="21" t="s">
        <v>2222</v>
      </c>
      <c r="F1006" s="23" t="s">
        <v>3</v>
      </c>
      <c r="G1006" s="23" t="s">
        <v>4</v>
      </c>
      <c r="H1006" s="21" t="str">
        <f t="shared" si="15"/>
        <v>RUFR5_TS/REUSE-FACTOR</v>
      </c>
      <c r="I1006" s="24" t="s">
        <v>2275</v>
      </c>
      <c r="J1006" s="10" t="str">
        <f>VLOOKUP(Table1[[#This Row],[UID]],CS3SVComposerConfig!$B$3:$D$1808,3,FALSE)</f>
        <v>DCR2023_SV_Danube_Hist_v3.dss</v>
      </c>
      <c r="K1006" s="10" t="s">
        <v>2212</v>
      </c>
      <c r="L1006" s="10" t="s">
        <v>2224</v>
      </c>
      <c r="M1006" s="10" t="s">
        <v>2224</v>
      </c>
      <c r="N1006" s="10" t="s">
        <v>2270</v>
      </c>
      <c r="O1006" s="10" t="s">
        <v>2270</v>
      </c>
      <c r="P1006" s="39" t="s">
        <v>2227</v>
      </c>
    </row>
    <row r="1007" spans="2:16" ht="18" customHeight="1" x14ac:dyDescent="0.25">
      <c r="B1007" s="21" t="s">
        <v>0</v>
      </c>
      <c r="C1007" s="22" t="s">
        <v>1939</v>
      </c>
      <c r="D1007" s="22" t="s">
        <v>1927</v>
      </c>
      <c r="E1007" s="21" t="s">
        <v>2222</v>
      </c>
      <c r="F1007" s="23" t="s">
        <v>3</v>
      </c>
      <c r="G1007" s="23" t="s">
        <v>4</v>
      </c>
      <c r="H1007" s="21" t="str">
        <f t="shared" si="15"/>
        <v>RUFR6_TS/REUSE-FACTOR</v>
      </c>
      <c r="I1007" s="24" t="s">
        <v>2275</v>
      </c>
      <c r="J1007" s="10" t="str">
        <f>VLOOKUP(Table1[[#This Row],[UID]],CS3SVComposerConfig!$B$3:$D$1808,3,FALSE)</f>
        <v>DCR2023_SV_Danube_Hist_v3.dss</v>
      </c>
      <c r="K1007" s="10" t="s">
        <v>2212</v>
      </c>
      <c r="L1007" s="10" t="s">
        <v>2224</v>
      </c>
      <c r="M1007" s="10" t="s">
        <v>2224</v>
      </c>
      <c r="N1007" s="10" t="s">
        <v>2270</v>
      </c>
      <c r="O1007" s="10" t="s">
        <v>2270</v>
      </c>
      <c r="P1007" s="39" t="s">
        <v>2227</v>
      </c>
    </row>
    <row r="1008" spans="2:16" ht="18" customHeight="1" x14ac:dyDescent="0.25">
      <c r="B1008" s="21" t="s">
        <v>0</v>
      </c>
      <c r="C1008" s="22" t="s">
        <v>2008</v>
      </c>
      <c r="D1008" s="22" t="s">
        <v>1927</v>
      </c>
      <c r="E1008" s="21" t="s">
        <v>2222</v>
      </c>
      <c r="F1008" s="23" t="s">
        <v>3</v>
      </c>
      <c r="G1008" s="23" t="s">
        <v>4</v>
      </c>
      <c r="H1008" s="21" t="str">
        <f t="shared" si="15"/>
        <v>RUFW1_TS/REUSE-FACTOR</v>
      </c>
      <c r="I1008" s="24" t="s">
        <v>2275</v>
      </c>
      <c r="J1008" s="10" t="str">
        <f>VLOOKUP(Table1[[#This Row],[UID]],CS3SVComposerConfig!$B$3:$D$1808,3,FALSE)</f>
        <v>DCR2023_SV_Danube_Hist_v3.dss</v>
      </c>
      <c r="K1008" s="10" t="s">
        <v>2212</v>
      </c>
      <c r="L1008" s="10" t="s">
        <v>2224</v>
      </c>
      <c r="M1008" s="10" t="s">
        <v>2224</v>
      </c>
      <c r="N1008" s="10" t="s">
        <v>2270</v>
      </c>
      <c r="O1008" s="10" t="s">
        <v>2270</v>
      </c>
      <c r="P1008" s="39" t="s">
        <v>2227</v>
      </c>
    </row>
    <row r="1009" spans="2:16" ht="18" customHeight="1" x14ac:dyDescent="0.25">
      <c r="B1009" s="21" t="s">
        <v>0</v>
      </c>
      <c r="C1009" s="22" t="s">
        <v>2014</v>
      </c>
      <c r="D1009" s="22" t="s">
        <v>2015</v>
      </c>
      <c r="E1009" s="21" t="s">
        <v>2222</v>
      </c>
      <c r="F1009" s="23" t="s">
        <v>3</v>
      </c>
      <c r="G1009" s="23" t="s">
        <v>4</v>
      </c>
      <c r="H1009" s="21" t="str">
        <f t="shared" si="15"/>
        <v>SB_DEMAND/LV-PARTNER-DEMAND</v>
      </c>
      <c r="I1009" s="24" t="s">
        <v>2275</v>
      </c>
      <c r="J1009" s="10" t="str">
        <f>VLOOKUP(Table1[[#This Row],[UID]],CS3SVComposerConfig!$B$3:$D$1808,3,FALSE)</f>
        <v>DCR2023_SV_Danube_Hist_v3.dss</v>
      </c>
      <c r="K1009" s="10" t="s">
        <v>2212</v>
      </c>
      <c r="L1009" s="10" t="s">
        <v>2212</v>
      </c>
      <c r="M1009" s="10" t="s">
        <v>2212</v>
      </c>
      <c r="N1009" s="10" t="s">
        <v>2227</v>
      </c>
      <c r="O1009" s="10" t="s">
        <v>2227</v>
      </c>
      <c r="P1009" s="39" t="s">
        <v>2227</v>
      </c>
    </row>
    <row r="1010" spans="2:16" ht="18" customHeight="1" x14ac:dyDescent="0.25">
      <c r="B1010" s="21" t="s">
        <v>0</v>
      </c>
      <c r="C1010" s="22" t="s">
        <v>2017</v>
      </c>
      <c r="D1010" s="22" t="s">
        <v>2015</v>
      </c>
      <c r="E1010" s="21" t="s">
        <v>2222</v>
      </c>
      <c r="F1010" s="23" t="s">
        <v>3</v>
      </c>
      <c r="G1010" s="23" t="s">
        <v>4</v>
      </c>
      <c r="H1010" s="21" t="str">
        <f t="shared" si="15"/>
        <v>SF_DEMAND/LV-PARTNER-DEMAND</v>
      </c>
      <c r="I1010" s="24" t="s">
        <v>2275</v>
      </c>
      <c r="J1010" s="10" t="str">
        <f>VLOOKUP(Table1[[#This Row],[UID]],CS3SVComposerConfig!$B$3:$D$1808,3,FALSE)</f>
        <v>DCR2023_SV_Danube_Hist_v3.dss</v>
      </c>
      <c r="K1010" s="10" t="s">
        <v>2212</v>
      </c>
      <c r="L1010" s="10" t="s">
        <v>2212</v>
      </c>
      <c r="M1010" s="10" t="s">
        <v>2212</v>
      </c>
      <c r="N1010" s="10" t="s">
        <v>2227</v>
      </c>
      <c r="O1010" s="10" t="s">
        <v>2227</v>
      </c>
      <c r="P1010" s="39" t="s">
        <v>2227</v>
      </c>
    </row>
    <row r="1011" spans="2:16" ht="18" customHeight="1" x14ac:dyDescent="0.25">
      <c r="B1011" s="21" t="s">
        <v>0</v>
      </c>
      <c r="C1011" s="22" t="s">
        <v>2018</v>
      </c>
      <c r="D1011" s="22" t="s">
        <v>24</v>
      </c>
      <c r="E1011" s="21" t="s">
        <v>2222</v>
      </c>
      <c r="F1011" s="23" t="s">
        <v>3</v>
      </c>
      <c r="G1011" s="23" t="s">
        <v>4</v>
      </c>
      <c r="H1011" s="21" t="str">
        <f t="shared" si="15"/>
        <v>SG_DMC_LOWER/CANAL-LOSS</v>
      </c>
      <c r="I1011" s="24" t="s">
        <v>2275</v>
      </c>
      <c r="J1011" s="10" t="str">
        <f>VLOOKUP(Table1[[#This Row],[UID]],CS3SVComposerConfig!$B$3:$D$1808,3,FALSE)</f>
        <v>DCR2023_SV_Danube_Hist_v3.dss</v>
      </c>
      <c r="K1011" s="10" t="s">
        <v>2212</v>
      </c>
      <c r="L1011" s="10" t="s">
        <v>2224</v>
      </c>
      <c r="M1011" s="10" t="s">
        <v>2224</v>
      </c>
      <c r="N1011" s="10" t="s">
        <v>2270</v>
      </c>
      <c r="O1011" s="10" t="s">
        <v>2270</v>
      </c>
      <c r="P1011" s="39" t="s">
        <v>2227</v>
      </c>
    </row>
    <row r="1012" spans="2:16" ht="18" customHeight="1" x14ac:dyDescent="0.25">
      <c r="B1012" s="21" t="s">
        <v>0</v>
      </c>
      <c r="C1012" s="22" t="s">
        <v>2019</v>
      </c>
      <c r="D1012" s="22" t="s">
        <v>24</v>
      </c>
      <c r="E1012" s="21" t="s">
        <v>2222</v>
      </c>
      <c r="F1012" s="23" t="s">
        <v>3</v>
      </c>
      <c r="G1012" s="23" t="s">
        <v>4</v>
      </c>
      <c r="H1012" s="21" t="str">
        <f t="shared" si="15"/>
        <v>SG_DMC_UPPER/CANAL-LOSS</v>
      </c>
      <c r="I1012" s="24" t="s">
        <v>2275</v>
      </c>
      <c r="J1012" s="10" t="str">
        <f>VLOOKUP(Table1[[#This Row],[UID]],CS3SVComposerConfig!$B$3:$D$1808,3,FALSE)</f>
        <v>DCR2023_SV_Danube_Hist_v3.dss</v>
      </c>
      <c r="K1012" s="10" t="s">
        <v>2212</v>
      </c>
      <c r="L1012" s="10" t="s">
        <v>2224</v>
      </c>
      <c r="M1012" s="10" t="s">
        <v>2224</v>
      </c>
      <c r="N1012" s="10" t="s">
        <v>2270</v>
      </c>
      <c r="O1012" s="10" t="s">
        <v>2270</v>
      </c>
      <c r="P1012" s="39" t="s">
        <v>2227</v>
      </c>
    </row>
    <row r="1013" spans="2:16" ht="18" customHeight="1" x14ac:dyDescent="0.25">
      <c r="B1013" s="21" t="s">
        <v>0</v>
      </c>
      <c r="C1013" s="22" t="s">
        <v>31</v>
      </c>
      <c r="D1013" s="22" t="s">
        <v>24</v>
      </c>
      <c r="E1013" s="21" t="s">
        <v>2222</v>
      </c>
      <c r="F1013" s="23" t="s">
        <v>3</v>
      </c>
      <c r="G1013" s="23" t="s">
        <v>4</v>
      </c>
      <c r="H1013" s="21" t="str">
        <f t="shared" si="15"/>
        <v>SG_R1R2_SWP/CANAL-LOSS</v>
      </c>
      <c r="I1013" s="24" t="s">
        <v>2275</v>
      </c>
      <c r="J1013" s="10" t="str">
        <f>VLOOKUP(Table1[[#This Row],[UID]],CS3SVComposerConfig!$B$3:$D$1808,3,FALSE)</f>
        <v>DCR2023_SV_Danube_Hist_v3.dss</v>
      </c>
      <c r="K1013" s="10" t="s">
        <v>2212</v>
      </c>
      <c r="L1013" s="10" t="s">
        <v>2224</v>
      </c>
      <c r="M1013" s="10" t="s">
        <v>2224</v>
      </c>
      <c r="N1013" s="10" t="s">
        <v>2270</v>
      </c>
      <c r="O1013" s="10" t="s">
        <v>2270</v>
      </c>
      <c r="P1013" s="39" t="s">
        <v>2227</v>
      </c>
    </row>
    <row r="1014" spans="2:16" ht="18" customHeight="1" x14ac:dyDescent="0.25">
      <c r="B1014" s="21" t="s">
        <v>0</v>
      </c>
      <c r="C1014" s="22" t="s">
        <v>23</v>
      </c>
      <c r="D1014" s="22" t="s">
        <v>24</v>
      </c>
      <c r="E1014" s="21" t="s">
        <v>2222</v>
      </c>
      <c r="F1014" s="23" t="s">
        <v>3</v>
      </c>
      <c r="G1014" s="23" t="s">
        <v>4</v>
      </c>
      <c r="H1014" s="21" t="str">
        <f t="shared" si="15"/>
        <v>SG_R3_CVP/CANAL-LOSS</v>
      </c>
      <c r="I1014" s="24" t="s">
        <v>2275</v>
      </c>
      <c r="J1014" s="10" t="str">
        <f>VLOOKUP(Table1[[#This Row],[UID]],CS3SVComposerConfig!$B$3:$D$1808,3,FALSE)</f>
        <v>DCR2023_SV_Danube_Hist_v3.dss</v>
      </c>
      <c r="K1014" s="10" t="s">
        <v>2212</v>
      </c>
      <c r="L1014" s="10" t="s">
        <v>2224</v>
      </c>
      <c r="M1014" s="10" t="s">
        <v>2224</v>
      </c>
      <c r="N1014" s="10" t="s">
        <v>2270</v>
      </c>
      <c r="O1014" s="10" t="s">
        <v>2270</v>
      </c>
      <c r="P1014" s="39" t="s">
        <v>2227</v>
      </c>
    </row>
    <row r="1015" spans="2:16" ht="18" customHeight="1" x14ac:dyDescent="0.25">
      <c r="B1015" s="21" t="s">
        <v>0</v>
      </c>
      <c r="C1015" s="22" t="s">
        <v>32</v>
      </c>
      <c r="D1015" s="22" t="s">
        <v>24</v>
      </c>
      <c r="E1015" s="21" t="s">
        <v>2222</v>
      </c>
      <c r="F1015" s="23" t="s">
        <v>3</v>
      </c>
      <c r="G1015" s="23" t="s">
        <v>4</v>
      </c>
      <c r="H1015" s="21" t="str">
        <f t="shared" si="15"/>
        <v>SG_R3_SWP/CANAL-LOSS</v>
      </c>
      <c r="I1015" s="24" t="s">
        <v>2275</v>
      </c>
      <c r="J1015" s="10" t="str">
        <f>VLOOKUP(Table1[[#This Row],[UID]],CS3SVComposerConfig!$B$3:$D$1808,3,FALSE)</f>
        <v>DCR2023_SV_Danube_Hist_v3.dss</v>
      </c>
      <c r="K1015" s="10" t="s">
        <v>2212</v>
      </c>
      <c r="L1015" s="10" t="s">
        <v>2224</v>
      </c>
      <c r="M1015" s="10" t="s">
        <v>2224</v>
      </c>
      <c r="N1015" s="10" t="s">
        <v>2270</v>
      </c>
      <c r="O1015" s="10" t="s">
        <v>2270</v>
      </c>
      <c r="P1015" s="39" t="s">
        <v>2227</v>
      </c>
    </row>
    <row r="1016" spans="2:16" ht="18" customHeight="1" x14ac:dyDescent="0.25">
      <c r="B1016" s="21" t="s">
        <v>0</v>
      </c>
      <c r="C1016" s="22" t="s">
        <v>27</v>
      </c>
      <c r="D1016" s="22" t="s">
        <v>24</v>
      </c>
      <c r="E1016" s="21" t="s">
        <v>2222</v>
      </c>
      <c r="F1016" s="23" t="s">
        <v>3</v>
      </c>
      <c r="G1016" s="23" t="s">
        <v>4</v>
      </c>
      <c r="H1016" s="21" t="str">
        <f t="shared" si="15"/>
        <v>SG_R4_CVP/CANAL-LOSS</v>
      </c>
      <c r="I1016" s="24" t="s">
        <v>2275</v>
      </c>
      <c r="J1016" s="10" t="str">
        <f>VLOOKUP(Table1[[#This Row],[UID]],CS3SVComposerConfig!$B$3:$D$1808,3,FALSE)</f>
        <v>DCR2023_SV_Danube_Hist_v3.dss</v>
      </c>
      <c r="K1016" s="10" t="s">
        <v>2212</v>
      </c>
      <c r="L1016" s="10" t="s">
        <v>2224</v>
      </c>
      <c r="M1016" s="10" t="s">
        <v>2224</v>
      </c>
      <c r="N1016" s="10" t="s">
        <v>2270</v>
      </c>
      <c r="O1016" s="10" t="s">
        <v>2270</v>
      </c>
      <c r="P1016" s="39" t="s">
        <v>2227</v>
      </c>
    </row>
    <row r="1017" spans="2:16" ht="18" customHeight="1" x14ac:dyDescent="0.25">
      <c r="B1017" s="21" t="s">
        <v>0</v>
      </c>
      <c r="C1017" s="22" t="s">
        <v>33</v>
      </c>
      <c r="D1017" s="22" t="s">
        <v>24</v>
      </c>
      <c r="E1017" s="21" t="s">
        <v>2222</v>
      </c>
      <c r="F1017" s="23" t="s">
        <v>3</v>
      </c>
      <c r="G1017" s="23" t="s">
        <v>4</v>
      </c>
      <c r="H1017" s="21" t="str">
        <f t="shared" si="15"/>
        <v>SG_R4_SWP/CANAL-LOSS</v>
      </c>
      <c r="I1017" s="24" t="s">
        <v>2275</v>
      </c>
      <c r="J1017" s="10" t="str">
        <f>VLOOKUP(Table1[[#This Row],[UID]],CS3SVComposerConfig!$B$3:$D$1808,3,FALSE)</f>
        <v>DCR2023_SV_Danube_Hist_v3.dss</v>
      </c>
      <c r="K1017" s="10" t="s">
        <v>2212</v>
      </c>
      <c r="L1017" s="10" t="s">
        <v>2224</v>
      </c>
      <c r="M1017" s="10" t="s">
        <v>2224</v>
      </c>
      <c r="N1017" s="10" t="s">
        <v>2270</v>
      </c>
      <c r="O1017" s="10" t="s">
        <v>2270</v>
      </c>
      <c r="P1017" s="39" t="s">
        <v>2227</v>
      </c>
    </row>
    <row r="1018" spans="2:16" ht="18" customHeight="1" x14ac:dyDescent="0.25">
      <c r="B1018" s="21" t="s">
        <v>0</v>
      </c>
      <c r="C1018" s="22" t="s">
        <v>28</v>
      </c>
      <c r="D1018" s="22" t="s">
        <v>24</v>
      </c>
      <c r="E1018" s="21" t="s">
        <v>2222</v>
      </c>
      <c r="F1018" s="23" t="s">
        <v>3</v>
      </c>
      <c r="G1018" s="23" t="s">
        <v>4</v>
      </c>
      <c r="H1018" s="21" t="str">
        <f t="shared" si="15"/>
        <v>SG_R5_CVP/CANAL-LOSS</v>
      </c>
      <c r="I1018" s="24" t="s">
        <v>2275</v>
      </c>
      <c r="J1018" s="10" t="str">
        <f>VLOOKUP(Table1[[#This Row],[UID]],CS3SVComposerConfig!$B$3:$D$1808,3,FALSE)</f>
        <v>DCR2023_SV_Danube_Hist_v3.dss</v>
      </c>
      <c r="K1018" s="10" t="s">
        <v>2212</v>
      </c>
      <c r="L1018" s="10" t="s">
        <v>2224</v>
      </c>
      <c r="M1018" s="10" t="s">
        <v>2224</v>
      </c>
      <c r="N1018" s="10" t="s">
        <v>2270</v>
      </c>
      <c r="O1018" s="10" t="s">
        <v>2270</v>
      </c>
      <c r="P1018" s="39" t="s">
        <v>2227</v>
      </c>
    </row>
    <row r="1019" spans="2:16" ht="18" customHeight="1" x14ac:dyDescent="0.25">
      <c r="B1019" s="21" t="s">
        <v>0</v>
      </c>
      <c r="C1019" s="22" t="s">
        <v>34</v>
      </c>
      <c r="D1019" s="22" t="s">
        <v>24</v>
      </c>
      <c r="E1019" s="21" t="s">
        <v>2222</v>
      </c>
      <c r="F1019" s="23" t="s">
        <v>3</v>
      </c>
      <c r="G1019" s="23" t="s">
        <v>4</v>
      </c>
      <c r="H1019" s="21" t="str">
        <f t="shared" si="15"/>
        <v>SG_R5_SWP/CANAL-LOSS</v>
      </c>
      <c r="I1019" s="24" t="s">
        <v>2275</v>
      </c>
      <c r="J1019" s="10" t="str">
        <f>VLOOKUP(Table1[[#This Row],[UID]],CS3SVComposerConfig!$B$3:$D$1808,3,FALSE)</f>
        <v>DCR2023_SV_Danube_Hist_v3.dss</v>
      </c>
      <c r="K1019" s="10" t="s">
        <v>2212</v>
      </c>
      <c r="L1019" s="10" t="s">
        <v>2224</v>
      </c>
      <c r="M1019" s="10" t="s">
        <v>2224</v>
      </c>
      <c r="N1019" s="10" t="s">
        <v>2270</v>
      </c>
      <c r="O1019" s="10" t="s">
        <v>2270</v>
      </c>
      <c r="P1019" s="39" t="s">
        <v>2227</v>
      </c>
    </row>
    <row r="1020" spans="2:16" ht="18" customHeight="1" x14ac:dyDescent="0.25">
      <c r="B1020" s="21" t="s">
        <v>0</v>
      </c>
      <c r="C1020" s="22" t="s">
        <v>29</v>
      </c>
      <c r="D1020" s="22" t="s">
        <v>24</v>
      </c>
      <c r="E1020" s="21" t="s">
        <v>2222</v>
      </c>
      <c r="F1020" s="23" t="s">
        <v>3</v>
      </c>
      <c r="G1020" s="23" t="s">
        <v>4</v>
      </c>
      <c r="H1020" s="21" t="str">
        <f t="shared" si="15"/>
        <v>SG_R6_CVP/CANAL-LOSS</v>
      </c>
      <c r="I1020" s="24" t="s">
        <v>2275</v>
      </c>
      <c r="J1020" s="10" t="str">
        <f>VLOOKUP(Table1[[#This Row],[UID]],CS3SVComposerConfig!$B$3:$D$1808,3,FALSE)</f>
        <v>DCR2023_SV_Danube_Hist_v3.dss</v>
      </c>
      <c r="K1020" s="10" t="s">
        <v>2212</v>
      </c>
      <c r="L1020" s="10" t="s">
        <v>2224</v>
      </c>
      <c r="M1020" s="10" t="s">
        <v>2224</v>
      </c>
      <c r="N1020" s="10" t="s">
        <v>2270</v>
      </c>
      <c r="O1020" s="10" t="s">
        <v>2270</v>
      </c>
      <c r="P1020" s="39" t="s">
        <v>2227</v>
      </c>
    </row>
    <row r="1021" spans="2:16" ht="18" customHeight="1" x14ac:dyDescent="0.25">
      <c r="B1021" s="21" t="s">
        <v>0</v>
      </c>
      <c r="C1021" s="22" t="s">
        <v>35</v>
      </c>
      <c r="D1021" s="22" t="s">
        <v>24</v>
      </c>
      <c r="E1021" s="21" t="s">
        <v>2222</v>
      </c>
      <c r="F1021" s="23" t="s">
        <v>3</v>
      </c>
      <c r="G1021" s="23" t="s">
        <v>4</v>
      </c>
      <c r="H1021" s="21" t="str">
        <f t="shared" si="15"/>
        <v>SG_R6_SWP/CANAL-LOSS</v>
      </c>
      <c r="I1021" s="24" t="s">
        <v>2275</v>
      </c>
      <c r="J1021" s="10" t="str">
        <f>VLOOKUP(Table1[[#This Row],[UID]],CS3SVComposerConfig!$B$3:$D$1808,3,FALSE)</f>
        <v>DCR2023_SV_Danube_Hist_v3.dss</v>
      </c>
      <c r="K1021" s="10" t="s">
        <v>2212</v>
      </c>
      <c r="L1021" s="10" t="s">
        <v>2224</v>
      </c>
      <c r="M1021" s="10" t="s">
        <v>2224</v>
      </c>
      <c r="N1021" s="10" t="s">
        <v>2270</v>
      </c>
      <c r="O1021" s="10" t="s">
        <v>2270</v>
      </c>
      <c r="P1021" s="39" t="s">
        <v>2227</v>
      </c>
    </row>
    <row r="1022" spans="2:16" ht="18" customHeight="1" x14ac:dyDescent="0.25">
      <c r="B1022" s="21" t="s">
        <v>0</v>
      </c>
      <c r="C1022" s="22" t="s">
        <v>30</v>
      </c>
      <c r="D1022" s="22" t="s">
        <v>24</v>
      </c>
      <c r="E1022" s="21" t="s">
        <v>2222</v>
      </c>
      <c r="F1022" s="23" t="s">
        <v>3</v>
      </c>
      <c r="G1022" s="23" t="s">
        <v>4</v>
      </c>
      <c r="H1022" s="21" t="str">
        <f t="shared" si="15"/>
        <v>SG_R7_CVP/CANAL-LOSS</v>
      </c>
      <c r="I1022" s="24" t="s">
        <v>2275</v>
      </c>
      <c r="J1022" s="10" t="str">
        <f>VLOOKUP(Table1[[#This Row],[UID]],CS3SVComposerConfig!$B$3:$D$1808,3,FALSE)</f>
        <v>DCR2023_SV_Danube_Hist_v3.dss</v>
      </c>
      <c r="K1022" s="10" t="s">
        <v>2212</v>
      </c>
      <c r="L1022" s="10" t="s">
        <v>2224</v>
      </c>
      <c r="M1022" s="10" t="s">
        <v>2224</v>
      </c>
      <c r="N1022" s="10" t="s">
        <v>2270</v>
      </c>
      <c r="O1022" s="10" t="s">
        <v>2270</v>
      </c>
      <c r="P1022" s="39" t="s">
        <v>2227</v>
      </c>
    </row>
    <row r="1023" spans="2:16" ht="18" customHeight="1" x14ac:dyDescent="0.25">
      <c r="B1023" s="21" t="s">
        <v>0</v>
      </c>
      <c r="C1023" s="22" t="s">
        <v>36</v>
      </c>
      <c r="D1023" s="22" t="s">
        <v>24</v>
      </c>
      <c r="E1023" s="21" t="s">
        <v>2222</v>
      </c>
      <c r="F1023" s="23" t="s">
        <v>3</v>
      </c>
      <c r="G1023" s="23" t="s">
        <v>4</v>
      </c>
      <c r="H1023" s="21" t="str">
        <f t="shared" si="15"/>
        <v>SG_R7_SWP/CANAL-LOSS</v>
      </c>
      <c r="I1023" s="24" t="s">
        <v>2275</v>
      </c>
      <c r="J1023" s="10" t="str">
        <f>VLOOKUP(Table1[[#This Row],[UID]],CS3SVComposerConfig!$B$3:$D$1808,3,FALSE)</f>
        <v>DCR2023_SV_Danube_Hist_v3.dss</v>
      </c>
      <c r="K1023" s="10" t="s">
        <v>2212</v>
      </c>
      <c r="L1023" s="10" t="s">
        <v>2224</v>
      </c>
      <c r="M1023" s="10" t="s">
        <v>2224</v>
      </c>
      <c r="N1023" s="10" t="s">
        <v>2270</v>
      </c>
      <c r="O1023" s="10" t="s">
        <v>2270</v>
      </c>
      <c r="P1023" s="39" t="s">
        <v>2227</v>
      </c>
    </row>
    <row r="1024" spans="2:16" ht="18" customHeight="1" x14ac:dyDescent="0.25">
      <c r="B1024" s="21" t="s">
        <v>0</v>
      </c>
      <c r="C1024" s="22" t="s">
        <v>2020</v>
      </c>
      <c r="D1024" s="22" t="s">
        <v>2021</v>
      </c>
      <c r="E1024" s="21" t="s">
        <v>2222</v>
      </c>
      <c r="F1024" s="23" t="s">
        <v>3</v>
      </c>
      <c r="G1024" s="23" t="s">
        <v>4</v>
      </c>
      <c r="H1024" s="21" t="str">
        <f t="shared" si="15"/>
        <v>SG_SJR_MDOTA/RIVER-LOSS</v>
      </c>
      <c r="I1024" s="24" t="s">
        <v>2275</v>
      </c>
      <c r="J1024" s="10" t="str">
        <f>VLOOKUP(Table1[[#This Row],[UID]],CS3SVComposerConfig!$B$3:$D$1808,3,FALSE)</f>
        <v>DCR2023_SV_Danube_Hist_v3.dss</v>
      </c>
      <c r="K1024" s="10" t="s">
        <v>2224</v>
      </c>
      <c r="L1024" s="10" t="s">
        <v>2212</v>
      </c>
      <c r="M1024" s="10" t="s">
        <v>2224</v>
      </c>
      <c r="N1024" s="10" t="s">
        <v>2227</v>
      </c>
      <c r="O1024" s="10" t="s">
        <v>2227</v>
      </c>
      <c r="P1024" s="39" t="s">
        <v>2227</v>
      </c>
    </row>
    <row r="1025" spans="2:16" ht="18" customHeight="1" x14ac:dyDescent="0.25">
      <c r="B1025" s="21" t="s">
        <v>0</v>
      </c>
      <c r="C1025" s="22" t="s">
        <v>2023</v>
      </c>
      <c r="D1025" s="22" t="s">
        <v>1114</v>
      </c>
      <c r="E1025" s="21" t="s">
        <v>2222</v>
      </c>
      <c r="F1025" s="23" t="s">
        <v>3</v>
      </c>
      <c r="G1025" s="23" t="s">
        <v>4</v>
      </c>
      <c r="H1025" s="21" t="str">
        <f t="shared" si="15"/>
        <v>SG_WDWRD_SEEP/SEEPAGE</v>
      </c>
      <c r="I1025" s="24" t="s">
        <v>2275</v>
      </c>
      <c r="J1025" s="10" t="str">
        <f>VLOOKUP(Table1[[#This Row],[UID]],CS3SVComposerConfig!$B$3:$D$1808,3,FALSE)</f>
        <v>DCR2023_SV_Danube_Hist_v3.dss</v>
      </c>
      <c r="K1025" s="10" t="s">
        <v>2212</v>
      </c>
      <c r="L1025" s="10" t="s">
        <v>2224</v>
      </c>
      <c r="M1025" s="10" t="s">
        <v>2224</v>
      </c>
      <c r="N1025" s="10" t="s">
        <v>2270</v>
      </c>
      <c r="O1025" s="10" t="s">
        <v>2270</v>
      </c>
      <c r="P1025" s="39" t="s">
        <v>2227</v>
      </c>
    </row>
    <row r="1026" spans="2:16" ht="18" customHeight="1" x14ac:dyDescent="0.25">
      <c r="B1026" s="21" t="s">
        <v>0</v>
      </c>
      <c r="C1026" s="22" t="s">
        <v>2025</v>
      </c>
      <c r="D1026" s="22" t="s">
        <v>2026</v>
      </c>
      <c r="E1026" s="21" t="s">
        <v>2222</v>
      </c>
      <c r="F1026" s="23" t="s">
        <v>3</v>
      </c>
      <c r="G1026" s="23" t="s">
        <v>4</v>
      </c>
      <c r="H1026" s="21" t="str">
        <f t="shared" si="15"/>
        <v>TULE_WET_INDX/FRIANT-INDX</v>
      </c>
      <c r="I1026" s="24" t="s">
        <v>2275</v>
      </c>
      <c r="J1026" s="10" t="str">
        <f>VLOOKUP(Table1[[#This Row],[UID]],CS3SVComposerConfig!$B$3:$D$1808,3,FALSE)</f>
        <v>DCR2023_SV_Danube_Hist_v3.dss</v>
      </c>
      <c r="K1026" s="10" t="s">
        <v>2212</v>
      </c>
      <c r="L1026" s="10" t="s">
        <v>2212</v>
      </c>
      <c r="M1026" s="10" t="s">
        <v>2224</v>
      </c>
      <c r="N1026" s="10" t="s">
        <v>2259</v>
      </c>
      <c r="O1026" s="10" t="s">
        <v>2259</v>
      </c>
      <c r="P1026" s="39"/>
    </row>
    <row r="1027" spans="2:16" ht="18" customHeight="1" x14ac:dyDescent="0.25">
      <c r="B1027" s="21" t="s">
        <v>0</v>
      </c>
      <c r="C1027" s="22" t="s">
        <v>955</v>
      </c>
      <c r="D1027" s="22" t="s">
        <v>892</v>
      </c>
      <c r="E1027" s="21" t="s">
        <v>2222</v>
      </c>
      <c r="F1027" s="23" t="s">
        <v>3</v>
      </c>
      <c r="G1027" s="23" t="s">
        <v>4</v>
      </c>
      <c r="H1027" s="21" t="str">
        <f t="shared" ref="H1027:H1090" si="16">_xlfn.CONCAT(C1027,"/",D1027)</f>
        <v>UD_50_PU/URBAN-DEMAND</v>
      </c>
      <c r="I1027" s="24" t="s">
        <v>2275</v>
      </c>
      <c r="J1027" s="10" t="str">
        <f>VLOOKUP(Table1[[#This Row],[UID]],CS3SVComposerConfig!$B$3:$D$1808,3,FALSE)</f>
        <v>DCR2023_SV_Danube_Hist_v3.dss</v>
      </c>
      <c r="K1027" s="10" t="s">
        <v>2212</v>
      </c>
      <c r="L1027" s="10" t="s">
        <v>2224</v>
      </c>
      <c r="M1027" s="10" t="s">
        <v>2224</v>
      </c>
      <c r="N1027" s="10" t="s">
        <v>2270</v>
      </c>
      <c r="O1027" s="10" t="s">
        <v>2270</v>
      </c>
      <c r="P1027" s="39" t="s">
        <v>2227</v>
      </c>
    </row>
    <row r="1028" spans="2:16" ht="18" customHeight="1" x14ac:dyDescent="0.25">
      <c r="B1028" s="21" t="s">
        <v>0</v>
      </c>
      <c r="C1028" s="22" t="s">
        <v>973</v>
      </c>
      <c r="D1028" s="22" t="s">
        <v>892</v>
      </c>
      <c r="E1028" s="21" t="s">
        <v>2222</v>
      </c>
      <c r="F1028" s="23" t="s">
        <v>3</v>
      </c>
      <c r="G1028" s="23" t="s">
        <v>4</v>
      </c>
      <c r="H1028" s="21" t="str">
        <f t="shared" si="16"/>
        <v>UD_BNCIA/URBAN-DEMAND</v>
      </c>
      <c r="I1028" s="24" t="s">
        <v>2275</v>
      </c>
      <c r="J1028" s="10" t="str">
        <f>VLOOKUP(Table1[[#This Row],[UID]],CS3SVComposerConfig!$B$3:$D$1808,3,FALSE)</f>
        <v>DCR2023_SV_Danube_Hist_v3.dss</v>
      </c>
      <c r="K1028" s="10" t="s">
        <v>2212</v>
      </c>
      <c r="L1028" s="10" t="s">
        <v>2224</v>
      </c>
      <c r="M1028" s="10" t="s">
        <v>2224</v>
      </c>
      <c r="N1028" s="10" t="s">
        <v>2270</v>
      </c>
      <c r="O1028" s="10" t="s">
        <v>2270</v>
      </c>
      <c r="P1028" s="39" t="s">
        <v>2227</v>
      </c>
    </row>
    <row r="1029" spans="2:16" ht="18" customHeight="1" x14ac:dyDescent="0.25">
      <c r="B1029" s="21" t="s">
        <v>0</v>
      </c>
      <c r="C1029" s="22" t="s">
        <v>974</v>
      </c>
      <c r="D1029" s="22" t="s">
        <v>892</v>
      </c>
      <c r="E1029" s="21" t="s">
        <v>2222</v>
      </c>
      <c r="F1029" s="23" t="s">
        <v>3</v>
      </c>
      <c r="G1029" s="23" t="s">
        <v>4</v>
      </c>
      <c r="H1029" s="21" t="str">
        <f t="shared" si="16"/>
        <v>UD_CSPSO/URBAN-DEMAND</v>
      </c>
      <c r="I1029" s="24" t="s">
        <v>2275</v>
      </c>
      <c r="J1029" s="10" t="str">
        <f>VLOOKUP(Table1[[#This Row],[UID]],CS3SVComposerConfig!$B$3:$D$1808,3,FALSE)</f>
        <v>DCR2023_SV_Danube_Hist_v3.dss</v>
      </c>
      <c r="K1029" s="10" t="s">
        <v>2212</v>
      </c>
      <c r="L1029" s="10" t="s">
        <v>2224</v>
      </c>
      <c r="M1029" s="10" t="s">
        <v>2224</v>
      </c>
      <c r="N1029" s="10" t="s">
        <v>2270</v>
      </c>
      <c r="O1029" s="10" t="s">
        <v>2270</v>
      </c>
      <c r="P1029" s="39" t="s">
        <v>2227</v>
      </c>
    </row>
    <row r="1030" spans="2:16" ht="18" customHeight="1" x14ac:dyDescent="0.25">
      <c r="B1030" s="21" t="s">
        <v>0</v>
      </c>
      <c r="C1030" s="22" t="s">
        <v>975</v>
      </c>
      <c r="D1030" s="22" t="s">
        <v>892</v>
      </c>
      <c r="E1030" s="21" t="s">
        <v>2222</v>
      </c>
      <c r="F1030" s="23" t="s">
        <v>3</v>
      </c>
      <c r="G1030" s="23" t="s">
        <v>4</v>
      </c>
      <c r="H1030" s="21" t="str">
        <f t="shared" si="16"/>
        <v>UD_EDCOCA_NU1/URBAN-DEMAND</v>
      </c>
      <c r="I1030" s="24" t="s">
        <v>2275</v>
      </c>
      <c r="J1030" s="10" t="str">
        <f>VLOOKUP(Table1[[#This Row],[UID]],CS3SVComposerConfig!$B$3:$D$1808,3,FALSE)</f>
        <v>DCR2023_SV_Danube_Hist_v3.dss</v>
      </c>
      <c r="K1030" s="10" t="s">
        <v>2224</v>
      </c>
      <c r="L1030" s="10" t="s">
        <v>2212</v>
      </c>
      <c r="M1030" s="10" t="s">
        <v>2224</v>
      </c>
      <c r="N1030" s="10" t="s">
        <v>2227</v>
      </c>
      <c r="O1030" s="10" t="s">
        <v>2227</v>
      </c>
      <c r="P1030" s="39" t="s">
        <v>2227</v>
      </c>
    </row>
    <row r="1031" spans="2:16" ht="18" customHeight="1" x14ac:dyDescent="0.25">
      <c r="B1031" s="21" t="s">
        <v>0</v>
      </c>
      <c r="C1031" s="22" t="s">
        <v>976</v>
      </c>
      <c r="D1031" s="22" t="s">
        <v>892</v>
      </c>
      <c r="E1031" s="21" t="s">
        <v>2222</v>
      </c>
      <c r="F1031" s="23" t="s">
        <v>3</v>
      </c>
      <c r="G1031" s="23" t="s">
        <v>4</v>
      </c>
      <c r="H1031" s="21" t="str">
        <f t="shared" si="16"/>
        <v>UD_EDCOCA_NU2/URBAN-DEMAND</v>
      </c>
      <c r="I1031" s="24" t="s">
        <v>2275</v>
      </c>
      <c r="J1031" s="10" t="str">
        <f>VLOOKUP(Table1[[#This Row],[UID]],CS3SVComposerConfig!$B$3:$D$1808,3,FALSE)</f>
        <v>DCR2023_SV_Danube_Hist_v3.dss</v>
      </c>
      <c r="K1031" s="10" t="s">
        <v>2224</v>
      </c>
      <c r="L1031" s="10" t="s">
        <v>2212</v>
      </c>
      <c r="M1031" s="10" t="s">
        <v>2224</v>
      </c>
      <c r="N1031" s="10" t="s">
        <v>2227</v>
      </c>
      <c r="O1031" s="10" t="s">
        <v>2227</v>
      </c>
      <c r="P1031" s="39" t="s">
        <v>2227</v>
      </c>
    </row>
    <row r="1032" spans="2:16" ht="18" customHeight="1" x14ac:dyDescent="0.25">
      <c r="B1032" s="21" t="s">
        <v>0</v>
      </c>
      <c r="C1032" s="22" t="s">
        <v>977</v>
      </c>
      <c r="D1032" s="22" t="s">
        <v>892</v>
      </c>
      <c r="E1032" s="21" t="s">
        <v>2222</v>
      </c>
      <c r="F1032" s="23" t="s">
        <v>3</v>
      </c>
      <c r="G1032" s="23" t="s">
        <v>4</v>
      </c>
      <c r="H1032" s="21" t="str">
        <f t="shared" si="16"/>
        <v>UD_EDCOCA_NU3/URBAN-DEMAND</v>
      </c>
      <c r="I1032" s="24" t="s">
        <v>2275</v>
      </c>
      <c r="J1032" s="10" t="str">
        <f>VLOOKUP(Table1[[#This Row],[UID]],CS3SVComposerConfig!$B$3:$D$1808,3,FALSE)</f>
        <v>DCR2023_SV_Danube_Hist_v3.dss</v>
      </c>
      <c r="K1032" s="10" t="s">
        <v>2224</v>
      </c>
      <c r="L1032" s="10" t="s">
        <v>2212</v>
      </c>
      <c r="M1032" s="10" t="s">
        <v>2224</v>
      </c>
      <c r="N1032" s="10" t="s">
        <v>2227</v>
      </c>
      <c r="O1032" s="10" t="s">
        <v>2227</v>
      </c>
      <c r="P1032" s="39" t="s">
        <v>2227</v>
      </c>
    </row>
    <row r="1033" spans="2:16" ht="18" customHeight="1" x14ac:dyDescent="0.25">
      <c r="B1033" s="21" t="s">
        <v>0</v>
      </c>
      <c r="C1033" s="22" t="s">
        <v>2284</v>
      </c>
      <c r="D1033" s="22" t="s">
        <v>892</v>
      </c>
      <c r="E1033" s="21" t="s">
        <v>2222</v>
      </c>
      <c r="F1033" s="23" t="s">
        <v>3</v>
      </c>
      <c r="G1033" s="23" t="s">
        <v>4</v>
      </c>
      <c r="H1033" s="21" t="str">
        <f t="shared" si="16"/>
        <v>UD_EDCOCA_NU4/URBAN-DEMAND</v>
      </c>
      <c r="I1033" s="24" t="s">
        <v>2275</v>
      </c>
      <c r="J1033" s="10" t="str">
        <f>VLOOKUP(Table1[[#This Row],[UID]],CS3SVComposerConfig!$B$3:$D$1808,3,FALSE)</f>
        <v>DCR2023_SV_Danube_Hist_v3.dss</v>
      </c>
      <c r="K1033" s="10" t="s">
        <v>2224</v>
      </c>
      <c r="L1033" s="10" t="s">
        <v>2212</v>
      </c>
      <c r="M1033" s="10" t="s">
        <v>2224</v>
      </c>
      <c r="N1033" s="10" t="s">
        <v>2227</v>
      </c>
      <c r="O1033" s="10" t="s">
        <v>2227</v>
      </c>
      <c r="P1033" s="39" t="s">
        <v>2227</v>
      </c>
    </row>
    <row r="1034" spans="2:16" ht="18" customHeight="1" x14ac:dyDescent="0.25">
      <c r="B1034" s="21" t="s">
        <v>0</v>
      </c>
      <c r="C1034" s="22" t="s">
        <v>978</v>
      </c>
      <c r="D1034" s="22" t="s">
        <v>892</v>
      </c>
      <c r="E1034" s="21" t="s">
        <v>2222</v>
      </c>
      <c r="F1034" s="23" t="s">
        <v>3</v>
      </c>
      <c r="G1034" s="23" t="s">
        <v>4</v>
      </c>
      <c r="H1034" s="21" t="str">
        <f t="shared" si="16"/>
        <v>UD_ELDID_NU1/URBAN-DEMAND</v>
      </c>
      <c r="I1034" s="24" t="s">
        <v>2275</v>
      </c>
      <c r="J1034" s="10" t="str">
        <f>VLOOKUP(Table1[[#This Row],[UID]],CS3SVComposerConfig!$B$3:$D$1808,3,FALSE)</f>
        <v>DCR2023_SV_Danube_Hist_v3.dss</v>
      </c>
      <c r="K1034" s="10" t="s">
        <v>2212</v>
      </c>
      <c r="L1034" s="10" t="s">
        <v>2224</v>
      </c>
      <c r="M1034" s="10" t="s">
        <v>2224</v>
      </c>
      <c r="N1034" s="10" t="s">
        <v>2270</v>
      </c>
      <c r="O1034" s="10" t="s">
        <v>2270</v>
      </c>
      <c r="P1034" s="39" t="s">
        <v>2227</v>
      </c>
    </row>
    <row r="1035" spans="2:16" ht="18" customHeight="1" x14ac:dyDescent="0.25">
      <c r="B1035" s="21" t="s">
        <v>0</v>
      </c>
      <c r="C1035" s="22" t="s">
        <v>979</v>
      </c>
      <c r="D1035" s="22" t="s">
        <v>892</v>
      </c>
      <c r="E1035" s="21" t="s">
        <v>2222</v>
      </c>
      <c r="F1035" s="23" t="s">
        <v>3</v>
      </c>
      <c r="G1035" s="23" t="s">
        <v>4</v>
      </c>
      <c r="H1035" s="21" t="str">
        <f t="shared" si="16"/>
        <v>UD_ELDID_NU2/URBAN-DEMAND</v>
      </c>
      <c r="I1035" s="24" t="s">
        <v>2275</v>
      </c>
      <c r="J1035" s="10" t="str">
        <f>VLOOKUP(Table1[[#This Row],[UID]],CS3SVComposerConfig!$B$3:$D$1808,3,FALSE)</f>
        <v>DCR2023_SV_Danube_Hist_v3.dss</v>
      </c>
      <c r="K1035" s="10" t="s">
        <v>2212</v>
      </c>
      <c r="L1035" s="10" t="s">
        <v>2224</v>
      </c>
      <c r="M1035" s="10" t="s">
        <v>2224</v>
      </c>
      <c r="N1035" s="10" t="s">
        <v>2270</v>
      </c>
      <c r="O1035" s="10" t="s">
        <v>2270</v>
      </c>
      <c r="P1035" s="39" t="s">
        <v>2227</v>
      </c>
    </row>
    <row r="1036" spans="2:16" ht="18" customHeight="1" x14ac:dyDescent="0.25">
      <c r="B1036" s="21" t="s">
        <v>0</v>
      </c>
      <c r="C1036" s="22" t="s">
        <v>980</v>
      </c>
      <c r="D1036" s="22" t="s">
        <v>892</v>
      </c>
      <c r="E1036" s="21" t="s">
        <v>2222</v>
      </c>
      <c r="F1036" s="23" t="s">
        <v>3</v>
      </c>
      <c r="G1036" s="23" t="s">
        <v>4</v>
      </c>
      <c r="H1036" s="21" t="str">
        <f t="shared" si="16"/>
        <v>UD_ELDID_NU3/URBAN-DEMAND</v>
      </c>
      <c r="I1036" s="24" t="s">
        <v>2275</v>
      </c>
      <c r="J1036" s="10" t="str">
        <f>VLOOKUP(Table1[[#This Row],[UID]],CS3SVComposerConfig!$B$3:$D$1808,3,FALSE)</f>
        <v>DCR2023_SV_Danube_Hist_v3.dss</v>
      </c>
      <c r="K1036" s="10" t="s">
        <v>2212</v>
      </c>
      <c r="L1036" s="10" t="s">
        <v>2224</v>
      </c>
      <c r="M1036" s="10" t="s">
        <v>2224</v>
      </c>
      <c r="N1036" s="10" t="s">
        <v>2270</v>
      </c>
      <c r="O1036" s="10" t="s">
        <v>2270</v>
      </c>
      <c r="P1036" s="39" t="s">
        <v>2227</v>
      </c>
    </row>
    <row r="1037" spans="2:16" ht="18" customHeight="1" x14ac:dyDescent="0.25">
      <c r="B1037" s="21" t="s">
        <v>0</v>
      </c>
      <c r="C1037" s="22" t="s">
        <v>981</v>
      </c>
      <c r="D1037" s="22" t="s">
        <v>892</v>
      </c>
      <c r="E1037" s="21" t="s">
        <v>2222</v>
      </c>
      <c r="F1037" s="23" t="s">
        <v>3</v>
      </c>
      <c r="G1037" s="23" t="s">
        <v>4</v>
      </c>
      <c r="H1037" s="21" t="str">
        <f t="shared" si="16"/>
        <v>UD_FRFLD/URBAN-DEMAND</v>
      </c>
      <c r="I1037" s="24" t="s">
        <v>2275</v>
      </c>
      <c r="J1037" s="10" t="str">
        <f>VLOOKUP(Table1[[#This Row],[UID]],CS3SVComposerConfig!$B$3:$D$1808,3,FALSE)</f>
        <v>DCR2023_SV_Danube_Hist_v3.dss</v>
      </c>
      <c r="K1037" s="10" t="s">
        <v>2212</v>
      </c>
      <c r="L1037" s="10" t="s">
        <v>2224</v>
      </c>
      <c r="M1037" s="10" t="s">
        <v>2224</v>
      </c>
      <c r="N1037" s="10" t="s">
        <v>2270</v>
      </c>
      <c r="O1037" s="10" t="s">
        <v>2270</v>
      </c>
      <c r="P1037" s="39" t="s">
        <v>2227</v>
      </c>
    </row>
    <row r="1038" spans="2:16" ht="18" customHeight="1" x14ac:dyDescent="0.25">
      <c r="B1038" s="21" t="s">
        <v>0</v>
      </c>
      <c r="C1038" s="22" t="s">
        <v>982</v>
      </c>
      <c r="D1038" s="22" t="s">
        <v>892</v>
      </c>
      <c r="E1038" s="21" t="s">
        <v>2222</v>
      </c>
      <c r="F1038" s="23" t="s">
        <v>3</v>
      </c>
      <c r="G1038" s="23" t="s">
        <v>4</v>
      </c>
      <c r="H1038" s="21" t="str">
        <f t="shared" si="16"/>
        <v>UD_GDPUD_NU/URBAN-DEMAND</v>
      </c>
      <c r="I1038" s="24" t="s">
        <v>2275</v>
      </c>
      <c r="J1038" s="10" t="str">
        <f>VLOOKUP(Table1[[#This Row],[UID]],CS3SVComposerConfig!$B$3:$D$1808,3,FALSE)</f>
        <v>DCR2023_SV_Danube_Hist_v3.dss</v>
      </c>
      <c r="K1038" s="10" t="s">
        <v>2212</v>
      </c>
      <c r="L1038" s="10" t="s">
        <v>2224</v>
      </c>
      <c r="M1038" s="10" t="s">
        <v>2224</v>
      </c>
      <c r="N1038" s="10" t="s">
        <v>2270</v>
      </c>
      <c r="O1038" s="10" t="s">
        <v>2270</v>
      </c>
      <c r="P1038" s="39" t="s">
        <v>2227</v>
      </c>
    </row>
    <row r="1039" spans="2:16" ht="18" customHeight="1" x14ac:dyDescent="0.25">
      <c r="B1039" s="21" t="s">
        <v>0</v>
      </c>
      <c r="C1039" s="22" t="s">
        <v>1959</v>
      </c>
      <c r="D1039" s="22" t="s">
        <v>892</v>
      </c>
      <c r="E1039" s="21" t="s">
        <v>2222</v>
      </c>
      <c r="F1039" s="23" t="s">
        <v>3</v>
      </c>
      <c r="G1039" s="23" t="s">
        <v>4</v>
      </c>
      <c r="H1039" s="21" t="str">
        <f t="shared" si="16"/>
        <v>UD_GDPUD_PU/URBAN-DEMAND</v>
      </c>
      <c r="I1039" s="24" t="s">
        <v>2275</v>
      </c>
      <c r="J1039" s="10" t="str">
        <f>VLOOKUP(Table1[[#This Row],[UID]],CS3SVComposerConfig!$B$3:$D$1808,3,FALSE)</f>
        <v>DCR2023_SV_Danube_Hist_v3.dss</v>
      </c>
      <c r="K1039" s="10" t="s">
        <v>2212</v>
      </c>
      <c r="L1039" s="10" t="s">
        <v>2224</v>
      </c>
      <c r="M1039" s="10" t="s">
        <v>2224</v>
      </c>
      <c r="N1039" s="10" t="s">
        <v>2270</v>
      </c>
      <c r="O1039" s="10" t="s">
        <v>2270</v>
      </c>
      <c r="P1039" s="39" t="s">
        <v>2227</v>
      </c>
    </row>
    <row r="1040" spans="2:16" ht="18" customHeight="1" x14ac:dyDescent="0.25">
      <c r="B1040" s="21" t="s">
        <v>0</v>
      </c>
      <c r="C1040" s="22" t="s">
        <v>983</v>
      </c>
      <c r="D1040" s="22" t="s">
        <v>892</v>
      </c>
      <c r="E1040" s="21" t="s">
        <v>2222</v>
      </c>
      <c r="F1040" s="23" t="s">
        <v>3</v>
      </c>
      <c r="G1040" s="23" t="s">
        <v>4</v>
      </c>
      <c r="H1040" s="21" t="str">
        <f t="shared" si="16"/>
        <v>UD_GRSVL/URBAN-DEMAND</v>
      </c>
      <c r="I1040" s="24" t="s">
        <v>2275</v>
      </c>
      <c r="J1040" s="10" t="str">
        <f>VLOOKUP(Table1[[#This Row],[UID]],CS3SVComposerConfig!$B$3:$D$1808,3,FALSE)</f>
        <v>DCR2023_SV_Danube_Hist_v3.dss</v>
      </c>
      <c r="K1040" s="10" t="s">
        <v>2212</v>
      </c>
      <c r="L1040" s="10" t="s">
        <v>2224</v>
      </c>
      <c r="M1040" s="10" t="s">
        <v>2224</v>
      </c>
      <c r="N1040" s="10" t="s">
        <v>2270</v>
      </c>
      <c r="O1040" s="10" t="s">
        <v>2270</v>
      </c>
      <c r="P1040" s="39" t="s">
        <v>2227</v>
      </c>
    </row>
    <row r="1041" spans="2:16" ht="18" customHeight="1" x14ac:dyDescent="0.25">
      <c r="B1041" s="21" t="s">
        <v>0</v>
      </c>
      <c r="C1041" s="22" t="s">
        <v>984</v>
      </c>
      <c r="D1041" s="22" t="s">
        <v>892</v>
      </c>
      <c r="E1041" s="21" t="s">
        <v>2222</v>
      </c>
      <c r="F1041" s="23" t="s">
        <v>3</v>
      </c>
      <c r="G1041" s="23" t="s">
        <v>4</v>
      </c>
      <c r="H1041" s="21" t="str">
        <f t="shared" si="16"/>
        <v>UD_NAPA2/URBAN-DEMAND</v>
      </c>
      <c r="I1041" s="24" t="s">
        <v>2275</v>
      </c>
      <c r="J1041" s="10" t="str">
        <f>VLOOKUP(Table1[[#This Row],[UID]],CS3SVComposerConfig!$B$3:$D$1808,3,FALSE)</f>
        <v>DCR2023_SV_Danube_Hist_v3.dss</v>
      </c>
      <c r="K1041" s="10" t="s">
        <v>2212</v>
      </c>
      <c r="L1041" s="10" t="s">
        <v>2224</v>
      </c>
      <c r="M1041" s="10" t="s">
        <v>2224</v>
      </c>
      <c r="N1041" s="10" t="s">
        <v>2270</v>
      </c>
      <c r="O1041" s="10" t="s">
        <v>2270</v>
      </c>
      <c r="P1041" s="39" t="s">
        <v>2227</v>
      </c>
    </row>
    <row r="1042" spans="2:16" ht="18" customHeight="1" x14ac:dyDescent="0.25">
      <c r="B1042" s="21" t="s">
        <v>0</v>
      </c>
      <c r="C1042" s="22" t="s">
        <v>985</v>
      </c>
      <c r="D1042" s="22" t="s">
        <v>892</v>
      </c>
      <c r="E1042" s="21" t="s">
        <v>2222</v>
      </c>
      <c r="F1042" s="23" t="s">
        <v>3</v>
      </c>
      <c r="G1042" s="23" t="s">
        <v>4</v>
      </c>
      <c r="H1042" s="21" t="str">
        <f t="shared" si="16"/>
        <v>UD_PCWA3/URBAN-DEMAND</v>
      </c>
      <c r="I1042" s="24" t="s">
        <v>2275</v>
      </c>
      <c r="J1042" s="10" t="str">
        <f>VLOOKUP(Table1[[#This Row],[UID]],CS3SVComposerConfig!$B$3:$D$1808,3,FALSE)</f>
        <v>DCR2023_SV_Danube_Hist_v3.dss</v>
      </c>
      <c r="K1042" s="10" t="s">
        <v>2212</v>
      </c>
      <c r="L1042" s="10" t="s">
        <v>2224</v>
      </c>
      <c r="M1042" s="10" t="s">
        <v>2224</v>
      </c>
      <c r="N1042" s="10" t="s">
        <v>2270</v>
      </c>
      <c r="O1042" s="10" t="s">
        <v>2270</v>
      </c>
      <c r="P1042" s="39" t="s">
        <v>2227</v>
      </c>
    </row>
    <row r="1043" spans="2:16" ht="18" customHeight="1" x14ac:dyDescent="0.25">
      <c r="B1043" s="21" t="s">
        <v>0</v>
      </c>
      <c r="C1043" s="22" t="s">
        <v>986</v>
      </c>
      <c r="D1043" s="22" t="s">
        <v>892</v>
      </c>
      <c r="E1043" s="21" t="s">
        <v>2222</v>
      </c>
      <c r="F1043" s="23" t="s">
        <v>3</v>
      </c>
      <c r="G1043" s="23" t="s">
        <v>4</v>
      </c>
      <c r="H1043" s="21" t="str">
        <f t="shared" si="16"/>
        <v>UD_PINES/URBAN-DEMAND</v>
      </c>
      <c r="I1043" s="24" t="s">
        <v>2275</v>
      </c>
      <c r="J1043" s="10" t="str">
        <f>VLOOKUP(Table1[[#This Row],[UID]],CS3SVComposerConfig!$B$3:$D$1808,3,FALSE)</f>
        <v>DCR2023_SV_Danube_Hist_v3.dss</v>
      </c>
      <c r="K1043" s="10" t="s">
        <v>2212</v>
      </c>
      <c r="L1043" s="10" t="s">
        <v>2224</v>
      </c>
      <c r="M1043" s="10" t="s">
        <v>2224</v>
      </c>
      <c r="N1043" s="10" t="s">
        <v>2270</v>
      </c>
      <c r="O1043" s="10" t="s">
        <v>2270</v>
      </c>
      <c r="P1043" s="39" t="s">
        <v>2227</v>
      </c>
    </row>
    <row r="1044" spans="2:16" ht="18" customHeight="1" x14ac:dyDescent="0.25">
      <c r="B1044" s="21" t="s">
        <v>0</v>
      </c>
      <c r="C1044" s="22" t="s">
        <v>987</v>
      </c>
      <c r="D1044" s="22" t="s">
        <v>892</v>
      </c>
      <c r="E1044" s="21" t="s">
        <v>2222</v>
      </c>
      <c r="F1044" s="23" t="s">
        <v>3</v>
      </c>
      <c r="G1044" s="23" t="s">
        <v>4</v>
      </c>
      <c r="H1044" s="21" t="str">
        <f t="shared" si="16"/>
        <v>UD_PUTAH/URBAN-DEMAND</v>
      </c>
      <c r="I1044" s="24" t="s">
        <v>2275</v>
      </c>
      <c r="J1044" s="10" t="str">
        <f>VLOOKUP(Table1[[#This Row],[UID]],CS3SVComposerConfig!$B$3:$D$1808,3,FALSE)</f>
        <v>DCR2023_SV_Danube_Hist_v3.dss</v>
      </c>
      <c r="K1044" s="10" t="s">
        <v>2212</v>
      </c>
      <c r="L1044" s="10" t="s">
        <v>2224</v>
      </c>
      <c r="M1044" s="10" t="s">
        <v>2224</v>
      </c>
      <c r="N1044" s="10" t="s">
        <v>2270</v>
      </c>
      <c r="O1044" s="10" t="s">
        <v>2270</v>
      </c>
      <c r="P1044" s="39" t="s">
        <v>2227</v>
      </c>
    </row>
    <row r="1045" spans="2:16" ht="18" customHeight="1" x14ac:dyDescent="0.25">
      <c r="B1045" s="21" t="s">
        <v>0</v>
      </c>
      <c r="C1045" s="22" t="s">
        <v>988</v>
      </c>
      <c r="D1045" s="22" t="s">
        <v>892</v>
      </c>
      <c r="E1045" s="21" t="s">
        <v>2222</v>
      </c>
      <c r="F1045" s="23" t="s">
        <v>3</v>
      </c>
      <c r="G1045" s="23" t="s">
        <v>4</v>
      </c>
      <c r="H1045" s="21" t="str">
        <f t="shared" si="16"/>
        <v>UD_SUISN/URBAN-DEMAND</v>
      </c>
      <c r="I1045" s="24" t="s">
        <v>2275</v>
      </c>
      <c r="J1045" s="10" t="str">
        <f>VLOOKUP(Table1[[#This Row],[UID]],CS3SVComposerConfig!$B$3:$D$1808,3,FALSE)</f>
        <v>DCR2023_SV_Danube_Hist_v3.dss</v>
      </c>
      <c r="K1045" s="10" t="s">
        <v>2212</v>
      </c>
      <c r="L1045" s="10" t="s">
        <v>2224</v>
      </c>
      <c r="M1045" s="10" t="s">
        <v>2224</v>
      </c>
      <c r="N1045" s="10" t="s">
        <v>2270</v>
      </c>
      <c r="O1045" s="10" t="s">
        <v>2270</v>
      </c>
      <c r="P1045" s="39" t="s">
        <v>2227</v>
      </c>
    </row>
    <row r="1046" spans="2:16" ht="18" customHeight="1" x14ac:dyDescent="0.25">
      <c r="B1046" s="21" t="s">
        <v>0</v>
      </c>
      <c r="C1046" s="22" t="s">
        <v>989</v>
      </c>
      <c r="D1046" s="22" t="s">
        <v>892</v>
      </c>
      <c r="E1046" s="21" t="s">
        <v>2222</v>
      </c>
      <c r="F1046" s="23" t="s">
        <v>3</v>
      </c>
      <c r="G1046" s="23" t="s">
        <v>4</v>
      </c>
      <c r="H1046" s="21" t="str">
        <f t="shared" si="16"/>
        <v>UD_TVAFB/URBAN-DEMAND</v>
      </c>
      <c r="I1046" s="24" t="s">
        <v>2275</v>
      </c>
      <c r="J1046" s="10" t="str">
        <f>VLOOKUP(Table1[[#This Row],[UID]],CS3SVComposerConfig!$B$3:$D$1808,3,FALSE)</f>
        <v>DCR2023_SV_Danube_Hist_v3.dss</v>
      </c>
      <c r="K1046" s="10" t="s">
        <v>2212</v>
      </c>
      <c r="L1046" s="10" t="s">
        <v>2224</v>
      </c>
      <c r="M1046" s="10" t="s">
        <v>2224</v>
      </c>
      <c r="N1046" s="10" t="s">
        <v>2270</v>
      </c>
      <c r="O1046" s="10" t="s">
        <v>2270</v>
      </c>
      <c r="P1046" s="39" t="s">
        <v>2227</v>
      </c>
    </row>
    <row r="1047" spans="2:16" ht="18" customHeight="1" x14ac:dyDescent="0.25">
      <c r="B1047" s="21" t="s">
        <v>0</v>
      </c>
      <c r="C1047" s="22" t="s">
        <v>990</v>
      </c>
      <c r="D1047" s="22" t="s">
        <v>892</v>
      </c>
      <c r="E1047" s="21" t="s">
        <v>2222</v>
      </c>
      <c r="F1047" s="23" t="s">
        <v>3</v>
      </c>
      <c r="G1047" s="23" t="s">
        <v>4</v>
      </c>
      <c r="H1047" s="21" t="str">
        <f t="shared" si="16"/>
        <v>UD_VLLJO/URBAN-DEMAND</v>
      </c>
      <c r="I1047" s="24" t="s">
        <v>2275</v>
      </c>
      <c r="J1047" s="10" t="str">
        <f>VLOOKUP(Table1[[#This Row],[UID]],CS3SVComposerConfig!$B$3:$D$1808,3,FALSE)</f>
        <v>DCR2023_SV_Danube_Hist_v3.dss</v>
      </c>
      <c r="K1047" s="10" t="s">
        <v>2212</v>
      </c>
      <c r="L1047" s="10" t="s">
        <v>2224</v>
      </c>
      <c r="M1047" s="10" t="s">
        <v>2224</v>
      </c>
      <c r="N1047" s="10" t="s">
        <v>2270</v>
      </c>
      <c r="O1047" s="10" t="s">
        <v>2270</v>
      </c>
      <c r="P1047" s="39" t="s">
        <v>2227</v>
      </c>
    </row>
    <row r="1048" spans="2:16" ht="18" customHeight="1" x14ac:dyDescent="0.25">
      <c r="B1048" s="21" t="s">
        <v>0</v>
      </c>
      <c r="C1048" s="22" t="s">
        <v>991</v>
      </c>
      <c r="D1048" s="22" t="s">
        <v>892</v>
      </c>
      <c r="E1048" s="21" t="s">
        <v>2222</v>
      </c>
      <c r="F1048" s="23" t="s">
        <v>3</v>
      </c>
      <c r="G1048" s="23" t="s">
        <v>4</v>
      </c>
      <c r="H1048" s="21" t="str">
        <f t="shared" si="16"/>
        <v>UD_WLDWD/URBAN-DEMAND</v>
      </c>
      <c r="I1048" s="24" t="s">
        <v>2275</v>
      </c>
      <c r="J1048" s="10" t="str">
        <f>VLOOKUP(Table1[[#This Row],[UID]],CS3SVComposerConfig!$B$3:$D$1808,3,FALSE)</f>
        <v>DCR2023_SV_Danube_Hist_v3.dss</v>
      </c>
      <c r="K1048" s="10" t="s">
        <v>2212</v>
      </c>
      <c r="L1048" s="10" t="s">
        <v>2224</v>
      </c>
      <c r="M1048" s="10" t="s">
        <v>2224</v>
      </c>
      <c r="N1048" s="10" t="s">
        <v>2270</v>
      </c>
      <c r="O1048" s="10" t="s">
        <v>2270</v>
      </c>
      <c r="P1048" s="39" t="s">
        <v>2227</v>
      </c>
    </row>
    <row r="1049" spans="2:16" ht="18" customHeight="1" x14ac:dyDescent="0.25">
      <c r="B1049" s="21" t="s">
        <v>0</v>
      </c>
      <c r="C1049" s="22" t="s">
        <v>1133</v>
      </c>
      <c r="D1049" s="22" t="s">
        <v>1134</v>
      </c>
      <c r="E1049" s="21" t="s">
        <v>2222</v>
      </c>
      <c r="F1049" s="23" t="s">
        <v>3</v>
      </c>
      <c r="G1049" s="23" t="s">
        <v>4</v>
      </c>
      <c r="H1049" s="21" t="str">
        <f t="shared" si="16"/>
        <v>UF_CULOS/CONSUMPTIVE-USE</v>
      </c>
      <c r="I1049" s="24" t="s">
        <v>2275</v>
      </c>
      <c r="J1049" s="10" t="str">
        <f>VLOOKUP(Table1[[#This Row],[UID]],CS3SVComposerConfig!$B$3:$D$1808,3,FALSE)</f>
        <v>DCR2023_SV_Danube_Hist_v3.dss</v>
      </c>
      <c r="K1049" s="10" t="s">
        <v>2212</v>
      </c>
      <c r="L1049" s="10" t="s">
        <v>2224</v>
      </c>
      <c r="M1049" s="10" t="s">
        <v>2224</v>
      </c>
      <c r="N1049" s="10" t="s">
        <v>2270</v>
      </c>
      <c r="O1049" s="10" t="s">
        <v>2270</v>
      </c>
      <c r="P1049" s="39" t="s">
        <v>2227</v>
      </c>
    </row>
    <row r="1050" spans="2:16" ht="18" customHeight="1" x14ac:dyDescent="0.25">
      <c r="B1050" s="21" t="s">
        <v>0</v>
      </c>
      <c r="C1050" s="22" t="s">
        <v>2204</v>
      </c>
      <c r="D1050" s="22" t="s">
        <v>2205</v>
      </c>
      <c r="E1050" s="21" t="s">
        <v>2222</v>
      </c>
      <c r="F1050" s="23" t="s">
        <v>3</v>
      </c>
      <c r="G1050" s="23" t="s">
        <v>4</v>
      </c>
      <c r="H1050" s="21" t="str">
        <f t="shared" si="16"/>
        <v>WR_DGR/WATER-RIGHT</v>
      </c>
      <c r="I1050" s="24" t="s">
        <v>2275</v>
      </c>
      <c r="J1050" s="10" t="str">
        <f>VLOOKUP(Table1[[#This Row],[UID]],CS3SVComposerConfig!$B$3:$D$1808,3,FALSE)</f>
        <v>DCR2023_SV_Danube_Hist_v3.dss</v>
      </c>
      <c r="K1050" s="10" t="s">
        <v>2212</v>
      </c>
      <c r="L1050" s="10" t="s">
        <v>2224</v>
      </c>
      <c r="M1050" s="10" t="s">
        <v>2224</v>
      </c>
      <c r="N1050" s="10" t="s">
        <v>2270</v>
      </c>
      <c r="O1050" s="10" t="s">
        <v>2270</v>
      </c>
      <c r="P1050" s="39" t="s">
        <v>2227</v>
      </c>
    </row>
    <row r="1051" spans="2:16" ht="18" customHeight="1" x14ac:dyDescent="0.25">
      <c r="B1051" s="21" t="s">
        <v>0</v>
      </c>
      <c r="C1051" s="22" t="s">
        <v>1075</v>
      </c>
      <c r="D1051" s="22" t="s">
        <v>993</v>
      </c>
      <c r="E1051" s="21" t="s">
        <v>2222</v>
      </c>
      <c r="F1051" s="23" t="s">
        <v>3</v>
      </c>
      <c r="G1051" s="23" t="s">
        <v>4</v>
      </c>
      <c r="H1051" s="21" t="str">
        <f t="shared" si="16"/>
        <v>WW_GDPUD_NU/WASTEWATER</v>
      </c>
      <c r="I1051" s="24" t="s">
        <v>2275</v>
      </c>
      <c r="J1051" s="10" t="str">
        <f>VLOOKUP(Table1[[#This Row],[UID]],CS3SVComposerConfig!$B$3:$D$1808,3,FALSE)</f>
        <v>DCR2023_SV_Danube_Hist_v3.dss</v>
      </c>
      <c r="K1051" s="10" t="s">
        <v>2212</v>
      </c>
      <c r="L1051" s="10" t="s">
        <v>2224</v>
      </c>
      <c r="M1051" s="10" t="s">
        <v>2224</v>
      </c>
      <c r="N1051" s="10" t="s">
        <v>2270</v>
      </c>
      <c r="O1051" s="10" t="s">
        <v>2270</v>
      </c>
      <c r="P1051" s="39" t="s">
        <v>2227</v>
      </c>
    </row>
    <row r="1052" spans="2:16" ht="18" customHeight="1" x14ac:dyDescent="0.25">
      <c r="B1052" s="21" t="s">
        <v>0</v>
      </c>
      <c r="C1052" s="22" t="s">
        <v>1076</v>
      </c>
      <c r="D1052" s="22" t="s">
        <v>993</v>
      </c>
      <c r="E1052" s="21" t="s">
        <v>2222</v>
      </c>
      <c r="F1052" s="23" t="s">
        <v>3</v>
      </c>
      <c r="G1052" s="23" t="s">
        <v>4</v>
      </c>
      <c r="H1052" s="21" t="str">
        <f t="shared" si="16"/>
        <v>WW_GDPUD_PU/WASTEWATER</v>
      </c>
      <c r="I1052" s="24" t="s">
        <v>2275</v>
      </c>
      <c r="J1052" s="10" t="str">
        <f>VLOOKUP(Table1[[#This Row],[UID]],CS3SVComposerConfig!$B$3:$D$1808,3,FALSE)</f>
        <v>DCR2023_SV_Danube_Hist_v3.dss</v>
      </c>
      <c r="K1052" s="10" t="s">
        <v>2212</v>
      </c>
      <c r="L1052" s="10" t="s">
        <v>2224</v>
      </c>
      <c r="M1052" s="10" t="s">
        <v>2224</v>
      </c>
      <c r="N1052" s="10" t="s">
        <v>2270</v>
      </c>
      <c r="O1052" s="10" t="s">
        <v>2270</v>
      </c>
      <c r="P1052" s="39" t="s">
        <v>2227</v>
      </c>
    </row>
    <row r="1053" spans="2:16" ht="18" customHeight="1" x14ac:dyDescent="0.25">
      <c r="B1053" s="21" t="s">
        <v>0</v>
      </c>
      <c r="C1053" s="22" t="s">
        <v>1077</v>
      </c>
      <c r="D1053" s="22" t="s">
        <v>993</v>
      </c>
      <c r="E1053" s="21" t="s">
        <v>2222</v>
      </c>
      <c r="F1053" s="23" t="s">
        <v>3</v>
      </c>
      <c r="G1053" s="23" t="s">
        <v>4</v>
      </c>
      <c r="H1053" s="21" t="str">
        <f t="shared" si="16"/>
        <v>WW_GRSVL/WASTEWATER</v>
      </c>
      <c r="I1053" s="24" t="s">
        <v>2275</v>
      </c>
      <c r="J1053" s="10" t="str">
        <f>VLOOKUP(Table1[[#This Row],[UID]],CS3SVComposerConfig!$B$3:$D$1808,3,FALSE)</f>
        <v>DCR2023_SV_Danube_Hist_v3.dss</v>
      </c>
      <c r="K1053" s="10" t="s">
        <v>2212</v>
      </c>
      <c r="L1053" s="10" t="s">
        <v>2224</v>
      </c>
      <c r="M1053" s="10" t="s">
        <v>2224</v>
      </c>
      <c r="N1053" s="10" t="s">
        <v>2270</v>
      </c>
      <c r="O1053" s="10" t="s">
        <v>2270</v>
      </c>
      <c r="P1053" s="39" t="s">
        <v>2227</v>
      </c>
    </row>
    <row r="1054" spans="2:16" ht="18" customHeight="1" x14ac:dyDescent="0.25">
      <c r="B1054" s="21" t="s">
        <v>0</v>
      </c>
      <c r="C1054" s="22" t="s">
        <v>1078</v>
      </c>
      <c r="D1054" s="22" t="s">
        <v>993</v>
      </c>
      <c r="E1054" s="21" t="s">
        <v>2222</v>
      </c>
      <c r="F1054" s="23" t="s">
        <v>3</v>
      </c>
      <c r="G1054" s="23" t="s">
        <v>4</v>
      </c>
      <c r="H1054" s="21" t="str">
        <f t="shared" si="16"/>
        <v>WW_WLDWD/WASTEWATER</v>
      </c>
      <c r="I1054" s="24" t="s">
        <v>2275</v>
      </c>
      <c r="J1054" s="10" t="str">
        <f>VLOOKUP(Table1[[#This Row],[UID]],CS3SVComposerConfig!$B$3:$D$1808,3,FALSE)</f>
        <v>DCR2023_SV_Danube_Hist_v3.dss</v>
      </c>
      <c r="K1054" s="10" t="s">
        <v>2212</v>
      </c>
      <c r="L1054" s="10" t="s">
        <v>2224</v>
      </c>
      <c r="M1054" s="10" t="s">
        <v>2224</v>
      </c>
      <c r="N1054" s="10" t="s">
        <v>2270</v>
      </c>
      <c r="O1054" s="10" t="s">
        <v>2270</v>
      </c>
      <c r="P1054" s="39" t="s">
        <v>2227</v>
      </c>
    </row>
    <row r="1055" spans="2:16" ht="18" customHeight="1" x14ac:dyDescent="0.25">
      <c r="B1055" s="21" t="s">
        <v>0</v>
      </c>
      <c r="C1055" s="22" t="s">
        <v>2285</v>
      </c>
      <c r="D1055" s="22" t="s">
        <v>2286</v>
      </c>
      <c r="E1055" s="21" t="s">
        <v>2222</v>
      </c>
      <c r="F1055" s="23" t="s">
        <v>3</v>
      </c>
      <c r="G1055" s="23" t="s">
        <v>4</v>
      </c>
      <c r="H1055" s="21" t="str">
        <f t="shared" si="16"/>
        <v>WYT_SAC_VA_/WATERYEARTYPE</v>
      </c>
      <c r="I1055" s="24" t="s">
        <v>2275</v>
      </c>
      <c r="J1055" s="10" t="str">
        <f>VLOOKUP(Table1[[#This Row],[UID]],CS3SVComposerConfig!$B$3:$D$1808,3,FALSE)</f>
        <v>DCR2023_SV_Danube_Hist_v3.dss</v>
      </c>
      <c r="K1055" s="10" t="s">
        <v>2212</v>
      </c>
      <c r="L1055" s="10" t="s">
        <v>2212</v>
      </c>
      <c r="M1055" s="10" t="s">
        <v>2212</v>
      </c>
      <c r="N1055" s="25" t="s">
        <v>2227</v>
      </c>
      <c r="O1055" s="25" t="s">
        <v>2227</v>
      </c>
      <c r="P1055" s="39" t="s">
        <v>2227</v>
      </c>
    </row>
    <row r="1056" spans="2:16" ht="18" customHeight="1" x14ac:dyDescent="0.25">
      <c r="B1056" s="21" t="s">
        <v>0</v>
      </c>
      <c r="C1056" s="22" t="s">
        <v>2287</v>
      </c>
      <c r="D1056" s="22" t="s">
        <v>1423</v>
      </c>
      <c r="E1056" s="21" t="s">
        <v>2222</v>
      </c>
      <c r="F1056" s="23" t="s">
        <v>3</v>
      </c>
      <c r="G1056" s="23" t="s">
        <v>4</v>
      </c>
      <c r="H1056" s="21" t="str">
        <f t="shared" si="16"/>
        <v>YUBA_TRANS/FLOW-INFLOW</v>
      </c>
      <c r="I1056" s="24" t="s">
        <v>2275</v>
      </c>
      <c r="J1056" s="10" t="str">
        <f>VLOOKUP(Table1[[#This Row],[UID]],CS3SVComposerConfig!$B$3:$D$1808,3,FALSE)</f>
        <v>DCR2023_SV_Danube_Hist_v3.dss</v>
      </c>
      <c r="K1056" s="10" t="s">
        <v>2212</v>
      </c>
      <c r="L1056" s="10" t="s">
        <v>2212</v>
      </c>
      <c r="M1056" s="10" t="s">
        <v>2212</v>
      </c>
      <c r="N1056" s="10" t="s">
        <v>2227</v>
      </c>
      <c r="O1056" s="10" t="s">
        <v>2227</v>
      </c>
      <c r="P1056" s="39" t="s">
        <v>2227</v>
      </c>
    </row>
    <row r="1057" spans="2:16" ht="18" customHeight="1" x14ac:dyDescent="0.25">
      <c r="B1057" s="21" t="s">
        <v>0</v>
      </c>
      <c r="C1057" s="22" t="s">
        <v>1181</v>
      </c>
      <c r="D1057" s="22" t="s">
        <v>1182</v>
      </c>
      <c r="E1057" s="21" t="s">
        <v>2222</v>
      </c>
      <c r="F1057" s="23" t="s">
        <v>3</v>
      </c>
      <c r="G1057" s="23" t="s">
        <v>4</v>
      </c>
      <c r="H1057" s="21" t="str">
        <f t="shared" si="16"/>
        <v>ER_ALDER/EVAPORATION-RATE</v>
      </c>
      <c r="I1057" s="24" t="s">
        <v>2288</v>
      </c>
      <c r="J1057" s="10" t="str">
        <f>VLOOKUP(Table1[[#This Row],[UID]],CS3SVComposerConfig!$B$3:$D$1808,3,FALSE)</f>
        <v>DCR2023_SV_Danube_Hist_v3.dss</v>
      </c>
      <c r="K1057" s="10" t="s">
        <v>2212</v>
      </c>
      <c r="L1057" s="10" t="s">
        <v>2212</v>
      </c>
      <c r="M1057" s="10" t="s">
        <v>2224</v>
      </c>
      <c r="N1057" s="26" t="s">
        <v>2225</v>
      </c>
      <c r="O1057" s="26" t="s">
        <v>5377</v>
      </c>
      <c r="P1057" s="39">
        <v>0</v>
      </c>
    </row>
    <row r="1058" spans="2:16" ht="18" customHeight="1" x14ac:dyDescent="0.25">
      <c r="B1058" s="21" t="s">
        <v>0</v>
      </c>
      <c r="C1058" s="22" t="s">
        <v>1186</v>
      </c>
      <c r="D1058" s="22" t="s">
        <v>1182</v>
      </c>
      <c r="E1058" s="21" t="s">
        <v>2222</v>
      </c>
      <c r="F1058" s="23" t="s">
        <v>3</v>
      </c>
      <c r="G1058" s="23" t="s">
        <v>4</v>
      </c>
      <c r="H1058" s="21" t="str">
        <f t="shared" si="16"/>
        <v>ER_ALMNR/EVAPORATION-RATE</v>
      </c>
      <c r="I1058" s="24" t="s">
        <v>2288</v>
      </c>
      <c r="J1058" s="10" t="str">
        <f>VLOOKUP(Table1[[#This Row],[UID]],CS3SVComposerConfig!$B$3:$D$1808,3,FALSE)</f>
        <v>DCR2023_SV_Danube_Hist_v3.dss</v>
      </c>
      <c r="K1058" s="10" t="s">
        <v>2212</v>
      </c>
      <c r="L1058" s="10" t="s">
        <v>2212</v>
      </c>
      <c r="M1058" s="10" t="s">
        <v>2224</v>
      </c>
      <c r="N1058" s="26" t="s">
        <v>2225</v>
      </c>
      <c r="O1058" s="26" t="s">
        <v>5377</v>
      </c>
      <c r="P1058" s="39">
        <v>0</v>
      </c>
    </row>
    <row r="1059" spans="2:16" ht="18" customHeight="1" x14ac:dyDescent="0.25">
      <c r="B1059" s="21" t="s">
        <v>0</v>
      </c>
      <c r="C1059" s="22" t="s">
        <v>1188</v>
      </c>
      <c r="D1059" s="22" t="s">
        <v>1182</v>
      </c>
      <c r="E1059" s="21" t="s">
        <v>2222</v>
      </c>
      <c r="F1059" s="23" t="s">
        <v>3</v>
      </c>
      <c r="G1059" s="23" t="s">
        <v>4</v>
      </c>
      <c r="H1059" s="21" t="str">
        <f t="shared" si="16"/>
        <v>ER_ALOHA/EVAPORATION-RATE</v>
      </c>
      <c r="I1059" s="24" t="s">
        <v>2288</v>
      </c>
      <c r="J1059" s="10" t="str">
        <f>VLOOKUP(Table1[[#This Row],[UID]],CS3SVComposerConfig!$B$3:$D$1808,3,FALSE)</f>
        <v>DCR2023_SV_Danube_Hist_v3.dss</v>
      </c>
      <c r="K1059" s="10" t="s">
        <v>2212</v>
      </c>
      <c r="L1059" s="10" t="s">
        <v>2212</v>
      </c>
      <c r="M1059" s="10" t="s">
        <v>2224</v>
      </c>
      <c r="N1059" s="26" t="s">
        <v>2225</v>
      </c>
      <c r="O1059" s="26" t="s">
        <v>5377</v>
      </c>
      <c r="P1059" s="39">
        <v>0</v>
      </c>
    </row>
    <row r="1060" spans="2:16" ht="18" customHeight="1" x14ac:dyDescent="0.25">
      <c r="B1060" s="21" t="s">
        <v>0</v>
      </c>
      <c r="C1060" s="22" t="s">
        <v>1190</v>
      </c>
      <c r="D1060" s="22" t="s">
        <v>1182</v>
      </c>
      <c r="E1060" s="21" t="s">
        <v>2222</v>
      </c>
      <c r="F1060" s="23" t="s">
        <v>3</v>
      </c>
      <c r="G1060" s="23" t="s">
        <v>4</v>
      </c>
      <c r="H1060" s="21" t="str">
        <f t="shared" si="16"/>
        <v>ER_AMADR/EVAPORATION-RATE</v>
      </c>
      <c r="I1060" s="24" t="s">
        <v>2288</v>
      </c>
      <c r="J1060" s="10" t="str">
        <f>VLOOKUP(Table1[[#This Row],[UID]],CS3SVComposerConfig!$B$3:$D$1808,3,FALSE)</f>
        <v>DCR2023_SV_Danube_Hist_v3.dss</v>
      </c>
      <c r="K1060" s="10" t="s">
        <v>2212</v>
      </c>
      <c r="L1060" s="10" t="s">
        <v>2212</v>
      </c>
      <c r="M1060" s="10" t="s">
        <v>2224</v>
      </c>
      <c r="N1060" s="26" t="s">
        <v>2225</v>
      </c>
      <c r="O1060" s="26" t="s">
        <v>5377</v>
      </c>
      <c r="P1060" s="39">
        <v>0</v>
      </c>
    </row>
    <row r="1061" spans="2:16" ht="18" customHeight="1" x14ac:dyDescent="0.25">
      <c r="B1061" s="21" t="s">
        <v>0</v>
      </c>
      <c r="C1061" s="22" t="s">
        <v>1192</v>
      </c>
      <c r="D1061" s="22" t="s">
        <v>1182</v>
      </c>
      <c r="E1061" s="21" t="s">
        <v>2222</v>
      </c>
      <c r="F1061" s="23" t="s">
        <v>3</v>
      </c>
      <c r="G1061" s="23" t="s">
        <v>4</v>
      </c>
      <c r="H1061" s="21" t="str">
        <f t="shared" si="16"/>
        <v>ER_ANTLP/EVAPORATION-RATE</v>
      </c>
      <c r="I1061" s="24" t="s">
        <v>2288</v>
      </c>
      <c r="J1061" s="10" t="str">
        <f>VLOOKUP(Table1[[#This Row],[UID]],CS3SVComposerConfig!$B$3:$D$1808,3,FALSE)</f>
        <v>DCR2023_SV_Danube_Hist_v3.dss</v>
      </c>
      <c r="K1061" s="10" t="s">
        <v>2212</v>
      </c>
      <c r="L1061" s="10" t="s">
        <v>2212</v>
      </c>
      <c r="M1061" s="10" t="s">
        <v>2224</v>
      </c>
      <c r="N1061" s="26" t="s">
        <v>2225</v>
      </c>
      <c r="O1061" s="26" t="s">
        <v>5377</v>
      </c>
      <c r="P1061" s="39">
        <v>0</v>
      </c>
    </row>
    <row r="1062" spans="2:16" ht="18" customHeight="1" x14ac:dyDescent="0.25">
      <c r="B1062" s="21" t="s">
        <v>0</v>
      </c>
      <c r="C1062" s="22" t="s">
        <v>1194</v>
      </c>
      <c r="D1062" s="22" t="s">
        <v>1182</v>
      </c>
      <c r="E1062" s="21" t="s">
        <v>2222</v>
      </c>
      <c r="F1062" s="23" t="s">
        <v>3</v>
      </c>
      <c r="G1062" s="23" t="s">
        <v>4</v>
      </c>
      <c r="H1062" s="21" t="str">
        <f t="shared" si="16"/>
        <v>ER_BANOS/EVAPORATION-RATE</v>
      </c>
      <c r="I1062" s="24" t="s">
        <v>2288</v>
      </c>
      <c r="J1062" s="10" t="str">
        <f>VLOOKUP(Table1[[#This Row],[UID]],CS3SVComposerConfig!$B$3:$D$1808,3,FALSE)</f>
        <v>DCR2023_SV_Danube_Hist_v3.dss</v>
      </c>
      <c r="K1062" s="10" t="s">
        <v>2212</v>
      </c>
      <c r="L1062" s="10" t="s">
        <v>2212</v>
      </c>
      <c r="M1062" s="10" t="s">
        <v>2224</v>
      </c>
      <c r="N1062" s="26" t="s">
        <v>2225</v>
      </c>
      <c r="O1062" s="26" t="s">
        <v>5377</v>
      </c>
      <c r="P1062" s="39">
        <v>0</v>
      </c>
    </row>
    <row r="1063" spans="2:16" ht="18" customHeight="1" x14ac:dyDescent="0.25">
      <c r="B1063" s="21" t="s">
        <v>0</v>
      </c>
      <c r="C1063" s="22" t="s">
        <v>1196</v>
      </c>
      <c r="D1063" s="22" t="s">
        <v>1182</v>
      </c>
      <c r="E1063" s="21" t="s">
        <v>2222</v>
      </c>
      <c r="F1063" s="23" t="s">
        <v>3</v>
      </c>
      <c r="G1063" s="23" t="s">
        <v>4</v>
      </c>
      <c r="H1063" s="21" t="str">
        <f t="shared" si="16"/>
        <v>ER_BASSL/EVAPORATION-RATE</v>
      </c>
      <c r="I1063" s="24" t="s">
        <v>2288</v>
      </c>
      <c r="J1063" s="10" t="str">
        <f>VLOOKUP(Table1[[#This Row],[UID]],CS3SVComposerConfig!$B$3:$D$1808,3,FALSE)</f>
        <v>DCR2023_SV_Danube_Hist_v3.dss</v>
      </c>
      <c r="K1063" s="10" t="s">
        <v>2212</v>
      </c>
      <c r="L1063" s="10" t="s">
        <v>2212</v>
      </c>
      <c r="M1063" s="10" t="s">
        <v>2224</v>
      </c>
      <c r="N1063" s="26" t="s">
        <v>2225</v>
      </c>
      <c r="O1063" s="26" t="s">
        <v>5377</v>
      </c>
      <c r="P1063" s="39">
        <v>0</v>
      </c>
    </row>
    <row r="1064" spans="2:16" ht="18" customHeight="1" x14ac:dyDescent="0.25">
      <c r="B1064" s="21" t="s">
        <v>0</v>
      </c>
      <c r="C1064" s="22" t="s">
        <v>1198</v>
      </c>
      <c r="D1064" s="22" t="s">
        <v>1182</v>
      </c>
      <c r="E1064" s="21" t="s">
        <v>2222</v>
      </c>
      <c r="F1064" s="23" t="s">
        <v>3</v>
      </c>
      <c r="G1064" s="23" t="s">
        <v>4</v>
      </c>
      <c r="H1064" s="21" t="str">
        <f t="shared" si="16"/>
        <v>ER_BEARD/EVAPORATION-RATE</v>
      </c>
      <c r="I1064" s="24" t="s">
        <v>2288</v>
      </c>
      <c r="J1064" s="10" t="str">
        <f>VLOOKUP(Table1[[#This Row],[UID]],CS3SVComposerConfig!$B$3:$D$1808,3,FALSE)</f>
        <v>DCR2023_SV_Danube_Hist_v3.dss</v>
      </c>
      <c r="K1064" s="10" t="s">
        <v>2212</v>
      </c>
      <c r="L1064" s="10" t="s">
        <v>2212</v>
      </c>
      <c r="M1064" s="10" t="s">
        <v>2224</v>
      </c>
      <c r="N1064" s="26" t="s">
        <v>2225</v>
      </c>
      <c r="O1064" s="26" t="s">
        <v>5377</v>
      </c>
      <c r="P1064" s="39">
        <v>0</v>
      </c>
    </row>
    <row r="1065" spans="2:16" ht="18" customHeight="1" x14ac:dyDescent="0.25">
      <c r="B1065" s="21" t="s">
        <v>0</v>
      </c>
      <c r="C1065" s="22" t="s">
        <v>1200</v>
      </c>
      <c r="D1065" s="22" t="s">
        <v>1182</v>
      </c>
      <c r="E1065" s="21" t="s">
        <v>2222</v>
      </c>
      <c r="F1065" s="23" t="s">
        <v>3</v>
      </c>
      <c r="G1065" s="23" t="s">
        <v>4</v>
      </c>
      <c r="H1065" s="21" t="str">
        <f t="shared" si="16"/>
        <v>ER_BLKBT/EVAPORATION-RATE</v>
      </c>
      <c r="I1065" s="24" t="s">
        <v>2288</v>
      </c>
      <c r="J1065" s="10" t="str">
        <f>VLOOKUP(Table1[[#This Row],[UID]],CS3SVComposerConfig!$B$3:$D$1808,3,FALSE)</f>
        <v>DCR2023_SV_Danube_Hist_v3.dss</v>
      </c>
      <c r="K1065" s="10" t="s">
        <v>2212</v>
      </c>
      <c r="L1065" s="10" t="s">
        <v>2212</v>
      </c>
      <c r="M1065" s="10" t="s">
        <v>2224</v>
      </c>
      <c r="N1065" s="26" t="s">
        <v>2225</v>
      </c>
      <c r="O1065" s="26" t="s">
        <v>5377</v>
      </c>
      <c r="P1065" s="39">
        <v>0</v>
      </c>
    </row>
    <row r="1066" spans="2:16" ht="18" customHeight="1" x14ac:dyDescent="0.25">
      <c r="B1066" s="21" t="s">
        <v>0</v>
      </c>
      <c r="C1066" s="22" t="s">
        <v>1202</v>
      </c>
      <c r="D1066" s="22" t="s">
        <v>1182</v>
      </c>
      <c r="E1066" s="21" t="s">
        <v>2222</v>
      </c>
      <c r="F1066" s="23" t="s">
        <v>3</v>
      </c>
      <c r="G1066" s="23" t="s">
        <v>4</v>
      </c>
      <c r="H1066" s="21" t="str">
        <f t="shared" si="16"/>
        <v>ER_BOWMN/EVAPORATION-RATE</v>
      </c>
      <c r="I1066" s="24" t="s">
        <v>2288</v>
      </c>
      <c r="J1066" s="10" t="str">
        <f>VLOOKUP(Table1[[#This Row],[UID]],CS3SVComposerConfig!$B$3:$D$1808,3,FALSE)</f>
        <v>DCR2023_SV_Danube_Hist_v3.dss</v>
      </c>
      <c r="K1066" s="10" t="s">
        <v>2212</v>
      </c>
      <c r="L1066" s="10" t="s">
        <v>2212</v>
      </c>
      <c r="M1066" s="10" t="s">
        <v>2224</v>
      </c>
      <c r="N1066" s="26" t="s">
        <v>2225</v>
      </c>
      <c r="O1066" s="26" t="s">
        <v>5377</v>
      </c>
      <c r="P1066" s="39">
        <v>0</v>
      </c>
    </row>
    <row r="1067" spans="2:16" ht="18" customHeight="1" x14ac:dyDescent="0.25">
      <c r="B1067" s="21" t="s">
        <v>0</v>
      </c>
      <c r="C1067" s="22" t="s">
        <v>1204</v>
      </c>
      <c r="D1067" s="22" t="s">
        <v>1182</v>
      </c>
      <c r="E1067" s="21" t="s">
        <v>2222</v>
      </c>
      <c r="F1067" s="23" t="s">
        <v>3</v>
      </c>
      <c r="G1067" s="23" t="s">
        <v>4</v>
      </c>
      <c r="H1067" s="21" t="str">
        <f t="shared" si="16"/>
        <v>ER_BRYSA/EVAPORATION-RATE</v>
      </c>
      <c r="I1067" s="24" t="s">
        <v>2288</v>
      </c>
      <c r="J1067" s="10" t="str">
        <f>VLOOKUP(Table1[[#This Row],[UID]],CS3SVComposerConfig!$B$3:$D$1808,3,FALSE)</f>
        <v>DCR2023_SV_Danube_Hist_v3.dss</v>
      </c>
      <c r="K1067" s="10" t="s">
        <v>2212</v>
      </c>
      <c r="L1067" s="10" t="s">
        <v>2212</v>
      </c>
      <c r="M1067" s="10" t="s">
        <v>2224</v>
      </c>
      <c r="N1067" s="26" t="s">
        <v>2225</v>
      </c>
      <c r="O1067" s="26" t="s">
        <v>5377</v>
      </c>
      <c r="P1067" s="39">
        <v>0</v>
      </c>
    </row>
    <row r="1068" spans="2:16" ht="18" customHeight="1" x14ac:dyDescent="0.25">
      <c r="B1068" s="21" t="s">
        <v>0</v>
      </c>
      <c r="C1068" s="22" t="s">
        <v>1206</v>
      </c>
      <c r="D1068" s="22" t="s">
        <v>1182</v>
      </c>
      <c r="E1068" s="21" t="s">
        <v>2222</v>
      </c>
      <c r="F1068" s="23" t="s">
        <v>3</v>
      </c>
      <c r="G1068" s="23" t="s">
        <v>4</v>
      </c>
      <c r="H1068" s="21" t="str">
        <f t="shared" si="16"/>
        <v>ER_BTVLY/EVAPORATION-RATE</v>
      </c>
      <c r="I1068" s="24" t="s">
        <v>2288</v>
      </c>
      <c r="J1068" s="10" t="str">
        <f>VLOOKUP(Table1[[#This Row],[UID]],CS3SVComposerConfig!$B$3:$D$1808,3,FALSE)</f>
        <v>DCR2023_SV_Danube_Hist_v3.dss</v>
      </c>
      <c r="K1068" s="10" t="s">
        <v>2212</v>
      </c>
      <c r="L1068" s="10" t="s">
        <v>2212</v>
      </c>
      <c r="M1068" s="10" t="s">
        <v>2224</v>
      </c>
      <c r="N1068" s="26" t="s">
        <v>2225</v>
      </c>
      <c r="O1068" s="26" t="s">
        <v>5377</v>
      </c>
      <c r="P1068" s="39">
        <v>0</v>
      </c>
    </row>
    <row r="1069" spans="2:16" ht="18" customHeight="1" x14ac:dyDescent="0.25">
      <c r="B1069" s="21" t="s">
        <v>0</v>
      </c>
      <c r="C1069" s="22" t="s">
        <v>1208</v>
      </c>
      <c r="D1069" s="22" t="s">
        <v>1182</v>
      </c>
      <c r="E1069" s="21" t="s">
        <v>2222</v>
      </c>
      <c r="F1069" s="23" t="s">
        <v>3</v>
      </c>
      <c r="G1069" s="23" t="s">
        <v>4</v>
      </c>
      <c r="H1069" s="21" t="str">
        <f t="shared" si="16"/>
        <v>ER_BUCKS/EVAPORATION-RATE</v>
      </c>
      <c r="I1069" s="24" t="s">
        <v>2288</v>
      </c>
      <c r="J1069" s="10" t="str">
        <f>VLOOKUP(Table1[[#This Row],[UID]],CS3SVComposerConfig!$B$3:$D$1808,3,FALSE)</f>
        <v>DCR2023_SV_Danube_Hist_v3.dss</v>
      </c>
      <c r="K1069" s="10" t="s">
        <v>2212</v>
      </c>
      <c r="L1069" s="10" t="s">
        <v>2212</v>
      </c>
      <c r="M1069" s="10" t="s">
        <v>2224</v>
      </c>
      <c r="N1069" s="26" t="s">
        <v>2225</v>
      </c>
      <c r="O1069" s="26" t="s">
        <v>5377</v>
      </c>
      <c r="P1069" s="39">
        <v>0</v>
      </c>
    </row>
    <row r="1070" spans="2:16" ht="18" customHeight="1" x14ac:dyDescent="0.25">
      <c r="B1070" s="21" t="s">
        <v>0</v>
      </c>
      <c r="C1070" s="22" t="s">
        <v>1210</v>
      </c>
      <c r="D1070" s="22" t="s">
        <v>1182</v>
      </c>
      <c r="E1070" s="21" t="s">
        <v>2222</v>
      </c>
      <c r="F1070" s="23" t="s">
        <v>3</v>
      </c>
      <c r="G1070" s="23" t="s">
        <v>4</v>
      </c>
      <c r="H1070" s="21" t="str">
        <f t="shared" si="16"/>
        <v>ER_CAPLS/EVAPORATION-RATE</v>
      </c>
      <c r="I1070" s="24" t="s">
        <v>2288</v>
      </c>
      <c r="J1070" s="10" t="str">
        <f>VLOOKUP(Table1[[#This Row],[UID]],CS3SVComposerConfig!$B$3:$D$1808,3,FALSE)</f>
        <v>DCR2023_SV_Danube_Hist_v3.dss</v>
      </c>
      <c r="K1070" s="10" t="s">
        <v>2212</v>
      </c>
      <c r="L1070" s="10" t="s">
        <v>2212</v>
      </c>
      <c r="M1070" s="10" t="s">
        <v>2224</v>
      </c>
      <c r="N1070" s="26" t="s">
        <v>2225</v>
      </c>
      <c r="O1070" s="26" t="s">
        <v>5377</v>
      </c>
      <c r="P1070" s="39">
        <v>0</v>
      </c>
    </row>
    <row r="1071" spans="2:16" ht="18" customHeight="1" x14ac:dyDescent="0.25">
      <c r="B1071" s="21" t="s">
        <v>0</v>
      </c>
      <c r="C1071" s="22" t="s">
        <v>1898</v>
      </c>
      <c r="D1071" s="22" t="s">
        <v>1182</v>
      </c>
      <c r="E1071" s="21" t="s">
        <v>2222</v>
      </c>
      <c r="F1071" s="23" t="s">
        <v>3</v>
      </c>
      <c r="G1071" s="23" t="s">
        <v>4</v>
      </c>
      <c r="H1071" s="21" t="str">
        <f t="shared" si="16"/>
        <v>ER_CHRRY/EVAPORATION-RATE</v>
      </c>
      <c r="I1071" s="24" t="s">
        <v>2288</v>
      </c>
      <c r="J1071" s="10" t="str">
        <f>VLOOKUP(Table1[[#This Row],[UID]],CS3SVComposerConfig!$B$3:$D$1808,3,FALSE)</f>
        <v>DCR2023_SV_Danube_Hist_v3.dss</v>
      </c>
      <c r="K1071" s="10" t="s">
        <v>2212</v>
      </c>
      <c r="L1071" s="10" t="s">
        <v>2212</v>
      </c>
      <c r="M1071" s="10" t="s">
        <v>2224</v>
      </c>
      <c r="N1071" s="26" t="s">
        <v>2225</v>
      </c>
      <c r="O1071" s="26" t="s">
        <v>5377</v>
      </c>
      <c r="P1071" s="39">
        <v>0</v>
      </c>
    </row>
    <row r="1072" spans="2:16" ht="18" customHeight="1" x14ac:dyDescent="0.25">
      <c r="B1072" s="21" t="s">
        <v>0</v>
      </c>
      <c r="C1072" s="22" t="s">
        <v>1212</v>
      </c>
      <c r="D1072" s="22" t="s">
        <v>1182</v>
      </c>
      <c r="E1072" s="21" t="s">
        <v>2222</v>
      </c>
      <c r="F1072" s="23" t="s">
        <v>3</v>
      </c>
      <c r="G1072" s="23" t="s">
        <v>4</v>
      </c>
      <c r="H1072" s="21" t="str">
        <f t="shared" si="16"/>
        <v>ER_CLRLK/EVAPORATION-RATE</v>
      </c>
      <c r="I1072" s="24" t="s">
        <v>2288</v>
      </c>
      <c r="J1072" s="10" t="str">
        <f>VLOOKUP(Table1[[#This Row],[UID]],CS3SVComposerConfig!$B$3:$D$1808,3,FALSE)</f>
        <v>DCR2023_SV_Danube_Hist_v3.dss</v>
      </c>
      <c r="K1072" s="10" t="s">
        <v>2212</v>
      </c>
      <c r="L1072" s="10" t="s">
        <v>2212</v>
      </c>
      <c r="M1072" s="10" t="s">
        <v>2224</v>
      </c>
      <c r="N1072" s="26" t="s">
        <v>2225</v>
      </c>
      <c r="O1072" s="26" t="s">
        <v>5377</v>
      </c>
      <c r="P1072" s="39">
        <v>0</v>
      </c>
    </row>
    <row r="1073" spans="2:16" ht="18" customHeight="1" x14ac:dyDescent="0.25">
      <c r="B1073" s="21" t="s">
        <v>0</v>
      </c>
      <c r="C1073" s="22" t="s">
        <v>1214</v>
      </c>
      <c r="D1073" s="22" t="s">
        <v>1182</v>
      </c>
      <c r="E1073" s="21" t="s">
        <v>2222</v>
      </c>
      <c r="F1073" s="23" t="s">
        <v>3</v>
      </c>
      <c r="G1073" s="23" t="s">
        <v>4</v>
      </c>
      <c r="H1073" s="21" t="str">
        <f t="shared" si="16"/>
        <v>ER_CMBIE/EVAPORATION-RATE</v>
      </c>
      <c r="I1073" s="24" t="s">
        <v>2288</v>
      </c>
      <c r="J1073" s="10" t="str">
        <f>VLOOKUP(Table1[[#This Row],[UID]],CS3SVComposerConfig!$B$3:$D$1808,3,FALSE)</f>
        <v>DCR2023_SV_Danube_Hist_v3.dss</v>
      </c>
      <c r="K1073" s="10" t="s">
        <v>2212</v>
      </c>
      <c r="L1073" s="10" t="s">
        <v>2212</v>
      </c>
      <c r="M1073" s="10" t="s">
        <v>2224</v>
      </c>
      <c r="N1073" s="26" t="s">
        <v>2225</v>
      </c>
      <c r="O1073" s="26" t="s">
        <v>5377</v>
      </c>
      <c r="P1073" s="39">
        <v>0</v>
      </c>
    </row>
    <row r="1074" spans="2:16" ht="18" customHeight="1" x14ac:dyDescent="0.25">
      <c r="B1074" s="21" t="s">
        <v>0</v>
      </c>
      <c r="C1074" s="22" t="s">
        <v>1216</v>
      </c>
      <c r="D1074" s="22" t="s">
        <v>1182</v>
      </c>
      <c r="E1074" s="21" t="s">
        <v>2222</v>
      </c>
      <c r="F1074" s="23" t="s">
        <v>3</v>
      </c>
      <c r="G1074" s="23" t="s">
        <v>4</v>
      </c>
      <c r="H1074" s="21" t="str">
        <f t="shared" si="16"/>
        <v>ER_CMCHE/EVAPORATION-RATE</v>
      </c>
      <c r="I1074" s="24" t="s">
        <v>2288</v>
      </c>
      <c r="J1074" s="10" t="str">
        <f>VLOOKUP(Table1[[#This Row],[UID]],CS3SVComposerConfig!$B$3:$D$1808,3,FALSE)</f>
        <v>DCR2023_SV_Danube_Hist_v3.dss</v>
      </c>
      <c r="K1074" s="10" t="s">
        <v>2212</v>
      </c>
      <c r="L1074" s="10" t="s">
        <v>2212</v>
      </c>
      <c r="M1074" s="10" t="s">
        <v>2224</v>
      </c>
      <c r="N1074" s="26" t="s">
        <v>2225</v>
      </c>
      <c r="O1074" s="26" t="s">
        <v>5377</v>
      </c>
      <c r="P1074" s="39">
        <v>0</v>
      </c>
    </row>
    <row r="1075" spans="2:16" ht="18" customHeight="1" x14ac:dyDescent="0.25">
      <c r="B1075" s="21" t="s">
        <v>0</v>
      </c>
      <c r="C1075" s="22" t="s">
        <v>1218</v>
      </c>
      <c r="D1075" s="22" t="s">
        <v>1182</v>
      </c>
      <c r="E1075" s="21" t="s">
        <v>2222</v>
      </c>
      <c r="F1075" s="23" t="s">
        <v>3</v>
      </c>
      <c r="G1075" s="23" t="s">
        <v>4</v>
      </c>
      <c r="H1075" s="21" t="str">
        <f t="shared" si="16"/>
        <v>ER_CMPFW/EVAPORATION-RATE</v>
      </c>
      <c r="I1075" s="24" t="s">
        <v>2288</v>
      </c>
      <c r="J1075" s="10" t="str">
        <f>VLOOKUP(Table1[[#This Row],[UID]],CS3SVComposerConfig!$B$3:$D$1808,3,FALSE)</f>
        <v>DCR2023_SV_Danube_Hist_v3.dss</v>
      </c>
      <c r="K1075" s="10" t="s">
        <v>2212</v>
      </c>
      <c r="L1075" s="10" t="s">
        <v>2212</v>
      </c>
      <c r="M1075" s="10" t="s">
        <v>2224</v>
      </c>
      <c r="N1075" s="26" t="s">
        <v>2225</v>
      </c>
      <c r="O1075" s="26" t="s">
        <v>5377</v>
      </c>
      <c r="P1075" s="39">
        <v>0</v>
      </c>
    </row>
    <row r="1076" spans="2:16" ht="18" customHeight="1" x14ac:dyDescent="0.25">
      <c r="B1076" s="21" t="s">
        <v>0</v>
      </c>
      <c r="C1076" s="22" t="s">
        <v>1220</v>
      </c>
      <c r="D1076" s="22" t="s">
        <v>1182</v>
      </c>
      <c r="E1076" s="21" t="s">
        <v>2222</v>
      </c>
      <c r="F1076" s="23" t="s">
        <v>3</v>
      </c>
      <c r="G1076" s="23" t="s">
        <v>4</v>
      </c>
      <c r="H1076" s="21" t="str">
        <f t="shared" si="16"/>
        <v>ER_CSTIC/EVAPORATION-RATE</v>
      </c>
      <c r="I1076" s="24" t="s">
        <v>2288</v>
      </c>
      <c r="J1076" s="10" t="str">
        <f>VLOOKUP(Table1[[#This Row],[UID]],CS3SVComposerConfig!$B$3:$D$1808,3,FALSE)</f>
        <v>DCR2023_SV_Danube_Hist_v3.dss</v>
      </c>
      <c r="K1076" s="10" t="s">
        <v>2212</v>
      </c>
      <c r="L1076" s="10" t="s">
        <v>2212</v>
      </c>
      <c r="M1076" s="10" t="s">
        <v>2224</v>
      </c>
      <c r="N1076" s="26" t="s">
        <v>2225</v>
      </c>
      <c r="O1076" s="26" t="s">
        <v>5377</v>
      </c>
      <c r="P1076" s="39">
        <v>0</v>
      </c>
    </row>
    <row r="1077" spans="2:16" ht="18" customHeight="1" x14ac:dyDescent="0.25">
      <c r="B1077" s="21" t="s">
        <v>0</v>
      </c>
      <c r="C1077" s="22" t="s">
        <v>1223</v>
      </c>
      <c r="D1077" s="22" t="s">
        <v>1182</v>
      </c>
      <c r="E1077" s="21" t="s">
        <v>2222</v>
      </c>
      <c r="F1077" s="23" t="s">
        <v>3</v>
      </c>
      <c r="G1077" s="23" t="s">
        <v>4</v>
      </c>
      <c r="H1077" s="21" t="str">
        <f t="shared" si="16"/>
        <v>ER_DAVIS/EVAPORATION-RATE</v>
      </c>
      <c r="I1077" s="24" t="s">
        <v>2288</v>
      </c>
      <c r="J1077" s="10" t="str">
        <f>VLOOKUP(Table1[[#This Row],[UID]],CS3SVComposerConfig!$B$3:$D$1808,3,FALSE)</f>
        <v>DCR2023_SV_Danube_Hist_v3.dss</v>
      </c>
      <c r="K1077" s="10" t="s">
        <v>2212</v>
      </c>
      <c r="L1077" s="10" t="s">
        <v>2212</v>
      </c>
      <c r="M1077" s="10" t="s">
        <v>2224</v>
      </c>
      <c r="N1077" s="26" t="s">
        <v>2225</v>
      </c>
      <c r="O1077" s="26" t="s">
        <v>5377</v>
      </c>
      <c r="P1077" s="39">
        <v>0</v>
      </c>
    </row>
    <row r="1078" spans="2:16" ht="18" customHeight="1" x14ac:dyDescent="0.25">
      <c r="B1078" s="21" t="s">
        <v>0</v>
      </c>
      <c r="C1078" s="22" t="s">
        <v>1225</v>
      </c>
      <c r="D1078" s="22" t="s">
        <v>1182</v>
      </c>
      <c r="E1078" s="21" t="s">
        <v>2222</v>
      </c>
      <c r="F1078" s="23" t="s">
        <v>3</v>
      </c>
      <c r="G1078" s="23" t="s">
        <v>4</v>
      </c>
      <c r="H1078" s="21" t="str">
        <f t="shared" si="16"/>
        <v>ER_DELVE/EVAPORATION-RATE</v>
      </c>
      <c r="I1078" s="24" t="s">
        <v>2288</v>
      </c>
      <c r="J1078" s="10" t="str">
        <f>VLOOKUP(Table1[[#This Row],[UID]],CS3SVComposerConfig!$B$3:$D$1808,3,FALSE)</f>
        <v>DCR2023_SV_Danube_Hist_v3.dss</v>
      </c>
      <c r="K1078" s="10" t="s">
        <v>2212</v>
      </c>
      <c r="L1078" s="10" t="s">
        <v>2212</v>
      </c>
      <c r="M1078" s="10" t="s">
        <v>2224</v>
      </c>
      <c r="N1078" s="26" t="s">
        <v>2225</v>
      </c>
      <c r="O1078" s="26" t="s">
        <v>5377</v>
      </c>
      <c r="P1078" s="39">
        <v>0</v>
      </c>
    </row>
    <row r="1079" spans="2:16" ht="18" customHeight="1" x14ac:dyDescent="0.25">
      <c r="B1079" s="21" t="s">
        <v>0</v>
      </c>
      <c r="C1079" s="22" t="s">
        <v>1227</v>
      </c>
      <c r="D1079" s="22" t="s">
        <v>1182</v>
      </c>
      <c r="E1079" s="21" t="s">
        <v>2222</v>
      </c>
      <c r="F1079" s="23" t="s">
        <v>3</v>
      </c>
      <c r="G1079" s="23" t="s">
        <v>4</v>
      </c>
      <c r="H1079" s="21" t="str">
        <f t="shared" si="16"/>
        <v>ER_DONLL/EVAPORATION-RATE</v>
      </c>
      <c r="I1079" s="24" t="s">
        <v>2288</v>
      </c>
      <c r="J1079" s="10" t="str">
        <f>VLOOKUP(Table1[[#This Row],[UID]],CS3SVComposerConfig!$B$3:$D$1808,3,FALSE)</f>
        <v>DCR2023_SV_Danube_Hist_v3.dss</v>
      </c>
      <c r="K1079" s="10" t="s">
        <v>2212</v>
      </c>
      <c r="L1079" s="10" t="s">
        <v>2212</v>
      </c>
      <c r="M1079" s="10" t="s">
        <v>2224</v>
      </c>
      <c r="N1079" s="26" t="s">
        <v>2225</v>
      </c>
      <c r="O1079" s="26" t="s">
        <v>5377</v>
      </c>
      <c r="P1079" s="39">
        <v>0</v>
      </c>
    </row>
    <row r="1080" spans="2:16" ht="18" customHeight="1" x14ac:dyDescent="0.25">
      <c r="B1080" s="21" t="s">
        <v>0</v>
      </c>
      <c r="C1080" s="22" t="s">
        <v>1229</v>
      </c>
      <c r="D1080" s="22" t="s">
        <v>1182</v>
      </c>
      <c r="E1080" s="21" t="s">
        <v>2222</v>
      </c>
      <c r="F1080" s="23" t="s">
        <v>3</v>
      </c>
      <c r="G1080" s="23" t="s">
        <v>4</v>
      </c>
      <c r="H1080" s="21" t="str">
        <f t="shared" si="16"/>
        <v>ER_ECHOL/EVAPORATION-RATE</v>
      </c>
      <c r="I1080" s="24" t="s">
        <v>2288</v>
      </c>
      <c r="J1080" s="10" t="str">
        <f>VLOOKUP(Table1[[#This Row],[UID]],CS3SVComposerConfig!$B$3:$D$1808,3,FALSE)</f>
        <v>DCR2023_SV_Danube_Hist_v3.dss</v>
      </c>
      <c r="K1080" s="10" t="s">
        <v>2212</v>
      </c>
      <c r="L1080" s="10" t="s">
        <v>2212</v>
      </c>
      <c r="M1080" s="10" t="s">
        <v>2224</v>
      </c>
      <c r="N1080" s="26" t="s">
        <v>2225</v>
      </c>
      <c r="O1080" s="26" t="s">
        <v>5377</v>
      </c>
      <c r="P1080" s="39">
        <v>0</v>
      </c>
    </row>
    <row r="1081" spans="2:16" ht="18" customHeight="1" x14ac:dyDescent="0.25">
      <c r="B1081" s="21" t="s">
        <v>0</v>
      </c>
      <c r="C1081" s="22" t="s">
        <v>1231</v>
      </c>
      <c r="D1081" s="22" t="s">
        <v>1182</v>
      </c>
      <c r="E1081" s="21" t="s">
        <v>2222</v>
      </c>
      <c r="F1081" s="23" t="s">
        <v>3</v>
      </c>
      <c r="G1081" s="23" t="s">
        <v>4</v>
      </c>
      <c r="H1081" s="21" t="str">
        <f t="shared" si="16"/>
        <v>ER_EDSON/EVAPORATION-RATE</v>
      </c>
      <c r="I1081" s="24" t="s">
        <v>2288</v>
      </c>
      <c r="J1081" s="10" t="str">
        <f>VLOOKUP(Table1[[#This Row],[UID]],CS3SVComposerConfig!$B$3:$D$1808,3,FALSE)</f>
        <v>DCR2023_SV_Danube_Hist_v3.dss</v>
      </c>
      <c r="K1081" s="10" t="s">
        <v>2212</v>
      </c>
      <c r="L1081" s="10" t="s">
        <v>2212</v>
      </c>
      <c r="M1081" s="10" t="s">
        <v>2224</v>
      </c>
      <c r="N1081" s="26" t="s">
        <v>2225</v>
      </c>
      <c r="O1081" s="26" t="s">
        <v>5377</v>
      </c>
      <c r="P1081" s="39">
        <v>0</v>
      </c>
    </row>
    <row r="1082" spans="2:16" ht="18" customHeight="1" x14ac:dyDescent="0.25">
      <c r="B1082" s="21" t="s">
        <v>0</v>
      </c>
      <c r="C1082" s="22" t="s">
        <v>1233</v>
      </c>
      <c r="D1082" s="22" t="s">
        <v>1182</v>
      </c>
      <c r="E1082" s="21" t="s">
        <v>2222</v>
      </c>
      <c r="F1082" s="23" t="s">
        <v>3</v>
      </c>
      <c r="G1082" s="23" t="s">
        <v>4</v>
      </c>
      <c r="H1082" s="21" t="str">
        <f t="shared" si="16"/>
        <v>ER_ELENR/EVAPORATION-RATE</v>
      </c>
      <c r="I1082" s="24" t="s">
        <v>2288</v>
      </c>
      <c r="J1082" s="10" t="str">
        <f>VLOOKUP(Table1[[#This Row],[UID]],CS3SVComposerConfig!$B$3:$D$1808,3,FALSE)</f>
        <v>DCR2023_SV_Danube_Hist_v3.dss</v>
      </c>
      <c r="K1082" s="10" t="s">
        <v>2212</v>
      </c>
      <c r="L1082" s="10" t="s">
        <v>2212</v>
      </c>
      <c r="M1082" s="10" t="s">
        <v>2224</v>
      </c>
      <c r="N1082" s="26" t="s">
        <v>2225</v>
      </c>
      <c r="O1082" s="26" t="s">
        <v>5377</v>
      </c>
      <c r="P1082" s="39">
        <v>0</v>
      </c>
    </row>
    <row r="1083" spans="2:16" ht="18" customHeight="1" x14ac:dyDescent="0.25">
      <c r="B1083" s="21" t="s">
        <v>0</v>
      </c>
      <c r="C1083" s="22" t="s">
        <v>1235</v>
      </c>
      <c r="D1083" s="22" t="s">
        <v>1182</v>
      </c>
      <c r="E1083" s="21" t="s">
        <v>2222</v>
      </c>
      <c r="F1083" s="23" t="s">
        <v>3</v>
      </c>
      <c r="G1083" s="23" t="s">
        <v>4</v>
      </c>
      <c r="H1083" s="21" t="str">
        <f t="shared" si="16"/>
        <v>ER_ENGLB/EVAPORATION-RATE</v>
      </c>
      <c r="I1083" s="24" t="s">
        <v>2288</v>
      </c>
      <c r="J1083" s="10" t="str">
        <f>VLOOKUP(Table1[[#This Row],[UID]],CS3SVComposerConfig!$B$3:$D$1808,3,FALSE)</f>
        <v>DCR2023_SV_Danube_Hist_v3.dss</v>
      </c>
      <c r="K1083" s="10" t="s">
        <v>2212</v>
      </c>
      <c r="L1083" s="10" t="s">
        <v>2212</v>
      </c>
      <c r="M1083" s="10" t="s">
        <v>2224</v>
      </c>
      <c r="N1083" s="26" t="s">
        <v>2225</v>
      </c>
      <c r="O1083" s="26" t="s">
        <v>5377</v>
      </c>
      <c r="P1083" s="39">
        <v>0</v>
      </c>
    </row>
    <row r="1084" spans="2:16" ht="18" customHeight="1" x14ac:dyDescent="0.25">
      <c r="B1084" s="21" t="s">
        <v>0</v>
      </c>
      <c r="C1084" s="22" t="s">
        <v>1237</v>
      </c>
      <c r="D1084" s="22" t="s">
        <v>1182</v>
      </c>
      <c r="E1084" s="21" t="s">
        <v>2222</v>
      </c>
      <c r="F1084" s="23" t="s">
        <v>3</v>
      </c>
      <c r="G1084" s="23" t="s">
        <v>4</v>
      </c>
      <c r="H1084" s="21" t="str">
        <f t="shared" si="16"/>
        <v>ER_EPARK/EVAPORATION-RATE</v>
      </c>
      <c r="I1084" s="24" t="s">
        <v>2288</v>
      </c>
      <c r="J1084" s="10" t="str">
        <f>VLOOKUP(Table1[[#This Row],[UID]],CS3SVComposerConfig!$B$3:$D$1808,3,FALSE)</f>
        <v>DCR2023_SV_Danube_Hist_v3.dss</v>
      </c>
      <c r="K1084" s="10" t="s">
        <v>2212</v>
      </c>
      <c r="L1084" s="10" t="s">
        <v>2212</v>
      </c>
      <c r="M1084" s="10" t="s">
        <v>2224</v>
      </c>
      <c r="N1084" s="26" t="s">
        <v>2225</v>
      </c>
      <c r="O1084" s="26" t="s">
        <v>5377</v>
      </c>
      <c r="P1084" s="39">
        <v>0</v>
      </c>
    </row>
    <row r="1085" spans="2:16" ht="18" customHeight="1" x14ac:dyDescent="0.25">
      <c r="B1085" s="21" t="s">
        <v>0</v>
      </c>
      <c r="C1085" s="22" t="s">
        <v>1239</v>
      </c>
      <c r="D1085" s="22" t="s">
        <v>1182</v>
      </c>
      <c r="E1085" s="21" t="s">
        <v>2222</v>
      </c>
      <c r="F1085" s="23" t="s">
        <v>3</v>
      </c>
      <c r="G1085" s="23" t="s">
        <v>4</v>
      </c>
      <c r="H1085" s="21" t="str">
        <f t="shared" si="16"/>
        <v>ER_ESTMN/EVAPORATION-RATE</v>
      </c>
      <c r="I1085" s="24" t="s">
        <v>2288</v>
      </c>
      <c r="J1085" s="10" t="str">
        <f>VLOOKUP(Table1[[#This Row],[UID]],CS3SVComposerConfig!$B$3:$D$1808,3,FALSE)</f>
        <v>DCR2023_SV_Danube_Hist_v3.dss</v>
      </c>
      <c r="K1085" s="10" t="s">
        <v>2212</v>
      </c>
      <c r="L1085" s="10" t="s">
        <v>2212</v>
      </c>
      <c r="M1085" s="10" t="s">
        <v>2224</v>
      </c>
      <c r="N1085" s="26" t="s">
        <v>2225</v>
      </c>
      <c r="O1085" s="26" t="s">
        <v>5377</v>
      </c>
      <c r="P1085" s="39">
        <v>0</v>
      </c>
    </row>
    <row r="1086" spans="2:16" ht="18" customHeight="1" x14ac:dyDescent="0.25">
      <c r="B1086" s="21" t="s">
        <v>0</v>
      </c>
      <c r="C1086" s="22" t="s">
        <v>1241</v>
      </c>
      <c r="D1086" s="22" t="s">
        <v>1182</v>
      </c>
      <c r="E1086" s="21" t="s">
        <v>2222</v>
      </c>
      <c r="F1086" s="23" t="s">
        <v>3</v>
      </c>
      <c r="G1086" s="23" t="s">
        <v>4</v>
      </c>
      <c r="H1086" s="21" t="str">
        <f t="shared" si="16"/>
        <v>ER_FLRNC/EVAPORATION-RATE</v>
      </c>
      <c r="I1086" s="24" t="s">
        <v>2288</v>
      </c>
      <c r="J1086" s="10" t="str">
        <f>VLOOKUP(Table1[[#This Row],[UID]],CS3SVComposerConfig!$B$3:$D$1808,3,FALSE)</f>
        <v>DCR2023_SV_Danube_Hist_v3.dss</v>
      </c>
      <c r="K1086" s="10" t="s">
        <v>2212</v>
      </c>
      <c r="L1086" s="10" t="s">
        <v>2212</v>
      </c>
      <c r="M1086" s="10" t="s">
        <v>2224</v>
      </c>
      <c r="N1086" s="26" t="s">
        <v>2225</v>
      </c>
      <c r="O1086" s="26" t="s">
        <v>5377</v>
      </c>
      <c r="P1086" s="39">
        <v>0</v>
      </c>
    </row>
    <row r="1087" spans="2:16" ht="18" customHeight="1" x14ac:dyDescent="0.25">
      <c r="B1087" s="21" t="s">
        <v>0</v>
      </c>
      <c r="C1087" s="22" t="s">
        <v>1243</v>
      </c>
      <c r="D1087" s="22" t="s">
        <v>1182</v>
      </c>
      <c r="E1087" s="21" t="s">
        <v>2222</v>
      </c>
      <c r="F1087" s="23" t="s">
        <v>3</v>
      </c>
      <c r="G1087" s="23" t="s">
        <v>4</v>
      </c>
      <c r="H1087" s="21" t="str">
        <f t="shared" si="16"/>
        <v>ER_FOLSM/EVAPORATION-RATE</v>
      </c>
      <c r="I1087" s="24" t="s">
        <v>2288</v>
      </c>
      <c r="J1087" s="10" t="str">
        <f>VLOOKUP(Table1[[#This Row],[UID]],CS3SVComposerConfig!$B$3:$D$1808,3,FALSE)</f>
        <v>DCR2023_SV_Danube_Hist_v3.dss</v>
      </c>
      <c r="K1087" s="10" t="s">
        <v>2212</v>
      </c>
      <c r="L1087" s="10" t="s">
        <v>2212</v>
      </c>
      <c r="M1087" s="10" t="s">
        <v>2224</v>
      </c>
      <c r="N1087" s="26" t="s">
        <v>2225</v>
      </c>
      <c r="O1087" s="26" t="s">
        <v>5377</v>
      </c>
      <c r="P1087" s="39">
        <v>0</v>
      </c>
    </row>
    <row r="1088" spans="2:16" ht="18" customHeight="1" x14ac:dyDescent="0.25">
      <c r="B1088" s="21" t="s">
        <v>0</v>
      </c>
      <c r="C1088" s="22" t="s">
        <v>1245</v>
      </c>
      <c r="D1088" s="22" t="s">
        <v>1182</v>
      </c>
      <c r="E1088" s="21" t="s">
        <v>2222</v>
      </c>
      <c r="F1088" s="23" t="s">
        <v>3</v>
      </c>
      <c r="G1088" s="23" t="s">
        <v>4</v>
      </c>
      <c r="H1088" s="21" t="str">
        <f t="shared" si="16"/>
        <v>ER_FRDYC/EVAPORATION-RATE</v>
      </c>
      <c r="I1088" s="24" t="s">
        <v>2288</v>
      </c>
      <c r="J1088" s="10" t="str">
        <f>VLOOKUP(Table1[[#This Row],[UID]],CS3SVComposerConfig!$B$3:$D$1808,3,FALSE)</f>
        <v>DCR2023_SV_Danube_Hist_v3.dss</v>
      </c>
      <c r="K1088" s="10" t="s">
        <v>2212</v>
      </c>
      <c r="L1088" s="10" t="s">
        <v>2212</v>
      </c>
      <c r="M1088" s="10" t="s">
        <v>2224</v>
      </c>
      <c r="N1088" s="26" t="s">
        <v>2225</v>
      </c>
      <c r="O1088" s="26" t="s">
        <v>5377</v>
      </c>
      <c r="P1088" s="39">
        <v>0</v>
      </c>
    </row>
    <row r="1089" spans="2:16" ht="18" customHeight="1" x14ac:dyDescent="0.25">
      <c r="B1089" s="21" t="s">
        <v>0</v>
      </c>
      <c r="C1089" s="22" t="s">
        <v>1247</v>
      </c>
      <c r="D1089" s="22" t="s">
        <v>1182</v>
      </c>
      <c r="E1089" s="21" t="s">
        <v>2222</v>
      </c>
      <c r="F1089" s="23" t="s">
        <v>3</v>
      </c>
      <c r="G1089" s="23" t="s">
        <v>4</v>
      </c>
      <c r="H1089" s="21" t="str">
        <f t="shared" si="16"/>
        <v>ER_FRMAN/EVAPORATION-RATE</v>
      </c>
      <c r="I1089" s="24" t="s">
        <v>2288</v>
      </c>
      <c r="J1089" s="10" t="str">
        <f>VLOOKUP(Table1[[#This Row],[UID]],CS3SVComposerConfig!$B$3:$D$1808,3,FALSE)</f>
        <v>DCR2023_SV_Danube_Hist_v3.dss</v>
      </c>
      <c r="K1089" s="10" t="s">
        <v>2212</v>
      </c>
      <c r="L1089" s="10" t="s">
        <v>2212</v>
      </c>
      <c r="M1089" s="10" t="s">
        <v>2224</v>
      </c>
      <c r="N1089" s="26" t="s">
        <v>2225</v>
      </c>
      <c r="O1089" s="26" t="s">
        <v>5377</v>
      </c>
      <c r="P1089" s="39">
        <v>0</v>
      </c>
    </row>
    <row r="1090" spans="2:16" ht="18" customHeight="1" x14ac:dyDescent="0.25">
      <c r="B1090" s="21" t="s">
        <v>0</v>
      </c>
      <c r="C1090" s="22" t="s">
        <v>1249</v>
      </c>
      <c r="D1090" s="22" t="s">
        <v>1182</v>
      </c>
      <c r="E1090" s="21" t="s">
        <v>2222</v>
      </c>
      <c r="F1090" s="23" t="s">
        <v>3</v>
      </c>
      <c r="G1090" s="23" t="s">
        <v>4</v>
      </c>
      <c r="H1090" s="21" t="str">
        <f t="shared" si="16"/>
        <v>ER_FRMDW/EVAPORATION-RATE</v>
      </c>
      <c r="I1090" s="24" t="s">
        <v>2288</v>
      </c>
      <c r="J1090" s="10" t="str">
        <f>VLOOKUP(Table1[[#This Row],[UID]],CS3SVComposerConfig!$B$3:$D$1808,3,FALSE)</f>
        <v>DCR2023_SV_Danube_Hist_v3.dss</v>
      </c>
      <c r="K1090" s="10" t="s">
        <v>2212</v>
      </c>
      <c r="L1090" s="10" t="s">
        <v>2212</v>
      </c>
      <c r="M1090" s="10" t="s">
        <v>2224</v>
      </c>
      <c r="N1090" s="26" t="s">
        <v>2225</v>
      </c>
      <c r="O1090" s="26" t="s">
        <v>5377</v>
      </c>
      <c r="P1090" s="39">
        <v>0</v>
      </c>
    </row>
    <row r="1091" spans="2:16" ht="18" customHeight="1" x14ac:dyDescent="0.25">
      <c r="B1091" s="21" t="s">
        <v>0</v>
      </c>
      <c r="C1091" s="22" t="s">
        <v>1251</v>
      </c>
      <c r="D1091" s="22" t="s">
        <v>1182</v>
      </c>
      <c r="E1091" s="21" t="s">
        <v>2222</v>
      </c>
      <c r="F1091" s="23" t="s">
        <v>3</v>
      </c>
      <c r="G1091" s="23" t="s">
        <v>4</v>
      </c>
      <c r="H1091" s="21" t="str">
        <f t="shared" ref="H1091:H1154" si="17">_xlfn.CONCAT(C1091,"/",D1091)</f>
        <v>ER_FRNCH/EVAPORATION-RATE</v>
      </c>
      <c r="I1091" s="24" t="s">
        <v>2288</v>
      </c>
      <c r="J1091" s="10" t="str">
        <f>VLOOKUP(Table1[[#This Row],[UID]],CS3SVComposerConfig!$B$3:$D$1808,3,FALSE)</f>
        <v>DCR2023_SV_Danube_Hist_v3.dss</v>
      </c>
      <c r="K1091" s="10" t="s">
        <v>2212</v>
      </c>
      <c r="L1091" s="10" t="s">
        <v>2212</v>
      </c>
      <c r="M1091" s="10" t="s">
        <v>2224</v>
      </c>
      <c r="N1091" s="26" t="s">
        <v>2225</v>
      </c>
      <c r="O1091" s="26" t="s">
        <v>5377</v>
      </c>
      <c r="P1091" s="39">
        <v>0</v>
      </c>
    </row>
    <row r="1092" spans="2:16" ht="18" customHeight="1" x14ac:dyDescent="0.25">
      <c r="B1092" s="21" t="s">
        <v>0</v>
      </c>
      <c r="C1092" s="22" t="s">
        <v>1253</v>
      </c>
      <c r="D1092" s="22" t="s">
        <v>1182</v>
      </c>
      <c r="E1092" s="21" t="s">
        <v>2222</v>
      </c>
      <c r="F1092" s="23" t="s">
        <v>3</v>
      </c>
      <c r="G1092" s="23" t="s">
        <v>4</v>
      </c>
      <c r="H1092" s="21" t="str">
        <f t="shared" si="17"/>
        <v>ER_GERLE/EVAPORATION-RATE</v>
      </c>
      <c r="I1092" s="24" t="s">
        <v>2288</v>
      </c>
      <c r="J1092" s="10" t="str">
        <f>VLOOKUP(Table1[[#This Row],[UID]],CS3SVComposerConfig!$B$3:$D$1808,3,FALSE)</f>
        <v>DCR2023_SV_Danube_Hist_v3.dss</v>
      </c>
      <c r="K1092" s="10" t="s">
        <v>2212</v>
      </c>
      <c r="L1092" s="10" t="s">
        <v>2212</v>
      </c>
      <c r="M1092" s="10" t="s">
        <v>2224</v>
      </c>
      <c r="N1092" s="26" t="s">
        <v>2225</v>
      </c>
      <c r="O1092" s="26" t="s">
        <v>5377</v>
      </c>
      <c r="P1092" s="39">
        <v>0</v>
      </c>
    </row>
    <row r="1093" spans="2:16" ht="18" customHeight="1" x14ac:dyDescent="0.25">
      <c r="B1093" s="21" t="s">
        <v>0</v>
      </c>
      <c r="C1093" s="22" t="s">
        <v>1255</v>
      </c>
      <c r="D1093" s="22" t="s">
        <v>1182</v>
      </c>
      <c r="E1093" s="21" t="s">
        <v>2222</v>
      </c>
      <c r="F1093" s="23" t="s">
        <v>3</v>
      </c>
      <c r="G1093" s="23" t="s">
        <v>4</v>
      </c>
      <c r="H1093" s="21" t="str">
        <f t="shared" si="17"/>
        <v>ER_HHOLE/EVAPORATION-RATE</v>
      </c>
      <c r="I1093" s="24" t="s">
        <v>2288</v>
      </c>
      <c r="J1093" s="10" t="str">
        <f>VLOOKUP(Table1[[#This Row],[UID]],CS3SVComposerConfig!$B$3:$D$1808,3,FALSE)</f>
        <v>DCR2023_SV_Danube_Hist_v3.dss</v>
      </c>
      <c r="K1093" s="10" t="s">
        <v>2212</v>
      </c>
      <c r="L1093" s="10" t="s">
        <v>2212</v>
      </c>
      <c r="M1093" s="10" t="s">
        <v>2224</v>
      </c>
      <c r="N1093" s="26" t="s">
        <v>2225</v>
      </c>
      <c r="O1093" s="26" t="s">
        <v>5377</v>
      </c>
      <c r="P1093" s="39">
        <v>0</v>
      </c>
    </row>
    <row r="1094" spans="2:16" ht="18" customHeight="1" x14ac:dyDescent="0.25">
      <c r="B1094" s="21" t="s">
        <v>0</v>
      </c>
      <c r="C1094" s="22" t="s">
        <v>1257</v>
      </c>
      <c r="D1094" s="22" t="s">
        <v>1182</v>
      </c>
      <c r="E1094" s="21" t="s">
        <v>2222</v>
      </c>
      <c r="F1094" s="23" t="s">
        <v>3</v>
      </c>
      <c r="G1094" s="23" t="s">
        <v>4</v>
      </c>
      <c r="H1094" s="21" t="str">
        <f t="shared" si="17"/>
        <v>ER_HNGTN/EVAPORATION-RATE</v>
      </c>
      <c r="I1094" s="24" t="s">
        <v>2288</v>
      </c>
      <c r="J1094" s="10" t="str">
        <f>VLOOKUP(Table1[[#This Row],[UID]],CS3SVComposerConfig!$B$3:$D$1808,3,FALSE)</f>
        <v>DCR2023_SV_Danube_Hist_v3.dss</v>
      </c>
      <c r="K1094" s="10" t="s">
        <v>2212</v>
      </c>
      <c r="L1094" s="10" t="s">
        <v>2212</v>
      </c>
      <c r="M1094" s="10" t="s">
        <v>2224</v>
      </c>
      <c r="N1094" s="26" t="s">
        <v>2225</v>
      </c>
      <c r="O1094" s="26" t="s">
        <v>5377</v>
      </c>
      <c r="P1094" s="39">
        <v>0</v>
      </c>
    </row>
    <row r="1095" spans="2:16" ht="18" customHeight="1" x14ac:dyDescent="0.25">
      <c r="B1095" s="21" t="s">
        <v>0</v>
      </c>
      <c r="C1095" s="22" t="s">
        <v>1259</v>
      </c>
      <c r="D1095" s="22" t="s">
        <v>1182</v>
      </c>
      <c r="E1095" s="21" t="s">
        <v>2222</v>
      </c>
      <c r="F1095" s="23" t="s">
        <v>3</v>
      </c>
      <c r="G1095" s="23" t="s">
        <v>4</v>
      </c>
      <c r="H1095" s="21" t="str">
        <f t="shared" si="17"/>
        <v>ER_HNSLY/EVAPORATION-RATE</v>
      </c>
      <c r="I1095" s="24" t="s">
        <v>2288</v>
      </c>
      <c r="J1095" s="10" t="str">
        <f>VLOOKUP(Table1[[#This Row],[UID]],CS3SVComposerConfig!$B$3:$D$1808,3,FALSE)</f>
        <v>DCR2023_SV_Danube_Hist_v3.dss</v>
      </c>
      <c r="K1095" s="10" t="s">
        <v>2212</v>
      </c>
      <c r="L1095" s="10" t="s">
        <v>2212</v>
      </c>
      <c r="M1095" s="10" t="s">
        <v>2224</v>
      </c>
      <c r="N1095" s="26" t="s">
        <v>2225</v>
      </c>
      <c r="O1095" s="26" t="s">
        <v>5377</v>
      </c>
      <c r="P1095" s="39">
        <v>0</v>
      </c>
    </row>
    <row r="1096" spans="2:16" ht="18" customHeight="1" x14ac:dyDescent="0.25">
      <c r="B1096" s="21" t="s">
        <v>0</v>
      </c>
      <c r="C1096" s="22" t="s">
        <v>1261</v>
      </c>
      <c r="D1096" s="22" t="s">
        <v>1182</v>
      </c>
      <c r="E1096" s="21" t="s">
        <v>2222</v>
      </c>
      <c r="F1096" s="23" t="s">
        <v>3</v>
      </c>
      <c r="G1096" s="23" t="s">
        <v>4</v>
      </c>
      <c r="H1096" s="21" t="str">
        <f t="shared" si="17"/>
        <v>ER_HTCHY/EVAPORATION-RATE</v>
      </c>
      <c r="I1096" s="24" t="s">
        <v>2288</v>
      </c>
      <c r="J1096" s="10" t="str">
        <f>VLOOKUP(Table1[[#This Row],[UID]],CS3SVComposerConfig!$B$3:$D$1808,3,FALSE)</f>
        <v>DCR2023_SV_Danube_Hist_v3.dss</v>
      </c>
      <c r="K1096" s="10" t="s">
        <v>2212</v>
      </c>
      <c r="L1096" s="10" t="s">
        <v>2212</v>
      </c>
      <c r="M1096" s="10" t="s">
        <v>2224</v>
      </c>
      <c r="N1096" s="26" t="s">
        <v>2225</v>
      </c>
      <c r="O1096" s="26" t="s">
        <v>5377</v>
      </c>
      <c r="P1096" s="39">
        <v>0</v>
      </c>
    </row>
    <row r="1097" spans="2:16" ht="18" customHeight="1" x14ac:dyDescent="0.25">
      <c r="B1097" s="21" t="s">
        <v>0</v>
      </c>
      <c r="C1097" s="22" t="s">
        <v>1263</v>
      </c>
      <c r="D1097" s="22" t="s">
        <v>1182</v>
      </c>
      <c r="E1097" s="21" t="s">
        <v>2222</v>
      </c>
      <c r="F1097" s="23" t="s">
        <v>3</v>
      </c>
      <c r="G1097" s="23" t="s">
        <v>4</v>
      </c>
      <c r="H1097" s="21" t="str">
        <f t="shared" si="17"/>
        <v>ER_ICEHS/EVAPORATION-RATE</v>
      </c>
      <c r="I1097" s="24" t="s">
        <v>2288</v>
      </c>
      <c r="J1097" s="10" t="str">
        <f>VLOOKUP(Table1[[#This Row],[UID]],CS3SVComposerConfig!$B$3:$D$1808,3,FALSE)</f>
        <v>DCR2023_SV_Danube_Hist_v3.dss</v>
      </c>
      <c r="K1097" s="10" t="s">
        <v>2212</v>
      </c>
      <c r="L1097" s="10" t="s">
        <v>2212</v>
      </c>
      <c r="M1097" s="10" t="s">
        <v>2224</v>
      </c>
      <c r="N1097" s="26" t="s">
        <v>2225</v>
      </c>
      <c r="O1097" s="26" t="s">
        <v>5377</v>
      </c>
      <c r="P1097" s="39">
        <v>0</v>
      </c>
    </row>
    <row r="1098" spans="2:16" ht="18" customHeight="1" x14ac:dyDescent="0.25">
      <c r="B1098" s="21" t="s">
        <v>0</v>
      </c>
      <c r="C1098" s="22" t="s">
        <v>1265</v>
      </c>
      <c r="D1098" s="22" t="s">
        <v>1182</v>
      </c>
      <c r="E1098" s="21" t="s">
        <v>2222</v>
      </c>
      <c r="F1098" s="23" t="s">
        <v>3</v>
      </c>
      <c r="G1098" s="23" t="s">
        <v>4</v>
      </c>
      <c r="H1098" s="21" t="str">
        <f t="shared" si="17"/>
        <v>ER_INDVL/EVAPORATION-RATE</v>
      </c>
      <c r="I1098" s="24" t="s">
        <v>2288</v>
      </c>
      <c r="J1098" s="10" t="str">
        <f>VLOOKUP(Table1[[#This Row],[UID]],CS3SVComposerConfig!$B$3:$D$1808,3,FALSE)</f>
        <v>DCR2023_SV_Danube_Hist_v3.dss</v>
      </c>
      <c r="K1098" s="10" t="s">
        <v>2212</v>
      </c>
      <c r="L1098" s="10" t="s">
        <v>2212</v>
      </c>
      <c r="M1098" s="10" t="s">
        <v>2224</v>
      </c>
      <c r="N1098" s="26" t="s">
        <v>2225</v>
      </c>
      <c r="O1098" s="26" t="s">
        <v>5377</v>
      </c>
      <c r="P1098" s="39">
        <v>0</v>
      </c>
    </row>
    <row r="1099" spans="2:16" ht="18" customHeight="1" x14ac:dyDescent="0.25">
      <c r="B1099" s="21" t="s">
        <v>0</v>
      </c>
      <c r="C1099" s="22" t="s">
        <v>1267</v>
      </c>
      <c r="D1099" s="22" t="s">
        <v>1182</v>
      </c>
      <c r="E1099" s="21" t="s">
        <v>2222</v>
      </c>
      <c r="F1099" s="23" t="s">
        <v>3</v>
      </c>
      <c r="G1099" s="23" t="s">
        <v>4</v>
      </c>
      <c r="H1099" s="21" t="str">
        <f t="shared" si="17"/>
        <v>ER_JKSMD/EVAPORATION-RATE</v>
      </c>
      <c r="I1099" s="24" t="s">
        <v>2288</v>
      </c>
      <c r="J1099" s="10" t="str">
        <f>VLOOKUP(Table1[[#This Row],[UID]],CS3SVComposerConfig!$B$3:$D$1808,3,FALSE)</f>
        <v>DCR2023_SV_Danube_Hist_v3.dss</v>
      </c>
      <c r="K1099" s="10" t="s">
        <v>2212</v>
      </c>
      <c r="L1099" s="10" t="s">
        <v>2212</v>
      </c>
      <c r="M1099" s="10" t="s">
        <v>2224</v>
      </c>
      <c r="N1099" s="26" t="s">
        <v>2225</v>
      </c>
      <c r="O1099" s="26" t="s">
        <v>5377</v>
      </c>
      <c r="P1099" s="39">
        <v>0</v>
      </c>
    </row>
    <row r="1100" spans="2:16" ht="18" customHeight="1" x14ac:dyDescent="0.25">
      <c r="B1100" s="21" t="s">
        <v>0</v>
      </c>
      <c r="C1100" s="22" t="s">
        <v>1269</v>
      </c>
      <c r="D1100" s="22" t="s">
        <v>1182</v>
      </c>
      <c r="E1100" s="21" t="s">
        <v>2222</v>
      </c>
      <c r="F1100" s="23" t="s">
        <v>3</v>
      </c>
      <c r="G1100" s="23" t="s">
        <v>4</v>
      </c>
      <c r="H1100" s="21" t="str">
        <f t="shared" si="17"/>
        <v>ER_JNKSN/EVAPORATION-RATE</v>
      </c>
      <c r="I1100" s="24" t="s">
        <v>2288</v>
      </c>
      <c r="J1100" s="10" t="str">
        <f>VLOOKUP(Table1[[#This Row],[UID]],CS3SVComposerConfig!$B$3:$D$1808,3,FALSE)</f>
        <v>DCR2023_SV_Danube_Hist_v3.dss</v>
      </c>
      <c r="K1100" s="10" t="s">
        <v>2212</v>
      </c>
      <c r="L1100" s="10" t="s">
        <v>2212</v>
      </c>
      <c r="M1100" s="10" t="s">
        <v>2224</v>
      </c>
      <c r="N1100" s="26" t="s">
        <v>2225</v>
      </c>
      <c r="O1100" s="26" t="s">
        <v>5377</v>
      </c>
      <c r="P1100" s="39">
        <v>0</v>
      </c>
    </row>
    <row r="1101" spans="2:16" ht="18" customHeight="1" x14ac:dyDescent="0.25">
      <c r="B1101" s="21" t="s">
        <v>0</v>
      </c>
      <c r="C1101" s="22" t="s">
        <v>1271</v>
      </c>
      <c r="D1101" s="22" t="s">
        <v>1182</v>
      </c>
      <c r="E1101" s="21" t="s">
        <v>2222</v>
      </c>
      <c r="F1101" s="23" t="s">
        <v>3</v>
      </c>
      <c r="G1101" s="23" t="s">
        <v>4</v>
      </c>
      <c r="H1101" s="21" t="str">
        <f t="shared" si="17"/>
        <v>ER_KSWCK/EVAPORATION-RATE</v>
      </c>
      <c r="I1101" s="24" t="s">
        <v>2288</v>
      </c>
      <c r="J1101" s="10" t="str">
        <f>VLOOKUP(Table1[[#This Row],[UID]],CS3SVComposerConfig!$B$3:$D$1808,3,FALSE)</f>
        <v>DCR2023_SV_Danube_Hist_v3.dss</v>
      </c>
      <c r="K1101" s="10" t="s">
        <v>2212</v>
      </c>
      <c r="L1101" s="10" t="s">
        <v>2212</v>
      </c>
      <c r="M1101" s="10" t="s">
        <v>2224</v>
      </c>
      <c r="N1101" s="26" t="s">
        <v>2225</v>
      </c>
      <c r="O1101" s="26" t="s">
        <v>5377</v>
      </c>
      <c r="P1101" s="39">
        <v>0</v>
      </c>
    </row>
    <row r="1102" spans="2:16" ht="18" customHeight="1" x14ac:dyDescent="0.25">
      <c r="B1102" s="21" t="s">
        <v>0</v>
      </c>
      <c r="C1102" s="22" t="s">
        <v>1273</v>
      </c>
      <c r="D1102" s="22" t="s">
        <v>1182</v>
      </c>
      <c r="E1102" s="21" t="s">
        <v>2222</v>
      </c>
      <c r="F1102" s="23" t="s">
        <v>3</v>
      </c>
      <c r="G1102" s="23" t="s">
        <v>4</v>
      </c>
      <c r="H1102" s="21" t="str">
        <f t="shared" si="17"/>
        <v>ER_LBEAR/EVAPORATION-RATE</v>
      </c>
      <c r="I1102" s="24" t="s">
        <v>2288</v>
      </c>
      <c r="J1102" s="10" t="str">
        <f>VLOOKUP(Table1[[#This Row],[UID]],CS3SVComposerConfig!$B$3:$D$1808,3,FALSE)</f>
        <v>DCR2023_SV_Danube_Hist_v3.dss</v>
      </c>
      <c r="K1102" s="10" t="s">
        <v>2212</v>
      </c>
      <c r="L1102" s="10" t="s">
        <v>2212</v>
      </c>
      <c r="M1102" s="10" t="s">
        <v>2224</v>
      </c>
      <c r="N1102" s="26" t="s">
        <v>2225</v>
      </c>
      <c r="O1102" s="26" t="s">
        <v>5377</v>
      </c>
      <c r="P1102" s="39">
        <v>0</v>
      </c>
    </row>
    <row r="1103" spans="2:16" ht="18" customHeight="1" x14ac:dyDescent="0.25">
      <c r="B1103" s="21" t="s">
        <v>0</v>
      </c>
      <c r="C1103" s="22" t="s">
        <v>1275</v>
      </c>
      <c r="D1103" s="22" t="s">
        <v>1182</v>
      </c>
      <c r="E1103" s="21" t="s">
        <v>2222</v>
      </c>
      <c r="F1103" s="23" t="s">
        <v>3</v>
      </c>
      <c r="G1103" s="23" t="s">
        <v>4</v>
      </c>
      <c r="H1103" s="21" t="str">
        <f t="shared" si="17"/>
        <v>ER_LCBRF/EVAPORATION-RATE</v>
      </c>
      <c r="I1103" s="24" t="s">
        <v>2288</v>
      </c>
      <c r="J1103" s="10" t="str">
        <f>VLOOKUP(Table1[[#This Row],[UID]],CS3SVComposerConfig!$B$3:$D$1808,3,FALSE)</f>
        <v>DCR2023_SV_Danube_Hist_v3.dss</v>
      </c>
      <c r="K1103" s="10" t="s">
        <v>2212</v>
      </c>
      <c r="L1103" s="10" t="s">
        <v>2212</v>
      </c>
      <c r="M1103" s="10" t="s">
        <v>2224</v>
      </c>
      <c r="N1103" s="26" t="s">
        <v>2225</v>
      </c>
      <c r="O1103" s="26" t="s">
        <v>5377</v>
      </c>
      <c r="P1103" s="39">
        <v>0</v>
      </c>
    </row>
    <row r="1104" spans="2:16" ht="18" customHeight="1" x14ac:dyDescent="0.25">
      <c r="B1104" s="21" t="s">
        <v>0</v>
      </c>
      <c r="C1104" s="22" t="s">
        <v>1277</v>
      </c>
      <c r="D1104" s="22" t="s">
        <v>1182</v>
      </c>
      <c r="E1104" s="21" t="s">
        <v>2222</v>
      </c>
      <c r="F1104" s="23" t="s">
        <v>3</v>
      </c>
      <c r="G1104" s="23" t="s">
        <v>4</v>
      </c>
      <c r="H1104" s="21" t="str">
        <f t="shared" si="17"/>
        <v>ER_LGRSV/EVAPORATION-RATE</v>
      </c>
      <c r="I1104" s="24" t="s">
        <v>2288</v>
      </c>
      <c r="J1104" s="10" t="str">
        <f>VLOOKUP(Table1[[#This Row],[UID]],CS3SVComposerConfig!$B$3:$D$1808,3,FALSE)</f>
        <v>DCR2023_SV_Danube_Hist_v3.dss</v>
      </c>
      <c r="K1104" s="10" t="s">
        <v>2212</v>
      </c>
      <c r="L1104" s="10" t="s">
        <v>2212</v>
      </c>
      <c r="M1104" s="10" t="s">
        <v>2224</v>
      </c>
      <c r="N1104" s="26" t="s">
        <v>2225</v>
      </c>
      <c r="O1104" s="26" t="s">
        <v>5377</v>
      </c>
      <c r="P1104" s="39">
        <v>0</v>
      </c>
    </row>
    <row r="1105" spans="2:16" ht="18" customHeight="1" x14ac:dyDescent="0.25">
      <c r="B1105" s="21" t="s">
        <v>0</v>
      </c>
      <c r="C1105" s="22" t="s">
        <v>1279</v>
      </c>
      <c r="D1105" s="22" t="s">
        <v>1182</v>
      </c>
      <c r="E1105" s="21" t="s">
        <v>2222</v>
      </c>
      <c r="F1105" s="23" t="s">
        <v>3</v>
      </c>
      <c r="G1105" s="23" t="s">
        <v>4</v>
      </c>
      <c r="H1105" s="21" t="str">
        <f t="shared" si="17"/>
        <v>ER_LKVLY/EVAPORATION-RATE</v>
      </c>
      <c r="I1105" s="24" t="s">
        <v>2288</v>
      </c>
      <c r="J1105" s="10" t="str">
        <f>VLOOKUP(Table1[[#This Row],[UID]],CS3SVComposerConfig!$B$3:$D$1808,3,FALSE)</f>
        <v>DCR2023_SV_Danube_Hist_v3.dss</v>
      </c>
      <c r="K1105" s="10" t="s">
        <v>2212</v>
      </c>
      <c r="L1105" s="10" t="s">
        <v>2212</v>
      </c>
      <c r="M1105" s="10" t="s">
        <v>2224</v>
      </c>
      <c r="N1105" s="26" t="s">
        <v>2225</v>
      </c>
      <c r="O1105" s="26" t="s">
        <v>5377</v>
      </c>
      <c r="P1105" s="39">
        <v>0</v>
      </c>
    </row>
    <row r="1106" spans="2:16" ht="18" customHeight="1" x14ac:dyDescent="0.25">
      <c r="B1106" s="21" t="s">
        <v>0</v>
      </c>
      <c r="C1106" s="22" t="s">
        <v>1899</v>
      </c>
      <c r="D1106" s="22" t="s">
        <v>1182</v>
      </c>
      <c r="E1106" s="21" t="s">
        <v>2222</v>
      </c>
      <c r="F1106" s="23" t="s">
        <v>3</v>
      </c>
      <c r="G1106" s="23" t="s">
        <v>4</v>
      </c>
      <c r="H1106" s="21" t="str">
        <f t="shared" si="17"/>
        <v>ER_LLOYD/EVAPORATION-RATE</v>
      </c>
      <c r="I1106" s="24" t="s">
        <v>2288</v>
      </c>
      <c r="J1106" s="10" t="str">
        <f>VLOOKUP(Table1[[#This Row],[UID]],CS3SVComposerConfig!$B$3:$D$1808,3,FALSE)</f>
        <v>DCR2023_SV_Danube_Hist_v3.dss</v>
      </c>
      <c r="K1106" s="10" t="s">
        <v>2224</v>
      </c>
      <c r="L1106" s="10" t="s">
        <v>2212</v>
      </c>
      <c r="M1106" s="10" t="s">
        <v>2224</v>
      </c>
      <c r="N1106" s="10" t="s">
        <v>2227</v>
      </c>
      <c r="O1106" s="10" t="s">
        <v>2227</v>
      </c>
      <c r="P1106" s="39" t="s">
        <v>2227</v>
      </c>
    </row>
    <row r="1107" spans="2:16" ht="18" customHeight="1" x14ac:dyDescent="0.25">
      <c r="B1107" s="21" t="s">
        <v>0</v>
      </c>
      <c r="C1107" s="22" t="s">
        <v>1281</v>
      </c>
      <c r="D1107" s="22" t="s">
        <v>1182</v>
      </c>
      <c r="E1107" s="21" t="s">
        <v>2222</v>
      </c>
      <c r="F1107" s="23" t="s">
        <v>3</v>
      </c>
      <c r="G1107" s="23" t="s">
        <v>4</v>
      </c>
      <c r="H1107" s="21" t="str">
        <f t="shared" si="17"/>
        <v>ER_LOONL/EVAPORATION-RATE</v>
      </c>
      <c r="I1107" s="24" t="s">
        <v>2288</v>
      </c>
      <c r="J1107" s="10" t="str">
        <f>VLOOKUP(Table1[[#This Row],[UID]],CS3SVComposerConfig!$B$3:$D$1808,3,FALSE)</f>
        <v>DCR2023_SV_Danube_Hist_v3.dss</v>
      </c>
      <c r="K1107" s="10" t="s">
        <v>2212</v>
      </c>
      <c r="L1107" s="10" t="s">
        <v>2212</v>
      </c>
      <c r="M1107" s="10" t="s">
        <v>2224</v>
      </c>
      <c r="N1107" s="26" t="s">
        <v>2225</v>
      </c>
      <c r="O1107" s="26" t="s">
        <v>5377</v>
      </c>
      <c r="P1107" s="39">
        <v>0</v>
      </c>
    </row>
    <row r="1108" spans="2:16" ht="18" customHeight="1" x14ac:dyDescent="0.25">
      <c r="B1108" s="21" t="s">
        <v>0</v>
      </c>
      <c r="C1108" s="22" t="s">
        <v>1283</v>
      </c>
      <c r="D1108" s="22" t="s">
        <v>1182</v>
      </c>
      <c r="E1108" s="21" t="s">
        <v>2222</v>
      </c>
      <c r="F1108" s="23" t="s">
        <v>3</v>
      </c>
      <c r="G1108" s="23" t="s">
        <v>4</v>
      </c>
      <c r="H1108" s="21" t="str">
        <f t="shared" si="17"/>
        <v>ER_LOSVQ/EVAPORATION-RATE</v>
      </c>
      <c r="I1108" s="24" t="s">
        <v>2288</v>
      </c>
      <c r="J1108" s="10" t="str">
        <f>VLOOKUP(Table1[[#This Row],[UID]],CS3SVComposerConfig!$B$3:$D$1808,3,FALSE)</f>
        <v>DCR2023_SV_Danube_Hist_v3.dss</v>
      </c>
      <c r="K1108" s="10" t="s">
        <v>2212</v>
      </c>
      <c r="L1108" s="10" t="s">
        <v>2212</v>
      </c>
      <c r="M1108" s="10" t="s">
        <v>2224</v>
      </c>
      <c r="N1108" s="26" t="s">
        <v>2225</v>
      </c>
      <c r="O1108" s="26" t="s">
        <v>5377</v>
      </c>
      <c r="P1108" s="39">
        <v>0</v>
      </c>
    </row>
    <row r="1109" spans="2:16" ht="18" customHeight="1" x14ac:dyDescent="0.25">
      <c r="B1109" s="21" t="s">
        <v>0</v>
      </c>
      <c r="C1109" s="22" t="s">
        <v>1285</v>
      </c>
      <c r="D1109" s="22" t="s">
        <v>1182</v>
      </c>
      <c r="E1109" s="21" t="s">
        <v>2222</v>
      </c>
      <c r="F1109" s="23" t="s">
        <v>3</v>
      </c>
      <c r="G1109" s="23" t="s">
        <v>4</v>
      </c>
      <c r="H1109" s="21" t="str">
        <f t="shared" si="17"/>
        <v>ER_LWSTN/EVAPORATION-RATE</v>
      </c>
      <c r="I1109" s="24" t="s">
        <v>2288</v>
      </c>
      <c r="J1109" s="10" t="str">
        <f>VLOOKUP(Table1[[#This Row],[UID]],CS3SVComposerConfig!$B$3:$D$1808,3,FALSE)</f>
        <v>DCR2023_SV_Danube_Hist_v3.dss</v>
      </c>
      <c r="K1109" s="10" t="s">
        <v>2212</v>
      </c>
      <c r="L1109" s="10" t="s">
        <v>2212</v>
      </c>
      <c r="M1109" s="10" t="s">
        <v>2224</v>
      </c>
      <c r="N1109" s="26" t="s">
        <v>2225</v>
      </c>
      <c r="O1109" s="26" t="s">
        <v>5377</v>
      </c>
      <c r="P1109" s="39">
        <v>0</v>
      </c>
    </row>
    <row r="1110" spans="2:16" ht="18" customHeight="1" x14ac:dyDescent="0.25">
      <c r="B1110" s="21" t="s">
        <v>0</v>
      </c>
      <c r="C1110" s="22" t="s">
        <v>1287</v>
      </c>
      <c r="D1110" s="22" t="s">
        <v>1182</v>
      </c>
      <c r="E1110" s="21" t="s">
        <v>2222</v>
      </c>
      <c r="F1110" s="23" t="s">
        <v>3</v>
      </c>
      <c r="G1110" s="23" t="s">
        <v>4</v>
      </c>
      <c r="H1110" s="21" t="str">
        <f t="shared" si="17"/>
        <v>ER_LYONS/EVAPORATION-RATE</v>
      </c>
      <c r="I1110" s="24" t="s">
        <v>2288</v>
      </c>
      <c r="J1110" s="10" t="str">
        <f>VLOOKUP(Table1[[#This Row],[UID]],CS3SVComposerConfig!$B$3:$D$1808,3,FALSE)</f>
        <v>DCR2023_SV_Danube_Hist_v3.dss</v>
      </c>
      <c r="K1110" s="10" t="s">
        <v>2212</v>
      </c>
      <c r="L1110" s="10" t="s">
        <v>2212</v>
      </c>
      <c r="M1110" s="10" t="s">
        <v>2224</v>
      </c>
      <c r="N1110" s="26" t="s">
        <v>2225</v>
      </c>
      <c r="O1110" s="26" t="s">
        <v>5377</v>
      </c>
      <c r="P1110" s="39">
        <v>0</v>
      </c>
    </row>
    <row r="1111" spans="2:16" ht="18" customHeight="1" x14ac:dyDescent="0.25">
      <c r="B1111" s="21" t="s">
        <v>0</v>
      </c>
      <c r="C1111" s="22" t="s">
        <v>1289</v>
      </c>
      <c r="D1111" s="22" t="s">
        <v>1182</v>
      </c>
      <c r="E1111" s="21" t="s">
        <v>2222</v>
      </c>
      <c r="F1111" s="23" t="s">
        <v>3</v>
      </c>
      <c r="G1111" s="23" t="s">
        <v>4</v>
      </c>
      <c r="H1111" s="21" t="str">
        <f t="shared" si="17"/>
        <v>ER_MAMTH/EVAPORATION-RATE</v>
      </c>
      <c r="I1111" s="24" t="s">
        <v>2288</v>
      </c>
      <c r="J1111" s="10" t="str">
        <f>VLOOKUP(Table1[[#This Row],[UID]],CS3SVComposerConfig!$B$3:$D$1808,3,FALSE)</f>
        <v>DCR2023_SV_Danube_Hist_v3.dss</v>
      </c>
      <c r="K1111" s="10" t="s">
        <v>2212</v>
      </c>
      <c r="L1111" s="10" t="s">
        <v>2212</v>
      </c>
      <c r="M1111" s="10" t="s">
        <v>2224</v>
      </c>
      <c r="N1111" s="26" t="s">
        <v>2225</v>
      </c>
      <c r="O1111" s="26" t="s">
        <v>5377</v>
      </c>
      <c r="P1111" s="39">
        <v>0</v>
      </c>
    </row>
    <row r="1112" spans="2:16" ht="18" customHeight="1" x14ac:dyDescent="0.25">
      <c r="B1112" s="21" t="s">
        <v>0</v>
      </c>
      <c r="C1112" s="22" t="s">
        <v>1291</v>
      </c>
      <c r="D1112" s="22" t="s">
        <v>1182</v>
      </c>
      <c r="E1112" s="21" t="s">
        <v>2222</v>
      </c>
      <c r="F1112" s="23" t="s">
        <v>3</v>
      </c>
      <c r="G1112" s="23" t="s">
        <v>4</v>
      </c>
      <c r="H1112" s="21" t="str">
        <f t="shared" si="17"/>
        <v>ER_MCLRE/EVAPORATION-RATE</v>
      </c>
      <c r="I1112" s="24" t="s">
        <v>2288</v>
      </c>
      <c r="J1112" s="10" t="str">
        <f>VLOOKUP(Table1[[#This Row],[UID]],CS3SVComposerConfig!$B$3:$D$1808,3,FALSE)</f>
        <v>DCR2023_SV_Danube_Hist_v3.dss</v>
      </c>
      <c r="K1112" s="10" t="s">
        <v>2212</v>
      </c>
      <c r="L1112" s="10" t="s">
        <v>2212</v>
      </c>
      <c r="M1112" s="10" t="s">
        <v>2224</v>
      </c>
      <c r="N1112" s="26" t="s">
        <v>2225</v>
      </c>
      <c r="O1112" s="26" t="s">
        <v>5377</v>
      </c>
      <c r="P1112" s="39">
        <v>0</v>
      </c>
    </row>
    <row r="1113" spans="2:16" ht="18" customHeight="1" x14ac:dyDescent="0.25">
      <c r="B1113" s="21" t="s">
        <v>0</v>
      </c>
      <c r="C1113" s="22" t="s">
        <v>1293</v>
      </c>
      <c r="D1113" s="22" t="s">
        <v>1182</v>
      </c>
      <c r="E1113" s="21" t="s">
        <v>2222</v>
      </c>
      <c r="F1113" s="23" t="s">
        <v>3</v>
      </c>
      <c r="G1113" s="23" t="s">
        <v>4</v>
      </c>
      <c r="H1113" s="21" t="str">
        <f t="shared" si="17"/>
        <v>ER_MDSTO/EVAPORATION-RATE</v>
      </c>
      <c r="I1113" s="24" t="s">
        <v>2288</v>
      </c>
      <c r="J1113" s="10" t="str">
        <f>VLOOKUP(Table1[[#This Row],[UID]],CS3SVComposerConfig!$B$3:$D$1808,3,FALSE)</f>
        <v>DCR2023_SV_Danube_Hist_v3.dss</v>
      </c>
      <c r="K1113" s="10" t="s">
        <v>2212</v>
      </c>
      <c r="L1113" s="10" t="s">
        <v>2212</v>
      </c>
      <c r="M1113" s="10" t="s">
        <v>2224</v>
      </c>
      <c r="N1113" s="26" t="s">
        <v>2225</v>
      </c>
      <c r="O1113" s="26" t="s">
        <v>5377</v>
      </c>
      <c r="P1113" s="39">
        <v>0</v>
      </c>
    </row>
    <row r="1114" spans="2:16" ht="18" customHeight="1" x14ac:dyDescent="0.25">
      <c r="B1114" s="21" t="s">
        <v>0</v>
      </c>
      <c r="C1114" s="22" t="s">
        <v>1295</v>
      </c>
      <c r="D1114" s="22" t="s">
        <v>1182</v>
      </c>
      <c r="E1114" s="21" t="s">
        <v>2222</v>
      </c>
      <c r="F1114" s="23" t="s">
        <v>3</v>
      </c>
      <c r="G1114" s="23" t="s">
        <v>4</v>
      </c>
      <c r="H1114" s="21" t="str">
        <f t="shared" si="17"/>
        <v>ER_MELON/EVAPORATION-RATE</v>
      </c>
      <c r="I1114" s="24" t="s">
        <v>2288</v>
      </c>
      <c r="J1114" s="10" t="str">
        <f>VLOOKUP(Table1[[#This Row],[UID]],CS3SVComposerConfig!$B$3:$D$1808,3,FALSE)</f>
        <v>DCR2023_SV_Danube_Hist_v3.dss</v>
      </c>
      <c r="K1114" s="10" t="s">
        <v>2212</v>
      </c>
      <c r="L1114" s="10" t="s">
        <v>2212</v>
      </c>
      <c r="M1114" s="10" t="s">
        <v>2224</v>
      </c>
      <c r="N1114" s="26" t="s">
        <v>2225</v>
      </c>
      <c r="O1114" s="26" t="s">
        <v>5377</v>
      </c>
      <c r="P1114" s="39">
        <v>0</v>
      </c>
    </row>
    <row r="1115" spans="2:16" ht="18" customHeight="1" x14ac:dyDescent="0.25">
      <c r="B1115" s="21" t="s">
        <v>0</v>
      </c>
      <c r="C1115" s="22" t="s">
        <v>1297</v>
      </c>
      <c r="D1115" s="22" t="s">
        <v>1182</v>
      </c>
      <c r="E1115" s="21" t="s">
        <v>2222</v>
      </c>
      <c r="F1115" s="23" t="s">
        <v>3</v>
      </c>
      <c r="G1115" s="23" t="s">
        <v>4</v>
      </c>
      <c r="H1115" s="21" t="str">
        <f t="shared" si="17"/>
        <v>ER_MERLC/EVAPORATION-RATE</v>
      </c>
      <c r="I1115" s="24" t="s">
        <v>2288</v>
      </c>
      <c r="J1115" s="10" t="str">
        <f>VLOOKUP(Table1[[#This Row],[UID]],CS3SVComposerConfig!$B$3:$D$1808,3,FALSE)</f>
        <v>DCR2023_SV_Danube_Hist_v3.dss</v>
      </c>
      <c r="K1115" s="10" t="s">
        <v>2212</v>
      </c>
      <c r="L1115" s="10" t="s">
        <v>2212</v>
      </c>
      <c r="M1115" s="10" t="s">
        <v>2224</v>
      </c>
      <c r="N1115" s="26" t="s">
        <v>2225</v>
      </c>
      <c r="O1115" s="26" t="s">
        <v>5377</v>
      </c>
      <c r="P1115" s="39">
        <v>0</v>
      </c>
    </row>
    <row r="1116" spans="2:16" ht="18" customHeight="1" x14ac:dyDescent="0.25">
      <c r="B1116" s="21" t="s">
        <v>0</v>
      </c>
      <c r="C1116" s="22" t="s">
        <v>1299</v>
      </c>
      <c r="D1116" s="22" t="s">
        <v>1182</v>
      </c>
      <c r="E1116" s="21" t="s">
        <v>2222</v>
      </c>
      <c r="F1116" s="23" t="s">
        <v>3</v>
      </c>
      <c r="G1116" s="23" t="s">
        <v>4</v>
      </c>
      <c r="H1116" s="21" t="str">
        <f t="shared" si="17"/>
        <v>ER_MLRTN/EVAPORATION-RATE</v>
      </c>
      <c r="I1116" s="24" t="s">
        <v>2288</v>
      </c>
      <c r="J1116" s="10" t="str">
        <f>VLOOKUP(Table1[[#This Row],[UID]],CS3SVComposerConfig!$B$3:$D$1808,3,FALSE)</f>
        <v>DCR2023_SV_Danube_Hist_v3.dss</v>
      </c>
      <c r="K1116" s="10" t="s">
        <v>2212</v>
      </c>
      <c r="L1116" s="10" t="s">
        <v>2212</v>
      </c>
      <c r="M1116" s="10" t="s">
        <v>2224</v>
      </c>
      <c r="N1116" s="26" t="s">
        <v>2225</v>
      </c>
      <c r="O1116" s="26" t="s">
        <v>5377</v>
      </c>
      <c r="P1116" s="39">
        <v>0</v>
      </c>
    </row>
    <row r="1117" spans="2:16" ht="18" customHeight="1" x14ac:dyDescent="0.25">
      <c r="B1117" s="21" t="s">
        <v>0</v>
      </c>
      <c r="C1117" s="22" t="s">
        <v>1301</v>
      </c>
      <c r="D1117" s="22" t="s">
        <v>1182</v>
      </c>
      <c r="E1117" s="21" t="s">
        <v>2222</v>
      </c>
      <c r="F1117" s="23" t="s">
        <v>3</v>
      </c>
      <c r="G1117" s="23" t="s">
        <v>4</v>
      </c>
      <c r="H1117" s="21" t="str">
        <f t="shared" si="17"/>
        <v>ER_MTMDW/EVAPORATION-RATE</v>
      </c>
      <c r="I1117" s="24" t="s">
        <v>2288</v>
      </c>
      <c r="J1117" s="10" t="str">
        <f>VLOOKUP(Table1[[#This Row],[UID]],CS3SVComposerConfig!$B$3:$D$1808,3,FALSE)</f>
        <v>DCR2023_SV_Danube_Hist_v3.dss</v>
      </c>
      <c r="K1117" s="10" t="s">
        <v>2212</v>
      </c>
      <c r="L1117" s="10" t="s">
        <v>2212</v>
      </c>
      <c r="M1117" s="10" t="s">
        <v>2224</v>
      </c>
      <c r="N1117" s="26" t="s">
        <v>2225</v>
      </c>
      <c r="O1117" s="26" t="s">
        <v>5377</v>
      </c>
      <c r="P1117" s="39">
        <v>0</v>
      </c>
    </row>
    <row r="1118" spans="2:16" ht="18" customHeight="1" x14ac:dyDescent="0.25">
      <c r="B1118" s="21" t="s">
        <v>0</v>
      </c>
      <c r="C1118" s="22" t="s">
        <v>1303</v>
      </c>
      <c r="D1118" s="22" t="s">
        <v>1182</v>
      </c>
      <c r="E1118" s="21" t="s">
        <v>2222</v>
      </c>
      <c r="F1118" s="23" t="s">
        <v>3</v>
      </c>
      <c r="G1118" s="23" t="s">
        <v>4</v>
      </c>
      <c r="H1118" s="21" t="str">
        <f t="shared" si="17"/>
        <v>ER_NBLDB/EVAPORATION-RATE</v>
      </c>
      <c r="I1118" s="24" t="s">
        <v>2288</v>
      </c>
      <c r="J1118" s="10" t="str">
        <f>VLOOKUP(Table1[[#This Row],[UID]],CS3SVComposerConfig!$B$3:$D$1808,3,FALSE)</f>
        <v>DCR2023_SV_Danube_Hist_v3.dss</v>
      </c>
      <c r="K1118" s="10" t="s">
        <v>2212</v>
      </c>
      <c r="L1118" s="10" t="s">
        <v>2212</v>
      </c>
      <c r="M1118" s="10" t="s">
        <v>2224</v>
      </c>
      <c r="N1118" s="26" t="s">
        <v>2225</v>
      </c>
      <c r="O1118" s="26" t="s">
        <v>5377</v>
      </c>
      <c r="P1118" s="39">
        <v>0</v>
      </c>
    </row>
    <row r="1119" spans="2:16" ht="18" customHeight="1" x14ac:dyDescent="0.25">
      <c r="B1119" s="21" t="s">
        <v>0</v>
      </c>
      <c r="C1119" s="22" t="s">
        <v>1305</v>
      </c>
      <c r="D1119" s="22" t="s">
        <v>1182</v>
      </c>
      <c r="E1119" s="21" t="s">
        <v>2222</v>
      </c>
      <c r="F1119" s="23" t="s">
        <v>3</v>
      </c>
      <c r="G1119" s="23" t="s">
        <v>4</v>
      </c>
      <c r="H1119" s="21" t="str">
        <f t="shared" si="17"/>
        <v>ER_NHGAN/EVAPORATION-RATE</v>
      </c>
      <c r="I1119" s="24" t="s">
        <v>2288</v>
      </c>
      <c r="J1119" s="10" t="str">
        <f>VLOOKUP(Table1[[#This Row],[UID]],CS3SVComposerConfig!$B$3:$D$1808,3,FALSE)</f>
        <v>DCR2023_SV_Danube_Hist_v3.dss</v>
      </c>
      <c r="K1119" s="10" t="s">
        <v>2212</v>
      </c>
      <c r="L1119" s="10" t="s">
        <v>2212</v>
      </c>
      <c r="M1119" s="10" t="s">
        <v>2224</v>
      </c>
      <c r="N1119" s="26" t="s">
        <v>2225</v>
      </c>
      <c r="O1119" s="26" t="s">
        <v>5377</v>
      </c>
      <c r="P1119" s="39">
        <v>0</v>
      </c>
    </row>
    <row r="1120" spans="2:16" ht="18" customHeight="1" x14ac:dyDescent="0.25">
      <c r="B1120" s="21" t="s">
        <v>0</v>
      </c>
      <c r="C1120" s="22" t="s">
        <v>1307</v>
      </c>
      <c r="D1120" s="22" t="s">
        <v>1182</v>
      </c>
      <c r="E1120" s="21" t="s">
        <v>2222</v>
      </c>
      <c r="F1120" s="23" t="s">
        <v>3</v>
      </c>
      <c r="G1120" s="23" t="s">
        <v>4</v>
      </c>
      <c r="H1120" s="21" t="str">
        <f t="shared" si="17"/>
        <v>ER_NTOMA/EVAPORATION-RATE</v>
      </c>
      <c r="I1120" s="24" t="s">
        <v>2288</v>
      </c>
      <c r="J1120" s="10" t="str">
        <f>VLOOKUP(Table1[[#This Row],[UID]],CS3SVComposerConfig!$B$3:$D$1808,3,FALSE)</f>
        <v>DCR2023_SV_Danube_Hist_v3.dss</v>
      </c>
      <c r="K1120" s="10" t="s">
        <v>2212</v>
      </c>
      <c r="L1120" s="10" t="s">
        <v>2212</v>
      </c>
      <c r="M1120" s="10" t="s">
        <v>2224</v>
      </c>
      <c r="N1120" s="26" t="s">
        <v>2225</v>
      </c>
      <c r="O1120" s="26" t="s">
        <v>5377</v>
      </c>
      <c r="P1120" s="39">
        <v>0</v>
      </c>
    </row>
    <row r="1121" spans="2:16" ht="18" customHeight="1" x14ac:dyDescent="0.25">
      <c r="B1121" s="21" t="s">
        <v>0</v>
      </c>
      <c r="C1121" s="22" t="s">
        <v>1309</v>
      </c>
      <c r="D1121" s="22" t="s">
        <v>1182</v>
      </c>
      <c r="E1121" s="21" t="s">
        <v>2222</v>
      </c>
      <c r="F1121" s="23" t="s">
        <v>3</v>
      </c>
      <c r="G1121" s="23" t="s">
        <v>4</v>
      </c>
      <c r="H1121" s="21" t="str">
        <f t="shared" si="17"/>
        <v>ER_OROVL/EVAPORATION-RATE</v>
      </c>
      <c r="I1121" s="24" t="s">
        <v>2288</v>
      </c>
      <c r="J1121" s="10" t="str">
        <f>VLOOKUP(Table1[[#This Row],[UID]],CS3SVComposerConfig!$B$3:$D$1808,3,FALSE)</f>
        <v>DCR2023_SV_Danube_Hist_v3.dss</v>
      </c>
      <c r="K1121" s="10" t="s">
        <v>2212</v>
      </c>
      <c r="L1121" s="10" t="s">
        <v>2212</v>
      </c>
      <c r="M1121" s="10" t="s">
        <v>2224</v>
      </c>
      <c r="N1121" s="26" t="s">
        <v>2225</v>
      </c>
      <c r="O1121" s="26" t="s">
        <v>5377</v>
      </c>
      <c r="P1121" s="39">
        <v>0</v>
      </c>
    </row>
    <row r="1122" spans="2:16" ht="18" customHeight="1" x14ac:dyDescent="0.25">
      <c r="B1122" s="21" t="s">
        <v>0</v>
      </c>
      <c r="C1122" s="22" t="s">
        <v>1311</v>
      </c>
      <c r="D1122" s="22" t="s">
        <v>1182</v>
      </c>
      <c r="E1122" s="21" t="s">
        <v>2222</v>
      </c>
      <c r="F1122" s="23" t="s">
        <v>3</v>
      </c>
      <c r="G1122" s="23" t="s">
        <v>4</v>
      </c>
      <c r="H1122" s="21" t="str">
        <f t="shared" si="17"/>
        <v>ER_PARDE/EVAPORATION-RATE</v>
      </c>
      <c r="I1122" s="24" t="s">
        <v>2288</v>
      </c>
      <c r="J1122" s="10" t="str">
        <f>VLOOKUP(Table1[[#This Row],[UID]],CS3SVComposerConfig!$B$3:$D$1808,3,FALSE)</f>
        <v>DCR2023_SV_Danube_Hist_v3.dss</v>
      </c>
      <c r="K1122" s="10" t="s">
        <v>2212</v>
      </c>
      <c r="L1122" s="10" t="s">
        <v>2212</v>
      </c>
      <c r="M1122" s="10" t="s">
        <v>2224</v>
      </c>
      <c r="N1122" s="26" t="s">
        <v>2225</v>
      </c>
      <c r="O1122" s="26" t="s">
        <v>5377</v>
      </c>
      <c r="P1122" s="39">
        <v>0</v>
      </c>
    </row>
    <row r="1123" spans="2:16" ht="18" customHeight="1" x14ac:dyDescent="0.25">
      <c r="B1123" s="21" t="s">
        <v>0</v>
      </c>
      <c r="C1123" s="22" t="s">
        <v>1313</v>
      </c>
      <c r="D1123" s="22" t="s">
        <v>1182</v>
      </c>
      <c r="E1123" s="21" t="s">
        <v>2222</v>
      </c>
      <c r="F1123" s="23" t="s">
        <v>3</v>
      </c>
      <c r="G1123" s="23" t="s">
        <v>4</v>
      </c>
      <c r="H1123" s="21" t="str">
        <f t="shared" si="17"/>
        <v>ER_PCRST/EVAPORATION-RATE</v>
      </c>
      <c r="I1123" s="24" t="s">
        <v>2288</v>
      </c>
      <c r="J1123" s="10" t="str">
        <f>VLOOKUP(Table1[[#This Row],[UID]],CS3SVComposerConfig!$B$3:$D$1808,3,FALSE)</f>
        <v>DCR2023_SV_Danube_Hist_v3.dss</v>
      </c>
      <c r="K1123" s="10" t="s">
        <v>2212</v>
      </c>
      <c r="L1123" s="10" t="s">
        <v>2212</v>
      </c>
      <c r="M1123" s="10" t="s">
        <v>2224</v>
      </c>
      <c r="N1123" s="26" t="s">
        <v>2225</v>
      </c>
      <c r="O1123" s="26" t="s">
        <v>5377</v>
      </c>
      <c r="P1123" s="39">
        <v>0</v>
      </c>
    </row>
    <row r="1124" spans="2:16" ht="18" customHeight="1" x14ac:dyDescent="0.25">
      <c r="B1124" s="21" t="s">
        <v>0</v>
      </c>
      <c r="C1124" s="22" t="s">
        <v>1315</v>
      </c>
      <c r="D1124" s="22" t="s">
        <v>1182</v>
      </c>
      <c r="E1124" s="21" t="s">
        <v>2222</v>
      </c>
      <c r="F1124" s="23" t="s">
        <v>3</v>
      </c>
      <c r="G1124" s="23" t="s">
        <v>4</v>
      </c>
      <c r="H1124" s="21" t="str">
        <f t="shared" si="17"/>
        <v>ER_PEDRO/EVAPORATION-RATE</v>
      </c>
      <c r="I1124" s="24" t="s">
        <v>2288</v>
      </c>
      <c r="J1124" s="10" t="str">
        <f>VLOOKUP(Table1[[#This Row],[UID]],CS3SVComposerConfig!$B$3:$D$1808,3,FALSE)</f>
        <v>DCR2023_SV_Danube_Hist_v3.dss</v>
      </c>
      <c r="K1124" s="10" t="s">
        <v>2212</v>
      </c>
      <c r="L1124" s="10" t="s">
        <v>2212</v>
      </c>
      <c r="M1124" s="10" t="s">
        <v>2224</v>
      </c>
      <c r="N1124" s="26" t="s">
        <v>2225</v>
      </c>
      <c r="O1124" s="26" t="s">
        <v>5377</v>
      </c>
      <c r="P1124" s="39">
        <v>0</v>
      </c>
    </row>
    <row r="1125" spans="2:16" ht="18" customHeight="1" x14ac:dyDescent="0.25">
      <c r="B1125" s="21" t="s">
        <v>0</v>
      </c>
      <c r="C1125" s="22" t="s">
        <v>1317</v>
      </c>
      <c r="D1125" s="22" t="s">
        <v>1182</v>
      </c>
      <c r="E1125" s="21" t="s">
        <v>2222</v>
      </c>
      <c r="F1125" s="23" t="s">
        <v>3</v>
      </c>
      <c r="G1125" s="23" t="s">
        <v>4</v>
      </c>
      <c r="H1125" s="21" t="str">
        <f t="shared" si="17"/>
        <v>ER_PRRIS/EVAPORATION-RATE</v>
      </c>
      <c r="I1125" s="24" t="s">
        <v>2288</v>
      </c>
      <c r="J1125" s="10" t="str">
        <f>VLOOKUP(Table1[[#This Row],[UID]],CS3SVComposerConfig!$B$3:$D$1808,3,FALSE)</f>
        <v>DCR2023_SV_Danube_Hist_v3.dss</v>
      </c>
      <c r="K1125" s="10" t="s">
        <v>2212</v>
      </c>
      <c r="L1125" s="10" t="s">
        <v>2212</v>
      </c>
      <c r="M1125" s="10" t="s">
        <v>2224</v>
      </c>
      <c r="N1125" s="26" t="s">
        <v>2225</v>
      </c>
      <c r="O1125" s="26" t="s">
        <v>5377</v>
      </c>
      <c r="P1125" s="39">
        <v>0</v>
      </c>
    </row>
    <row r="1126" spans="2:16" ht="18" customHeight="1" x14ac:dyDescent="0.25">
      <c r="B1126" s="21" t="s">
        <v>0</v>
      </c>
      <c r="C1126" s="22" t="s">
        <v>1319</v>
      </c>
      <c r="D1126" s="22" t="s">
        <v>1182</v>
      </c>
      <c r="E1126" s="21" t="s">
        <v>2222</v>
      </c>
      <c r="F1126" s="23" t="s">
        <v>3</v>
      </c>
      <c r="G1126" s="23" t="s">
        <v>4</v>
      </c>
      <c r="H1126" s="21" t="str">
        <f t="shared" si="17"/>
        <v>ER_PYRMD/EVAPORATION-RATE</v>
      </c>
      <c r="I1126" s="24" t="s">
        <v>2288</v>
      </c>
      <c r="J1126" s="10" t="str">
        <f>VLOOKUP(Table1[[#This Row],[UID]],CS3SVComposerConfig!$B$3:$D$1808,3,FALSE)</f>
        <v>DCR2023_SV_Danube_Hist_v3.dss</v>
      </c>
      <c r="K1126" s="10" t="s">
        <v>2212</v>
      </c>
      <c r="L1126" s="10" t="s">
        <v>2212</v>
      </c>
      <c r="M1126" s="10" t="s">
        <v>2224</v>
      </c>
      <c r="N1126" s="26" t="s">
        <v>2225</v>
      </c>
      <c r="O1126" s="26" t="s">
        <v>5377</v>
      </c>
      <c r="P1126" s="39">
        <v>0</v>
      </c>
    </row>
    <row r="1127" spans="2:16" ht="18" customHeight="1" x14ac:dyDescent="0.25">
      <c r="B1127" s="21" t="s">
        <v>0</v>
      </c>
      <c r="C1127" s="22" t="s">
        <v>1321</v>
      </c>
      <c r="D1127" s="22" t="s">
        <v>1182</v>
      </c>
      <c r="E1127" s="21" t="s">
        <v>2222</v>
      </c>
      <c r="F1127" s="23" t="s">
        <v>3</v>
      </c>
      <c r="G1127" s="23" t="s">
        <v>4</v>
      </c>
      <c r="H1127" s="21" t="str">
        <f t="shared" si="17"/>
        <v>ER_RDNGR/EVAPORATION-RATE</v>
      </c>
      <c r="I1127" s="24" t="s">
        <v>2288</v>
      </c>
      <c r="J1127" s="10" t="str">
        <f>VLOOKUP(Table1[[#This Row],[UID]],CS3SVComposerConfig!$B$3:$D$1808,3,FALSE)</f>
        <v>DCR2023_SV_Danube_Hist_v3.dss</v>
      </c>
      <c r="K1127" s="10" t="s">
        <v>2212</v>
      </c>
      <c r="L1127" s="10" t="s">
        <v>2212</v>
      </c>
      <c r="M1127" s="10" t="s">
        <v>2224</v>
      </c>
      <c r="N1127" s="26" t="s">
        <v>2225</v>
      </c>
      <c r="O1127" s="26" t="s">
        <v>5377</v>
      </c>
      <c r="P1127" s="39">
        <v>0</v>
      </c>
    </row>
    <row r="1128" spans="2:16" ht="18" customHeight="1" x14ac:dyDescent="0.25">
      <c r="B1128" s="21" t="s">
        <v>0</v>
      </c>
      <c r="C1128" s="22" t="s">
        <v>1323</v>
      </c>
      <c r="D1128" s="22" t="s">
        <v>1182</v>
      </c>
      <c r="E1128" s="21" t="s">
        <v>2222</v>
      </c>
      <c r="F1128" s="23" t="s">
        <v>3</v>
      </c>
      <c r="G1128" s="23" t="s">
        <v>4</v>
      </c>
      <c r="H1128" s="21" t="str">
        <f t="shared" si="17"/>
        <v>ER_RLIEF/EVAPORATION-RATE</v>
      </c>
      <c r="I1128" s="24" t="s">
        <v>2288</v>
      </c>
      <c r="J1128" s="10" t="str">
        <f>VLOOKUP(Table1[[#This Row],[UID]],CS3SVComposerConfig!$B$3:$D$1808,3,FALSE)</f>
        <v>DCR2023_SV_Danube_Hist_v3.dss</v>
      </c>
      <c r="K1128" s="10" t="s">
        <v>2212</v>
      </c>
      <c r="L1128" s="10" t="s">
        <v>2212</v>
      </c>
      <c r="M1128" s="10" t="s">
        <v>2224</v>
      </c>
      <c r="N1128" s="26" t="s">
        <v>2225</v>
      </c>
      <c r="O1128" s="26" t="s">
        <v>5377</v>
      </c>
      <c r="P1128" s="39">
        <v>0</v>
      </c>
    </row>
    <row r="1129" spans="2:16" ht="18" customHeight="1" x14ac:dyDescent="0.25">
      <c r="B1129" s="21" t="s">
        <v>0</v>
      </c>
      <c r="C1129" s="22" t="s">
        <v>1325</v>
      </c>
      <c r="D1129" s="22" t="s">
        <v>1182</v>
      </c>
      <c r="E1129" s="21" t="s">
        <v>2222</v>
      </c>
      <c r="F1129" s="23" t="s">
        <v>3</v>
      </c>
      <c r="G1129" s="23" t="s">
        <v>4</v>
      </c>
      <c r="H1129" s="21" t="str">
        <f t="shared" si="17"/>
        <v>ER_RLLNS/EVAPORATION-RATE</v>
      </c>
      <c r="I1129" s="24" t="s">
        <v>2288</v>
      </c>
      <c r="J1129" s="10" t="str">
        <f>VLOOKUP(Table1[[#This Row],[UID]],CS3SVComposerConfig!$B$3:$D$1808,3,FALSE)</f>
        <v>DCR2023_SV_Danube_Hist_v3.dss</v>
      </c>
      <c r="K1129" s="10" t="s">
        <v>2212</v>
      </c>
      <c r="L1129" s="10" t="s">
        <v>2212</v>
      </c>
      <c r="M1129" s="10" t="s">
        <v>2224</v>
      </c>
      <c r="N1129" s="26" t="s">
        <v>2225</v>
      </c>
      <c r="O1129" s="26" t="s">
        <v>5377</v>
      </c>
      <c r="P1129" s="39">
        <v>0</v>
      </c>
    </row>
    <row r="1130" spans="2:16" ht="18" customHeight="1" x14ac:dyDescent="0.25">
      <c r="B1130" s="21" t="s">
        <v>0</v>
      </c>
      <c r="C1130" s="22" t="s">
        <v>1327</v>
      </c>
      <c r="D1130" s="22" t="s">
        <v>1182</v>
      </c>
      <c r="E1130" s="21" t="s">
        <v>2222</v>
      </c>
      <c r="F1130" s="23" t="s">
        <v>3</v>
      </c>
      <c r="G1130" s="23" t="s">
        <v>4</v>
      </c>
      <c r="H1130" s="21" t="str">
        <f t="shared" si="17"/>
        <v>ER_RNCHO/EVAPORATION-RATE</v>
      </c>
      <c r="I1130" s="24" t="s">
        <v>2288</v>
      </c>
      <c r="J1130" s="10" t="str">
        <f>VLOOKUP(Table1[[#This Row],[UID]],CS3SVComposerConfig!$B$3:$D$1808,3,FALSE)</f>
        <v>DCR2023_SV_Danube_Hist_v3.dss</v>
      </c>
      <c r="K1130" s="10" t="s">
        <v>2212</v>
      </c>
      <c r="L1130" s="10" t="s">
        <v>2212</v>
      </c>
      <c r="M1130" s="10" t="s">
        <v>2224</v>
      </c>
      <c r="N1130" s="26" t="s">
        <v>2225</v>
      </c>
      <c r="O1130" s="26" t="s">
        <v>5377</v>
      </c>
      <c r="P1130" s="39">
        <v>0</v>
      </c>
    </row>
    <row r="1131" spans="2:16" ht="18" customHeight="1" x14ac:dyDescent="0.25">
      <c r="B1131" s="21" t="s">
        <v>0</v>
      </c>
      <c r="C1131" s="22" t="s">
        <v>1329</v>
      </c>
      <c r="D1131" s="22" t="s">
        <v>1182</v>
      </c>
      <c r="E1131" s="21" t="s">
        <v>2222</v>
      </c>
      <c r="F1131" s="23" t="s">
        <v>3</v>
      </c>
      <c r="G1131" s="23" t="s">
        <v>4</v>
      </c>
      <c r="H1131" s="21" t="str">
        <f t="shared" si="17"/>
        <v>ER_RVPHB/EVAPORATION-RATE</v>
      </c>
      <c r="I1131" s="24" t="s">
        <v>2288</v>
      </c>
      <c r="J1131" s="10" t="str">
        <f>VLOOKUP(Table1[[#This Row],[UID]],CS3SVComposerConfig!$B$3:$D$1808,3,FALSE)</f>
        <v>DCR2023_SV_Danube_Hist_v3.dss</v>
      </c>
      <c r="K1131" s="10" t="s">
        <v>2212</v>
      </c>
      <c r="L1131" s="10" t="s">
        <v>2212</v>
      </c>
      <c r="M1131" s="10" t="s">
        <v>2224</v>
      </c>
      <c r="N1131" s="26" t="s">
        <v>2225</v>
      </c>
      <c r="O1131" s="26" t="s">
        <v>5377</v>
      </c>
      <c r="P1131" s="39">
        <v>0</v>
      </c>
    </row>
    <row r="1132" spans="2:16" ht="18" customHeight="1" x14ac:dyDescent="0.25">
      <c r="B1132" s="21" t="s">
        <v>0</v>
      </c>
      <c r="C1132" s="22" t="s">
        <v>1331</v>
      </c>
      <c r="D1132" s="22" t="s">
        <v>1182</v>
      </c>
      <c r="E1132" s="21" t="s">
        <v>2222</v>
      </c>
      <c r="F1132" s="23" t="s">
        <v>3</v>
      </c>
      <c r="G1132" s="23" t="s">
        <v>4</v>
      </c>
      <c r="H1132" s="21" t="str">
        <f t="shared" si="17"/>
        <v>ER_SCOTF/EVAPORATION-RATE</v>
      </c>
      <c r="I1132" s="24" t="s">
        <v>2288</v>
      </c>
      <c r="J1132" s="10" t="str">
        <f>VLOOKUP(Table1[[#This Row],[UID]],CS3SVComposerConfig!$B$3:$D$1808,3,FALSE)</f>
        <v>DCR2023_SV_Danube_Hist_v3.dss</v>
      </c>
      <c r="K1132" s="10" t="s">
        <v>2212</v>
      </c>
      <c r="L1132" s="10" t="s">
        <v>2212</v>
      </c>
      <c r="M1132" s="10" t="s">
        <v>2224</v>
      </c>
      <c r="N1132" s="26" t="s">
        <v>2225</v>
      </c>
      <c r="O1132" s="26" t="s">
        <v>5377</v>
      </c>
      <c r="P1132" s="39">
        <v>0</v>
      </c>
    </row>
    <row r="1133" spans="2:16" ht="18" customHeight="1" x14ac:dyDescent="0.25">
      <c r="B1133" s="21" t="s">
        <v>0</v>
      </c>
      <c r="C1133" s="22" t="s">
        <v>1333</v>
      </c>
      <c r="D1133" s="22" t="s">
        <v>1182</v>
      </c>
      <c r="E1133" s="21" t="s">
        <v>2222</v>
      </c>
      <c r="F1133" s="23" t="s">
        <v>3</v>
      </c>
      <c r="G1133" s="23" t="s">
        <v>4</v>
      </c>
      <c r="H1133" s="21" t="str">
        <f t="shared" si="17"/>
        <v>ER_SGRGE/EVAPORATION-RATE</v>
      </c>
      <c r="I1133" s="24" t="s">
        <v>2288</v>
      </c>
      <c r="J1133" s="10" t="str">
        <f>VLOOKUP(Table1[[#This Row],[UID]],CS3SVComposerConfig!$B$3:$D$1808,3,FALSE)</f>
        <v>DCR2023_SV_Danube_Hist_v3.dss</v>
      </c>
      <c r="K1133" s="10" t="s">
        <v>2212</v>
      </c>
      <c r="L1133" s="10" t="s">
        <v>2212</v>
      </c>
      <c r="M1133" s="10" t="s">
        <v>2224</v>
      </c>
      <c r="N1133" s="26" t="s">
        <v>2225</v>
      </c>
      <c r="O1133" s="26" t="s">
        <v>5377</v>
      </c>
      <c r="P1133" s="39">
        <v>0</v>
      </c>
    </row>
    <row r="1134" spans="2:16" ht="18" customHeight="1" x14ac:dyDescent="0.25">
      <c r="B1134" s="21" t="s">
        <v>0</v>
      </c>
      <c r="C1134" s="22" t="s">
        <v>1335</v>
      </c>
      <c r="D1134" s="22" t="s">
        <v>1182</v>
      </c>
      <c r="E1134" s="21" t="s">
        <v>2222</v>
      </c>
      <c r="F1134" s="23" t="s">
        <v>3</v>
      </c>
      <c r="G1134" s="23" t="s">
        <v>4</v>
      </c>
      <c r="H1134" s="21" t="str">
        <f t="shared" si="17"/>
        <v>ER_SHSTA/EVAPORATION-RATE</v>
      </c>
      <c r="I1134" s="24" t="s">
        <v>2288</v>
      </c>
      <c r="J1134" s="10" t="str">
        <f>VLOOKUP(Table1[[#This Row],[UID]],CS3SVComposerConfig!$B$3:$D$1808,3,FALSE)</f>
        <v>DCR2023_SV_Danube_Hist_v3.dss</v>
      </c>
      <c r="K1134" s="10" t="s">
        <v>2212</v>
      </c>
      <c r="L1134" s="10" t="s">
        <v>2212</v>
      </c>
      <c r="M1134" s="10" t="s">
        <v>2224</v>
      </c>
      <c r="N1134" s="26" t="s">
        <v>2225</v>
      </c>
      <c r="O1134" s="26" t="s">
        <v>5377</v>
      </c>
      <c r="P1134" s="39">
        <v>0</v>
      </c>
    </row>
    <row r="1135" spans="2:16" ht="18" customHeight="1" x14ac:dyDescent="0.25">
      <c r="B1135" s="21" t="s">
        <v>0</v>
      </c>
      <c r="C1135" s="22" t="s">
        <v>1337</v>
      </c>
      <c r="D1135" s="22" t="s">
        <v>1182</v>
      </c>
      <c r="E1135" s="21" t="s">
        <v>2222</v>
      </c>
      <c r="F1135" s="23" t="s">
        <v>3</v>
      </c>
      <c r="G1135" s="23" t="s">
        <v>4</v>
      </c>
      <c r="H1135" s="21" t="str">
        <f t="shared" si="17"/>
        <v>ER_SHVER/EVAPORATION-RATE</v>
      </c>
      <c r="I1135" s="24" t="s">
        <v>2288</v>
      </c>
      <c r="J1135" s="10" t="str">
        <f>VLOOKUP(Table1[[#This Row],[UID]],CS3SVComposerConfig!$B$3:$D$1808,3,FALSE)</f>
        <v>DCR2023_SV_Danube_Hist_v3.dss</v>
      </c>
      <c r="K1135" s="10" t="s">
        <v>2212</v>
      </c>
      <c r="L1135" s="10" t="s">
        <v>2212</v>
      </c>
      <c r="M1135" s="10" t="s">
        <v>2224</v>
      </c>
      <c r="N1135" s="26" t="s">
        <v>2225</v>
      </c>
      <c r="O1135" s="26" t="s">
        <v>5377</v>
      </c>
      <c r="P1135" s="39">
        <v>0</v>
      </c>
    </row>
    <row r="1136" spans="2:16" ht="18" customHeight="1" x14ac:dyDescent="0.25">
      <c r="B1136" s="21" t="s">
        <v>0</v>
      </c>
      <c r="C1136" s="22" t="s">
        <v>1339</v>
      </c>
      <c r="D1136" s="22" t="s">
        <v>1182</v>
      </c>
      <c r="E1136" s="21" t="s">
        <v>2222</v>
      </c>
      <c r="F1136" s="23" t="s">
        <v>3</v>
      </c>
      <c r="G1136" s="23" t="s">
        <v>4</v>
      </c>
      <c r="H1136" s="21" t="str">
        <f t="shared" si="17"/>
        <v>ER_SILVR/EVAPORATION-RATE</v>
      </c>
      <c r="I1136" s="24" t="s">
        <v>2288</v>
      </c>
      <c r="J1136" s="10" t="str">
        <f>VLOOKUP(Table1[[#This Row],[UID]],CS3SVComposerConfig!$B$3:$D$1808,3,FALSE)</f>
        <v>DCR2023_SV_Danube_Hist_v3.dss</v>
      </c>
      <c r="K1136" s="10" t="s">
        <v>2212</v>
      </c>
      <c r="L1136" s="10" t="s">
        <v>2212</v>
      </c>
      <c r="M1136" s="10" t="s">
        <v>2224</v>
      </c>
      <c r="N1136" s="26" t="s">
        <v>2225</v>
      </c>
      <c r="O1136" s="26" t="s">
        <v>5377</v>
      </c>
      <c r="P1136" s="39">
        <v>0</v>
      </c>
    </row>
    <row r="1137" spans="2:16" ht="18" customHeight="1" x14ac:dyDescent="0.25">
      <c r="B1137" s="21" t="s">
        <v>0</v>
      </c>
      <c r="C1137" s="22" t="s">
        <v>1341</v>
      </c>
      <c r="D1137" s="22" t="s">
        <v>1182</v>
      </c>
      <c r="E1137" s="21" t="s">
        <v>2222</v>
      </c>
      <c r="F1137" s="23" t="s">
        <v>3</v>
      </c>
      <c r="G1137" s="23" t="s">
        <v>4</v>
      </c>
      <c r="H1137" s="21" t="str">
        <f t="shared" si="17"/>
        <v>ER_SLTSP/EVAPORATION-RATE</v>
      </c>
      <c r="I1137" s="24" t="s">
        <v>2288</v>
      </c>
      <c r="J1137" s="10" t="str">
        <f>VLOOKUP(Table1[[#This Row],[UID]],CS3SVComposerConfig!$B$3:$D$1808,3,FALSE)</f>
        <v>DCR2023_SV_Danube_Hist_v3.dss</v>
      </c>
      <c r="K1137" s="10" t="s">
        <v>2212</v>
      </c>
      <c r="L1137" s="10" t="s">
        <v>2212</v>
      </c>
      <c r="M1137" s="10" t="s">
        <v>2224</v>
      </c>
      <c r="N1137" s="26" t="s">
        <v>2225</v>
      </c>
      <c r="O1137" s="26" t="s">
        <v>5377</v>
      </c>
      <c r="P1137" s="39">
        <v>0</v>
      </c>
    </row>
    <row r="1138" spans="2:16" ht="18" customHeight="1" x14ac:dyDescent="0.25">
      <c r="B1138" s="21" t="s">
        <v>0</v>
      </c>
      <c r="C1138" s="22" t="s">
        <v>1343</v>
      </c>
      <c r="D1138" s="22" t="s">
        <v>1182</v>
      </c>
      <c r="E1138" s="21" t="s">
        <v>2222</v>
      </c>
      <c r="F1138" s="23" t="s">
        <v>3</v>
      </c>
      <c r="G1138" s="23" t="s">
        <v>4</v>
      </c>
      <c r="H1138" s="21" t="str">
        <f t="shared" si="17"/>
        <v>ER_SLUIS/EVAPORATION-RATE</v>
      </c>
      <c r="I1138" s="24" t="s">
        <v>2288</v>
      </c>
      <c r="J1138" s="10" t="str">
        <f>VLOOKUP(Table1[[#This Row],[UID]],CS3SVComposerConfig!$B$3:$D$1808,3,FALSE)</f>
        <v>DCR2023_SV_Danube_Hist_v3.dss</v>
      </c>
      <c r="K1138" s="10" t="s">
        <v>2212</v>
      </c>
      <c r="L1138" s="10" t="s">
        <v>2212</v>
      </c>
      <c r="M1138" s="10" t="s">
        <v>2224</v>
      </c>
      <c r="N1138" s="26" t="s">
        <v>2225</v>
      </c>
      <c r="O1138" s="26" t="s">
        <v>5377</v>
      </c>
      <c r="P1138" s="39">
        <v>0</v>
      </c>
    </row>
    <row r="1139" spans="2:16" ht="18" customHeight="1" x14ac:dyDescent="0.25">
      <c r="B1139" s="21" t="s">
        <v>0</v>
      </c>
      <c r="C1139" s="22" t="s">
        <v>1345</v>
      </c>
      <c r="D1139" s="22" t="s">
        <v>1182</v>
      </c>
      <c r="E1139" s="21" t="s">
        <v>2222</v>
      </c>
      <c r="F1139" s="23" t="s">
        <v>3</v>
      </c>
      <c r="G1139" s="23" t="s">
        <v>4</v>
      </c>
      <c r="H1139" s="21" t="str">
        <f t="shared" si="17"/>
        <v>ER_SLYCK/EVAPORATION-RATE</v>
      </c>
      <c r="I1139" s="24" t="s">
        <v>2288</v>
      </c>
      <c r="J1139" s="10" t="str">
        <f>VLOOKUP(Table1[[#This Row],[UID]],CS3SVComposerConfig!$B$3:$D$1808,3,FALSE)</f>
        <v>DCR2023_SV_Danube_Hist_v3.dss</v>
      </c>
      <c r="K1139" s="10" t="s">
        <v>2212</v>
      </c>
      <c r="L1139" s="10" t="s">
        <v>2212</v>
      </c>
      <c r="M1139" s="10" t="s">
        <v>2224</v>
      </c>
      <c r="N1139" s="26" t="s">
        <v>2225</v>
      </c>
      <c r="O1139" s="26" t="s">
        <v>5377</v>
      </c>
      <c r="P1139" s="39">
        <v>0</v>
      </c>
    </row>
    <row r="1140" spans="2:16" ht="18" customHeight="1" x14ac:dyDescent="0.25">
      <c r="B1140" s="21" t="s">
        <v>0</v>
      </c>
      <c r="C1140" s="22" t="s">
        <v>1347</v>
      </c>
      <c r="D1140" s="22" t="s">
        <v>1182</v>
      </c>
      <c r="E1140" s="21" t="s">
        <v>2222</v>
      </c>
      <c r="F1140" s="23" t="s">
        <v>3</v>
      </c>
      <c r="G1140" s="23" t="s">
        <v>4</v>
      </c>
      <c r="H1140" s="21" t="str">
        <f t="shared" si="17"/>
        <v>ER_SPICE/EVAPORATION-RATE</v>
      </c>
      <c r="I1140" s="24" t="s">
        <v>2288</v>
      </c>
      <c r="J1140" s="10" t="str">
        <f>VLOOKUP(Table1[[#This Row],[UID]],CS3SVComposerConfig!$B$3:$D$1808,3,FALSE)</f>
        <v>DCR2023_SV_Danube_Hist_v3.dss</v>
      </c>
      <c r="K1140" s="10" t="s">
        <v>2212</v>
      </c>
      <c r="L1140" s="10" t="s">
        <v>2212</v>
      </c>
      <c r="M1140" s="10" t="s">
        <v>2224</v>
      </c>
      <c r="N1140" s="26" t="s">
        <v>2225</v>
      </c>
      <c r="O1140" s="26" t="s">
        <v>5377</v>
      </c>
      <c r="P1140" s="39">
        <v>0</v>
      </c>
    </row>
    <row r="1141" spans="2:16" ht="18" customHeight="1" x14ac:dyDescent="0.25">
      <c r="B1141" s="21" t="s">
        <v>0</v>
      </c>
      <c r="C1141" s="22" t="s">
        <v>1349</v>
      </c>
      <c r="D1141" s="22" t="s">
        <v>1182</v>
      </c>
      <c r="E1141" s="21" t="s">
        <v>2222</v>
      </c>
      <c r="F1141" s="23" t="s">
        <v>3</v>
      </c>
      <c r="G1141" s="23" t="s">
        <v>4</v>
      </c>
      <c r="H1141" s="21" t="str">
        <f t="shared" si="17"/>
        <v>ER_SPLDG/EVAPORATION-RATE</v>
      </c>
      <c r="I1141" s="24" t="s">
        <v>2288</v>
      </c>
      <c r="J1141" s="10" t="str">
        <f>VLOOKUP(Table1[[#This Row],[UID]],CS3SVComposerConfig!$B$3:$D$1808,3,FALSE)</f>
        <v>DCR2023_SV_Danube_Hist_v3.dss</v>
      </c>
      <c r="K1141" s="10" t="s">
        <v>2212</v>
      </c>
      <c r="L1141" s="10" t="s">
        <v>2212</v>
      </c>
      <c r="M1141" s="10" t="s">
        <v>2224</v>
      </c>
      <c r="N1141" s="26" t="s">
        <v>2225</v>
      </c>
      <c r="O1141" s="26" t="s">
        <v>5377</v>
      </c>
      <c r="P1141" s="39">
        <v>0</v>
      </c>
    </row>
    <row r="1142" spans="2:16" ht="18" customHeight="1" x14ac:dyDescent="0.25">
      <c r="B1142" s="21" t="s">
        <v>0</v>
      </c>
      <c r="C1142" s="22" t="s">
        <v>1351</v>
      </c>
      <c r="D1142" s="22" t="s">
        <v>1182</v>
      </c>
      <c r="E1142" s="21" t="s">
        <v>2222</v>
      </c>
      <c r="F1142" s="23" t="s">
        <v>3</v>
      </c>
      <c r="G1142" s="23" t="s">
        <v>4</v>
      </c>
      <c r="H1142" s="21" t="str">
        <f t="shared" si="17"/>
        <v>ER_STMPY/EVAPORATION-RATE</v>
      </c>
      <c r="I1142" s="24" t="s">
        <v>2288</v>
      </c>
      <c r="J1142" s="10" t="str">
        <f>VLOOKUP(Table1[[#This Row],[UID]],CS3SVComposerConfig!$B$3:$D$1808,3,FALSE)</f>
        <v>DCR2023_SV_Danube_Hist_v3.dss</v>
      </c>
      <c r="K1142" s="10" t="s">
        <v>2212</v>
      </c>
      <c r="L1142" s="10" t="s">
        <v>2212</v>
      </c>
      <c r="M1142" s="10" t="s">
        <v>2224</v>
      </c>
      <c r="N1142" s="26" t="s">
        <v>2225</v>
      </c>
      <c r="O1142" s="26" t="s">
        <v>5377</v>
      </c>
      <c r="P1142" s="39">
        <v>0</v>
      </c>
    </row>
    <row r="1143" spans="2:16" ht="18" customHeight="1" x14ac:dyDescent="0.25">
      <c r="B1143" s="21" t="s">
        <v>0</v>
      </c>
      <c r="C1143" s="22" t="s">
        <v>1353</v>
      </c>
      <c r="D1143" s="22" t="s">
        <v>1182</v>
      </c>
      <c r="E1143" s="21" t="s">
        <v>2222</v>
      </c>
      <c r="F1143" s="23" t="s">
        <v>3</v>
      </c>
      <c r="G1143" s="23" t="s">
        <v>4</v>
      </c>
      <c r="H1143" s="21" t="str">
        <f t="shared" si="17"/>
        <v>ER_SVRWD/EVAPORATION-RATE</v>
      </c>
      <c r="I1143" s="24" t="s">
        <v>2288</v>
      </c>
      <c r="J1143" s="10" t="str">
        <f>VLOOKUP(Table1[[#This Row],[UID]],CS3SVComposerConfig!$B$3:$D$1808,3,FALSE)</f>
        <v>DCR2023_SV_Danube_Hist_v3.dss</v>
      </c>
      <c r="K1143" s="10" t="s">
        <v>2212</v>
      </c>
      <c r="L1143" s="10" t="s">
        <v>2212</v>
      </c>
      <c r="M1143" s="10" t="s">
        <v>2224</v>
      </c>
      <c r="N1143" s="26" t="s">
        <v>2225</v>
      </c>
      <c r="O1143" s="26" t="s">
        <v>5377</v>
      </c>
      <c r="P1143" s="39">
        <v>0</v>
      </c>
    </row>
    <row r="1144" spans="2:16" ht="18" customHeight="1" x14ac:dyDescent="0.25">
      <c r="B1144" s="21" t="s">
        <v>0</v>
      </c>
      <c r="C1144" s="22" t="s">
        <v>1355</v>
      </c>
      <c r="D1144" s="22" t="s">
        <v>1182</v>
      </c>
      <c r="E1144" s="21" t="s">
        <v>2222</v>
      </c>
      <c r="F1144" s="23" t="s">
        <v>3</v>
      </c>
      <c r="G1144" s="23" t="s">
        <v>4</v>
      </c>
      <c r="H1144" s="21" t="str">
        <f t="shared" si="17"/>
        <v>ER_THRMA/EVAPORATION-RATE</v>
      </c>
      <c r="I1144" s="24" t="s">
        <v>2288</v>
      </c>
      <c r="J1144" s="10" t="str">
        <f>VLOOKUP(Table1[[#This Row],[UID]],CS3SVComposerConfig!$B$3:$D$1808,3,FALSE)</f>
        <v>DCR2023_SV_Danube_Hist_v3.dss</v>
      </c>
      <c r="K1144" s="10" t="s">
        <v>2212</v>
      </c>
      <c r="L1144" s="10" t="s">
        <v>2212</v>
      </c>
      <c r="M1144" s="10" t="s">
        <v>2224</v>
      </c>
      <c r="N1144" s="26" t="s">
        <v>2225</v>
      </c>
      <c r="O1144" s="26" t="s">
        <v>5377</v>
      </c>
      <c r="P1144" s="39">
        <v>0</v>
      </c>
    </row>
    <row r="1145" spans="2:16" ht="18" customHeight="1" x14ac:dyDescent="0.25">
      <c r="B1145" s="21" t="s">
        <v>0</v>
      </c>
      <c r="C1145" s="22" t="s">
        <v>1357</v>
      </c>
      <c r="D1145" s="22" t="s">
        <v>1182</v>
      </c>
      <c r="E1145" s="21" t="s">
        <v>2222</v>
      </c>
      <c r="F1145" s="23" t="s">
        <v>3</v>
      </c>
      <c r="G1145" s="23" t="s">
        <v>4</v>
      </c>
      <c r="H1145" s="21" t="str">
        <f t="shared" si="17"/>
        <v>ER_THRMF/EVAPORATION-RATE</v>
      </c>
      <c r="I1145" s="24" t="s">
        <v>2288</v>
      </c>
      <c r="J1145" s="10" t="str">
        <f>VLOOKUP(Table1[[#This Row],[UID]],CS3SVComposerConfig!$B$3:$D$1808,3,FALSE)</f>
        <v>DCR2023_SV_Danube_Hist_v3.dss</v>
      </c>
      <c r="K1145" s="10" t="s">
        <v>2212</v>
      </c>
      <c r="L1145" s="10" t="s">
        <v>2212</v>
      </c>
      <c r="M1145" s="10" t="s">
        <v>2224</v>
      </c>
      <c r="N1145" s="26" t="s">
        <v>2225</v>
      </c>
      <c r="O1145" s="26" t="s">
        <v>5377</v>
      </c>
      <c r="P1145" s="39">
        <v>0</v>
      </c>
    </row>
    <row r="1146" spans="2:16" ht="18" customHeight="1" x14ac:dyDescent="0.25">
      <c r="B1146" s="21" t="s">
        <v>0</v>
      </c>
      <c r="C1146" s="22" t="s">
        <v>1359</v>
      </c>
      <c r="D1146" s="22" t="s">
        <v>1182</v>
      </c>
      <c r="E1146" s="21" t="s">
        <v>2222</v>
      </c>
      <c r="F1146" s="23" t="s">
        <v>3</v>
      </c>
      <c r="G1146" s="23" t="s">
        <v>4</v>
      </c>
      <c r="H1146" s="21" t="str">
        <f t="shared" si="17"/>
        <v>ER_TRLCK/EVAPORATION-RATE</v>
      </c>
      <c r="I1146" s="24" t="s">
        <v>2288</v>
      </c>
      <c r="J1146" s="10" t="str">
        <f>VLOOKUP(Table1[[#This Row],[UID]],CS3SVComposerConfig!$B$3:$D$1808,3,FALSE)</f>
        <v>DCR2023_SV_Danube_Hist_v3.dss</v>
      </c>
      <c r="K1146" s="10" t="s">
        <v>2212</v>
      </c>
      <c r="L1146" s="10" t="s">
        <v>2212</v>
      </c>
      <c r="M1146" s="10" t="s">
        <v>2224</v>
      </c>
      <c r="N1146" s="26" t="s">
        <v>2225</v>
      </c>
      <c r="O1146" s="26" t="s">
        <v>5377</v>
      </c>
      <c r="P1146" s="39">
        <v>0</v>
      </c>
    </row>
    <row r="1147" spans="2:16" ht="18" customHeight="1" x14ac:dyDescent="0.25">
      <c r="B1147" s="21" t="s">
        <v>0</v>
      </c>
      <c r="C1147" s="22" t="s">
        <v>1361</v>
      </c>
      <c r="D1147" s="22" t="s">
        <v>1182</v>
      </c>
      <c r="E1147" s="21" t="s">
        <v>2222</v>
      </c>
      <c r="F1147" s="23" t="s">
        <v>3</v>
      </c>
      <c r="G1147" s="23" t="s">
        <v>4</v>
      </c>
      <c r="H1147" s="21" t="str">
        <f t="shared" si="17"/>
        <v>ER_TRNTY/EVAPORATION-RATE</v>
      </c>
      <c r="I1147" s="24" t="s">
        <v>2288</v>
      </c>
      <c r="J1147" s="10" t="str">
        <f>VLOOKUP(Table1[[#This Row],[UID]],CS3SVComposerConfig!$B$3:$D$1808,3,FALSE)</f>
        <v>DCR2023_SV_Danube_Hist_v3.dss</v>
      </c>
      <c r="K1147" s="10" t="s">
        <v>2212</v>
      </c>
      <c r="L1147" s="10" t="s">
        <v>2212</v>
      </c>
      <c r="M1147" s="10" t="s">
        <v>2224</v>
      </c>
      <c r="N1147" s="26" t="s">
        <v>2225</v>
      </c>
      <c r="O1147" s="26" t="s">
        <v>5377</v>
      </c>
      <c r="P1147" s="39">
        <v>0</v>
      </c>
    </row>
    <row r="1148" spans="2:16" ht="18" customHeight="1" x14ac:dyDescent="0.25">
      <c r="B1148" s="21" t="s">
        <v>0</v>
      </c>
      <c r="C1148" s="22" t="s">
        <v>1363</v>
      </c>
      <c r="D1148" s="22" t="s">
        <v>1182</v>
      </c>
      <c r="E1148" s="21" t="s">
        <v>2222</v>
      </c>
      <c r="F1148" s="23" t="s">
        <v>3</v>
      </c>
      <c r="G1148" s="23" t="s">
        <v>4</v>
      </c>
      <c r="H1148" s="21" t="str">
        <f t="shared" si="17"/>
        <v>ER_TULOC/EVAPORATION-RATE</v>
      </c>
      <c r="I1148" s="24" t="s">
        <v>2288</v>
      </c>
      <c r="J1148" s="10" t="str">
        <f>VLOOKUP(Table1[[#This Row],[UID]],CS3SVComposerConfig!$B$3:$D$1808,3,FALSE)</f>
        <v>DCR2023_SV_Danube_Hist_v3.dss</v>
      </c>
      <c r="K1148" s="10" t="s">
        <v>2212</v>
      </c>
      <c r="L1148" s="10" t="s">
        <v>2212</v>
      </c>
      <c r="M1148" s="10" t="s">
        <v>2224</v>
      </c>
      <c r="N1148" s="26" t="s">
        <v>2225</v>
      </c>
      <c r="O1148" s="26" t="s">
        <v>5377</v>
      </c>
      <c r="P1148" s="39">
        <v>0</v>
      </c>
    </row>
    <row r="1149" spans="2:16" ht="18" customHeight="1" x14ac:dyDescent="0.25">
      <c r="B1149" s="21" t="s">
        <v>0</v>
      </c>
      <c r="C1149" s="22" t="s">
        <v>1365</v>
      </c>
      <c r="D1149" s="22" t="s">
        <v>1182</v>
      </c>
      <c r="E1149" s="21" t="s">
        <v>2222</v>
      </c>
      <c r="F1149" s="23" t="s">
        <v>3</v>
      </c>
      <c r="G1149" s="23" t="s">
        <v>4</v>
      </c>
      <c r="H1149" s="21" t="str">
        <f t="shared" si="17"/>
        <v>ER_UBEAR/EVAPORATION-RATE</v>
      </c>
      <c r="I1149" s="24" t="s">
        <v>2288</v>
      </c>
      <c r="J1149" s="10" t="str">
        <f>VLOOKUP(Table1[[#This Row],[UID]],CS3SVComposerConfig!$B$3:$D$1808,3,FALSE)</f>
        <v>DCR2023_SV_Danube_Hist_v3.dss</v>
      </c>
      <c r="K1149" s="10" t="s">
        <v>2212</v>
      </c>
      <c r="L1149" s="10" t="s">
        <v>2212</v>
      </c>
      <c r="M1149" s="10" t="s">
        <v>2224</v>
      </c>
      <c r="N1149" s="26" t="s">
        <v>2225</v>
      </c>
      <c r="O1149" s="26" t="s">
        <v>5377</v>
      </c>
      <c r="P1149" s="39">
        <v>0</v>
      </c>
    </row>
    <row r="1150" spans="2:16" ht="18" customHeight="1" x14ac:dyDescent="0.25">
      <c r="B1150" s="21" t="s">
        <v>0</v>
      </c>
      <c r="C1150" s="22" t="s">
        <v>1367</v>
      </c>
      <c r="D1150" s="22" t="s">
        <v>1182</v>
      </c>
      <c r="E1150" s="21" t="s">
        <v>2222</v>
      </c>
      <c r="F1150" s="23" t="s">
        <v>3</v>
      </c>
      <c r="G1150" s="23" t="s">
        <v>4</v>
      </c>
      <c r="H1150" s="21" t="str">
        <f t="shared" si="17"/>
        <v>ER_UNVLY/EVAPORATION-RATE</v>
      </c>
      <c r="I1150" s="24" t="s">
        <v>2288</v>
      </c>
      <c r="J1150" s="10" t="str">
        <f>VLOOKUP(Table1[[#This Row],[UID]],CS3SVComposerConfig!$B$3:$D$1808,3,FALSE)</f>
        <v>DCR2023_SV_Danube_Hist_v3.dss</v>
      </c>
      <c r="K1150" s="10" t="s">
        <v>2212</v>
      </c>
      <c r="L1150" s="10" t="s">
        <v>2212</v>
      </c>
      <c r="M1150" s="10" t="s">
        <v>2224</v>
      </c>
      <c r="N1150" s="26" t="s">
        <v>2225</v>
      </c>
      <c r="O1150" s="26" t="s">
        <v>5377</v>
      </c>
      <c r="P1150" s="39">
        <v>0</v>
      </c>
    </row>
    <row r="1151" spans="2:16" ht="18" customHeight="1" x14ac:dyDescent="0.25">
      <c r="B1151" s="21" t="s">
        <v>0</v>
      </c>
      <c r="C1151" s="22" t="s">
        <v>1369</v>
      </c>
      <c r="D1151" s="22" t="s">
        <v>1182</v>
      </c>
      <c r="E1151" s="21" t="s">
        <v>2222</v>
      </c>
      <c r="F1151" s="23" t="s">
        <v>3</v>
      </c>
      <c r="G1151" s="23" t="s">
        <v>4</v>
      </c>
      <c r="H1151" s="21" t="str">
        <f t="shared" si="17"/>
        <v>ER_WDWRD/EVAPORATION-RATE</v>
      </c>
      <c r="I1151" s="24" t="s">
        <v>2288</v>
      </c>
      <c r="J1151" s="10" t="str">
        <f>VLOOKUP(Table1[[#This Row],[UID]],CS3SVComposerConfig!$B$3:$D$1808,3,FALSE)</f>
        <v>DCR2023_SV_Danube_Hist_v3.dss</v>
      </c>
      <c r="K1151" s="10" t="s">
        <v>2212</v>
      </c>
      <c r="L1151" s="10" t="s">
        <v>2212</v>
      </c>
      <c r="M1151" s="10" t="s">
        <v>2224</v>
      </c>
      <c r="N1151" s="26" t="s">
        <v>2225</v>
      </c>
      <c r="O1151" s="26" t="s">
        <v>5377</v>
      </c>
      <c r="P1151" s="39">
        <v>0</v>
      </c>
    </row>
    <row r="1152" spans="2:16" ht="18" customHeight="1" x14ac:dyDescent="0.25">
      <c r="B1152" s="21" t="s">
        <v>0</v>
      </c>
      <c r="C1152" s="22" t="s">
        <v>1371</v>
      </c>
      <c r="D1152" s="22" t="s">
        <v>1182</v>
      </c>
      <c r="E1152" s="21" t="s">
        <v>2222</v>
      </c>
      <c r="F1152" s="23" t="s">
        <v>3</v>
      </c>
      <c r="G1152" s="23" t="s">
        <v>4</v>
      </c>
      <c r="H1152" s="21" t="str">
        <f t="shared" si="17"/>
        <v>ER_WKYTN/EVAPORATION-RATE</v>
      </c>
      <c r="I1152" s="24" t="s">
        <v>2288</v>
      </c>
      <c r="J1152" s="10" t="str">
        <f>VLOOKUP(Table1[[#This Row],[UID]],CS3SVComposerConfig!$B$3:$D$1808,3,FALSE)</f>
        <v>DCR2023_SV_Danube_Hist_v3.dss</v>
      </c>
      <c r="K1152" s="10" t="s">
        <v>2212</v>
      </c>
      <c r="L1152" s="10" t="s">
        <v>2212</v>
      </c>
      <c r="M1152" s="10" t="s">
        <v>2224</v>
      </c>
      <c r="N1152" s="26" t="s">
        <v>2225</v>
      </c>
      <c r="O1152" s="26" t="s">
        <v>5377</v>
      </c>
      <c r="P1152" s="39">
        <v>0</v>
      </c>
    </row>
    <row r="1153" spans="2:16" ht="18" customHeight="1" x14ac:dyDescent="0.25">
      <c r="B1153" s="21" t="s">
        <v>0</v>
      </c>
      <c r="C1153" s="22" t="s">
        <v>1117</v>
      </c>
      <c r="D1153" s="22" t="s">
        <v>1118</v>
      </c>
      <c r="E1153" s="21" t="s">
        <v>2222</v>
      </c>
      <c r="F1153" s="23" t="s">
        <v>3</v>
      </c>
      <c r="G1153" s="23" t="s">
        <v>4</v>
      </c>
      <c r="H1153" s="21" t="str">
        <f t="shared" si="17"/>
        <v>MAMMOTH_STORAGE/STORAGE</v>
      </c>
      <c r="I1153" s="24" t="s">
        <v>2289</v>
      </c>
      <c r="J1153" s="10" t="str">
        <f>VLOOKUP(Table1[[#This Row],[UID]],CS3SVComposerConfig!$B$3:$D$1808,3,FALSE)</f>
        <v>DCR2023_SV_Danube_Hist_v3.dss</v>
      </c>
      <c r="K1153" s="10" t="s">
        <v>2212</v>
      </c>
      <c r="L1153" s="10" t="s">
        <v>2212</v>
      </c>
      <c r="M1153" s="10" t="s">
        <v>2224</v>
      </c>
      <c r="N1153" s="26" t="s">
        <v>2258</v>
      </c>
      <c r="O1153" s="26" t="s">
        <v>2259</v>
      </c>
      <c r="P1153" s="39">
        <v>0</v>
      </c>
    </row>
    <row r="1154" spans="2:16" ht="18" customHeight="1" x14ac:dyDescent="0.25">
      <c r="B1154" s="21" t="s">
        <v>0</v>
      </c>
      <c r="C1154" s="22" t="s">
        <v>1947</v>
      </c>
      <c r="D1154" s="22" t="s">
        <v>1942</v>
      </c>
      <c r="E1154" s="21" t="s">
        <v>2222</v>
      </c>
      <c r="F1154" s="23" t="s">
        <v>3</v>
      </c>
      <c r="G1154" s="23" t="s">
        <v>4</v>
      </c>
      <c r="H1154" s="21" t="str">
        <f t="shared" si="17"/>
        <v>S_FOLSMLEVEL2/STORAGE-LEVEL</v>
      </c>
      <c r="I1154" s="24" t="s">
        <v>2289</v>
      </c>
      <c r="J1154" s="10" t="str">
        <f>VLOOKUP(Table1[[#This Row],[UID]],CS3SVComposerConfig!$B$3:$D$1808,3,FALSE)</f>
        <v>DCR2023_SV_Danube_Hist_v3.dss</v>
      </c>
      <c r="K1154" s="10" t="s">
        <v>2212</v>
      </c>
      <c r="L1154" s="10" t="s">
        <v>2212</v>
      </c>
      <c r="M1154" s="10" t="s">
        <v>2224</v>
      </c>
      <c r="N1154" s="10" t="s">
        <v>2258</v>
      </c>
      <c r="O1154" s="10" t="s">
        <v>2290</v>
      </c>
      <c r="P1154" s="39">
        <v>0</v>
      </c>
    </row>
    <row r="1155" spans="2:16" ht="18" customHeight="1" x14ac:dyDescent="0.25">
      <c r="B1155" s="21" t="s">
        <v>0</v>
      </c>
      <c r="C1155" s="22" t="s">
        <v>1949</v>
      </c>
      <c r="D1155" s="22" t="s">
        <v>1942</v>
      </c>
      <c r="E1155" s="21" t="s">
        <v>2222</v>
      </c>
      <c r="F1155" s="23" t="s">
        <v>3</v>
      </c>
      <c r="G1155" s="23" t="s">
        <v>4</v>
      </c>
      <c r="H1155" s="21" t="str">
        <f t="shared" ref="H1155:H1218" si="18">_xlfn.CONCAT(C1155,"/",D1155)</f>
        <v>S_FOLSMLEVEL4/STORAGE-LEVEL</v>
      </c>
      <c r="I1155" s="24" t="s">
        <v>2289</v>
      </c>
      <c r="J1155" s="10" t="str">
        <f>VLOOKUP(Table1[[#This Row],[UID]],CS3SVComposerConfig!$B$3:$D$1808,3,FALSE)</f>
        <v>DCR2023_SV_Danube_Hist_v3.dss</v>
      </c>
      <c r="K1155" s="10" t="s">
        <v>2212</v>
      </c>
      <c r="L1155" s="10" t="s">
        <v>2224</v>
      </c>
      <c r="M1155" s="10" t="s">
        <v>2224</v>
      </c>
      <c r="N1155" s="10" t="s">
        <v>2270</v>
      </c>
      <c r="O1155" s="10" t="s">
        <v>2270</v>
      </c>
      <c r="P1155" s="39" t="s">
        <v>2227</v>
      </c>
    </row>
    <row r="1156" spans="2:16" ht="18" customHeight="1" x14ac:dyDescent="0.25">
      <c r="B1156" s="21" t="s">
        <v>0</v>
      </c>
      <c r="C1156" s="22" t="s">
        <v>1951</v>
      </c>
      <c r="D1156" s="22" t="s">
        <v>1942</v>
      </c>
      <c r="E1156" s="21" t="s">
        <v>2222</v>
      </c>
      <c r="F1156" s="23" t="s">
        <v>3</v>
      </c>
      <c r="G1156" s="23" t="s">
        <v>4</v>
      </c>
      <c r="H1156" s="21" t="str">
        <f t="shared" si="18"/>
        <v>S_FOLSMLEVEL5/STORAGE-LEVEL</v>
      </c>
      <c r="I1156" s="24" t="s">
        <v>2289</v>
      </c>
      <c r="J1156" s="10" t="str">
        <f>VLOOKUP(Table1[[#This Row],[UID]],CS3SVComposerConfig!$B$3:$D$1808,3,FALSE)</f>
        <v>DCR2023_SV_Danube_Hist_v3.dss</v>
      </c>
      <c r="K1156" s="10" t="s">
        <v>2212</v>
      </c>
      <c r="L1156" s="10" t="s">
        <v>2224</v>
      </c>
      <c r="M1156" s="10" t="s">
        <v>2224</v>
      </c>
      <c r="N1156" s="10" t="s">
        <v>2270</v>
      </c>
      <c r="O1156" s="10" t="s">
        <v>2270</v>
      </c>
      <c r="P1156" s="39" t="s">
        <v>2227</v>
      </c>
    </row>
    <row r="1157" spans="2:16" ht="18" customHeight="1" x14ac:dyDescent="0.25">
      <c r="B1157" s="21" t="s">
        <v>0</v>
      </c>
      <c r="C1157" s="22" t="s">
        <v>1941</v>
      </c>
      <c r="D1157" s="22" t="s">
        <v>1942</v>
      </c>
      <c r="E1157" s="21" t="s">
        <v>2222</v>
      </c>
      <c r="F1157" s="23" t="s">
        <v>3</v>
      </c>
      <c r="G1157" s="23" t="s">
        <v>4</v>
      </c>
      <c r="H1157" s="21" t="str">
        <f t="shared" si="18"/>
        <v>S_OROVLLEVEL5/STORAGE-LEVEL</v>
      </c>
      <c r="I1157" s="24" t="s">
        <v>2289</v>
      </c>
      <c r="J1157" s="10" t="str">
        <f>VLOOKUP(Table1[[#This Row],[UID]],CS3SVComposerConfig!$B$3:$D$1808,3,FALSE)</f>
        <v>DCR2023_SV_Danube_Hist_v3.dss</v>
      </c>
      <c r="K1157" s="10" t="s">
        <v>2212</v>
      </c>
      <c r="L1157" s="10" t="s">
        <v>2212</v>
      </c>
      <c r="M1157" s="10" t="s">
        <v>2224</v>
      </c>
      <c r="N1157" s="10" t="s">
        <v>2225</v>
      </c>
      <c r="O1157" s="10" t="s">
        <v>2291</v>
      </c>
      <c r="P1157" s="39">
        <v>0</v>
      </c>
    </row>
    <row r="1158" spans="2:16" ht="18" customHeight="1" x14ac:dyDescent="0.25">
      <c r="B1158" s="21" t="s">
        <v>0</v>
      </c>
      <c r="C1158" s="22" t="s">
        <v>1945</v>
      </c>
      <c r="D1158" s="22" t="s">
        <v>1942</v>
      </c>
      <c r="E1158" s="21" t="s">
        <v>2222</v>
      </c>
      <c r="F1158" s="23" t="s">
        <v>3</v>
      </c>
      <c r="G1158" s="23" t="s">
        <v>4</v>
      </c>
      <c r="H1158" s="21" t="str">
        <f t="shared" si="18"/>
        <v>S_PEDROLEVEL4/STORAGE-LEVEL</v>
      </c>
      <c r="I1158" s="24" t="s">
        <v>2289</v>
      </c>
      <c r="J1158" s="10" t="str">
        <f>VLOOKUP(Table1[[#This Row],[UID]],CS3SVComposerConfig!$B$3:$D$1808,3,FALSE)</f>
        <v>DCR2023_SV_Danube_Hist_v3.dss</v>
      </c>
      <c r="K1158" s="10" t="s">
        <v>2212</v>
      </c>
      <c r="L1158" s="10" t="s">
        <v>2212</v>
      </c>
      <c r="M1158" s="10" t="s">
        <v>2224</v>
      </c>
      <c r="N1158" s="10" t="s">
        <v>2258</v>
      </c>
      <c r="O1158" s="10" t="s">
        <v>2290</v>
      </c>
      <c r="P1158" s="39" t="s">
        <v>2227</v>
      </c>
    </row>
    <row r="1159" spans="2:16" ht="18" customHeight="1" x14ac:dyDescent="0.25">
      <c r="B1159" s="21" t="s">
        <v>0</v>
      </c>
      <c r="C1159" s="22" t="s">
        <v>1953</v>
      </c>
      <c r="D1159" s="22" t="s">
        <v>1942</v>
      </c>
      <c r="E1159" s="21" t="s">
        <v>2222</v>
      </c>
      <c r="F1159" s="23" t="s">
        <v>3</v>
      </c>
      <c r="G1159" s="23" t="s">
        <v>4</v>
      </c>
      <c r="H1159" s="21" t="str">
        <f t="shared" si="18"/>
        <v>S_SHSTALEVEL2/STORAGE-LEVEL</v>
      </c>
      <c r="I1159" s="24" t="s">
        <v>2289</v>
      </c>
      <c r="J1159" s="10" t="str">
        <f>VLOOKUP(Table1[[#This Row],[UID]],CS3SVComposerConfig!$B$3:$D$1808,3,FALSE)</f>
        <v>DCR2023_SV_Danube_Hist_v3.dss</v>
      </c>
      <c r="K1159" s="10" t="s">
        <v>2212</v>
      </c>
      <c r="L1159" s="10" t="s">
        <v>2212</v>
      </c>
      <c r="M1159" s="10" t="s">
        <v>2224</v>
      </c>
      <c r="N1159" s="10" t="s">
        <v>2258</v>
      </c>
      <c r="O1159" s="10" t="s">
        <v>2290</v>
      </c>
      <c r="P1159" s="39" t="s">
        <v>2227</v>
      </c>
    </row>
    <row r="1160" spans="2:16" ht="18" customHeight="1" x14ac:dyDescent="0.25">
      <c r="B1160" s="21" t="s">
        <v>0</v>
      </c>
      <c r="C1160" s="22" t="s">
        <v>1955</v>
      </c>
      <c r="D1160" s="22" t="s">
        <v>1942</v>
      </c>
      <c r="E1160" s="21" t="s">
        <v>2222</v>
      </c>
      <c r="F1160" s="23" t="s">
        <v>3</v>
      </c>
      <c r="G1160" s="23" t="s">
        <v>4</v>
      </c>
      <c r="H1160" s="21" t="str">
        <f t="shared" si="18"/>
        <v>S_TRNTYLEVEL2/STORAGE-LEVEL</v>
      </c>
      <c r="I1160" s="24" t="s">
        <v>2289</v>
      </c>
      <c r="J1160" s="10" t="str">
        <f>VLOOKUP(Table1[[#This Row],[UID]],CS3SVComposerConfig!$B$3:$D$1808,3,FALSE)</f>
        <v>DCR2023_SV_Danube_Hist_v3.dss</v>
      </c>
      <c r="K1160" s="10" t="s">
        <v>2212</v>
      </c>
      <c r="L1160" s="10" t="s">
        <v>2212</v>
      </c>
      <c r="M1160" s="10" t="s">
        <v>2224</v>
      </c>
      <c r="N1160" s="10" t="s">
        <v>2258</v>
      </c>
      <c r="O1160" s="10" t="s">
        <v>2290</v>
      </c>
      <c r="P1160" s="39" t="s">
        <v>2227</v>
      </c>
    </row>
    <row r="1161" spans="2:16" ht="18" customHeight="1" x14ac:dyDescent="0.25">
      <c r="B1161" s="21" t="s">
        <v>0</v>
      </c>
      <c r="C1161" s="22" t="s">
        <v>1957</v>
      </c>
      <c r="D1161" s="22" t="s">
        <v>1942</v>
      </c>
      <c r="E1161" s="21" t="s">
        <v>2222</v>
      </c>
      <c r="F1161" s="23" t="s">
        <v>3</v>
      </c>
      <c r="G1161" s="23" t="s">
        <v>4</v>
      </c>
      <c r="H1161" s="21" t="str">
        <f t="shared" si="18"/>
        <v>S_TRNTYLEVEL3/STORAGE-LEVEL</v>
      </c>
      <c r="I1161" s="24" t="s">
        <v>2289</v>
      </c>
      <c r="J1161" s="10" t="str">
        <f>VLOOKUP(Table1[[#This Row],[UID]],CS3SVComposerConfig!$B$3:$D$1808,3,FALSE)</f>
        <v>DCR2023_SV_Danube_Hist_v3.dss</v>
      </c>
      <c r="K1161" s="10" t="s">
        <v>2212</v>
      </c>
      <c r="L1161" s="10" t="s">
        <v>2212</v>
      </c>
      <c r="M1161" s="10" t="s">
        <v>2224</v>
      </c>
      <c r="N1161" s="10" t="s">
        <v>2258</v>
      </c>
      <c r="O1161" s="10" t="s">
        <v>2290</v>
      </c>
      <c r="P1161" s="39" t="s">
        <v>2227</v>
      </c>
    </row>
    <row r="1162" spans="2:16" ht="18" customHeight="1" x14ac:dyDescent="0.25">
      <c r="B1162" s="21" t="s">
        <v>0</v>
      </c>
      <c r="C1162" s="22" t="s">
        <v>1761</v>
      </c>
      <c r="D1162" s="22" t="s">
        <v>1380</v>
      </c>
      <c r="E1162" s="21" t="s">
        <v>2222</v>
      </c>
      <c r="F1162" s="23" t="s">
        <v>3</v>
      </c>
      <c r="G1162" s="23" t="s">
        <v>4</v>
      </c>
      <c r="H1162" s="21" t="str">
        <f t="shared" si="18"/>
        <v>FOLSM_INFLOW/INFLOW</v>
      </c>
      <c r="I1162" s="24" t="s">
        <v>2292</v>
      </c>
      <c r="J1162" s="10" t="str">
        <f>VLOOKUP(Table1[[#This Row],[UID]],CS3SVComposerConfig!$B$3:$D$1808,3,FALSE)</f>
        <v>DCR2023_SV_Danube_Hist_v3.dss</v>
      </c>
      <c r="K1162" s="10" t="s">
        <v>2212</v>
      </c>
      <c r="L1162" s="10" t="s">
        <v>2212</v>
      </c>
      <c r="M1162" s="10" t="s">
        <v>2224</v>
      </c>
      <c r="N1162" s="10" t="s">
        <v>2258</v>
      </c>
      <c r="O1162" s="10" t="s">
        <v>2259</v>
      </c>
      <c r="P1162" s="39">
        <v>0.79722251624083496</v>
      </c>
    </row>
    <row r="1163" spans="2:16" ht="18" customHeight="1" x14ac:dyDescent="0.25">
      <c r="B1163" s="21" t="s">
        <v>0</v>
      </c>
      <c r="C1163" s="22" t="s">
        <v>2293</v>
      </c>
      <c r="D1163" s="22" t="s">
        <v>1380</v>
      </c>
      <c r="E1163" s="21" t="s">
        <v>2222</v>
      </c>
      <c r="F1163" s="23" t="s">
        <v>3</v>
      </c>
      <c r="G1163" s="23" t="s">
        <v>4</v>
      </c>
      <c r="H1163" s="21" t="str">
        <f t="shared" si="18"/>
        <v>FOLSOM_INFLOW/INFLOW</v>
      </c>
      <c r="I1163" s="24" t="s">
        <v>2292</v>
      </c>
      <c r="J1163" s="10" t="str">
        <f>VLOOKUP(Table1[[#This Row],[UID]],CS3SVComposerConfig!$B$3:$D$1808,3,FALSE)</f>
        <v>DCR2023_SV_Danube_Hist_v3.dss</v>
      </c>
      <c r="K1163" s="10" t="s">
        <v>2212</v>
      </c>
      <c r="L1163" s="10" t="s">
        <v>2212</v>
      </c>
      <c r="M1163" s="10" t="s">
        <v>2212</v>
      </c>
      <c r="N1163" s="10" t="s">
        <v>2227</v>
      </c>
      <c r="O1163" s="10" t="s">
        <v>2227</v>
      </c>
      <c r="P1163" s="39" t="s">
        <v>2227</v>
      </c>
    </row>
    <row r="1164" spans="2:16" ht="18" customHeight="1" x14ac:dyDescent="0.25">
      <c r="B1164" s="21" t="s">
        <v>0</v>
      </c>
      <c r="C1164" s="22" t="s">
        <v>1823</v>
      </c>
      <c r="D1164" s="22" t="s">
        <v>1380</v>
      </c>
      <c r="E1164" s="21" t="s">
        <v>2222</v>
      </c>
      <c r="F1164" s="23" t="s">
        <v>3</v>
      </c>
      <c r="G1164" s="23" t="s">
        <v>4</v>
      </c>
      <c r="H1164" s="21" t="str">
        <f t="shared" si="18"/>
        <v>I_ALD002/INFLOW</v>
      </c>
      <c r="I1164" s="24" t="s">
        <v>2292</v>
      </c>
      <c r="J1164" s="10" t="str">
        <f>VLOOKUP(Table1[[#This Row],[UID]],CS3SVComposerConfig!$B$3:$D$1808,3,FALSE)</f>
        <v>adj_SV_CS3LTO_0803_riminflow20231214.dss</v>
      </c>
      <c r="K1164" s="10" t="s">
        <v>2212</v>
      </c>
      <c r="L1164" s="10" t="s">
        <v>2212</v>
      </c>
      <c r="M1164" s="10" t="s">
        <v>2224</v>
      </c>
      <c r="N1164" s="10" t="s">
        <v>2258</v>
      </c>
      <c r="O1164" s="10" t="s">
        <v>2259</v>
      </c>
      <c r="P1164" s="39">
        <v>0.45948544900711502</v>
      </c>
    </row>
    <row r="1165" spans="2:16" ht="18" customHeight="1" x14ac:dyDescent="0.25">
      <c r="B1165" s="21" t="s">
        <v>0</v>
      </c>
      <c r="C1165" s="22" t="s">
        <v>1825</v>
      </c>
      <c r="D1165" s="22" t="s">
        <v>1380</v>
      </c>
      <c r="E1165" s="21" t="s">
        <v>2222</v>
      </c>
      <c r="F1165" s="23" t="s">
        <v>3</v>
      </c>
      <c r="G1165" s="23" t="s">
        <v>4</v>
      </c>
      <c r="H1165" s="21" t="str">
        <f t="shared" si="18"/>
        <v>I_ALD004/INFLOW</v>
      </c>
      <c r="I1165" s="24" t="s">
        <v>2292</v>
      </c>
      <c r="J1165" s="10" t="str">
        <f>VLOOKUP(Table1[[#This Row],[UID]],CS3SVComposerConfig!$B$3:$D$1808,3,FALSE)</f>
        <v>adj_SV_CS3LTO_0803_riminflow20231214.dss</v>
      </c>
      <c r="K1165" s="10" t="s">
        <v>2212</v>
      </c>
      <c r="L1165" s="10" t="s">
        <v>2212</v>
      </c>
      <c r="M1165" s="10" t="s">
        <v>2224</v>
      </c>
      <c r="N1165" s="10" t="s">
        <v>2258</v>
      </c>
      <c r="O1165" s="10" t="s">
        <v>2259</v>
      </c>
      <c r="P1165" s="39">
        <v>0.62748660570322601</v>
      </c>
    </row>
    <row r="1166" spans="2:16" ht="18" customHeight="1" x14ac:dyDescent="0.25">
      <c r="B1166" s="21" t="s">
        <v>0</v>
      </c>
      <c r="C1166" s="22" t="s">
        <v>1675</v>
      </c>
      <c r="D1166" s="22" t="s">
        <v>1380</v>
      </c>
      <c r="E1166" s="21" t="s">
        <v>2222</v>
      </c>
      <c r="F1166" s="23" t="s">
        <v>3</v>
      </c>
      <c r="G1166" s="23" t="s">
        <v>4</v>
      </c>
      <c r="H1166" s="21" t="str">
        <f t="shared" si="18"/>
        <v>I_ALMNR/INFLOW</v>
      </c>
      <c r="I1166" s="24" t="s">
        <v>2292</v>
      </c>
      <c r="J1166" s="10" t="str">
        <f>VLOOKUP(Table1[[#This Row],[UID]],CS3SVComposerConfig!$B$3:$D$1808,3,FALSE)</f>
        <v>adj_SV_CS3LTO_0803_riminflow20231214.dss</v>
      </c>
      <c r="K1166" s="10" t="s">
        <v>2212</v>
      </c>
      <c r="L1166" s="10" t="s">
        <v>2212</v>
      </c>
      <c r="M1166" s="10" t="s">
        <v>2224</v>
      </c>
      <c r="N1166" s="10" t="s">
        <v>2258</v>
      </c>
      <c r="O1166" s="10" t="s">
        <v>2259</v>
      </c>
      <c r="P1166" s="39">
        <v>0.71469018765851899</v>
      </c>
    </row>
    <row r="1167" spans="2:16" ht="18" customHeight="1" x14ac:dyDescent="0.25">
      <c r="B1167" s="21" t="s">
        <v>0</v>
      </c>
      <c r="C1167" s="22" t="s">
        <v>1673</v>
      </c>
      <c r="D1167" s="22" t="s">
        <v>1380</v>
      </c>
      <c r="E1167" s="21" t="s">
        <v>2222</v>
      </c>
      <c r="F1167" s="23" t="s">
        <v>3</v>
      </c>
      <c r="G1167" s="23" t="s">
        <v>4</v>
      </c>
      <c r="H1167" s="21" t="str">
        <f t="shared" si="18"/>
        <v>I_ALOHA/INFLOW</v>
      </c>
      <c r="I1167" s="24" t="s">
        <v>2292</v>
      </c>
      <c r="J1167" s="10" t="str">
        <f>VLOOKUP(Table1[[#This Row],[UID]],CS3SVComposerConfig!$B$3:$D$1808,3,FALSE)</f>
        <v>adj_SV_CS3LTO_0803_riminflow20231214.dss</v>
      </c>
      <c r="K1167" s="10" t="s">
        <v>2212</v>
      </c>
      <c r="L1167" s="10" t="s">
        <v>2212</v>
      </c>
      <c r="M1167" s="10" t="s">
        <v>2224</v>
      </c>
      <c r="N1167" s="10" t="s">
        <v>2258</v>
      </c>
      <c r="O1167" s="10" t="s">
        <v>2259</v>
      </c>
      <c r="P1167" s="39">
        <v>0.61160265840130601</v>
      </c>
    </row>
    <row r="1168" spans="2:16" ht="18" customHeight="1" x14ac:dyDescent="0.25">
      <c r="B1168" s="21" t="s">
        <v>0</v>
      </c>
      <c r="C1168" s="22" t="s">
        <v>1715</v>
      </c>
      <c r="D1168" s="22" t="s">
        <v>1380</v>
      </c>
      <c r="E1168" s="21" t="s">
        <v>2222</v>
      </c>
      <c r="F1168" s="23" t="s">
        <v>3</v>
      </c>
      <c r="G1168" s="23" t="s">
        <v>4</v>
      </c>
      <c r="H1168" s="21" t="str">
        <f t="shared" si="18"/>
        <v>I_AMADR/INFLOW</v>
      </c>
      <c r="I1168" s="24" t="s">
        <v>2292</v>
      </c>
      <c r="J1168" s="10" t="str">
        <f>VLOOKUP(Table1[[#This Row],[UID]],CS3SVComposerConfig!$B$3:$D$1808,3,FALSE)</f>
        <v>adj_SV_CS3LTO_0803_riminflow20231214.dss</v>
      </c>
      <c r="K1168" s="10" t="s">
        <v>2212</v>
      </c>
      <c r="L1168" s="10" t="s">
        <v>2212</v>
      </c>
      <c r="M1168" s="10" t="s">
        <v>2224</v>
      </c>
      <c r="N1168" s="10" t="s">
        <v>2258</v>
      </c>
      <c r="O1168" s="10" t="s">
        <v>2259</v>
      </c>
      <c r="P1168" s="39">
        <v>0.77005773322886595</v>
      </c>
    </row>
    <row r="1169" spans="2:16" ht="18" customHeight="1" x14ac:dyDescent="0.25">
      <c r="B1169" s="21" t="s">
        <v>0</v>
      </c>
      <c r="C1169" s="22" t="s">
        <v>1821</v>
      </c>
      <c r="D1169" s="22" t="s">
        <v>1380</v>
      </c>
      <c r="E1169" s="21" t="s">
        <v>2222</v>
      </c>
      <c r="F1169" s="23" t="s">
        <v>3</v>
      </c>
      <c r="G1169" s="23" t="s">
        <v>4</v>
      </c>
      <c r="H1169" s="21" t="str">
        <f t="shared" si="18"/>
        <v>I_ANG017/INFLOW</v>
      </c>
      <c r="I1169" s="24" t="s">
        <v>2292</v>
      </c>
      <c r="J1169" s="10" t="str">
        <f>VLOOKUP(Table1[[#This Row],[UID]],CS3SVComposerConfig!$B$3:$D$1808,3,FALSE)</f>
        <v>adj_SV_CS3LTO_0803_riminflow20231214.dss</v>
      </c>
      <c r="K1169" s="10" t="s">
        <v>2212</v>
      </c>
      <c r="L1169" s="10" t="s">
        <v>2212</v>
      </c>
      <c r="M1169" s="10" t="s">
        <v>2224</v>
      </c>
      <c r="N1169" s="10" t="s">
        <v>2258</v>
      </c>
      <c r="O1169" s="10" t="s">
        <v>2259</v>
      </c>
      <c r="P1169" s="39">
        <v>0.47716145081316202</v>
      </c>
    </row>
    <row r="1170" spans="2:16" ht="18" customHeight="1" x14ac:dyDescent="0.25">
      <c r="B1170" s="21" t="s">
        <v>0</v>
      </c>
      <c r="C1170" s="22" t="s">
        <v>1819</v>
      </c>
      <c r="D1170" s="22" t="s">
        <v>1380</v>
      </c>
      <c r="E1170" s="21" t="s">
        <v>2222</v>
      </c>
      <c r="F1170" s="23" t="s">
        <v>3</v>
      </c>
      <c r="G1170" s="23" t="s">
        <v>4</v>
      </c>
      <c r="H1170" s="21" t="str">
        <f t="shared" si="18"/>
        <v>I_ANT011/INFLOW</v>
      </c>
      <c r="I1170" s="24" t="s">
        <v>2292</v>
      </c>
      <c r="J1170" s="10" t="str">
        <f>VLOOKUP(Table1[[#This Row],[UID]],CS3SVComposerConfig!$B$3:$D$1808,3,FALSE)</f>
        <v>adj_SV_CS3LTO_0803_riminflow20231214.dss</v>
      </c>
      <c r="K1170" s="10" t="s">
        <v>2212</v>
      </c>
      <c r="L1170" s="10" t="s">
        <v>2212</v>
      </c>
      <c r="M1170" s="10" t="s">
        <v>2224</v>
      </c>
      <c r="N1170" s="10" t="s">
        <v>2258</v>
      </c>
      <c r="O1170" s="10" t="s">
        <v>2259</v>
      </c>
      <c r="P1170" s="39">
        <v>0.82201788880531601</v>
      </c>
    </row>
    <row r="1171" spans="2:16" ht="18" customHeight="1" x14ac:dyDescent="0.25">
      <c r="B1171" s="21" t="s">
        <v>0</v>
      </c>
      <c r="C1171" s="22" t="s">
        <v>1713</v>
      </c>
      <c r="D1171" s="22" t="s">
        <v>1380</v>
      </c>
      <c r="E1171" s="21" t="s">
        <v>2222</v>
      </c>
      <c r="F1171" s="23" t="s">
        <v>3</v>
      </c>
      <c r="G1171" s="23" t="s">
        <v>4</v>
      </c>
      <c r="H1171" s="21" t="str">
        <f t="shared" si="18"/>
        <v>I_ANTLP/INFLOW</v>
      </c>
      <c r="I1171" s="24" t="s">
        <v>2292</v>
      </c>
      <c r="J1171" s="10" t="str">
        <f>VLOOKUP(Table1[[#This Row],[UID]],CS3SVComposerConfig!$B$3:$D$1808,3,FALSE)</f>
        <v>adj_SV_CS3LTO_0803_riminflow20231214.dss</v>
      </c>
      <c r="K1171" s="10" t="s">
        <v>2212</v>
      </c>
      <c r="L1171" s="10" t="s">
        <v>2212</v>
      </c>
      <c r="M1171" s="10" t="s">
        <v>2224</v>
      </c>
      <c r="N1171" s="10" t="s">
        <v>2258</v>
      </c>
      <c r="O1171" s="10" t="s">
        <v>2259</v>
      </c>
      <c r="P1171" s="39">
        <v>0.43900889608328397</v>
      </c>
    </row>
    <row r="1172" spans="2:16" ht="18" customHeight="1" x14ac:dyDescent="0.25">
      <c r="B1172" s="21" t="s">
        <v>0</v>
      </c>
      <c r="C1172" s="22" t="s">
        <v>1521</v>
      </c>
      <c r="D1172" s="22" t="s">
        <v>1380</v>
      </c>
      <c r="E1172" s="21" t="s">
        <v>2222</v>
      </c>
      <c r="F1172" s="23" t="s">
        <v>3</v>
      </c>
      <c r="G1172" s="23" t="s">
        <v>4</v>
      </c>
      <c r="H1172" s="21" t="str">
        <f t="shared" si="18"/>
        <v>I_BANOS/INFLOW</v>
      </c>
      <c r="I1172" s="24" t="s">
        <v>2292</v>
      </c>
      <c r="J1172" s="10" t="str">
        <f>VLOOKUP(Table1[[#This Row],[UID]],CS3SVComposerConfig!$B$3:$D$1808,3,FALSE)</f>
        <v>adj_SV_CS3LTO_0803_riminflow20231214.dss</v>
      </c>
      <c r="K1172" s="10" t="s">
        <v>2212</v>
      </c>
      <c r="L1172" s="10" t="s">
        <v>2212</v>
      </c>
      <c r="M1172" s="10" t="s">
        <v>2224</v>
      </c>
      <c r="N1172" s="10" t="s">
        <v>2258</v>
      </c>
      <c r="O1172" s="10" t="s">
        <v>2259</v>
      </c>
      <c r="P1172" s="39">
        <v>0.62862247673150295</v>
      </c>
    </row>
    <row r="1173" spans="2:16" ht="18" customHeight="1" x14ac:dyDescent="0.25">
      <c r="B1173" s="21" t="s">
        <v>0</v>
      </c>
      <c r="C1173" s="22" t="s">
        <v>1809</v>
      </c>
      <c r="D1173" s="22" t="s">
        <v>1380</v>
      </c>
      <c r="E1173" s="21" t="s">
        <v>2222</v>
      </c>
      <c r="F1173" s="23" t="s">
        <v>3</v>
      </c>
      <c r="G1173" s="23" t="s">
        <v>4</v>
      </c>
      <c r="H1173" s="21" t="str">
        <f t="shared" si="18"/>
        <v>I_BCC014/INFLOW</v>
      </c>
      <c r="I1173" s="24" t="s">
        <v>2292</v>
      </c>
      <c r="J1173" s="10" t="str">
        <f>VLOOKUP(Table1[[#This Row],[UID]],CS3SVComposerConfig!$B$3:$D$1808,3,FALSE)</f>
        <v>adj_SV_CS3LTO_0803_riminflow20231214.dss</v>
      </c>
      <c r="K1173" s="10" t="s">
        <v>2212</v>
      </c>
      <c r="L1173" s="10" t="s">
        <v>2212</v>
      </c>
      <c r="M1173" s="10" t="s">
        <v>2224</v>
      </c>
      <c r="N1173" s="10" t="s">
        <v>2258</v>
      </c>
      <c r="O1173" s="10" t="s">
        <v>2259</v>
      </c>
      <c r="P1173" s="39">
        <v>0.89155562828739698</v>
      </c>
    </row>
    <row r="1174" spans="2:16" ht="18" customHeight="1" x14ac:dyDescent="0.25">
      <c r="B1174" s="21" t="s">
        <v>0</v>
      </c>
      <c r="C1174" s="22" t="s">
        <v>1711</v>
      </c>
      <c r="D1174" s="22" t="s">
        <v>1380</v>
      </c>
      <c r="E1174" s="21" t="s">
        <v>2222</v>
      </c>
      <c r="F1174" s="23" t="s">
        <v>3</v>
      </c>
      <c r="G1174" s="23" t="s">
        <v>4</v>
      </c>
      <c r="H1174" s="21" t="str">
        <f t="shared" si="18"/>
        <v>I_BCK040/INFLOW</v>
      </c>
      <c r="I1174" s="24" t="s">
        <v>2292</v>
      </c>
      <c r="J1174" s="10" t="str">
        <f>VLOOKUP(Table1[[#This Row],[UID]],CS3SVComposerConfig!$B$3:$D$1808,3,FALSE)</f>
        <v>adj_SV_CS3LTO_0803_riminflow20231214.dss</v>
      </c>
      <c r="K1174" s="10" t="s">
        <v>2212</v>
      </c>
      <c r="L1174" s="10" t="s">
        <v>2212</v>
      </c>
      <c r="M1174" s="10" t="s">
        <v>2224</v>
      </c>
      <c r="N1174" s="10" t="s">
        <v>2258</v>
      </c>
      <c r="O1174" s="10" t="s">
        <v>2259</v>
      </c>
      <c r="P1174" s="39">
        <v>0.72414765873633702</v>
      </c>
    </row>
    <row r="1175" spans="2:16" ht="18" customHeight="1" x14ac:dyDescent="0.25">
      <c r="B1175" s="21" t="s">
        <v>0</v>
      </c>
      <c r="C1175" s="22" t="s">
        <v>1456</v>
      </c>
      <c r="D1175" s="22" t="s">
        <v>1380</v>
      </c>
      <c r="E1175" s="21" t="s">
        <v>2222</v>
      </c>
      <c r="F1175" s="23" t="s">
        <v>3</v>
      </c>
      <c r="G1175" s="23" t="s">
        <v>4</v>
      </c>
      <c r="H1175" s="21" t="str">
        <f t="shared" si="18"/>
        <v>I_BCM003/INFLOW</v>
      </c>
      <c r="I1175" s="24" t="s">
        <v>2292</v>
      </c>
      <c r="J1175" s="10" t="str">
        <f>VLOOKUP(Table1[[#This Row],[UID]],CS3SVComposerConfig!$B$3:$D$1808,3,FALSE)</f>
        <v>DCR2023_SV_Danube_Hist_v3.dss</v>
      </c>
      <c r="K1175" s="10" t="s">
        <v>2224</v>
      </c>
      <c r="L1175" s="10" t="s">
        <v>2212</v>
      </c>
      <c r="M1175" s="10" t="s">
        <v>2224</v>
      </c>
      <c r="N1175" s="10" t="s">
        <v>2227</v>
      </c>
      <c r="O1175" s="10" t="s">
        <v>2227</v>
      </c>
      <c r="P1175" s="39" t="s">
        <v>2227</v>
      </c>
    </row>
    <row r="1176" spans="2:16" ht="18" customHeight="1" x14ac:dyDescent="0.25">
      <c r="B1176" s="21" t="s">
        <v>0</v>
      </c>
      <c r="C1176" s="22" t="s">
        <v>1815</v>
      </c>
      <c r="D1176" s="22" t="s">
        <v>1380</v>
      </c>
      <c r="E1176" s="21" t="s">
        <v>2222</v>
      </c>
      <c r="F1176" s="23" t="s">
        <v>3</v>
      </c>
      <c r="G1176" s="23" t="s">
        <v>4</v>
      </c>
      <c r="H1176" s="21" t="str">
        <f t="shared" si="18"/>
        <v>I_BCN010/INFLOW</v>
      </c>
      <c r="I1176" s="24" t="s">
        <v>2292</v>
      </c>
      <c r="J1176" s="10" t="str">
        <f>VLOOKUP(Table1[[#This Row],[UID]],CS3SVComposerConfig!$B$3:$D$1808,3,FALSE)</f>
        <v>adj_SV_CS3LTO_0803_riminflow20231214.dss</v>
      </c>
      <c r="K1176" s="10" t="s">
        <v>2212</v>
      </c>
      <c r="L1176" s="10" t="s">
        <v>2212</v>
      </c>
      <c r="M1176" s="10" t="s">
        <v>2224</v>
      </c>
      <c r="N1176" s="10" t="s">
        <v>2258</v>
      </c>
      <c r="O1176" s="10" t="s">
        <v>2259</v>
      </c>
      <c r="P1176" s="39">
        <v>0.82452514625976003</v>
      </c>
    </row>
    <row r="1177" spans="2:16" ht="18" customHeight="1" x14ac:dyDescent="0.25">
      <c r="B1177" s="21" t="s">
        <v>0</v>
      </c>
      <c r="C1177" s="22" t="s">
        <v>1709</v>
      </c>
      <c r="D1177" s="22" t="s">
        <v>1380</v>
      </c>
      <c r="E1177" s="21" t="s">
        <v>2222</v>
      </c>
      <c r="F1177" s="23" t="s">
        <v>3</v>
      </c>
      <c r="G1177" s="23" t="s">
        <v>4</v>
      </c>
      <c r="H1177" s="21" t="str">
        <f t="shared" si="18"/>
        <v>I_BEARD/INFLOW</v>
      </c>
      <c r="I1177" s="24" t="s">
        <v>2292</v>
      </c>
      <c r="J1177" s="10" t="str">
        <f>VLOOKUP(Table1[[#This Row],[UID]],CS3SVComposerConfig!$B$3:$D$1808,3,FALSE)</f>
        <v>adj_SV_CS3LTO_0803_riminflow20231214.dss</v>
      </c>
      <c r="K1177" s="10" t="s">
        <v>2212</v>
      </c>
      <c r="L1177" s="10" t="s">
        <v>2212</v>
      </c>
      <c r="M1177" s="10" t="s">
        <v>2224</v>
      </c>
      <c r="N1177" s="10" t="s">
        <v>2258</v>
      </c>
      <c r="O1177" s="10" t="s">
        <v>2259</v>
      </c>
      <c r="P1177" s="39">
        <v>0.38483351174458802</v>
      </c>
    </row>
    <row r="1178" spans="2:16" ht="18" customHeight="1" x14ac:dyDescent="0.25">
      <c r="B1178" s="21" t="s">
        <v>0</v>
      </c>
      <c r="C1178" s="22" t="s">
        <v>1605</v>
      </c>
      <c r="D1178" s="22" t="s">
        <v>1380</v>
      </c>
      <c r="E1178" s="21" t="s">
        <v>2222</v>
      </c>
      <c r="F1178" s="23" t="s">
        <v>3</v>
      </c>
      <c r="G1178" s="23" t="s">
        <v>4</v>
      </c>
      <c r="H1178" s="21" t="str">
        <f t="shared" si="18"/>
        <v>I_BLKBT/INFLOW</v>
      </c>
      <c r="I1178" s="24" t="s">
        <v>2292</v>
      </c>
      <c r="J1178" s="10" t="str">
        <f>VLOOKUP(Table1[[#This Row],[UID]],CS3SVComposerConfig!$B$3:$D$1808,3,FALSE)</f>
        <v>adj_SV_CS3LTO_0803_riminflow20231214.dss</v>
      </c>
      <c r="K1178" s="10" t="s">
        <v>2212</v>
      </c>
      <c r="L1178" s="10" t="s">
        <v>2212</v>
      </c>
      <c r="M1178" s="10" t="s">
        <v>2224</v>
      </c>
      <c r="N1178" s="10" t="s">
        <v>2258</v>
      </c>
      <c r="O1178" s="10" t="s">
        <v>2259</v>
      </c>
      <c r="P1178" s="39">
        <v>0.88193441132380002</v>
      </c>
    </row>
    <row r="1179" spans="2:16" ht="18" customHeight="1" x14ac:dyDescent="0.25">
      <c r="B1179" s="21" t="s">
        <v>0</v>
      </c>
      <c r="C1179" s="22" t="s">
        <v>1627</v>
      </c>
      <c r="D1179" s="22" t="s">
        <v>1380</v>
      </c>
      <c r="E1179" s="21" t="s">
        <v>2222</v>
      </c>
      <c r="F1179" s="23" t="s">
        <v>3</v>
      </c>
      <c r="G1179" s="23" t="s">
        <v>4</v>
      </c>
      <c r="H1179" s="21" t="str">
        <f t="shared" si="18"/>
        <v>I_BOWMN/INFLOW</v>
      </c>
      <c r="I1179" s="24" t="s">
        <v>2292</v>
      </c>
      <c r="J1179" s="10" t="str">
        <f>VLOOKUP(Table1[[#This Row],[UID]],CS3SVComposerConfig!$B$3:$D$1808,3,FALSE)</f>
        <v>adj_SV_CS3LTO_0803_riminflow20231214.dss</v>
      </c>
      <c r="K1179" s="10" t="s">
        <v>2212</v>
      </c>
      <c r="L1179" s="10" t="s">
        <v>2212</v>
      </c>
      <c r="M1179" s="10" t="s">
        <v>2224</v>
      </c>
      <c r="N1179" s="10" t="s">
        <v>2258</v>
      </c>
      <c r="O1179" s="10" t="s">
        <v>2259</v>
      </c>
      <c r="P1179" s="39">
        <v>0.75084659010638399</v>
      </c>
    </row>
    <row r="1180" spans="2:16" ht="18" customHeight="1" x14ac:dyDescent="0.25">
      <c r="B1180" s="21" t="s">
        <v>0</v>
      </c>
      <c r="C1180" s="22" t="s">
        <v>1813</v>
      </c>
      <c r="D1180" s="22" t="s">
        <v>1380</v>
      </c>
      <c r="E1180" s="21" t="s">
        <v>2222</v>
      </c>
      <c r="F1180" s="23" t="s">
        <v>3</v>
      </c>
      <c r="G1180" s="23" t="s">
        <v>4</v>
      </c>
      <c r="H1180" s="21" t="str">
        <f t="shared" si="18"/>
        <v>I_BRC003/INFLOW</v>
      </c>
      <c r="I1180" s="24" t="s">
        <v>2292</v>
      </c>
      <c r="J1180" s="10" t="str">
        <f>VLOOKUP(Table1[[#This Row],[UID]],CS3SVComposerConfig!$B$3:$D$1808,3,FALSE)</f>
        <v>adj_SV_CS3LTO_0803_riminflow20231214.dss</v>
      </c>
      <c r="K1180" s="10" t="s">
        <v>2212</v>
      </c>
      <c r="L1180" s="10" t="s">
        <v>2212</v>
      </c>
      <c r="M1180" s="10" t="s">
        <v>2224</v>
      </c>
      <c r="N1180" s="10" t="s">
        <v>2258</v>
      </c>
      <c r="O1180" s="10" t="s">
        <v>2259</v>
      </c>
      <c r="P1180" s="39">
        <v>0.80271595695836695</v>
      </c>
    </row>
    <row r="1181" spans="2:16" ht="18" customHeight="1" x14ac:dyDescent="0.25">
      <c r="B1181" s="21" t="s">
        <v>0</v>
      </c>
      <c r="C1181" s="22" t="s">
        <v>1440</v>
      </c>
      <c r="D1181" s="22" t="s">
        <v>1380</v>
      </c>
      <c r="E1181" s="21" t="s">
        <v>2222</v>
      </c>
      <c r="F1181" s="23" t="s">
        <v>3</v>
      </c>
      <c r="G1181" s="23" t="s">
        <v>4</v>
      </c>
      <c r="H1181" s="21" t="str">
        <f t="shared" si="18"/>
        <v>I_BRR023/INFLOW</v>
      </c>
      <c r="I1181" s="24" t="s">
        <v>2292</v>
      </c>
      <c r="J1181" s="10" t="str">
        <f>VLOOKUP(Table1[[#This Row],[UID]],CS3SVComposerConfig!$B$3:$D$1808,3,FALSE)</f>
        <v>adj_SV_CS3LTO_0803_riminflow20231214.dss</v>
      </c>
      <c r="K1181" s="10" t="s">
        <v>2212</v>
      </c>
      <c r="L1181" s="10" t="s">
        <v>2212</v>
      </c>
      <c r="M1181" s="10" t="s">
        <v>2224</v>
      </c>
      <c r="N1181" s="10" t="s">
        <v>2258</v>
      </c>
      <c r="O1181" s="10" t="s">
        <v>2259</v>
      </c>
      <c r="P1181" s="39">
        <v>0.86294721255334095</v>
      </c>
    </row>
    <row r="1182" spans="2:16" ht="18" customHeight="1" x14ac:dyDescent="0.25">
      <c r="B1182" s="21" t="s">
        <v>0</v>
      </c>
      <c r="C1182" s="22" t="s">
        <v>1807</v>
      </c>
      <c r="D1182" s="22" t="s">
        <v>1380</v>
      </c>
      <c r="E1182" s="21" t="s">
        <v>2222</v>
      </c>
      <c r="F1182" s="23" t="s">
        <v>3</v>
      </c>
      <c r="G1182" s="23" t="s">
        <v>4</v>
      </c>
      <c r="H1182" s="21" t="str">
        <f t="shared" si="18"/>
        <v>I_BSH003/INFLOW</v>
      </c>
      <c r="I1182" s="24" t="s">
        <v>2292</v>
      </c>
      <c r="J1182" s="10" t="str">
        <f>VLOOKUP(Table1[[#This Row],[UID]],CS3SVComposerConfig!$B$3:$D$1808,3,FALSE)</f>
        <v>adj_SV_CS3LTO_0803_riminflow20231214.dss</v>
      </c>
      <c r="K1182" s="10" t="s">
        <v>2212</v>
      </c>
      <c r="L1182" s="10" t="s">
        <v>2212</v>
      </c>
      <c r="M1182" s="10" t="s">
        <v>2224</v>
      </c>
      <c r="N1182" s="10" t="s">
        <v>2258</v>
      </c>
      <c r="O1182" s="10" t="s">
        <v>2259</v>
      </c>
      <c r="P1182" s="39">
        <v>0.48103962072533701</v>
      </c>
    </row>
    <row r="1183" spans="2:16" ht="18" customHeight="1" x14ac:dyDescent="0.25">
      <c r="B1183" s="21" t="s">
        <v>0</v>
      </c>
      <c r="C1183" s="22" t="s">
        <v>1805</v>
      </c>
      <c r="D1183" s="22" t="s">
        <v>1380</v>
      </c>
      <c r="E1183" s="21" t="s">
        <v>2222</v>
      </c>
      <c r="F1183" s="23" t="s">
        <v>3</v>
      </c>
      <c r="G1183" s="23" t="s">
        <v>4</v>
      </c>
      <c r="H1183" s="21" t="str">
        <f t="shared" si="18"/>
        <v>I_BTC048/INFLOW</v>
      </c>
      <c r="I1183" s="24" t="s">
        <v>2292</v>
      </c>
      <c r="J1183" s="10" t="str">
        <f>VLOOKUP(Table1[[#This Row],[UID]],CS3SVComposerConfig!$B$3:$D$1808,3,FALSE)</f>
        <v>adj_SV_CS3LTO_0803_riminflow20231214.dss</v>
      </c>
      <c r="K1183" s="10" t="s">
        <v>2212</v>
      </c>
      <c r="L1183" s="10" t="s">
        <v>2212</v>
      </c>
      <c r="M1183" s="10" t="s">
        <v>2224</v>
      </c>
      <c r="N1183" s="10" t="s">
        <v>2258</v>
      </c>
      <c r="O1183" s="10" t="s">
        <v>2259</v>
      </c>
      <c r="P1183" s="39">
        <v>0.86505139410884702</v>
      </c>
    </row>
    <row r="1184" spans="2:16" ht="18" customHeight="1" x14ac:dyDescent="0.25">
      <c r="B1184" s="21" t="s">
        <v>0</v>
      </c>
      <c r="C1184" s="22" t="s">
        <v>1817</v>
      </c>
      <c r="D1184" s="22" t="s">
        <v>1380</v>
      </c>
      <c r="E1184" s="21" t="s">
        <v>2222</v>
      </c>
      <c r="F1184" s="23" t="s">
        <v>3</v>
      </c>
      <c r="G1184" s="23" t="s">
        <v>4</v>
      </c>
      <c r="H1184" s="21" t="str">
        <f t="shared" si="18"/>
        <v>I_BTL006/INFLOW</v>
      </c>
      <c r="I1184" s="24" t="s">
        <v>2292</v>
      </c>
      <c r="J1184" s="10" t="str">
        <f>VLOOKUP(Table1[[#This Row],[UID]],CS3SVComposerConfig!$B$3:$D$1808,3,FALSE)</f>
        <v>adj_SV_CS3LTO_0803_riminflow20231214.dss</v>
      </c>
      <c r="K1184" s="10" t="s">
        <v>2212</v>
      </c>
      <c r="L1184" s="10" t="s">
        <v>2212</v>
      </c>
      <c r="M1184" s="10" t="s">
        <v>2224</v>
      </c>
      <c r="N1184" s="10" t="s">
        <v>2258</v>
      </c>
      <c r="O1184" s="10" t="s">
        <v>2259</v>
      </c>
      <c r="P1184" s="39">
        <v>0.82856943319965703</v>
      </c>
    </row>
    <row r="1185" spans="2:16" ht="18" customHeight="1" x14ac:dyDescent="0.25">
      <c r="B1185" s="21" t="s">
        <v>0</v>
      </c>
      <c r="C1185" s="22" t="s">
        <v>1705</v>
      </c>
      <c r="D1185" s="22" t="s">
        <v>1380</v>
      </c>
      <c r="E1185" s="21" t="s">
        <v>2222</v>
      </c>
      <c r="F1185" s="23" t="s">
        <v>3</v>
      </c>
      <c r="G1185" s="23" t="s">
        <v>4</v>
      </c>
      <c r="H1185" s="21" t="str">
        <f t="shared" si="18"/>
        <v>I_BTVLY/INFLOW</v>
      </c>
      <c r="I1185" s="24" t="s">
        <v>2292</v>
      </c>
      <c r="J1185" s="10" t="str">
        <f>VLOOKUP(Table1[[#This Row],[UID]],CS3SVComposerConfig!$B$3:$D$1808,3,FALSE)</f>
        <v>adj_SV_CS3LTO_0803_riminflow20231214.dss</v>
      </c>
      <c r="K1185" s="10" t="s">
        <v>2212</v>
      </c>
      <c r="L1185" s="10" t="s">
        <v>2212</v>
      </c>
      <c r="M1185" s="10" t="s">
        <v>2224</v>
      </c>
      <c r="N1185" s="10" t="s">
        <v>2258</v>
      </c>
      <c r="O1185" s="10" t="s">
        <v>2259</v>
      </c>
      <c r="P1185" s="39">
        <v>0.62750079725449504</v>
      </c>
    </row>
    <row r="1186" spans="2:16" ht="18" customHeight="1" x14ac:dyDescent="0.25">
      <c r="B1186" s="21" t="s">
        <v>0</v>
      </c>
      <c r="C1186" s="22" t="s">
        <v>1707</v>
      </c>
      <c r="D1186" s="22" t="s">
        <v>1380</v>
      </c>
      <c r="E1186" s="21" t="s">
        <v>2222</v>
      </c>
      <c r="F1186" s="23" t="s">
        <v>3</v>
      </c>
      <c r="G1186" s="23" t="s">
        <v>4</v>
      </c>
      <c r="H1186" s="21" t="str">
        <f t="shared" si="18"/>
        <v>I_BUCKS/INFLOW</v>
      </c>
      <c r="I1186" s="24" t="s">
        <v>2292</v>
      </c>
      <c r="J1186" s="10" t="str">
        <f>VLOOKUP(Table1[[#This Row],[UID]],CS3SVComposerConfig!$B$3:$D$1808,3,FALSE)</f>
        <v>adj_SV_CS3LTO_0803_riminflow20231214.dss</v>
      </c>
      <c r="K1186" s="10" t="s">
        <v>2212</v>
      </c>
      <c r="L1186" s="10" t="s">
        <v>2212</v>
      </c>
      <c r="M1186" s="10" t="s">
        <v>2224</v>
      </c>
      <c r="N1186" s="10" t="s">
        <v>2258</v>
      </c>
      <c r="O1186" s="10" t="s">
        <v>2259</v>
      </c>
      <c r="P1186" s="39">
        <v>0.464344671377389</v>
      </c>
    </row>
    <row r="1187" spans="2:16" ht="18" customHeight="1" x14ac:dyDescent="0.25">
      <c r="B1187" s="21" t="s">
        <v>0</v>
      </c>
      <c r="C1187" s="22" t="s">
        <v>1734</v>
      </c>
      <c r="D1187" s="22" t="s">
        <v>1380</v>
      </c>
      <c r="E1187" s="21" t="s">
        <v>2222</v>
      </c>
      <c r="F1187" s="23" t="s">
        <v>3</v>
      </c>
      <c r="G1187" s="23" t="s">
        <v>4</v>
      </c>
      <c r="H1187" s="21" t="str">
        <f t="shared" si="18"/>
        <v>I_BUR005/INFLOW</v>
      </c>
      <c r="I1187" s="24" t="s">
        <v>2292</v>
      </c>
      <c r="J1187" s="10" t="str">
        <f>VLOOKUP(Table1[[#This Row],[UID]],CS3SVComposerConfig!$B$3:$D$1808,3,FALSE)</f>
        <v>adj_SV_CS3LTO_0803_riminflow20231214.dss</v>
      </c>
      <c r="K1187" s="10" t="s">
        <v>2212</v>
      </c>
      <c r="L1187" s="10" t="s">
        <v>2212</v>
      </c>
      <c r="M1187" s="10" t="s">
        <v>2224</v>
      </c>
      <c r="N1187" s="10" t="s">
        <v>2258</v>
      </c>
      <c r="O1187" s="10" t="s">
        <v>2259</v>
      </c>
      <c r="P1187" s="39">
        <v>0.58137603252127401</v>
      </c>
    </row>
    <row r="1188" spans="2:16" ht="18" customHeight="1" x14ac:dyDescent="0.25">
      <c r="B1188" s="21" t="s">
        <v>0</v>
      </c>
      <c r="C1188" s="22" t="s">
        <v>1811</v>
      </c>
      <c r="D1188" s="22" t="s">
        <v>1380</v>
      </c>
      <c r="E1188" s="21" t="s">
        <v>2222</v>
      </c>
      <c r="F1188" s="23" t="s">
        <v>3</v>
      </c>
      <c r="G1188" s="23" t="s">
        <v>4</v>
      </c>
      <c r="H1188" s="21" t="str">
        <f t="shared" si="18"/>
        <v>I_BVC007/INFLOW</v>
      </c>
      <c r="I1188" s="24" t="s">
        <v>2292</v>
      </c>
      <c r="J1188" s="10" t="str">
        <f>VLOOKUP(Table1[[#This Row],[UID]],CS3SVComposerConfig!$B$3:$D$1808,3,FALSE)</f>
        <v>adj_SV_CS3LTO_0803_riminflow20231214.dss</v>
      </c>
      <c r="K1188" s="10" t="s">
        <v>2212</v>
      </c>
      <c r="L1188" s="10" t="s">
        <v>2212</v>
      </c>
      <c r="M1188" s="10" t="s">
        <v>2224</v>
      </c>
      <c r="N1188" s="10" t="s">
        <v>2258</v>
      </c>
      <c r="O1188" s="10" t="s">
        <v>2259</v>
      </c>
      <c r="P1188" s="39">
        <v>0.75838833988231902</v>
      </c>
    </row>
    <row r="1189" spans="2:16" ht="18" customHeight="1" x14ac:dyDescent="0.25">
      <c r="B1189" s="21" t="s">
        <v>0</v>
      </c>
      <c r="C1189" s="22" t="s">
        <v>1795</v>
      </c>
      <c r="D1189" s="22" t="s">
        <v>1380</v>
      </c>
      <c r="E1189" s="21" t="s">
        <v>2222</v>
      </c>
      <c r="F1189" s="23" t="s">
        <v>3</v>
      </c>
      <c r="G1189" s="23" t="s">
        <v>4</v>
      </c>
      <c r="H1189" s="21" t="str">
        <f t="shared" si="18"/>
        <v>I_CAP000/INFLOW</v>
      </c>
      <c r="I1189" s="24" t="s">
        <v>2292</v>
      </c>
      <c r="J1189" s="10" t="str">
        <f>VLOOKUP(Table1[[#This Row],[UID]],CS3SVComposerConfig!$B$3:$D$1808,3,FALSE)</f>
        <v>adj_SV_CS3LTO_0803_riminflow20231214.dss</v>
      </c>
      <c r="K1189" s="10" t="s">
        <v>2212</v>
      </c>
      <c r="L1189" s="10" t="s">
        <v>2212</v>
      </c>
      <c r="M1189" s="10" t="s">
        <v>2224</v>
      </c>
      <c r="N1189" s="10" t="s">
        <v>2258</v>
      </c>
      <c r="O1189" s="10" t="s">
        <v>2259</v>
      </c>
      <c r="P1189" s="39">
        <v>0.47138851443845597</v>
      </c>
    </row>
    <row r="1190" spans="2:16" ht="18" customHeight="1" x14ac:dyDescent="0.25">
      <c r="B1190" s="21" t="s">
        <v>0</v>
      </c>
      <c r="C1190" s="22" t="s">
        <v>1703</v>
      </c>
      <c r="D1190" s="22" t="s">
        <v>1380</v>
      </c>
      <c r="E1190" s="21" t="s">
        <v>2222</v>
      </c>
      <c r="F1190" s="23" t="s">
        <v>3</v>
      </c>
      <c r="G1190" s="23" t="s">
        <v>4</v>
      </c>
      <c r="H1190" s="21" t="str">
        <f t="shared" si="18"/>
        <v>I_CAPLS/INFLOW</v>
      </c>
      <c r="I1190" s="24" t="s">
        <v>2292</v>
      </c>
      <c r="J1190" s="10" t="str">
        <f>VLOOKUP(Table1[[#This Row],[UID]],CS3SVComposerConfig!$B$3:$D$1808,3,FALSE)</f>
        <v>adj_SV_CS3LTO_0803_riminflow20231214.dss</v>
      </c>
      <c r="K1190" s="10" t="s">
        <v>2212</v>
      </c>
      <c r="L1190" s="10" t="s">
        <v>2212</v>
      </c>
      <c r="M1190" s="10" t="s">
        <v>2224</v>
      </c>
      <c r="N1190" s="10" t="s">
        <v>2258</v>
      </c>
      <c r="O1190" s="10" t="s">
        <v>2259</v>
      </c>
      <c r="P1190" s="39">
        <v>0.781515222267951</v>
      </c>
    </row>
    <row r="1191" spans="2:16" ht="18" customHeight="1" x14ac:dyDescent="0.25">
      <c r="B1191" s="21" t="s">
        <v>0</v>
      </c>
      <c r="C1191" s="22" t="s">
        <v>1803</v>
      </c>
      <c r="D1191" s="22" t="s">
        <v>1380</v>
      </c>
      <c r="E1191" s="21" t="s">
        <v>2222</v>
      </c>
      <c r="F1191" s="23" t="s">
        <v>3</v>
      </c>
      <c r="G1191" s="23" t="s">
        <v>4</v>
      </c>
      <c r="H1191" s="21" t="str">
        <f t="shared" si="18"/>
        <v>I_CCH053/INFLOW</v>
      </c>
      <c r="I1191" s="24" t="s">
        <v>2292</v>
      </c>
      <c r="J1191" s="10" t="str">
        <f>VLOOKUP(Table1[[#This Row],[UID]],CS3SVComposerConfig!$B$3:$D$1808,3,FALSE)</f>
        <v>adj_SV_CS3LTO_0803_riminflow20231214.dss</v>
      </c>
      <c r="K1191" s="10" t="s">
        <v>2212</v>
      </c>
      <c r="L1191" s="10" t="s">
        <v>2212</v>
      </c>
      <c r="M1191" s="10" t="s">
        <v>2224</v>
      </c>
      <c r="N1191" s="10" t="s">
        <v>2258</v>
      </c>
      <c r="O1191" s="10" t="s">
        <v>2259</v>
      </c>
      <c r="P1191" s="39">
        <v>0.84513255882206495</v>
      </c>
    </row>
    <row r="1192" spans="2:16" ht="18" customHeight="1" x14ac:dyDescent="0.25">
      <c r="B1192" s="21" t="s">
        <v>0</v>
      </c>
      <c r="C1192" s="22" t="s">
        <v>1793</v>
      </c>
      <c r="D1192" s="22" t="s">
        <v>1380</v>
      </c>
      <c r="E1192" s="21" t="s">
        <v>2222</v>
      </c>
      <c r="F1192" s="23" t="s">
        <v>3</v>
      </c>
      <c r="G1192" s="23" t="s">
        <v>4</v>
      </c>
      <c r="H1192" s="21" t="str">
        <f t="shared" si="18"/>
        <v>I_CFS001/INFLOW</v>
      </c>
      <c r="I1192" s="24" t="s">
        <v>2292</v>
      </c>
      <c r="J1192" s="10" t="str">
        <f>VLOOKUP(Table1[[#This Row],[UID]],CS3SVComposerConfig!$B$3:$D$1808,3,FALSE)</f>
        <v>adj_SV_CS3LTO_0803_riminflow20231214.dss</v>
      </c>
      <c r="K1192" s="10" t="s">
        <v>2212</v>
      </c>
      <c r="L1192" s="10" t="s">
        <v>2212</v>
      </c>
      <c r="M1192" s="10" t="s">
        <v>2224</v>
      </c>
      <c r="N1192" s="10" t="s">
        <v>2258</v>
      </c>
      <c r="O1192" s="10" t="s">
        <v>2259</v>
      </c>
      <c r="P1192" s="39">
        <v>0.87406612411427398</v>
      </c>
    </row>
    <row r="1193" spans="2:16" ht="18" customHeight="1" x14ac:dyDescent="0.25">
      <c r="B1193" s="21" t="s">
        <v>0</v>
      </c>
      <c r="C1193" s="22" t="s">
        <v>1645</v>
      </c>
      <c r="D1193" s="22" t="s">
        <v>1380</v>
      </c>
      <c r="E1193" s="21" t="s">
        <v>2222</v>
      </c>
      <c r="F1193" s="23" t="s">
        <v>3</v>
      </c>
      <c r="G1193" s="23" t="s">
        <v>4</v>
      </c>
      <c r="H1193" s="21" t="str">
        <f t="shared" si="18"/>
        <v>I_CHC000/INFLOW</v>
      </c>
      <c r="I1193" s="24" t="s">
        <v>2292</v>
      </c>
      <c r="J1193" s="10" t="str">
        <f>VLOOKUP(Table1[[#This Row],[UID]],CS3SVComposerConfig!$B$3:$D$1808,3,FALSE)</f>
        <v>adj_SV_CS3LTO_0803_riminflow20231214.dss</v>
      </c>
      <c r="K1193" s="10" t="s">
        <v>2212</v>
      </c>
      <c r="L1193" s="10" t="s">
        <v>2212</v>
      </c>
      <c r="M1193" s="10" t="s">
        <v>2224</v>
      </c>
      <c r="N1193" s="10" t="s">
        <v>2258</v>
      </c>
      <c r="O1193" s="10" t="s">
        <v>2259</v>
      </c>
      <c r="P1193" s="39">
        <v>0.64065278075130605</v>
      </c>
    </row>
    <row r="1194" spans="2:16" ht="18" customHeight="1" x14ac:dyDescent="0.25">
      <c r="B1194" s="21" t="s">
        <v>0</v>
      </c>
      <c r="C1194" s="22" t="s">
        <v>1595</v>
      </c>
      <c r="D1194" s="22" t="s">
        <v>1380</v>
      </c>
      <c r="E1194" s="21" t="s">
        <v>2222</v>
      </c>
      <c r="F1194" s="23" t="s">
        <v>3</v>
      </c>
      <c r="G1194" s="23" t="s">
        <v>4</v>
      </c>
      <c r="H1194" s="21" t="str">
        <f t="shared" si="18"/>
        <v>I_CHW031/INFLOW</v>
      </c>
      <c r="I1194" s="24" t="s">
        <v>2292</v>
      </c>
      <c r="J1194" s="10" t="str">
        <f>VLOOKUP(Table1[[#This Row],[UID]],CS3SVComposerConfig!$B$3:$D$1808,3,FALSE)</f>
        <v>adj_SV_CS3LTO_0803_riminflow20231214.dss</v>
      </c>
      <c r="K1194" s="10" t="s">
        <v>2212</v>
      </c>
      <c r="L1194" s="10" t="s">
        <v>2212</v>
      </c>
      <c r="M1194" s="10" t="s">
        <v>2224</v>
      </c>
      <c r="N1194" s="10" t="s">
        <v>2258</v>
      </c>
      <c r="O1194" s="10" t="s">
        <v>2259</v>
      </c>
      <c r="P1194" s="39">
        <v>0.600241754646611</v>
      </c>
    </row>
    <row r="1195" spans="2:16" ht="18" customHeight="1" x14ac:dyDescent="0.25">
      <c r="B1195" s="21" t="s">
        <v>0</v>
      </c>
      <c r="C1195" s="22" t="s">
        <v>1460</v>
      </c>
      <c r="D1195" s="22" t="s">
        <v>1380</v>
      </c>
      <c r="E1195" s="21" t="s">
        <v>2222</v>
      </c>
      <c r="F1195" s="23" t="s">
        <v>3</v>
      </c>
      <c r="G1195" s="23" t="s">
        <v>4</v>
      </c>
      <c r="H1195" s="21" t="str">
        <f t="shared" si="18"/>
        <v>I_CHY006/INFLOW</v>
      </c>
      <c r="I1195" s="24" t="s">
        <v>2292</v>
      </c>
      <c r="J1195" s="10" t="str">
        <f>VLOOKUP(Table1[[#This Row],[UID]],CS3SVComposerConfig!$B$3:$D$1808,3,FALSE)</f>
        <v>DCR2023_SV_Danube_Hist_v3.dss</v>
      </c>
      <c r="K1195" s="10" t="s">
        <v>2224</v>
      </c>
      <c r="L1195" s="10" t="s">
        <v>2212</v>
      </c>
      <c r="M1195" s="10" t="s">
        <v>2224</v>
      </c>
      <c r="N1195" s="10" t="s">
        <v>2227</v>
      </c>
      <c r="O1195" s="10" t="s">
        <v>2227</v>
      </c>
      <c r="P1195" s="39" t="s">
        <v>2227</v>
      </c>
    </row>
    <row r="1196" spans="2:16" ht="18" customHeight="1" x14ac:dyDescent="0.25">
      <c r="B1196" s="21" t="s">
        <v>0</v>
      </c>
      <c r="C1196" s="22" t="s">
        <v>1561</v>
      </c>
      <c r="D1196" s="22" t="s">
        <v>1380</v>
      </c>
      <c r="E1196" s="21" t="s">
        <v>2222</v>
      </c>
      <c r="F1196" s="23" t="s">
        <v>3</v>
      </c>
      <c r="G1196" s="23" t="s">
        <v>4</v>
      </c>
      <c r="H1196" s="21" t="str">
        <f t="shared" si="18"/>
        <v>I_CLR011/INFLOW</v>
      </c>
      <c r="I1196" s="24" t="s">
        <v>2292</v>
      </c>
      <c r="J1196" s="10" t="str">
        <f>VLOOKUP(Table1[[#This Row],[UID]],CS3SVComposerConfig!$B$3:$D$1808,3,FALSE)</f>
        <v>adj_SV_CS3LTO_0803_riminflow20231214.dss</v>
      </c>
      <c r="K1196" s="10" t="s">
        <v>2212</v>
      </c>
      <c r="L1196" s="10" t="s">
        <v>2212</v>
      </c>
      <c r="M1196" s="10" t="s">
        <v>2224</v>
      </c>
      <c r="N1196" s="10" t="s">
        <v>2258</v>
      </c>
      <c r="O1196" s="10" t="s">
        <v>2259</v>
      </c>
      <c r="P1196" s="39">
        <v>0.80216836685589299</v>
      </c>
    </row>
    <row r="1197" spans="2:16" ht="18" customHeight="1" x14ac:dyDescent="0.25">
      <c r="B1197" s="21" t="s">
        <v>0</v>
      </c>
      <c r="C1197" s="22" t="s">
        <v>1701</v>
      </c>
      <c r="D1197" s="22" t="s">
        <v>1380</v>
      </c>
      <c r="E1197" s="21" t="s">
        <v>2222</v>
      </c>
      <c r="F1197" s="23" t="s">
        <v>3</v>
      </c>
      <c r="G1197" s="23" t="s">
        <v>4</v>
      </c>
      <c r="H1197" s="21" t="str">
        <f t="shared" si="18"/>
        <v>I_CLRLK/INFLOW</v>
      </c>
      <c r="I1197" s="24" t="s">
        <v>2292</v>
      </c>
      <c r="J1197" s="10" t="str">
        <f>VLOOKUP(Table1[[#This Row],[UID]],CS3SVComposerConfig!$B$3:$D$1808,3,FALSE)</f>
        <v>adj_SV_CS3LTO_0803_riminflow20231214.dss</v>
      </c>
      <c r="K1197" s="10" t="s">
        <v>2212</v>
      </c>
      <c r="L1197" s="10" t="s">
        <v>2212</v>
      </c>
      <c r="M1197" s="10" t="s">
        <v>2224</v>
      </c>
      <c r="N1197" s="10" t="s">
        <v>2258</v>
      </c>
      <c r="O1197" s="10" t="s">
        <v>2259</v>
      </c>
      <c r="P1197" s="39">
        <v>0.83157838429235098</v>
      </c>
    </row>
    <row r="1198" spans="2:16" ht="18" customHeight="1" x14ac:dyDescent="0.25">
      <c r="B1198" s="21" t="s">
        <v>0</v>
      </c>
      <c r="C1198" s="22" t="s">
        <v>1603</v>
      </c>
      <c r="D1198" s="22" t="s">
        <v>1380</v>
      </c>
      <c r="E1198" s="21" t="s">
        <v>2222</v>
      </c>
      <c r="F1198" s="23" t="s">
        <v>3</v>
      </c>
      <c r="G1198" s="23" t="s">
        <v>4</v>
      </c>
      <c r="H1198" s="21" t="str">
        <f t="shared" si="18"/>
        <v>I_CLV026/INFLOW</v>
      </c>
      <c r="I1198" s="24" t="s">
        <v>2292</v>
      </c>
      <c r="J1198" s="10" t="str">
        <f>VLOOKUP(Table1[[#This Row],[UID]],CS3SVComposerConfig!$B$3:$D$1808,3,FALSE)</f>
        <v>adj_SV_CS3LTO_0803_riminflow20231214.dss</v>
      </c>
      <c r="K1198" s="10" t="s">
        <v>2212</v>
      </c>
      <c r="L1198" s="10" t="s">
        <v>2212</v>
      </c>
      <c r="M1198" s="10" t="s">
        <v>2224</v>
      </c>
      <c r="N1198" s="10" t="s">
        <v>2258</v>
      </c>
      <c r="O1198" s="10" t="s">
        <v>2259</v>
      </c>
      <c r="P1198" s="39">
        <v>0.57191386504243102</v>
      </c>
    </row>
    <row r="1199" spans="2:16" ht="18" customHeight="1" x14ac:dyDescent="0.25">
      <c r="B1199" s="21" t="s">
        <v>0</v>
      </c>
      <c r="C1199" s="22" t="s">
        <v>1585</v>
      </c>
      <c r="D1199" s="22" t="s">
        <v>1380</v>
      </c>
      <c r="E1199" s="21" t="s">
        <v>2222</v>
      </c>
      <c r="F1199" s="23" t="s">
        <v>3</v>
      </c>
      <c r="G1199" s="23" t="s">
        <v>4</v>
      </c>
      <c r="H1199" s="21" t="str">
        <f t="shared" si="18"/>
        <v>I_CMBIE/INFLOW</v>
      </c>
      <c r="I1199" s="24" t="s">
        <v>2292</v>
      </c>
      <c r="J1199" s="10" t="str">
        <f>VLOOKUP(Table1[[#This Row],[UID]],CS3SVComposerConfig!$B$3:$D$1808,3,FALSE)</f>
        <v>adj_SV_CS3LTO_0803_riminflow20231214.dss</v>
      </c>
      <c r="K1199" s="10" t="s">
        <v>2212</v>
      </c>
      <c r="L1199" s="10" t="s">
        <v>2212</v>
      </c>
      <c r="M1199" s="10" t="s">
        <v>2224</v>
      </c>
      <c r="N1199" s="10" t="s">
        <v>2258</v>
      </c>
      <c r="O1199" s="10" t="s">
        <v>2259</v>
      </c>
      <c r="P1199" s="39">
        <v>0.87990708258719497</v>
      </c>
    </row>
    <row r="1200" spans="2:16" ht="18" customHeight="1" x14ac:dyDescent="0.25">
      <c r="B1200" s="21" t="s">
        <v>0</v>
      </c>
      <c r="C1200" s="22" t="s">
        <v>1601</v>
      </c>
      <c r="D1200" s="22" t="s">
        <v>1380</v>
      </c>
      <c r="E1200" s="21" t="s">
        <v>2222</v>
      </c>
      <c r="F1200" s="23" t="s">
        <v>3</v>
      </c>
      <c r="G1200" s="23" t="s">
        <v>4</v>
      </c>
      <c r="H1200" s="21" t="str">
        <f t="shared" si="18"/>
        <v>I_CMCHE/INFLOW</v>
      </c>
      <c r="I1200" s="24" t="s">
        <v>2292</v>
      </c>
      <c r="J1200" s="10" t="str">
        <f>VLOOKUP(Table1[[#This Row],[UID]],CS3SVComposerConfig!$B$3:$D$1808,3,FALSE)</f>
        <v>adj_SV_CS3LTO_0803_riminflow20231214.dss</v>
      </c>
      <c r="K1200" s="10" t="s">
        <v>2212</v>
      </c>
      <c r="L1200" s="10" t="s">
        <v>2212</v>
      </c>
      <c r="M1200" s="10" t="s">
        <v>2224</v>
      </c>
      <c r="N1200" s="10" t="s">
        <v>2258</v>
      </c>
      <c r="O1200" s="10" t="s">
        <v>2259</v>
      </c>
      <c r="P1200" s="39">
        <v>0.64150334229092698</v>
      </c>
    </row>
    <row r="1201" spans="2:16" ht="18" customHeight="1" x14ac:dyDescent="0.25">
      <c r="B1201" s="21" t="s">
        <v>0</v>
      </c>
      <c r="C1201" s="22" t="s">
        <v>1799</v>
      </c>
      <c r="D1201" s="22" t="s">
        <v>1380</v>
      </c>
      <c r="E1201" s="21" t="s">
        <v>2222</v>
      </c>
      <c r="F1201" s="23" t="s">
        <v>3</v>
      </c>
      <c r="G1201" s="23" t="s">
        <v>4</v>
      </c>
      <c r="H1201" s="21" t="str">
        <f t="shared" si="18"/>
        <v>I_CMP001/INFLOW</v>
      </c>
      <c r="I1201" s="24" t="s">
        <v>2292</v>
      </c>
      <c r="J1201" s="10" t="str">
        <f>VLOOKUP(Table1[[#This Row],[UID]],CS3SVComposerConfig!$B$3:$D$1808,3,FALSE)</f>
        <v>adj_SV_CS3LTO_0803_riminflow20231214.dss</v>
      </c>
      <c r="K1201" s="10" t="s">
        <v>2212</v>
      </c>
      <c r="L1201" s="10" t="s">
        <v>2212</v>
      </c>
      <c r="M1201" s="10" t="s">
        <v>2224</v>
      </c>
      <c r="N1201" s="10" t="s">
        <v>2258</v>
      </c>
      <c r="O1201" s="10" t="s">
        <v>2259</v>
      </c>
      <c r="P1201" s="39">
        <v>0.63160789727335998</v>
      </c>
    </row>
    <row r="1202" spans="2:16" ht="18" customHeight="1" x14ac:dyDescent="0.25">
      <c r="B1202" s="21" t="s">
        <v>0</v>
      </c>
      <c r="C1202" s="22" t="s">
        <v>1801</v>
      </c>
      <c r="D1202" s="22" t="s">
        <v>1380</v>
      </c>
      <c r="E1202" s="21" t="s">
        <v>2222</v>
      </c>
      <c r="F1202" s="23" t="s">
        <v>3</v>
      </c>
      <c r="G1202" s="23" t="s">
        <v>4</v>
      </c>
      <c r="H1202" s="21" t="str">
        <f t="shared" si="18"/>
        <v>I_CMP014/INFLOW</v>
      </c>
      <c r="I1202" s="24" t="s">
        <v>2292</v>
      </c>
      <c r="J1202" s="10" t="str">
        <f>VLOOKUP(Table1[[#This Row],[UID]],CS3SVComposerConfig!$B$3:$D$1808,3,FALSE)</f>
        <v>adj_SV_CS3LTO_0803_riminflow20231214.dss</v>
      </c>
      <c r="K1202" s="10" t="s">
        <v>2212</v>
      </c>
      <c r="L1202" s="10" t="s">
        <v>2212</v>
      </c>
      <c r="M1202" s="10" t="s">
        <v>2224</v>
      </c>
      <c r="N1202" s="10" t="s">
        <v>2258</v>
      </c>
      <c r="O1202" s="10" t="s">
        <v>2259</v>
      </c>
      <c r="P1202" s="39">
        <v>0.52761492469720195</v>
      </c>
    </row>
    <row r="1203" spans="2:16" ht="18" customHeight="1" x14ac:dyDescent="0.25">
      <c r="B1203" s="21" t="s">
        <v>0</v>
      </c>
      <c r="C1203" s="22" t="s">
        <v>1597</v>
      </c>
      <c r="D1203" s="22" t="s">
        <v>1380</v>
      </c>
      <c r="E1203" s="21" t="s">
        <v>2222</v>
      </c>
      <c r="F1203" s="23" t="s">
        <v>3</v>
      </c>
      <c r="G1203" s="23" t="s">
        <v>4</v>
      </c>
      <c r="H1203" s="21" t="str">
        <f t="shared" si="18"/>
        <v>I_CMPFW/INFLOW</v>
      </c>
      <c r="I1203" s="24" t="s">
        <v>2292</v>
      </c>
      <c r="J1203" s="10" t="str">
        <f>VLOOKUP(Table1[[#This Row],[UID]],CS3SVComposerConfig!$B$3:$D$1808,3,FALSE)</f>
        <v>adj_SV_CS3LTO_0803_riminflow20231214.dss</v>
      </c>
      <c r="K1203" s="10" t="s">
        <v>2212</v>
      </c>
      <c r="L1203" s="10" t="s">
        <v>2212</v>
      </c>
      <c r="M1203" s="10" t="s">
        <v>2224</v>
      </c>
      <c r="N1203" s="10" t="s">
        <v>2258</v>
      </c>
      <c r="O1203" s="10" t="s">
        <v>2259</v>
      </c>
      <c r="P1203" s="39">
        <v>0.65273706172136903</v>
      </c>
    </row>
    <row r="1204" spans="2:16" ht="18" customHeight="1" x14ac:dyDescent="0.25">
      <c r="B1204" s="21" t="s">
        <v>0</v>
      </c>
      <c r="C1204" s="22" t="s">
        <v>1785</v>
      </c>
      <c r="D1204" s="22" t="s">
        <v>1380</v>
      </c>
      <c r="E1204" s="21" t="s">
        <v>2222</v>
      </c>
      <c r="F1204" s="23" t="s">
        <v>3</v>
      </c>
      <c r="G1204" s="23" t="s">
        <v>4</v>
      </c>
      <c r="H1204" s="21" t="str">
        <f t="shared" si="18"/>
        <v>I_COL003/INFLOW</v>
      </c>
      <c r="I1204" s="24" t="s">
        <v>2292</v>
      </c>
      <c r="J1204" s="10" t="str">
        <f>VLOOKUP(Table1[[#This Row],[UID]],CS3SVComposerConfig!$B$3:$D$1808,3,FALSE)</f>
        <v>adj_SV_CS3LTO_0803_riminflow20231214.dss</v>
      </c>
      <c r="K1204" s="10" t="s">
        <v>2212</v>
      </c>
      <c r="L1204" s="10" t="s">
        <v>2212</v>
      </c>
      <c r="M1204" s="10" t="s">
        <v>2224</v>
      </c>
      <c r="N1204" s="10" t="s">
        <v>2258</v>
      </c>
      <c r="O1204" s="10" t="s">
        <v>2259</v>
      </c>
      <c r="P1204" s="39">
        <v>0.68490601618740699</v>
      </c>
    </row>
    <row r="1205" spans="2:16" ht="18" customHeight="1" x14ac:dyDescent="0.25">
      <c r="B1205" s="21" t="s">
        <v>0</v>
      </c>
      <c r="C1205" s="22" t="s">
        <v>1732</v>
      </c>
      <c r="D1205" s="22" t="s">
        <v>1380</v>
      </c>
      <c r="E1205" s="21" t="s">
        <v>2222</v>
      </c>
      <c r="F1205" s="23" t="s">
        <v>3</v>
      </c>
      <c r="G1205" s="23" t="s">
        <v>4</v>
      </c>
      <c r="H1205" s="21" t="str">
        <f t="shared" si="18"/>
        <v>I_COT033/INFLOW</v>
      </c>
      <c r="I1205" s="24" t="s">
        <v>2292</v>
      </c>
      <c r="J1205" s="10" t="str">
        <f>VLOOKUP(Table1[[#This Row],[UID]],CS3SVComposerConfig!$B$3:$D$1808,3,FALSE)</f>
        <v>adj_SV_CS3LTO_0803_riminflow20231214.dss</v>
      </c>
      <c r="K1205" s="10" t="s">
        <v>2212</v>
      </c>
      <c r="L1205" s="10" t="s">
        <v>2212</v>
      </c>
      <c r="M1205" s="10" t="s">
        <v>2224</v>
      </c>
      <c r="N1205" s="10" t="s">
        <v>2258</v>
      </c>
      <c r="O1205" s="10" t="s">
        <v>2259</v>
      </c>
      <c r="P1205" s="39">
        <v>0.72459477402994599</v>
      </c>
    </row>
    <row r="1206" spans="2:16" ht="18" customHeight="1" x14ac:dyDescent="0.25">
      <c r="B1206" s="21" t="s">
        <v>0</v>
      </c>
      <c r="C1206" s="22" t="s">
        <v>1781</v>
      </c>
      <c r="D1206" s="22" t="s">
        <v>1380</v>
      </c>
      <c r="E1206" s="21" t="s">
        <v>2222</v>
      </c>
      <c r="F1206" s="23" t="s">
        <v>3</v>
      </c>
      <c r="G1206" s="23" t="s">
        <v>4</v>
      </c>
      <c r="H1206" s="21" t="str">
        <f t="shared" si="18"/>
        <v>I_COW014/INFLOW</v>
      </c>
      <c r="I1206" s="24" t="s">
        <v>2292</v>
      </c>
      <c r="J1206" s="10" t="str">
        <f>VLOOKUP(Table1[[#This Row],[UID]],CS3SVComposerConfig!$B$3:$D$1808,3,FALSE)</f>
        <v>adj_SV_CS3LTO_0803_riminflow20231214.dss</v>
      </c>
      <c r="K1206" s="10" t="s">
        <v>2212</v>
      </c>
      <c r="L1206" s="10" t="s">
        <v>2212</v>
      </c>
      <c r="M1206" s="10" t="s">
        <v>2224</v>
      </c>
      <c r="N1206" s="10" t="s">
        <v>2258</v>
      </c>
      <c r="O1206" s="10" t="s">
        <v>2259</v>
      </c>
      <c r="P1206" s="39">
        <v>0.81614447547028801</v>
      </c>
    </row>
    <row r="1207" spans="2:16" ht="18" customHeight="1" x14ac:dyDescent="0.25">
      <c r="B1207" s="21" t="s">
        <v>0</v>
      </c>
      <c r="C1207" s="22" t="s">
        <v>1755</v>
      </c>
      <c r="D1207" s="22" t="s">
        <v>1380</v>
      </c>
      <c r="E1207" s="21" t="s">
        <v>2222</v>
      </c>
      <c r="F1207" s="23" t="s">
        <v>3</v>
      </c>
      <c r="G1207" s="23" t="s">
        <v>4</v>
      </c>
      <c r="H1207" s="21" t="str">
        <f t="shared" si="18"/>
        <v>I_CSM035/INFLOW</v>
      </c>
      <c r="I1207" s="24" t="s">
        <v>2292</v>
      </c>
      <c r="J1207" s="10" t="str">
        <f>VLOOKUP(Table1[[#This Row],[UID]],CS3SVComposerConfig!$B$3:$D$1808,3,FALSE)</f>
        <v>adj_SV_CS3LTO_0803_riminflow20231214.dss</v>
      </c>
      <c r="K1207" s="10" t="s">
        <v>2212</v>
      </c>
      <c r="L1207" s="10" t="s">
        <v>2212</v>
      </c>
      <c r="M1207" s="10" t="s">
        <v>2224</v>
      </c>
      <c r="N1207" s="10" t="s">
        <v>2258</v>
      </c>
      <c r="O1207" s="10" t="s">
        <v>2259</v>
      </c>
      <c r="P1207" s="39">
        <v>0.89807146045744402</v>
      </c>
    </row>
    <row r="1208" spans="2:16" ht="18" customHeight="1" x14ac:dyDescent="0.25">
      <c r="B1208" s="21" t="s">
        <v>0</v>
      </c>
      <c r="C1208" s="22" t="s">
        <v>1458</v>
      </c>
      <c r="D1208" s="22" t="s">
        <v>1380</v>
      </c>
      <c r="E1208" s="21" t="s">
        <v>2222</v>
      </c>
      <c r="F1208" s="23" t="s">
        <v>3</v>
      </c>
      <c r="G1208" s="23" t="s">
        <v>4</v>
      </c>
      <c r="H1208" s="21" t="str">
        <f t="shared" si="18"/>
        <v>I_CVY009/INFLOW</v>
      </c>
      <c r="I1208" s="24" t="s">
        <v>2292</v>
      </c>
      <c r="J1208" s="10" t="str">
        <f>VLOOKUP(Table1[[#This Row],[UID]],CS3SVComposerConfig!$B$3:$D$1808,3,FALSE)</f>
        <v>DCR2023_SV_Danube_Hist_v3.dss</v>
      </c>
      <c r="K1208" s="10" t="s">
        <v>2224</v>
      </c>
      <c r="L1208" s="10" t="s">
        <v>2212</v>
      </c>
      <c r="M1208" s="10" t="s">
        <v>2224</v>
      </c>
      <c r="N1208" s="10" t="s">
        <v>2227</v>
      </c>
      <c r="O1208" s="10" t="s">
        <v>2227</v>
      </c>
      <c r="P1208" s="39" t="s">
        <v>2227</v>
      </c>
    </row>
    <row r="1209" spans="2:16" ht="18" customHeight="1" x14ac:dyDescent="0.25">
      <c r="B1209" s="21" t="s">
        <v>0</v>
      </c>
      <c r="C1209" s="22" t="s">
        <v>1783</v>
      </c>
      <c r="D1209" s="22" t="s">
        <v>1380</v>
      </c>
      <c r="E1209" s="21" t="s">
        <v>2222</v>
      </c>
      <c r="F1209" s="23" t="s">
        <v>3</v>
      </c>
      <c r="G1209" s="23" t="s">
        <v>4</v>
      </c>
      <c r="H1209" s="21" t="str">
        <f t="shared" si="18"/>
        <v>I_CWD018/INFLOW</v>
      </c>
      <c r="I1209" s="24" t="s">
        <v>2292</v>
      </c>
      <c r="J1209" s="10" t="str">
        <f>VLOOKUP(Table1[[#This Row],[UID]],CS3SVComposerConfig!$B$3:$D$1808,3,FALSE)</f>
        <v>adj_SV_CS3LTO_0803_riminflow20231214.dss</v>
      </c>
      <c r="K1209" s="10" t="s">
        <v>2212</v>
      </c>
      <c r="L1209" s="10" t="s">
        <v>2212</v>
      </c>
      <c r="M1209" s="10" t="s">
        <v>2224</v>
      </c>
      <c r="N1209" s="10" t="s">
        <v>2258</v>
      </c>
      <c r="O1209" s="10" t="s">
        <v>2259</v>
      </c>
      <c r="P1209" s="39">
        <v>0.89364705017932</v>
      </c>
    </row>
    <row r="1210" spans="2:16" ht="18" customHeight="1" x14ac:dyDescent="0.25">
      <c r="B1210" s="21" t="s">
        <v>0</v>
      </c>
      <c r="C1210" s="22" t="s">
        <v>1797</v>
      </c>
      <c r="D1210" s="22" t="s">
        <v>1380</v>
      </c>
      <c r="E1210" s="21" t="s">
        <v>2222</v>
      </c>
      <c r="F1210" s="23" t="s">
        <v>3</v>
      </c>
      <c r="G1210" s="23" t="s">
        <v>4</v>
      </c>
      <c r="H1210" s="21" t="str">
        <f t="shared" si="18"/>
        <v>I_CYN009/INFLOW</v>
      </c>
      <c r="I1210" s="24" t="s">
        <v>2292</v>
      </c>
      <c r="J1210" s="10" t="str">
        <f>VLOOKUP(Table1[[#This Row],[UID]],CS3SVComposerConfig!$B$3:$D$1808,3,FALSE)</f>
        <v>adj_SV_CS3LTO_0803_riminflow20231214.dss</v>
      </c>
      <c r="K1210" s="10" t="s">
        <v>2212</v>
      </c>
      <c r="L1210" s="10" t="s">
        <v>2212</v>
      </c>
      <c r="M1210" s="10" t="s">
        <v>2224</v>
      </c>
      <c r="N1210" s="10" t="s">
        <v>2258</v>
      </c>
      <c r="O1210" s="10" t="s">
        <v>2259</v>
      </c>
      <c r="P1210" s="39">
        <v>0.62693916097160196</v>
      </c>
    </row>
    <row r="1211" spans="2:16" ht="18" customHeight="1" x14ac:dyDescent="0.25">
      <c r="B1211" s="21" t="s">
        <v>0</v>
      </c>
      <c r="C1211" s="22" t="s">
        <v>1593</v>
      </c>
      <c r="D1211" s="22" t="s">
        <v>1380</v>
      </c>
      <c r="E1211" s="21" t="s">
        <v>2222</v>
      </c>
      <c r="F1211" s="23" t="s">
        <v>3</v>
      </c>
      <c r="G1211" s="23" t="s">
        <v>4</v>
      </c>
      <c r="H1211" s="21" t="str">
        <f t="shared" si="18"/>
        <v>I_DAVIS/INFLOW</v>
      </c>
      <c r="I1211" s="24" t="s">
        <v>2292</v>
      </c>
      <c r="J1211" s="10" t="str">
        <f>VLOOKUP(Table1[[#This Row],[UID]],CS3SVComposerConfig!$B$3:$D$1808,3,FALSE)</f>
        <v>adj_SV_CS3LTO_0803_riminflow20231214.dss</v>
      </c>
      <c r="K1211" s="10" t="s">
        <v>2212</v>
      </c>
      <c r="L1211" s="10" t="s">
        <v>2212</v>
      </c>
      <c r="M1211" s="10" t="s">
        <v>2224</v>
      </c>
      <c r="N1211" s="10" t="s">
        <v>2258</v>
      </c>
      <c r="O1211" s="10" t="s">
        <v>2259</v>
      </c>
      <c r="P1211" s="39">
        <v>0.70602474042695496</v>
      </c>
    </row>
    <row r="1212" spans="2:16" ht="18" customHeight="1" x14ac:dyDescent="0.25">
      <c r="B1212" s="21" t="s">
        <v>0</v>
      </c>
      <c r="C1212" s="22" t="s">
        <v>1736</v>
      </c>
      <c r="D1212" s="22" t="s">
        <v>1380</v>
      </c>
      <c r="E1212" s="21" t="s">
        <v>2222</v>
      </c>
      <c r="F1212" s="23" t="s">
        <v>3</v>
      </c>
      <c r="G1212" s="23" t="s">
        <v>4</v>
      </c>
      <c r="H1212" s="21" t="str">
        <f t="shared" si="18"/>
        <v>I_DBC024/INFLOW</v>
      </c>
      <c r="I1212" s="24" t="s">
        <v>2292</v>
      </c>
      <c r="J1212" s="10" t="str">
        <f>VLOOKUP(Table1[[#This Row],[UID]],CS3SVComposerConfig!$B$3:$D$1808,3,FALSE)</f>
        <v>adj_SV_CS3LTO_0803_riminflow20231214.dss</v>
      </c>
      <c r="K1212" s="10" t="s">
        <v>2212</v>
      </c>
      <c r="L1212" s="10" t="s">
        <v>2212</v>
      </c>
      <c r="M1212" s="10" t="s">
        <v>2224</v>
      </c>
      <c r="N1212" s="10" t="s">
        <v>2258</v>
      </c>
      <c r="O1212" s="10" t="s">
        <v>2259</v>
      </c>
      <c r="P1212" s="39">
        <v>0.63487475466761301</v>
      </c>
    </row>
    <row r="1213" spans="2:16" ht="18" customHeight="1" x14ac:dyDescent="0.25">
      <c r="B1213" s="21" t="s">
        <v>0</v>
      </c>
      <c r="C1213" s="22" t="s">
        <v>1768</v>
      </c>
      <c r="D1213" s="22" t="s">
        <v>1380</v>
      </c>
      <c r="E1213" s="21" t="s">
        <v>2222</v>
      </c>
      <c r="F1213" s="23" t="s">
        <v>3</v>
      </c>
      <c r="G1213" s="23" t="s">
        <v>4</v>
      </c>
      <c r="H1213" s="21" t="str">
        <f t="shared" si="18"/>
        <v>I_DCC010/INFLOW</v>
      </c>
      <c r="I1213" s="24" t="s">
        <v>2292</v>
      </c>
      <c r="J1213" s="10" t="str">
        <f>VLOOKUP(Table1[[#This Row],[UID]],CS3SVComposerConfig!$B$3:$D$1808,3,FALSE)</f>
        <v>adj_SV_CS3LTO_0803_riminflow20231214.dss</v>
      </c>
      <c r="K1213" s="10" t="s">
        <v>2212</v>
      </c>
      <c r="L1213" s="10" t="s">
        <v>2212</v>
      </c>
      <c r="M1213" s="10" t="s">
        <v>2224</v>
      </c>
      <c r="N1213" s="10" t="s">
        <v>2258</v>
      </c>
      <c r="O1213" s="10" t="s">
        <v>2259</v>
      </c>
      <c r="P1213" s="39">
        <v>0.37608166683329802</v>
      </c>
    </row>
    <row r="1214" spans="2:16" ht="18" customHeight="1" x14ac:dyDescent="0.25">
      <c r="B1214" s="21" t="s">
        <v>0</v>
      </c>
      <c r="C1214" s="22" t="s">
        <v>1770</v>
      </c>
      <c r="D1214" s="22" t="s">
        <v>1380</v>
      </c>
      <c r="E1214" s="21" t="s">
        <v>2222</v>
      </c>
      <c r="F1214" s="23" t="s">
        <v>3</v>
      </c>
      <c r="G1214" s="23" t="s">
        <v>4</v>
      </c>
      <c r="H1214" s="21" t="str">
        <f t="shared" si="18"/>
        <v>I_DCM027/INFLOW</v>
      </c>
      <c r="I1214" s="24" t="s">
        <v>2292</v>
      </c>
      <c r="J1214" s="10" t="str">
        <f>VLOOKUP(Table1[[#This Row],[UID]],CS3SVComposerConfig!$B$3:$D$1808,3,FALSE)</f>
        <v>adj_SV_CS3LTO_0803_riminflow20231214.dss</v>
      </c>
      <c r="K1214" s="10" t="s">
        <v>2212</v>
      </c>
      <c r="L1214" s="10" t="s">
        <v>2212</v>
      </c>
      <c r="M1214" s="10" t="s">
        <v>2224</v>
      </c>
      <c r="N1214" s="10" t="s">
        <v>2258</v>
      </c>
      <c r="O1214" s="10" t="s">
        <v>2259</v>
      </c>
      <c r="P1214" s="39">
        <v>0.40019779006613998</v>
      </c>
    </row>
    <row r="1215" spans="2:16" ht="18" customHeight="1" x14ac:dyDescent="0.25">
      <c r="B1215" s="21" t="s">
        <v>0</v>
      </c>
      <c r="C1215" s="22" t="s">
        <v>1772</v>
      </c>
      <c r="D1215" s="22" t="s">
        <v>1380</v>
      </c>
      <c r="E1215" s="21" t="s">
        <v>2222</v>
      </c>
      <c r="F1215" s="23" t="s">
        <v>3</v>
      </c>
      <c r="G1215" s="23" t="s">
        <v>4</v>
      </c>
      <c r="H1215" s="21" t="str">
        <f t="shared" si="18"/>
        <v>I_DCT050/INFLOW</v>
      </c>
      <c r="I1215" s="24" t="s">
        <v>2292</v>
      </c>
      <c r="J1215" s="10" t="str">
        <f>VLOOKUP(Table1[[#This Row],[UID]],CS3SVComposerConfig!$B$3:$D$1808,3,FALSE)</f>
        <v>adj_SV_CS3LTO_0803_riminflow20231214.dss</v>
      </c>
      <c r="K1215" s="10" t="s">
        <v>2212</v>
      </c>
      <c r="L1215" s="10" t="s">
        <v>2212</v>
      </c>
      <c r="M1215" s="10" t="s">
        <v>2224</v>
      </c>
      <c r="N1215" s="10" t="s">
        <v>2258</v>
      </c>
      <c r="O1215" s="10" t="s">
        <v>2259</v>
      </c>
      <c r="P1215" s="39">
        <v>0.71019868593104896</v>
      </c>
    </row>
    <row r="1216" spans="2:16" ht="18" customHeight="1" x14ac:dyDescent="0.25">
      <c r="B1216" s="21" t="s">
        <v>0</v>
      </c>
      <c r="C1216" s="22" t="s">
        <v>1730</v>
      </c>
      <c r="D1216" s="22" t="s">
        <v>1380</v>
      </c>
      <c r="E1216" s="21" t="s">
        <v>2222</v>
      </c>
      <c r="F1216" s="23" t="s">
        <v>3</v>
      </c>
      <c r="G1216" s="23" t="s">
        <v>4</v>
      </c>
      <c r="H1216" s="21" t="str">
        <f t="shared" si="18"/>
        <v>I_DED044/INFLOW</v>
      </c>
      <c r="I1216" s="24" t="s">
        <v>2292</v>
      </c>
      <c r="J1216" s="10" t="str">
        <f>VLOOKUP(Table1[[#This Row],[UID]],CS3SVComposerConfig!$B$3:$D$1808,3,FALSE)</f>
        <v>adj_SV_CS3LTO_0803_riminflow20231214.dss</v>
      </c>
      <c r="K1216" s="10" t="s">
        <v>2212</v>
      </c>
      <c r="L1216" s="10" t="s">
        <v>2212</v>
      </c>
      <c r="M1216" s="10" t="s">
        <v>2224</v>
      </c>
      <c r="N1216" s="10" t="s">
        <v>2258</v>
      </c>
      <c r="O1216" s="10" t="s">
        <v>2259</v>
      </c>
      <c r="P1216" s="39">
        <v>0.60290121629874704</v>
      </c>
    </row>
    <row r="1217" spans="2:16" ht="18" customHeight="1" x14ac:dyDescent="0.25">
      <c r="B1217" s="21" t="s">
        <v>0</v>
      </c>
      <c r="C1217" s="22" t="s">
        <v>1778</v>
      </c>
      <c r="D1217" s="22" t="s">
        <v>1380</v>
      </c>
      <c r="E1217" s="21" t="s">
        <v>2222</v>
      </c>
      <c r="F1217" s="23" t="s">
        <v>3</v>
      </c>
      <c r="G1217" s="23" t="s">
        <v>4</v>
      </c>
      <c r="H1217" s="21" t="str">
        <f t="shared" si="18"/>
        <v>I_DEE023/INFLOW</v>
      </c>
      <c r="I1217" s="24" t="s">
        <v>2292</v>
      </c>
      <c r="J1217" s="10" t="str">
        <f>VLOOKUP(Table1[[#This Row],[UID]],CS3SVComposerConfig!$B$3:$D$1808,3,FALSE)</f>
        <v>adj_SV_CS3LTO_0803_riminflow20231214.dss</v>
      </c>
      <c r="K1217" s="10" t="s">
        <v>2212</v>
      </c>
      <c r="L1217" s="10" t="s">
        <v>2212</v>
      </c>
      <c r="M1217" s="10" t="s">
        <v>2224</v>
      </c>
      <c r="N1217" s="10" t="s">
        <v>2258</v>
      </c>
      <c r="O1217" s="10" t="s">
        <v>2259</v>
      </c>
      <c r="P1217" s="39">
        <v>0.60047517623373603</v>
      </c>
    </row>
    <row r="1218" spans="2:16" ht="18" customHeight="1" x14ac:dyDescent="0.25">
      <c r="B1218" s="21" t="s">
        <v>0</v>
      </c>
      <c r="C1218" s="22" t="s">
        <v>1557</v>
      </c>
      <c r="D1218" s="22" t="s">
        <v>1380</v>
      </c>
      <c r="E1218" s="21" t="s">
        <v>2222</v>
      </c>
      <c r="F1218" s="23" t="s">
        <v>3</v>
      </c>
      <c r="G1218" s="23" t="s">
        <v>4</v>
      </c>
      <c r="H1218" s="21" t="str">
        <f t="shared" si="18"/>
        <v>I_DER001/INFLOW</v>
      </c>
      <c r="I1218" s="24" t="s">
        <v>2292</v>
      </c>
      <c r="J1218" s="10" t="str">
        <f>VLOOKUP(Table1[[#This Row],[UID]],CS3SVComposerConfig!$B$3:$D$1808,3,FALSE)</f>
        <v>adj_SV_CS3LTO_0803_riminflow20231214.dss</v>
      </c>
      <c r="K1218" s="10" t="s">
        <v>2212</v>
      </c>
      <c r="L1218" s="10" t="s">
        <v>2212</v>
      </c>
      <c r="M1218" s="10" t="s">
        <v>2224</v>
      </c>
      <c r="N1218" s="10" t="s">
        <v>2258</v>
      </c>
      <c r="O1218" s="10" t="s">
        <v>2259</v>
      </c>
      <c r="P1218" s="39">
        <v>0.85118846187388997</v>
      </c>
    </row>
    <row r="1219" spans="2:16" ht="18" customHeight="1" x14ac:dyDescent="0.25">
      <c r="B1219" s="21" t="s">
        <v>0</v>
      </c>
      <c r="C1219" s="22" t="s">
        <v>1559</v>
      </c>
      <c r="D1219" s="22" t="s">
        <v>1380</v>
      </c>
      <c r="E1219" s="21" t="s">
        <v>2222</v>
      </c>
      <c r="F1219" s="23" t="s">
        <v>3</v>
      </c>
      <c r="G1219" s="23" t="s">
        <v>4</v>
      </c>
      <c r="H1219" s="21" t="str">
        <f t="shared" ref="H1219:H1282" si="19">_xlfn.CONCAT(C1219,"/",D1219)</f>
        <v>I_DER004/INFLOW</v>
      </c>
      <c r="I1219" s="24" t="s">
        <v>2292</v>
      </c>
      <c r="J1219" s="10" t="str">
        <f>VLOOKUP(Table1[[#This Row],[UID]],CS3SVComposerConfig!$B$3:$D$1808,3,FALSE)</f>
        <v>adj_SV_CS3LTO_0803_riminflow20231214.dss</v>
      </c>
      <c r="K1219" s="10" t="s">
        <v>2212</v>
      </c>
      <c r="L1219" s="10" t="s">
        <v>2212</v>
      </c>
      <c r="M1219" s="10" t="s">
        <v>2224</v>
      </c>
      <c r="N1219" s="10" t="s">
        <v>2258</v>
      </c>
      <c r="O1219" s="10" t="s">
        <v>2259</v>
      </c>
      <c r="P1219" s="39">
        <v>0.88450542437792501</v>
      </c>
    </row>
    <row r="1220" spans="2:16" ht="18" customHeight="1" x14ac:dyDescent="0.25">
      <c r="B1220" s="21" t="s">
        <v>0</v>
      </c>
      <c r="C1220" s="22" t="s">
        <v>1774</v>
      </c>
      <c r="D1220" s="22" t="s">
        <v>1380</v>
      </c>
      <c r="E1220" s="21" t="s">
        <v>2222</v>
      </c>
      <c r="F1220" s="23" t="s">
        <v>3</v>
      </c>
      <c r="G1220" s="23" t="s">
        <v>4</v>
      </c>
      <c r="H1220" s="21" t="str">
        <f t="shared" si="19"/>
        <v>I_DHC021/INFLOW</v>
      </c>
      <c r="I1220" s="24" t="s">
        <v>2292</v>
      </c>
      <c r="J1220" s="10" t="str">
        <f>VLOOKUP(Table1[[#This Row],[UID]],CS3SVComposerConfig!$B$3:$D$1808,3,FALSE)</f>
        <v>adj_SV_CS3LTO_0803_riminflow20231214.dss</v>
      </c>
      <c r="K1220" s="10" t="s">
        <v>2212</v>
      </c>
      <c r="L1220" s="10" t="s">
        <v>2212</v>
      </c>
      <c r="M1220" s="10" t="s">
        <v>2224</v>
      </c>
      <c r="N1220" s="10" t="s">
        <v>2258</v>
      </c>
      <c r="O1220" s="10" t="s">
        <v>2259</v>
      </c>
      <c r="P1220" s="39">
        <v>0.78923668368602895</v>
      </c>
    </row>
    <row r="1221" spans="2:16" ht="18" customHeight="1" x14ac:dyDescent="0.25">
      <c r="B1221" s="21" t="s">
        <v>0</v>
      </c>
      <c r="C1221" s="22" t="s">
        <v>1697</v>
      </c>
      <c r="D1221" s="22" t="s">
        <v>1380</v>
      </c>
      <c r="E1221" s="21" t="s">
        <v>2222</v>
      </c>
      <c r="F1221" s="23" t="s">
        <v>3</v>
      </c>
      <c r="G1221" s="23" t="s">
        <v>4</v>
      </c>
      <c r="H1221" s="21" t="str">
        <f t="shared" si="19"/>
        <v>I_DONLL/INFLOW</v>
      </c>
      <c r="I1221" s="24" t="s">
        <v>2292</v>
      </c>
      <c r="J1221" s="10" t="str">
        <f>VLOOKUP(Table1[[#This Row],[UID]],CS3SVComposerConfig!$B$3:$D$1808,3,FALSE)</f>
        <v>adj_SV_CS3LTO_0803_riminflow20231214.dss</v>
      </c>
      <c r="K1221" s="10" t="s">
        <v>2212</v>
      </c>
      <c r="L1221" s="10" t="s">
        <v>2212</v>
      </c>
      <c r="M1221" s="10" t="s">
        <v>2224</v>
      </c>
      <c r="N1221" s="10" t="s">
        <v>2258</v>
      </c>
      <c r="O1221" s="10" t="s">
        <v>2259</v>
      </c>
      <c r="P1221" s="39">
        <v>0.85606506568898599</v>
      </c>
    </row>
    <row r="1222" spans="2:16" ht="18" customHeight="1" x14ac:dyDescent="0.25">
      <c r="B1222" s="21" t="s">
        <v>0</v>
      </c>
      <c r="C1222" s="22" t="s">
        <v>1776</v>
      </c>
      <c r="D1222" s="22" t="s">
        <v>1380</v>
      </c>
      <c r="E1222" s="21" t="s">
        <v>2222</v>
      </c>
      <c r="F1222" s="23" t="s">
        <v>3</v>
      </c>
      <c r="G1222" s="23" t="s">
        <v>4</v>
      </c>
      <c r="H1222" s="21" t="str">
        <f t="shared" si="19"/>
        <v>I_DPC008/INFLOW</v>
      </c>
      <c r="I1222" s="24" t="s">
        <v>2292</v>
      </c>
      <c r="J1222" s="10" t="str">
        <f>VLOOKUP(Table1[[#This Row],[UID]],CS3SVComposerConfig!$B$3:$D$1808,3,FALSE)</f>
        <v>adj_SV_CS3LTO_0803_riminflow20231214.dss</v>
      </c>
      <c r="K1222" s="10" t="s">
        <v>2212</v>
      </c>
      <c r="L1222" s="10" t="s">
        <v>2212</v>
      </c>
      <c r="M1222" s="10" t="s">
        <v>2224</v>
      </c>
      <c r="N1222" s="10" t="s">
        <v>2258</v>
      </c>
      <c r="O1222" s="10" t="s">
        <v>2259</v>
      </c>
      <c r="P1222" s="39">
        <v>0.67604167912955204</v>
      </c>
    </row>
    <row r="1223" spans="2:16" ht="18" customHeight="1" x14ac:dyDescent="0.25">
      <c r="B1223" s="21" t="s">
        <v>0</v>
      </c>
      <c r="C1223" s="22" t="s">
        <v>1780</v>
      </c>
      <c r="D1223" s="22" t="s">
        <v>1380</v>
      </c>
      <c r="E1223" s="21" t="s">
        <v>2222</v>
      </c>
      <c r="F1223" s="23" t="s">
        <v>3</v>
      </c>
      <c r="G1223" s="23" t="s">
        <v>4</v>
      </c>
      <c r="H1223" s="21" t="str">
        <f t="shared" si="19"/>
        <v>I_DRC012/INFLOW</v>
      </c>
      <c r="I1223" s="24" t="s">
        <v>2292</v>
      </c>
      <c r="J1223" s="10" t="str">
        <f>VLOOKUP(Table1[[#This Row],[UID]],CS3SVComposerConfig!$B$3:$D$1808,3,FALSE)</f>
        <v>adj_SV_CS3LTO_0803_riminflow20231214.dss</v>
      </c>
      <c r="K1223" s="10" t="s">
        <v>2212</v>
      </c>
      <c r="L1223" s="10" t="s">
        <v>2212</v>
      </c>
      <c r="M1223" s="10" t="s">
        <v>2224</v>
      </c>
      <c r="N1223" s="10" t="s">
        <v>2258</v>
      </c>
      <c r="O1223" s="10" t="s">
        <v>2259</v>
      </c>
      <c r="P1223" s="39">
        <v>0.86308622991379003</v>
      </c>
    </row>
    <row r="1224" spans="2:16" ht="18" customHeight="1" x14ac:dyDescent="0.25">
      <c r="B1224" s="21" t="s">
        <v>0</v>
      </c>
      <c r="C1224" s="22" t="s">
        <v>1757</v>
      </c>
      <c r="D1224" s="22" t="s">
        <v>1380</v>
      </c>
      <c r="E1224" s="21" t="s">
        <v>2222</v>
      </c>
      <c r="F1224" s="23" t="s">
        <v>3</v>
      </c>
      <c r="G1224" s="23" t="s">
        <v>4</v>
      </c>
      <c r="H1224" s="21" t="str">
        <f t="shared" si="19"/>
        <v>I_DSC035/INFLOW</v>
      </c>
      <c r="I1224" s="24" t="s">
        <v>2292</v>
      </c>
      <c r="J1224" s="10" t="str">
        <f>VLOOKUP(Table1[[#This Row],[UID]],CS3SVComposerConfig!$B$3:$D$1808,3,FALSE)</f>
        <v>adj_SV_CS3LTO_0803_riminflow20231214.dss</v>
      </c>
      <c r="K1224" s="10" t="s">
        <v>2212</v>
      </c>
      <c r="L1224" s="10" t="s">
        <v>2212</v>
      </c>
      <c r="M1224" s="10" t="s">
        <v>2224</v>
      </c>
      <c r="N1224" s="10" t="s">
        <v>2258</v>
      </c>
      <c r="O1224" s="10" t="s">
        <v>2259</v>
      </c>
      <c r="P1224" s="39">
        <v>0.87952753931844596</v>
      </c>
    </row>
    <row r="1225" spans="2:16" ht="18" customHeight="1" x14ac:dyDescent="0.25">
      <c r="B1225" s="21" t="s">
        <v>0</v>
      </c>
      <c r="C1225" s="22" t="s">
        <v>1720</v>
      </c>
      <c r="D1225" s="22" t="s">
        <v>1380</v>
      </c>
      <c r="E1225" s="21" t="s">
        <v>2222</v>
      </c>
      <c r="F1225" s="23" t="s">
        <v>3</v>
      </c>
      <c r="G1225" s="23" t="s">
        <v>4</v>
      </c>
      <c r="H1225" s="21" t="str">
        <f t="shared" si="19"/>
        <v>I_EBF001/INFLOW</v>
      </c>
      <c r="I1225" s="24" t="s">
        <v>2292</v>
      </c>
      <c r="J1225" s="10" t="str">
        <f>VLOOKUP(Table1[[#This Row],[UID]],CS3SVComposerConfig!$B$3:$D$1808,3,FALSE)</f>
        <v>adj_SV_CS3LTO_0803_riminflow20231214.dss</v>
      </c>
      <c r="K1225" s="10" t="s">
        <v>2212</v>
      </c>
      <c r="L1225" s="10" t="s">
        <v>2212</v>
      </c>
      <c r="M1225" s="10" t="s">
        <v>2224</v>
      </c>
      <c r="N1225" s="10" t="s">
        <v>2258</v>
      </c>
      <c r="O1225" s="10" t="s">
        <v>2259</v>
      </c>
      <c r="P1225" s="39">
        <v>0.80175902105070695</v>
      </c>
    </row>
    <row r="1226" spans="2:16" ht="18" customHeight="1" x14ac:dyDescent="0.25">
      <c r="B1226" s="21" t="s">
        <v>0</v>
      </c>
      <c r="C1226" s="22" t="s">
        <v>1766</v>
      </c>
      <c r="D1226" s="22" t="s">
        <v>1380</v>
      </c>
      <c r="E1226" s="21" t="s">
        <v>2222</v>
      </c>
      <c r="F1226" s="23" t="s">
        <v>3</v>
      </c>
      <c r="G1226" s="23" t="s">
        <v>4</v>
      </c>
      <c r="H1226" s="21" t="str">
        <f t="shared" si="19"/>
        <v>I_EBTML/INFLOW</v>
      </c>
      <c r="I1226" s="24" t="s">
        <v>2292</v>
      </c>
      <c r="J1226" s="10" t="str">
        <f>VLOOKUP(Table1[[#This Row],[UID]],CS3SVComposerConfig!$B$3:$D$1808,3,FALSE)</f>
        <v>DCR2023_SV_Danube_Hist_v3.dss</v>
      </c>
      <c r="K1226" s="10" t="s">
        <v>2212</v>
      </c>
      <c r="L1226" s="10" t="s">
        <v>2212</v>
      </c>
      <c r="M1226" s="10" t="s">
        <v>2224</v>
      </c>
      <c r="N1226" s="10" t="s">
        <v>2258</v>
      </c>
      <c r="O1226" s="10" t="s">
        <v>2259</v>
      </c>
      <c r="P1226" s="39">
        <v>0.75331738934484904</v>
      </c>
    </row>
    <row r="1227" spans="2:16" ht="18" customHeight="1" x14ac:dyDescent="0.25">
      <c r="B1227" s="21" t="s">
        <v>0</v>
      </c>
      <c r="C1227" s="22" t="s">
        <v>1693</v>
      </c>
      <c r="D1227" s="22" t="s">
        <v>1380</v>
      </c>
      <c r="E1227" s="21" t="s">
        <v>2222</v>
      </c>
      <c r="F1227" s="23" t="s">
        <v>3</v>
      </c>
      <c r="G1227" s="23" t="s">
        <v>4</v>
      </c>
      <c r="H1227" s="21" t="str">
        <f t="shared" si="19"/>
        <v>I_ECHOL/INFLOW</v>
      </c>
      <c r="I1227" s="24" t="s">
        <v>2292</v>
      </c>
      <c r="J1227" s="10" t="str">
        <f>VLOOKUP(Table1[[#This Row],[UID]],CS3SVComposerConfig!$B$3:$D$1808,3,FALSE)</f>
        <v>adj_SV_CS3LTO_0803_riminflow20231214.dss</v>
      </c>
      <c r="K1227" s="10" t="s">
        <v>2212</v>
      </c>
      <c r="L1227" s="10" t="s">
        <v>2212</v>
      </c>
      <c r="M1227" s="10" t="s">
        <v>2224</v>
      </c>
      <c r="N1227" s="10" t="s">
        <v>2258</v>
      </c>
      <c r="O1227" s="10" t="s">
        <v>2259</v>
      </c>
      <c r="P1227" s="39">
        <v>0.50217854862845301</v>
      </c>
    </row>
    <row r="1228" spans="2:16" ht="18" customHeight="1" x14ac:dyDescent="0.25">
      <c r="B1228" s="21" t="s">
        <v>0</v>
      </c>
      <c r="C1228" s="22" t="s">
        <v>1764</v>
      </c>
      <c r="D1228" s="22" t="s">
        <v>1380</v>
      </c>
      <c r="E1228" s="21" t="s">
        <v>2222</v>
      </c>
      <c r="F1228" s="23" t="s">
        <v>3</v>
      </c>
      <c r="G1228" s="23" t="s">
        <v>4</v>
      </c>
      <c r="H1228" s="21" t="str">
        <f t="shared" si="19"/>
        <v>I_ELD027/INFLOW</v>
      </c>
      <c r="I1228" s="24" t="s">
        <v>2292</v>
      </c>
      <c r="J1228" s="10" t="str">
        <f>VLOOKUP(Table1[[#This Row],[UID]],CS3SVComposerConfig!$B$3:$D$1808,3,FALSE)</f>
        <v>adj_SV_CS3LTO_0803_riminflow20231214.dss</v>
      </c>
      <c r="K1228" s="10" t="s">
        <v>2212</v>
      </c>
      <c r="L1228" s="10" t="s">
        <v>2212</v>
      </c>
      <c r="M1228" s="10" t="s">
        <v>2224</v>
      </c>
      <c r="N1228" s="10" t="s">
        <v>2258</v>
      </c>
      <c r="O1228" s="10" t="s">
        <v>2259</v>
      </c>
      <c r="P1228" s="39">
        <v>0.82540642650715901</v>
      </c>
    </row>
    <row r="1229" spans="2:16" ht="18" customHeight="1" x14ac:dyDescent="0.25">
      <c r="B1229" s="21" t="s">
        <v>0</v>
      </c>
      <c r="C1229" s="22" t="s">
        <v>1667</v>
      </c>
      <c r="D1229" s="22" t="s">
        <v>1380</v>
      </c>
      <c r="E1229" s="21" t="s">
        <v>2222</v>
      </c>
      <c r="F1229" s="23" t="s">
        <v>3</v>
      </c>
      <c r="G1229" s="23" t="s">
        <v>4</v>
      </c>
      <c r="H1229" s="21" t="str">
        <f t="shared" si="19"/>
        <v>I_ELENR/INFLOW</v>
      </c>
      <c r="I1229" s="24" t="s">
        <v>2292</v>
      </c>
      <c r="J1229" s="10" t="str">
        <f>VLOOKUP(Table1[[#This Row],[UID]],CS3SVComposerConfig!$B$3:$D$1808,3,FALSE)</f>
        <v>adj_SV_CS3LTO_0803_riminflow20231214.dss</v>
      </c>
      <c r="K1229" s="10" t="s">
        <v>2212</v>
      </c>
      <c r="L1229" s="10" t="s">
        <v>2212</v>
      </c>
      <c r="M1229" s="10" t="s">
        <v>2224</v>
      </c>
      <c r="N1229" s="10" t="s">
        <v>2258</v>
      </c>
      <c r="O1229" s="10" t="s">
        <v>2259</v>
      </c>
      <c r="P1229" s="39">
        <v>0.81083518408779598</v>
      </c>
    </row>
    <row r="1230" spans="2:16" ht="18" customHeight="1" x14ac:dyDescent="0.25">
      <c r="B1230" s="21" t="s">
        <v>0</v>
      </c>
      <c r="C1230" s="22" t="s">
        <v>1591</v>
      </c>
      <c r="D1230" s="22" t="s">
        <v>1380</v>
      </c>
      <c r="E1230" s="21" t="s">
        <v>2222</v>
      </c>
      <c r="F1230" s="23" t="s">
        <v>3</v>
      </c>
      <c r="G1230" s="23" t="s">
        <v>4</v>
      </c>
      <c r="H1230" s="21" t="str">
        <f t="shared" si="19"/>
        <v>I_ENGLB/INFLOW</v>
      </c>
      <c r="I1230" s="24" t="s">
        <v>2292</v>
      </c>
      <c r="J1230" s="10" t="str">
        <f>VLOOKUP(Table1[[#This Row],[UID]],CS3SVComposerConfig!$B$3:$D$1808,3,FALSE)</f>
        <v>adj_SV_CS3LTO_0803_riminflow20231214.dss</v>
      </c>
      <c r="K1230" s="10" t="s">
        <v>2212</v>
      </c>
      <c r="L1230" s="10" t="s">
        <v>2212</v>
      </c>
      <c r="M1230" s="10" t="s">
        <v>2224</v>
      </c>
      <c r="N1230" s="10" t="s">
        <v>2258</v>
      </c>
      <c r="O1230" s="10" t="s">
        <v>2259</v>
      </c>
      <c r="P1230" s="39">
        <v>0.56952674663208203</v>
      </c>
    </row>
    <row r="1231" spans="2:16" ht="18" customHeight="1" x14ac:dyDescent="0.25">
      <c r="B1231" s="21" t="s">
        <v>0</v>
      </c>
      <c r="C1231" s="22" t="s">
        <v>1695</v>
      </c>
      <c r="D1231" s="22" t="s">
        <v>1380</v>
      </c>
      <c r="E1231" s="21" t="s">
        <v>2222</v>
      </c>
      <c r="F1231" s="23" t="s">
        <v>3</v>
      </c>
      <c r="G1231" s="23" t="s">
        <v>4</v>
      </c>
      <c r="H1231" s="21" t="str">
        <f t="shared" si="19"/>
        <v>I_EPARK/INFLOW</v>
      </c>
      <c r="I1231" s="24" t="s">
        <v>2292</v>
      </c>
      <c r="J1231" s="10" t="str">
        <f>VLOOKUP(Table1[[#This Row],[UID]],CS3SVComposerConfig!$B$3:$D$1808,3,FALSE)</f>
        <v>adj_SV_CS3LTO_0803_riminflow20231214.dss</v>
      </c>
      <c r="K1231" s="10" t="s">
        <v>2212</v>
      </c>
      <c r="L1231" s="10" t="s">
        <v>2212</v>
      </c>
      <c r="M1231" s="10" t="s">
        <v>2224</v>
      </c>
      <c r="N1231" s="10" t="s">
        <v>2258</v>
      </c>
      <c r="O1231" s="10" t="s">
        <v>2259</v>
      </c>
      <c r="P1231" s="39">
        <v>0.77440124101226204</v>
      </c>
    </row>
    <row r="1232" spans="2:16" ht="18" customHeight="1" x14ac:dyDescent="0.25">
      <c r="B1232" s="21" t="s">
        <v>0</v>
      </c>
      <c r="C1232" s="22" t="s">
        <v>1669</v>
      </c>
      <c r="D1232" s="22" t="s">
        <v>1380</v>
      </c>
      <c r="E1232" s="21" t="s">
        <v>2222</v>
      </c>
      <c r="F1232" s="23" t="s">
        <v>3</v>
      </c>
      <c r="G1232" s="23" t="s">
        <v>4</v>
      </c>
      <c r="H1232" s="21" t="str">
        <f t="shared" si="19"/>
        <v>I_ESTMN/INFLOW</v>
      </c>
      <c r="I1232" s="24" t="s">
        <v>2292</v>
      </c>
      <c r="J1232" s="10" t="str">
        <f>VLOOKUP(Table1[[#This Row],[UID]],CS3SVComposerConfig!$B$3:$D$1808,3,FALSE)</f>
        <v>adj_SV_CS3LTO_0803_riminflow20231214.dss</v>
      </c>
      <c r="K1232" s="10" t="s">
        <v>2212</v>
      </c>
      <c r="L1232" s="10" t="s">
        <v>2212</v>
      </c>
      <c r="M1232" s="10" t="s">
        <v>2224</v>
      </c>
      <c r="N1232" s="10" t="s">
        <v>2258</v>
      </c>
      <c r="O1232" s="10" t="s">
        <v>2259</v>
      </c>
      <c r="P1232" s="39">
        <v>0.89040713231137103</v>
      </c>
    </row>
    <row r="1233" spans="2:16" ht="18" customHeight="1" x14ac:dyDescent="0.25">
      <c r="B1233" s="21" t="s">
        <v>0</v>
      </c>
      <c r="C1233" s="22" t="s">
        <v>1589</v>
      </c>
      <c r="D1233" s="22" t="s">
        <v>1380</v>
      </c>
      <c r="E1233" s="21" t="s">
        <v>2222</v>
      </c>
      <c r="F1233" s="23" t="s">
        <v>3</v>
      </c>
      <c r="G1233" s="23" t="s">
        <v>4</v>
      </c>
      <c r="H1233" s="21" t="str">
        <f t="shared" si="19"/>
        <v>I_FOLSM/INFLOW</v>
      </c>
      <c r="I1233" s="24" t="s">
        <v>2292</v>
      </c>
      <c r="J1233" s="10" t="str">
        <f>VLOOKUP(Table1[[#This Row],[UID]],CS3SVComposerConfig!$B$3:$D$1808,3,FALSE)</f>
        <v>adj_SV_CS3LTO_0803_riminflow20231214.dss</v>
      </c>
      <c r="K1233" s="10" t="s">
        <v>2212</v>
      </c>
      <c r="L1233" s="10" t="s">
        <v>2212</v>
      </c>
      <c r="M1233" s="10" t="s">
        <v>2224</v>
      </c>
      <c r="N1233" s="10" t="s">
        <v>2258</v>
      </c>
      <c r="O1233" s="10" t="s">
        <v>2259</v>
      </c>
      <c r="P1233" s="39">
        <v>0.50130987529220306</v>
      </c>
    </row>
    <row r="1234" spans="2:16" ht="18" customHeight="1" x14ac:dyDescent="0.25">
      <c r="B1234" s="21" t="s">
        <v>0</v>
      </c>
      <c r="C1234" s="22" t="s">
        <v>1753</v>
      </c>
      <c r="D1234" s="22" t="s">
        <v>1380</v>
      </c>
      <c r="E1234" s="21" t="s">
        <v>2222</v>
      </c>
      <c r="F1234" s="23" t="s">
        <v>3</v>
      </c>
      <c r="G1234" s="23" t="s">
        <v>4</v>
      </c>
      <c r="H1234" s="21" t="str">
        <f t="shared" si="19"/>
        <v>I_FRDYC/INFLOW</v>
      </c>
      <c r="I1234" s="24" t="s">
        <v>2292</v>
      </c>
      <c r="J1234" s="10" t="str">
        <f>VLOOKUP(Table1[[#This Row],[UID]],CS3SVComposerConfig!$B$3:$D$1808,3,FALSE)</f>
        <v>adj_SV_CS3LTO_0803_riminflow20231214.dss</v>
      </c>
      <c r="K1234" s="10" t="s">
        <v>2212</v>
      </c>
      <c r="L1234" s="10" t="s">
        <v>2212</v>
      </c>
      <c r="M1234" s="10" t="s">
        <v>2224</v>
      </c>
      <c r="N1234" s="10" t="s">
        <v>2258</v>
      </c>
      <c r="O1234" s="10" t="s">
        <v>2259</v>
      </c>
      <c r="P1234" s="39">
        <v>0.82231433669778198</v>
      </c>
    </row>
    <row r="1235" spans="2:16" ht="18" customHeight="1" x14ac:dyDescent="0.25">
      <c r="B1235" s="21" t="s">
        <v>0</v>
      </c>
      <c r="C1235" s="22" t="s">
        <v>1689</v>
      </c>
      <c r="D1235" s="22" t="s">
        <v>1380</v>
      </c>
      <c r="E1235" s="21" t="s">
        <v>2222</v>
      </c>
      <c r="F1235" s="23" t="s">
        <v>3</v>
      </c>
      <c r="G1235" s="23" t="s">
        <v>4</v>
      </c>
      <c r="H1235" s="21" t="str">
        <f t="shared" si="19"/>
        <v>I_FRMAN/INFLOW</v>
      </c>
      <c r="I1235" s="24" t="s">
        <v>2292</v>
      </c>
      <c r="J1235" s="10" t="str">
        <f>VLOOKUP(Table1[[#This Row],[UID]],CS3SVComposerConfig!$B$3:$D$1808,3,FALSE)</f>
        <v>adj_SV_CS3LTO_0803_riminflow20231214.dss</v>
      </c>
      <c r="K1235" s="10" t="s">
        <v>2212</v>
      </c>
      <c r="L1235" s="10" t="s">
        <v>2212</v>
      </c>
      <c r="M1235" s="10" t="s">
        <v>2224</v>
      </c>
      <c r="N1235" s="10" t="s">
        <v>2258</v>
      </c>
      <c r="O1235" s="10" t="s">
        <v>2259</v>
      </c>
      <c r="P1235" s="39">
        <v>0.46612607088243802</v>
      </c>
    </row>
    <row r="1236" spans="2:16" ht="18" customHeight="1" x14ac:dyDescent="0.25">
      <c r="B1236" s="21" t="s">
        <v>0</v>
      </c>
      <c r="C1236" s="22" t="s">
        <v>1509</v>
      </c>
      <c r="D1236" s="22" t="s">
        <v>1380</v>
      </c>
      <c r="E1236" s="21" t="s">
        <v>2222</v>
      </c>
      <c r="F1236" s="23" t="s">
        <v>3</v>
      </c>
      <c r="G1236" s="23" t="s">
        <v>4</v>
      </c>
      <c r="H1236" s="21" t="str">
        <f t="shared" si="19"/>
        <v>I_FRMDW/INFLOW</v>
      </c>
      <c r="I1236" s="24" t="s">
        <v>2292</v>
      </c>
      <c r="J1236" s="10" t="str">
        <f>VLOOKUP(Table1[[#This Row],[UID]],CS3SVComposerConfig!$B$3:$D$1808,3,FALSE)</f>
        <v>adj_SV_CS3LTO_0803_riminflow20231214.dss</v>
      </c>
      <c r="K1236" s="10" t="s">
        <v>2212</v>
      </c>
      <c r="L1236" s="10" t="s">
        <v>2212</v>
      </c>
      <c r="M1236" s="10" t="s">
        <v>2224</v>
      </c>
      <c r="N1236" s="10" t="s">
        <v>2258</v>
      </c>
      <c r="O1236" s="10" t="s">
        <v>2259</v>
      </c>
      <c r="P1236" s="39">
        <v>0.59596047450116196</v>
      </c>
    </row>
    <row r="1237" spans="2:16" ht="18" customHeight="1" x14ac:dyDescent="0.25">
      <c r="B1237" s="21" t="s">
        <v>0</v>
      </c>
      <c r="C1237" s="22" t="s">
        <v>1625</v>
      </c>
      <c r="D1237" s="22" t="s">
        <v>1380</v>
      </c>
      <c r="E1237" s="21" t="s">
        <v>2222</v>
      </c>
      <c r="F1237" s="23" t="s">
        <v>3</v>
      </c>
      <c r="G1237" s="23" t="s">
        <v>4</v>
      </c>
      <c r="H1237" s="21" t="str">
        <f t="shared" si="19"/>
        <v>I_FRNCH/INFLOW</v>
      </c>
      <c r="I1237" s="24" t="s">
        <v>2292</v>
      </c>
      <c r="J1237" s="10" t="str">
        <f>VLOOKUP(Table1[[#This Row],[UID]],CS3SVComposerConfig!$B$3:$D$1808,3,FALSE)</f>
        <v>adj_SV_CS3LTO_0803_riminflow20231214.dss</v>
      </c>
      <c r="K1237" s="10" t="s">
        <v>2212</v>
      </c>
      <c r="L1237" s="10" t="s">
        <v>2212</v>
      </c>
      <c r="M1237" s="10" t="s">
        <v>2224</v>
      </c>
      <c r="N1237" s="10" t="s">
        <v>2258</v>
      </c>
      <c r="O1237" s="10" t="s">
        <v>2259</v>
      </c>
      <c r="P1237" s="39">
        <v>0.785961594876049</v>
      </c>
    </row>
    <row r="1238" spans="2:16" ht="18" customHeight="1" x14ac:dyDescent="0.25">
      <c r="B1238" s="21" t="s">
        <v>0</v>
      </c>
      <c r="C1238" s="22" t="s">
        <v>1609</v>
      </c>
      <c r="D1238" s="22" t="s">
        <v>1380</v>
      </c>
      <c r="E1238" s="21" t="s">
        <v>2222</v>
      </c>
      <c r="F1238" s="23" t="s">
        <v>3</v>
      </c>
      <c r="G1238" s="23" t="s">
        <v>4</v>
      </c>
      <c r="H1238" s="21" t="str">
        <f t="shared" si="19"/>
        <v>I_FRS046/INFLOW</v>
      </c>
      <c r="I1238" s="24" t="s">
        <v>2292</v>
      </c>
      <c r="J1238" s="10" t="str">
        <f>VLOOKUP(Table1[[#This Row],[UID]],CS3SVComposerConfig!$B$3:$D$1808,3,FALSE)</f>
        <v>adj_SV_CS3LTO_0803_riminflow20231214.dss</v>
      </c>
      <c r="K1238" s="10" t="s">
        <v>2212</v>
      </c>
      <c r="L1238" s="10" t="s">
        <v>2212</v>
      </c>
      <c r="M1238" s="10" t="s">
        <v>2224</v>
      </c>
      <c r="N1238" s="10" t="s">
        <v>2258</v>
      </c>
      <c r="O1238" s="10" t="s">
        <v>2259</v>
      </c>
      <c r="P1238" s="39">
        <v>0.77072077213944201</v>
      </c>
    </row>
    <row r="1239" spans="2:16" ht="18" customHeight="1" x14ac:dyDescent="0.25">
      <c r="B1239" s="21" t="s">
        <v>0</v>
      </c>
      <c r="C1239" s="22" t="s">
        <v>1748</v>
      </c>
      <c r="D1239" s="22" t="s">
        <v>1380</v>
      </c>
      <c r="E1239" s="21" t="s">
        <v>2222</v>
      </c>
      <c r="F1239" s="23" t="s">
        <v>3</v>
      </c>
      <c r="G1239" s="23" t="s">
        <v>4</v>
      </c>
      <c r="H1239" s="21" t="str">
        <f t="shared" si="19"/>
        <v>I_FSL012/INFLOW</v>
      </c>
      <c r="I1239" s="24" t="s">
        <v>2292</v>
      </c>
      <c r="J1239" s="10" t="str">
        <f>VLOOKUP(Table1[[#This Row],[UID]],CS3SVComposerConfig!$B$3:$D$1808,3,FALSE)</f>
        <v>DCR2023_SV_Danube_Hist_v3.dss</v>
      </c>
      <c r="K1239" s="10" t="s">
        <v>2224</v>
      </c>
      <c r="L1239" s="10" t="s">
        <v>2212</v>
      </c>
      <c r="M1239" s="10" t="s">
        <v>2224</v>
      </c>
      <c r="N1239" s="10" t="s">
        <v>2227</v>
      </c>
      <c r="O1239" s="10" t="s">
        <v>2227</v>
      </c>
      <c r="P1239" s="39" t="s">
        <v>2227</v>
      </c>
    </row>
    <row r="1240" spans="2:16" ht="18" customHeight="1" x14ac:dyDescent="0.25">
      <c r="B1240" s="21" t="s">
        <v>0</v>
      </c>
      <c r="C1240" s="22" t="s">
        <v>1555</v>
      </c>
      <c r="D1240" s="22" t="s">
        <v>1380</v>
      </c>
      <c r="E1240" s="21" t="s">
        <v>2222</v>
      </c>
      <c r="F1240" s="23" t="s">
        <v>3</v>
      </c>
      <c r="G1240" s="23" t="s">
        <v>4</v>
      </c>
      <c r="H1240" s="21" t="str">
        <f t="shared" si="19"/>
        <v>I_GERLE/INFLOW</v>
      </c>
      <c r="I1240" s="24" t="s">
        <v>2292</v>
      </c>
      <c r="J1240" s="10" t="str">
        <f>VLOOKUP(Table1[[#This Row],[UID]],CS3SVComposerConfig!$B$3:$D$1808,3,FALSE)</f>
        <v>adj_SV_CS3LTO_0803_riminflow20231214.dss</v>
      </c>
      <c r="K1240" s="10" t="s">
        <v>2212</v>
      </c>
      <c r="L1240" s="10" t="s">
        <v>2212</v>
      </c>
      <c r="M1240" s="10" t="s">
        <v>2224</v>
      </c>
      <c r="N1240" s="10" t="s">
        <v>2258</v>
      </c>
      <c r="O1240" s="10" t="s">
        <v>2259</v>
      </c>
      <c r="P1240" s="39">
        <v>0.54541221536209905</v>
      </c>
    </row>
    <row r="1241" spans="2:16" ht="18" customHeight="1" x14ac:dyDescent="0.25">
      <c r="B1241" s="21" t="s">
        <v>0</v>
      </c>
      <c r="C1241" s="22" t="s">
        <v>1746</v>
      </c>
      <c r="D1241" s="22" t="s">
        <v>1380</v>
      </c>
      <c r="E1241" s="21" t="s">
        <v>2222</v>
      </c>
      <c r="F1241" s="23" t="s">
        <v>3</v>
      </c>
      <c r="G1241" s="23" t="s">
        <v>4</v>
      </c>
      <c r="H1241" s="21" t="str">
        <f t="shared" si="19"/>
        <v>I_GRZ012/INFLOW</v>
      </c>
      <c r="I1241" s="24" t="s">
        <v>2292</v>
      </c>
      <c r="J1241" s="10" t="str">
        <f>VLOOKUP(Table1[[#This Row],[UID]],CS3SVComposerConfig!$B$3:$D$1808,3,FALSE)</f>
        <v>adj_SV_CS3LTO_0803_riminflow20231214.dss</v>
      </c>
      <c r="K1241" s="10" t="s">
        <v>2212</v>
      </c>
      <c r="L1241" s="10" t="s">
        <v>2212</v>
      </c>
      <c r="M1241" s="10" t="s">
        <v>2224</v>
      </c>
      <c r="N1241" s="10" t="s">
        <v>2258</v>
      </c>
      <c r="O1241" s="10" t="s">
        <v>2259</v>
      </c>
      <c r="P1241" s="39">
        <v>0.50709202209342397</v>
      </c>
    </row>
    <row r="1242" spans="2:16" ht="18" customHeight="1" x14ac:dyDescent="0.25">
      <c r="B1242" s="21" t="s">
        <v>0</v>
      </c>
      <c r="C1242" s="22" t="s">
        <v>1687</v>
      </c>
      <c r="D1242" s="22" t="s">
        <v>1380</v>
      </c>
      <c r="E1242" s="21" t="s">
        <v>2222</v>
      </c>
      <c r="F1242" s="23" t="s">
        <v>3</v>
      </c>
      <c r="G1242" s="23" t="s">
        <v>4</v>
      </c>
      <c r="H1242" s="21" t="str">
        <f t="shared" si="19"/>
        <v>I_GZL009/INFLOW</v>
      </c>
      <c r="I1242" s="24" t="s">
        <v>2292</v>
      </c>
      <c r="J1242" s="10" t="str">
        <f>VLOOKUP(Table1[[#This Row],[UID]],CS3SVComposerConfig!$B$3:$D$1808,3,FALSE)</f>
        <v>adj_SV_CS3LTO_0803_riminflow20231214.dss</v>
      </c>
      <c r="K1242" s="10" t="s">
        <v>2212</v>
      </c>
      <c r="L1242" s="10" t="s">
        <v>2212</v>
      </c>
      <c r="M1242" s="10" t="s">
        <v>2224</v>
      </c>
      <c r="N1242" s="10" t="s">
        <v>2258</v>
      </c>
      <c r="O1242" s="10" t="s">
        <v>2259</v>
      </c>
      <c r="P1242" s="39">
        <v>0.547988021122643</v>
      </c>
    </row>
    <row r="1243" spans="2:16" ht="18" customHeight="1" x14ac:dyDescent="0.25">
      <c r="B1243" s="21" t="s">
        <v>0</v>
      </c>
      <c r="C1243" s="22" t="s">
        <v>1553</v>
      </c>
      <c r="D1243" s="22" t="s">
        <v>1380</v>
      </c>
      <c r="E1243" s="21" t="s">
        <v>2222</v>
      </c>
      <c r="F1243" s="23" t="s">
        <v>3</v>
      </c>
      <c r="G1243" s="23" t="s">
        <v>4</v>
      </c>
      <c r="H1243" s="21" t="str">
        <f t="shared" si="19"/>
        <v>I_HHOLE/INFLOW</v>
      </c>
      <c r="I1243" s="24" t="s">
        <v>2292</v>
      </c>
      <c r="J1243" s="10" t="str">
        <f>VLOOKUP(Table1[[#This Row],[UID]],CS3SVComposerConfig!$B$3:$D$1808,3,FALSE)</f>
        <v>adj_SV_CS3LTO_0803_riminflow20231214.dss</v>
      </c>
      <c r="K1243" s="10" t="s">
        <v>2212</v>
      </c>
      <c r="L1243" s="10" t="s">
        <v>2212</v>
      </c>
      <c r="M1243" s="10" t="s">
        <v>2224</v>
      </c>
      <c r="N1243" s="10" t="s">
        <v>2258</v>
      </c>
      <c r="O1243" s="10" t="s">
        <v>2259</v>
      </c>
      <c r="P1243" s="39">
        <v>0.62148011064111797</v>
      </c>
    </row>
    <row r="1244" spans="2:16" ht="18" customHeight="1" x14ac:dyDescent="0.25">
      <c r="B1244" s="21" t="s">
        <v>0</v>
      </c>
      <c r="C1244" s="22" t="s">
        <v>1665</v>
      </c>
      <c r="D1244" s="22" t="s">
        <v>1380</v>
      </c>
      <c r="E1244" s="21" t="s">
        <v>2222</v>
      </c>
      <c r="F1244" s="23" t="s">
        <v>3</v>
      </c>
      <c r="G1244" s="23" t="s">
        <v>4</v>
      </c>
      <c r="H1244" s="21" t="str">
        <f t="shared" si="19"/>
        <v>I_HNSLY/INFLOW</v>
      </c>
      <c r="I1244" s="24" t="s">
        <v>2292</v>
      </c>
      <c r="J1244" s="10" t="str">
        <f>VLOOKUP(Table1[[#This Row],[UID]],CS3SVComposerConfig!$B$3:$D$1808,3,FALSE)</f>
        <v>adj_SV_CS3LTO_0803_riminflow20231214.dss</v>
      </c>
      <c r="K1244" s="10" t="s">
        <v>2212</v>
      </c>
      <c r="L1244" s="10" t="s">
        <v>2212</v>
      </c>
      <c r="M1244" s="10" t="s">
        <v>2224</v>
      </c>
      <c r="N1244" s="10" t="s">
        <v>2258</v>
      </c>
      <c r="O1244" s="10" t="s">
        <v>2259</v>
      </c>
      <c r="P1244" s="39">
        <v>0.85678125202830002</v>
      </c>
    </row>
    <row r="1245" spans="2:16" ht="18" customHeight="1" x14ac:dyDescent="0.25">
      <c r="B1245" s="21" t="s">
        <v>0</v>
      </c>
      <c r="C1245" s="22" t="s">
        <v>1740</v>
      </c>
      <c r="D1245" s="22" t="s">
        <v>1380</v>
      </c>
      <c r="E1245" s="21" t="s">
        <v>2222</v>
      </c>
      <c r="F1245" s="23" t="s">
        <v>3</v>
      </c>
      <c r="G1245" s="23" t="s">
        <v>4</v>
      </c>
      <c r="H1245" s="21" t="str">
        <f t="shared" si="19"/>
        <v>I_HON021/INFLOW</v>
      </c>
      <c r="I1245" s="24" t="s">
        <v>2292</v>
      </c>
      <c r="J1245" s="10" t="str">
        <f>VLOOKUP(Table1[[#This Row],[UID]],CS3SVComposerConfig!$B$3:$D$1808,3,FALSE)</f>
        <v>adj_SV_CS3LTO_0803_riminflow20231214.dss</v>
      </c>
      <c r="K1245" s="10" t="s">
        <v>2212</v>
      </c>
      <c r="L1245" s="10" t="s">
        <v>2212</v>
      </c>
      <c r="M1245" s="10" t="s">
        <v>2224</v>
      </c>
      <c r="N1245" s="10" t="s">
        <v>2258</v>
      </c>
      <c r="O1245" s="10" t="s">
        <v>2259</v>
      </c>
      <c r="P1245" s="39">
        <v>0.85680950798004196</v>
      </c>
    </row>
    <row r="1246" spans="2:16" ht="18" customHeight="1" x14ac:dyDescent="0.25">
      <c r="B1246" s="21" t="s">
        <v>0</v>
      </c>
      <c r="C1246" s="22" t="s">
        <v>1685</v>
      </c>
      <c r="D1246" s="22" t="s">
        <v>1380</v>
      </c>
      <c r="E1246" s="21" t="s">
        <v>2222</v>
      </c>
      <c r="F1246" s="23" t="s">
        <v>3</v>
      </c>
      <c r="G1246" s="23" t="s">
        <v>4</v>
      </c>
      <c r="H1246" s="21" t="str">
        <f t="shared" si="19"/>
        <v>I_HTCHY/INFLOW</v>
      </c>
      <c r="I1246" s="24" t="s">
        <v>2292</v>
      </c>
      <c r="J1246" s="10" t="str">
        <f>VLOOKUP(Table1[[#This Row],[UID]],CS3SVComposerConfig!$B$3:$D$1808,3,FALSE)</f>
        <v>adj_SV_CS3LTO_0803_riminflow20231214.dss</v>
      </c>
      <c r="K1246" s="10" t="s">
        <v>2212</v>
      </c>
      <c r="L1246" s="10" t="s">
        <v>2212</v>
      </c>
      <c r="M1246" s="10" t="s">
        <v>2224</v>
      </c>
      <c r="N1246" s="10" t="s">
        <v>2258</v>
      </c>
      <c r="O1246" s="10" t="s">
        <v>2259</v>
      </c>
      <c r="P1246" s="39">
        <v>0.83842153686604404</v>
      </c>
    </row>
    <row r="1247" spans="2:16" ht="18" customHeight="1" x14ac:dyDescent="0.25">
      <c r="B1247" s="21" t="s">
        <v>0</v>
      </c>
      <c r="C1247" s="22" t="s">
        <v>1683</v>
      </c>
      <c r="D1247" s="22" t="s">
        <v>1380</v>
      </c>
      <c r="E1247" s="21" t="s">
        <v>2222</v>
      </c>
      <c r="F1247" s="23" t="s">
        <v>3</v>
      </c>
      <c r="G1247" s="23" t="s">
        <v>4</v>
      </c>
      <c r="H1247" s="21" t="str">
        <f t="shared" si="19"/>
        <v>I_ICEHS/INFLOW</v>
      </c>
      <c r="I1247" s="24" t="s">
        <v>2292</v>
      </c>
      <c r="J1247" s="10" t="str">
        <f>VLOOKUP(Table1[[#This Row],[UID]],CS3SVComposerConfig!$B$3:$D$1808,3,FALSE)</f>
        <v>adj_SV_CS3LTO_0803_riminflow20231214.dss</v>
      </c>
      <c r="K1247" s="10" t="s">
        <v>2212</v>
      </c>
      <c r="L1247" s="10" t="s">
        <v>2212</v>
      </c>
      <c r="M1247" s="10" t="s">
        <v>2224</v>
      </c>
      <c r="N1247" s="10" t="s">
        <v>2258</v>
      </c>
      <c r="O1247" s="10" t="s">
        <v>2259</v>
      </c>
      <c r="P1247" s="39">
        <v>0.43605006504127097</v>
      </c>
    </row>
    <row r="1248" spans="2:16" ht="18" customHeight="1" x14ac:dyDescent="0.25">
      <c r="B1248" s="21" t="s">
        <v>0</v>
      </c>
      <c r="C1248" s="22" t="s">
        <v>1681</v>
      </c>
      <c r="D1248" s="22" t="s">
        <v>1380</v>
      </c>
      <c r="E1248" s="21" t="s">
        <v>2222</v>
      </c>
      <c r="F1248" s="23" t="s">
        <v>3</v>
      </c>
      <c r="G1248" s="23" t="s">
        <v>4</v>
      </c>
      <c r="H1248" s="21" t="str">
        <f t="shared" si="19"/>
        <v>I_INDVL/INFLOW</v>
      </c>
      <c r="I1248" s="24" t="s">
        <v>2292</v>
      </c>
      <c r="J1248" s="10" t="str">
        <f>VLOOKUP(Table1[[#This Row],[UID]],CS3SVComposerConfig!$B$3:$D$1808,3,FALSE)</f>
        <v>adj_SV_CS3LTO_0803_riminflow20231214.dss</v>
      </c>
      <c r="K1248" s="10" t="s">
        <v>2212</v>
      </c>
      <c r="L1248" s="10" t="s">
        <v>2212</v>
      </c>
      <c r="M1248" s="10" t="s">
        <v>2224</v>
      </c>
      <c r="N1248" s="10" t="s">
        <v>2258</v>
      </c>
      <c r="O1248" s="10" t="s">
        <v>2259</v>
      </c>
      <c r="P1248" s="39">
        <v>0.82463922958863001</v>
      </c>
    </row>
    <row r="1249" spans="2:16" ht="18" customHeight="1" x14ac:dyDescent="0.25">
      <c r="B1249" s="21" t="s">
        <v>0</v>
      </c>
      <c r="C1249" s="22" t="s">
        <v>1619</v>
      </c>
      <c r="D1249" s="22" t="s">
        <v>1380</v>
      </c>
      <c r="E1249" s="21" t="s">
        <v>2222</v>
      </c>
      <c r="F1249" s="23" t="s">
        <v>3</v>
      </c>
      <c r="G1249" s="23" t="s">
        <v>4</v>
      </c>
      <c r="H1249" s="21" t="str">
        <f t="shared" si="19"/>
        <v>I_ING008/INFLOW</v>
      </c>
      <c r="I1249" s="24" t="s">
        <v>2292</v>
      </c>
      <c r="J1249" s="10" t="str">
        <f>VLOOKUP(Table1[[#This Row],[UID]],CS3SVComposerConfig!$B$3:$D$1808,3,FALSE)</f>
        <v>adj_SV_CS3LTO_0803_riminflow20231214.dss</v>
      </c>
      <c r="K1249" s="10" t="s">
        <v>2212</v>
      </c>
      <c r="L1249" s="10" t="s">
        <v>2212</v>
      </c>
      <c r="M1249" s="10" t="s">
        <v>2224</v>
      </c>
      <c r="N1249" s="10" t="s">
        <v>2258</v>
      </c>
      <c r="O1249" s="10" t="s">
        <v>2259</v>
      </c>
      <c r="P1249" s="39">
        <v>0.57004497825631695</v>
      </c>
    </row>
    <row r="1250" spans="2:16" ht="18" customHeight="1" x14ac:dyDescent="0.25">
      <c r="B1250" s="21" t="s">
        <v>0</v>
      </c>
      <c r="C1250" s="22" t="s">
        <v>1738</v>
      </c>
      <c r="D1250" s="22" t="s">
        <v>1380</v>
      </c>
      <c r="E1250" s="21" t="s">
        <v>2222</v>
      </c>
      <c r="F1250" s="23" t="s">
        <v>3</v>
      </c>
      <c r="G1250" s="23" t="s">
        <v>4</v>
      </c>
      <c r="H1250" s="21" t="str">
        <f t="shared" si="19"/>
        <v>I_JBP006/INFLOW</v>
      </c>
      <c r="I1250" s="24" t="s">
        <v>2292</v>
      </c>
      <c r="J1250" s="10" t="str">
        <f>VLOOKUP(Table1[[#This Row],[UID]],CS3SVComposerConfig!$B$3:$D$1808,3,FALSE)</f>
        <v>DCR2023_SV_Danube_Hist_v3.dss</v>
      </c>
      <c r="K1250" s="10" t="s">
        <v>2212</v>
      </c>
      <c r="L1250" s="10" t="s">
        <v>2212</v>
      </c>
      <c r="M1250" s="10" t="s">
        <v>2224</v>
      </c>
      <c r="N1250" s="10" t="s">
        <v>2258</v>
      </c>
      <c r="O1250" s="10" t="s">
        <v>2259</v>
      </c>
      <c r="P1250" s="39">
        <v>0.230151424916684</v>
      </c>
    </row>
    <row r="1251" spans="2:16" ht="18" customHeight="1" x14ac:dyDescent="0.25">
      <c r="B1251" s="21" t="s">
        <v>0</v>
      </c>
      <c r="C1251" s="22" t="s">
        <v>1679</v>
      </c>
      <c r="D1251" s="22" t="s">
        <v>1380</v>
      </c>
      <c r="E1251" s="21" t="s">
        <v>2222</v>
      </c>
      <c r="F1251" s="23" t="s">
        <v>3</v>
      </c>
      <c r="G1251" s="23" t="s">
        <v>4</v>
      </c>
      <c r="H1251" s="21" t="str">
        <f t="shared" si="19"/>
        <v>I_JKSMD/INFLOW</v>
      </c>
      <c r="I1251" s="24" t="s">
        <v>2292</v>
      </c>
      <c r="J1251" s="10" t="str">
        <f>VLOOKUP(Table1[[#This Row],[UID]],CS3SVComposerConfig!$B$3:$D$1808,3,FALSE)</f>
        <v>adj_SV_CS3LTO_0803_riminflow20231214.dss</v>
      </c>
      <c r="K1251" s="10" t="s">
        <v>2212</v>
      </c>
      <c r="L1251" s="10" t="s">
        <v>2212</v>
      </c>
      <c r="M1251" s="10" t="s">
        <v>2224</v>
      </c>
      <c r="N1251" s="10" t="s">
        <v>2258</v>
      </c>
      <c r="O1251" s="10" t="s">
        <v>2259</v>
      </c>
      <c r="P1251" s="39">
        <v>0.80416622875233301</v>
      </c>
    </row>
    <row r="1252" spans="2:16" ht="18" customHeight="1" x14ac:dyDescent="0.25">
      <c r="B1252" s="21" t="s">
        <v>0</v>
      </c>
      <c r="C1252" s="22" t="s">
        <v>1677</v>
      </c>
      <c r="D1252" s="22" t="s">
        <v>1380</v>
      </c>
      <c r="E1252" s="21" t="s">
        <v>2222</v>
      </c>
      <c r="F1252" s="23" t="s">
        <v>3</v>
      </c>
      <c r="G1252" s="23" t="s">
        <v>4</v>
      </c>
      <c r="H1252" s="21" t="str">
        <f t="shared" si="19"/>
        <v>I_JNKSN/INFLOW</v>
      </c>
      <c r="I1252" s="24" t="s">
        <v>2292</v>
      </c>
      <c r="J1252" s="10" t="str">
        <f>VLOOKUP(Table1[[#This Row],[UID]],CS3SVComposerConfig!$B$3:$D$1808,3,FALSE)</f>
        <v>adj_SV_CS3LTO_0803_riminflow20231214.dss</v>
      </c>
      <c r="K1252" s="10" t="s">
        <v>2212</v>
      </c>
      <c r="L1252" s="10" t="s">
        <v>2212</v>
      </c>
      <c r="M1252" s="10" t="s">
        <v>2224</v>
      </c>
      <c r="N1252" s="10" t="s">
        <v>2258</v>
      </c>
      <c r="O1252" s="10" t="s">
        <v>2259</v>
      </c>
      <c r="P1252" s="39">
        <v>0.86425821289335103</v>
      </c>
    </row>
    <row r="1253" spans="2:16" ht="18" customHeight="1" x14ac:dyDescent="0.25">
      <c r="B1253" s="21" t="s">
        <v>0</v>
      </c>
      <c r="C1253" s="22" t="s">
        <v>1464</v>
      </c>
      <c r="D1253" s="22" t="s">
        <v>1380</v>
      </c>
      <c r="E1253" s="21" t="s">
        <v>2222</v>
      </c>
      <c r="F1253" s="23" t="s">
        <v>3</v>
      </c>
      <c r="G1253" s="23" t="s">
        <v>4</v>
      </c>
      <c r="H1253" s="21" t="str">
        <f t="shared" si="19"/>
        <v>I_JWB001/INFLOW</v>
      </c>
      <c r="I1253" s="24" t="s">
        <v>2292</v>
      </c>
      <c r="J1253" s="10" t="str">
        <f>VLOOKUP(Table1[[#This Row],[UID]],CS3SVComposerConfig!$B$3:$D$1808,3,FALSE)</f>
        <v>DCR2023_SV_Danube_Hist_v3.dss</v>
      </c>
      <c r="K1253" s="10" t="s">
        <v>2224</v>
      </c>
      <c r="L1253" s="10" t="s">
        <v>2212</v>
      </c>
      <c r="M1253" s="10" t="s">
        <v>2224</v>
      </c>
      <c r="N1253" s="10" t="s">
        <v>2227</v>
      </c>
      <c r="O1253" s="10" t="s">
        <v>2227</v>
      </c>
      <c r="P1253" s="39" t="s">
        <v>2227</v>
      </c>
    </row>
    <row r="1254" spans="2:16" ht="18" customHeight="1" x14ac:dyDescent="0.25">
      <c r="B1254" s="21" t="s">
        <v>0</v>
      </c>
      <c r="C1254" s="22" t="s">
        <v>1629</v>
      </c>
      <c r="D1254" s="22" t="s">
        <v>1380</v>
      </c>
      <c r="E1254" s="21" t="s">
        <v>2222</v>
      </c>
      <c r="F1254" s="23" t="s">
        <v>3</v>
      </c>
      <c r="G1254" s="23" t="s">
        <v>4</v>
      </c>
      <c r="H1254" s="21" t="str">
        <f t="shared" si="19"/>
        <v>I_LCBRF/INFLOW</v>
      </c>
      <c r="I1254" s="24" t="s">
        <v>2292</v>
      </c>
      <c r="J1254" s="10" t="str">
        <f>VLOOKUP(Table1[[#This Row],[UID]],CS3SVComposerConfig!$B$3:$D$1808,3,FALSE)</f>
        <v>adj_SV_CS3LTO_0803_riminflow20231214.dss</v>
      </c>
      <c r="K1254" s="10" t="s">
        <v>2212</v>
      </c>
      <c r="L1254" s="10" t="s">
        <v>2212</v>
      </c>
      <c r="M1254" s="10" t="s">
        <v>2224</v>
      </c>
      <c r="N1254" s="10" t="s">
        <v>2258</v>
      </c>
      <c r="O1254" s="10" t="s">
        <v>2259</v>
      </c>
      <c r="P1254" s="39">
        <v>0.47813562447223501</v>
      </c>
    </row>
    <row r="1255" spans="2:16" ht="18" customHeight="1" x14ac:dyDescent="0.25">
      <c r="B1255" s="21" t="s">
        <v>0</v>
      </c>
      <c r="C1255" s="22" t="s">
        <v>1617</v>
      </c>
      <c r="D1255" s="22" t="s">
        <v>1380</v>
      </c>
      <c r="E1255" s="21" t="s">
        <v>2222</v>
      </c>
      <c r="F1255" s="23" t="s">
        <v>3</v>
      </c>
      <c r="G1255" s="23" t="s">
        <v>4</v>
      </c>
      <c r="H1255" s="21" t="str">
        <f t="shared" si="19"/>
        <v>I_LCC038/INFLOW</v>
      </c>
      <c r="I1255" s="24" t="s">
        <v>2292</v>
      </c>
      <c r="J1255" s="10" t="str">
        <f>VLOOKUP(Table1[[#This Row],[UID]],CS3SVComposerConfig!$B$3:$D$1808,3,FALSE)</f>
        <v>adj_SV_CS3LTO_0803_riminflow20231214.dss</v>
      </c>
      <c r="K1255" s="10" t="s">
        <v>2212</v>
      </c>
      <c r="L1255" s="10" t="s">
        <v>2212</v>
      </c>
      <c r="M1255" s="10" t="s">
        <v>2224</v>
      </c>
      <c r="N1255" s="10" t="s">
        <v>2258</v>
      </c>
      <c r="O1255" s="10" t="s">
        <v>2259</v>
      </c>
      <c r="P1255" s="39">
        <v>0.88846013155104298</v>
      </c>
    </row>
    <row r="1256" spans="2:16" ht="18" customHeight="1" x14ac:dyDescent="0.25">
      <c r="B1256" s="21" t="s">
        <v>0</v>
      </c>
      <c r="C1256" s="22" t="s">
        <v>1615</v>
      </c>
      <c r="D1256" s="22" t="s">
        <v>1380</v>
      </c>
      <c r="E1256" s="21" t="s">
        <v>2222</v>
      </c>
      <c r="F1256" s="23" t="s">
        <v>3</v>
      </c>
      <c r="G1256" s="23" t="s">
        <v>4</v>
      </c>
      <c r="H1256" s="21" t="str">
        <f t="shared" si="19"/>
        <v>I_LDC029/INFLOW</v>
      </c>
      <c r="I1256" s="24" t="s">
        <v>2292</v>
      </c>
      <c r="J1256" s="10" t="str">
        <f>VLOOKUP(Table1[[#This Row],[UID]],CS3SVComposerConfig!$B$3:$D$1808,3,FALSE)</f>
        <v>adj_SV_CS3LTO_0803_riminflow20231214.dss</v>
      </c>
      <c r="K1256" s="10" t="s">
        <v>2212</v>
      </c>
      <c r="L1256" s="10" t="s">
        <v>2212</v>
      </c>
      <c r="M1256" s="10" t="s">
        <v>2224</v>
      </c>
      <c r="N1256" s="10" t="s">
        <v>2258</v>
      </c>
      <c r="O1256" s="10" t="s">
        <v>2259</v>
      </c>
      <c r="P1256" s="39">
        <v>0.88213916496982903</v>
      </c>
    </row>
    <row r="1257" spans="2:16" ht="18" customHeight="1" x14ac:dyDescent="0.25">
      <c r="B1257" s="21" t="s">
        <v>0</v>
      </c>
      <c r="C1257" s="22" t="s">
        <v>1406</v>
      </c>
      <c r="D1257" s="22" t="s">
        <v>1380</v>
      </c>
      <c r="E1257" s="21" t="s">
        <v>2222</v>
      </c>
      <c r="F1257" s="23" t="s">
        <v>3</v>
      </c>
      <c r="G1257" s="23" t="s">
        <v>4</v>
      </c>
      <c r="H1257" s="21" t="str">
        <f t="shared" si="19"/>
        <v>I_LGRSV/INFLOW</v>
      </c>
      <c r="I1257" s="24" t="s">
        <v>2292</v>
      </c>
      <c r="J1257" s="10" t="str">
        <f>VLOOKUP(Table1[[#This Row],[UID]],CS3SVComposerConfig!$B$3:$D$1808,3,FALSE)</f>
        <v>adj_SV_CS3LTO_0803_riminflow20231214.dss</v>
      </c>
      <c r="K1257" s="10" t="s">
        <v>2212</v>
      </c>
      <c r="L1257" s="10" t="s">
        <v>2212</v>
      </c>
      <c r="M1257" s="10" t="s">
        <v>2224</v>
      </c>
      <c r="N1257" s="10" t="s">
        <v>2258</v>
      </c>
      <c r="O1257" s="10" t="s">
        <v>2259</v>
      </c>
      <c r="P1257" s="39">
        <v>0.56955436333255205</v>
      </c>
    </row>
    <row r="1258" spans="2:16" ht="18" customHeight="1" x14ac:dyDescent="0.25">
      <c r="B1258" s="21" t="s">
        <v>0</v>
      </c>
      <c r="C1258" s="22" t="s">
        <v>1691</v>
      </c>
      <c r="D1258" s="22" t="s">
        <v>1380</v>
      </c>
      <c r="E1258" s="21" t="s">
        <v>2222</v>
      </c>
      <c r="F1258" s="23" t="s">
        <v>3</v>
      </c>
      <c r="G1258" s="23" t="s">
        <v>4</v>
      </c>
      <c r="H1258" s="21" t="str">
        <f t="shared" si="19"/>
        <v>I_LJC022/INFLOW</v>
      </c>
      <c r="I1258" s="24" t="s">
        <v>2292</v>
      </c>
      <c r="J1258" s="10" t="str">
        <f>VLOOKUP(Table1[[#This Row],[UID]],CS3SVComposerConfig!$B$3:$D$1808,3,FALSE)</f>
        <v>adj_SV_CS3LTO_0803_riminflow20231214.dss</v>
      </c>
      <c r="K1258" s="10" t="s">
        <v>2212</v>
      </c>
      <c r="L1258" s="10" t="s">
        <v>2212</v>
      </c>
      <c r="M1258" s="10" t="s">
        <v>2224</v>
      </c>
      <c r="N1258" s="10" t="s">
        <v>2258</v>
      </c>
      <c r="O1258" s="10" t="s">
        <v>2259</v>
      </c>
      <c r="P1258" s="39">
        <v>0.65412446708105698</v>
      </c>
    </row>
    <row r="1259" spans="2:16" ht="18" customHeight="1" x14ac:dyDescent="0.25">
      <c r="B1259" s="21" t="s">
        <v>0</v>
      </c>
      <c r="C1259" s="22" t="s">
        <v>1657</v>
      </c>
      <c r="D1259" s="22" t="s">
        <v>1380</v>
      </c>
      <c r="E1259" s="21" t="s">
        <v>2222</v>
      </c>
      <c r="F1259" s="23" t="s">
        <v>3</v>
      </c>
      <c r="G1259" s="23" t="s">
        <v>4</v>
      </c>
      <c r="H1259" s="21" t="str">
        <f t="shared" si="19"/>
        <v>I_LKVLY/INFLOW</v>
      </c>
      <c r="I1259" s="24" t="s">
        <v>2292</v>
      </c>
      <c r="J1259" s="10" t="str">
        <f>VLOOKUP(Table1[[#This Row],[UID]],CS3SVComposerConfig!$B$3:$D$1808,3,FALSE)</f>
        <v>adj_SV_CS3LTO_0803_riminflow20231214.dss</v>
      </c>
      <c r="K1259" s="10" t="s">
        <v>2212</v>
      </c>
      <c r="L1259" s="10" t="s">
        <v>2212</v>
      </c>
      <c r="M1259" s="10" t="s">
        <v>2224</v>
      </c>
      <c r="N1259" s="10" t="s">
        <v>2258</v>
      </c>
      <c r="O1259" s="10" t="s">
        <v>2259</v>
      </c>
      <c r="P1259" s="39">
        <v>0.34164952232005602</v>
      </c>
    </row>
    <row r="1260" spans="2:16" ht="18" customHeight="1" x14ac:dyDescent="0.25">
      <c r="B1260" s="21" t="s">
        <v>0</v>
      </c>
      <c r="C1260" s="22" t="s">
        <v>1663</v>
      </c>
      <c r="D1260" s="22" t="s">
        <v>1380</v>
      </c>
      <c r="E1260" s="21" t="s">
        <v>2222</v>
      </c>
      <c r="F1260" s="23" t="s">
        <v>3</v>
      </c>
      <c r="G1260" s="23" t="s">
        <v>4</v>
      </c>
      <c r="H1260" s="21" t="str">
        <f t="shared" si="19"/>
        <v>I_LLOYD/INFLOW</v>
      </c>
      <c r="I1260" s="24" t="s">
        <v>2292</v>
      </c>
      <c r="J1260" s="10" t="str">
        <f>VLOOKUP(Table1[[#This Row],[UID]],CS3SVComposerConfig!$B$3:$D$1808,3,FALSE)</f>
        <v>adj_SV_CS3LTO_0803_riminflow20231214.dss</v>
      </c>
      <c r="K1260" s="10" t="s">
        <v>2212</v>
      </c>
      <c r="L1260" s="10" t="s">
        <v>2212</v>
      </c>
      <c r="M1260" s="10" t="s">
        <v>2224</v>
      </c>
      <c r="N1260" s="10" t="s">
        <v>2258</v>
      </c>
      <c r="O1260" s="10" t="s">
        <v>2259</v>
      </c>
      <c r="P1260" s="39">
        <v>0.82448530551559396</v>
      </c>
    </row>
    <row r="1261" spans="2:16" ht="18" customHeight="1" x14ac:dyDescent="0.25">
      <c r="B1261" s="21" t="s">
        <v>0</v>
      </c>
      <c r="C1261" s="22" t="s">
        <v>1523</v>
      </c>
      <c r="D1261" s="22" t="s">
        <v>1380</v>
      </c>
      <c r="E1261" s="21" t="s">
        <v>2222</v>
      </c>
      <c r="F1261" s="23" t="s">
        <v>3</v>
      </c>
      <c r="G1261" s="23" t="s">
        <v>4</v>
      </c>
      <c r="H1261" s="21" t="str">
        <f t="shared" si="19"/>
        <v>I_LNG012/INFLOW</v>
      </c>
      <c r="I1261" s="24" t="s">
        <v>2292</v>
      </c>
      <c r="J1261" s="10" t="str">
        <f>VLOOKUP(Table1[[#This Row],[UID]],CS3SVComposerConfig!$B$3:$D$1808,3,FALSE)</f>
        <v>adj_SV_CS3LTO_0803_riminflow20231214.dss</v>
      </c>
      <c r="K1261" s="10" t="s">
        <v>2212</v>
      </c>
      <c r="L1261" s="10" t="s">
        <v>2212</v>
      </c>
      <c r="M1261" s="10" t="s">
        <v>2224</v>
      </c>
      <c r="N1261" s="10" t="s">
        <v>2258</v>
      </c>
      <c r="O1261" s="10" t="s">
        <v>2259</v>
      </c>
      <c r="P1261" s="39">
        <v>0.72469511550476096</v>
      </c>
    </row>
    <row r="1262" spans="2:16" ht="18" customHeight="1" x14ac:dyDescent="0.25">
      <c r="B1262" s="21" t="s">
        <v>0</v>
      </c>
      <c r="C1262" s="22" t="s">
        <v>1744</v>
      </c>
      <c r="D1262" s="22" t="s">
        <v>1380</v>
      </c>
      <c r="E1262" s="21" t="s">
        <v>2222</v>
      </c>
      <c r="F1262" s="23" t="s">
        <v>3</v>
      </c>
      <c r="G1262" s="23" t="s">
        <v>4</v>
      </c>
      <c r="H1262" s="21" t="str">
        <f t="shared" si="19"/>
        <v>I_LOONL/INFLOW</v>
      </c>
      <c r="I1262" s="24" t="s">
        <v>2292</v>
      </c>
      <c r="J1262" s="10" t="str">
        <f>VLOOKUP(Table1[[#This Row],[UID]],CS3SVComposerConfig!$B$3:$D$1808,3,FALSE)</f>
        <v>adj_SV_CS3LTO_0803_riminflow20231214.dss</v>
      </c>
      <c r="K1262" s="10" t="s">
        <v>2212</v>
      </c>
      <c r="L1262" s="10" t="s">
        <v>2212</v>
      </c>
      <c r="M1262" s="10" t="s">
        <v>2224</v>
      </c>
      <c r="N1262" s="10" t="s">
        <v>2258</v>
      </c>
      <c r="O1262" s="10" t="s">
        <v>2259</v>
      </c>
      <c r="P1262" s="39">
        <v>0.55257179608408702</v>
      </c>
    </row>
    <row r="1263" spans="2:16" ht="18" customHeight="1" x14ac:dyDescent="0.25">
      <c r="B1263" s="21" t="s">
        <v>0</v>
      </c>
      <c r="C1263" s="22" t="s">
        <v>1624</v>
      </c>
      <c r="D1263" s="22" t="s">
        <v>1380</v>
      </c>
      <c r="E1263" s="21" t="s">
        <v>2222</v>
      </c>
      <c r="F1263" s="23" t="s">
        <v>3</v>
      </c>
      <c r="G1263" s="23" t="s">
        <v>4</v>
      </c>
      <c r="H1263" s="21" t="str">
        <f t="shared" si="19"/>
        <v>I_LOSVQ/INFLOW</v>
      </c>
      <c r="I1263" s="24" t="s">
        <v>2292</v>
      </c>
      <c r="J1263" s="10" t="str">
        <f>VLOOKUP(Table1[[#This Row],[UID]],CS3SVComposerConfig!$B$3:$D$1808,3,FALSE)</f>
        <v>adj_SV_CS3LTO_0803_riminflow20231214.dss</v>
      </c>
      <c r="K1263" s="10" t="s">
        <v>2212</v>
      </c>
      <c r="L1263" s="10" t="s">
        <v>2212</v>
      </c>
      <c r="M1263" s="10" t="s">
        <v>2224</v>
      </c>
      <c r="N1263" s="10" t="s">
        <v>2258</v>
      </c>
      <c r="O1263" s="10" t="s">
        <v>2259</v>
      </c>
      <c r="P1263" s="39">
        <v>0.51112278979078796</v>
      </c>
    </row>
    <row r="1264" spans="2:16" ht="18" customHeight="1" x14ac:dyDescent="0.25">
      <c r="B1264" s="21" t="s">
        <v>0</v>
      </c>
      <c r="C1264" s="22" t="s">
        <v>1613</v>
      </c>
      <c r="D1264" s="22" t="s">
        <v>1380</v>
      </c>
      <c r="E1264" s="21" t="s">
        <v>2222</v>
      </c>
      <c r="F1264" s="23" t="s">
        <v>3</v>
      </c>
      <c r="G1264" s="23" t="s">
        <v>4</v>
      </c>
      <c r="H1264" s="21" t="str">
        <f t="shared" si="19"/>
        <v>I_LPC007/INFLOW</v>
      </c>
      <c r="I1264" s="24" t="s">
        <v>2292</v>
      </c>
      <c r="J1264" s="10" t="str">
        <f>VLOOKUP(Table1[[#This Row],[UID]],CS3SVComposerConfig!$B$3:$D$1808,3,FALSE)</f>
        <v>adj_SV_CS3LTO_0803_riminflow20231214.dss</v>
      </c>
      <c r="K1264" s="10" t="s">
        <v>2212</v>
      </c>
      <c r="L1264" s="10" t="s">
        <v>2212</v>
      </c>
      <c r="M1264" s="10" t="s">
        <v>2224</v>
      </c>
      <c r="N1264" s="10" t="s">
        <v>2258</v>
      </c>
      <c r="O1264" s="10" t="s">
        <v>2259</v>
      </c>
      <c r="P1264" s="39">
        <v>0.50791935819251399</v>
      </c>
    </row>
    <row r="1265" spans="2:16" ht="18" customHeight="1" x14ac:dyDescent="0.25">
      <c r="B1265" s="21" t="s">
        <v>0</v>
      </c>
      <c r="C1265" s="22" t="s">
        <v>1611</v>
      </c>
      <c r="D1265" s="22" t="s">
        <v>1380</v>
      </c>
      <c r="E1265" s="21" t="s">
        <v>2222</v>
      </c>
      <c r="F1265" s="23" t="s">
        <v>3</v>
      </c>
      <c r="G1265" s="23" t="s">
        <v>4</v>
      </c>
      <c r="H1265" s="21" t="str">
        <f t="shared" si="19"/>
        <v>I_LRB004/INFLOW</v>
      </c>
      <c r="I1265" s="24" t="s">
        <v>2292</v>
      </c>
      <c r="J1265" s="10" t="str">
        <f>VLOOKUP(Table1[[#This Row],[UID]],CS3SVComposerConfig!$B$3:$D$1808,3,FALSE)</f>
        <v>adj_SV_CS3LTO_0803_riminflow20231214.dss</v>
      </c>
      <c r="K1265" s="10" t="s">
        <v>2212</v>
      </c>
      <c r="L1265" s="10" t="s">
        <v>2212</v>
      </c>
      <c r="M1265" s="10" t="s">
        <v>2224</v>
      </c>
      <c r="N1265" s="10" t="s">
        <v>2258</v>
      </c>
      <c r="O1265" s="10" t="s">
        <v>2259</v>
      </c>
      <c r="P1265" s="39">
        <v>0.46662789404421501</v>
      </c>
    </row>
    <row r="1266" spans="2:16" ht="18" customHeight="1" x14ac:dyDescent="0.25">
      <c r="B1266" s="21" t="s">
        <v>0</v>
      </c>
      <c r="C1266" s="22" t="s">
        <v>1581</v>
      </c>
      <c r="D1266" s="22" t="s">
        <v>1380</v>
      </c>
      <c r="E1266" s="21" t="s">
        <v>2222</v>
      </c>
      <c r="F1266" s="23" t="s">
        <v>3</v>
      </c>
      <c r="G1266" s="23" t="s">
        <v>4</v>
      </c>
      <c r="H1266" s="21" t="str">
        <f t="shared" si="19"/>
        <v>I_LWSTN/INFLOW</v>
      </c>
      <c r="I1266" s="24" t="s">
        <v>2292</v>
      </c>
      <c r="J1266" s="10" t="str">
        <f>VLOOKUP(Table1[[#This Row],[UID]],CS3SVComposerConfig!$B$3:$D$1808,3,FALSE)</f>
        <v>adj_SV_CS3LTO_0803_riminflow20231214.dss</v>
      </c>
      <c r="K1266" s="10" t="s">
        <v>2212</v>
      </c>
      <c r="L1266" s="10" t="s">
        <v>2212</v>
      </c>
      <c r="M1266" s="10" t="s">
        <v>2224</v>
      </c>
      <c r="N1266" s="10" t="s">
        <v>2258</v>
      </c>
      <c r="O1266" s="10" t="s">
        <v>2259</v>
      </c>
      <c r="P1266" s="39">
        <v>0.11080649172015</v>
      </c>
    </row>
    <row r="1267" spans="2:16" ht="18" customHeight="1" x14ac:dyDescent="0.25">
      <c r="B1267" s="21" t="s">
        <v>0</v>
      </c>
      <c r="C1267" s="22" t="s">
        <v>1416</v>
      </c>
      <c r="D1267" s="22" t="s">
        <v>1380</v>
      </c>
      <c r="E1267" s="21" t="s">
        <v>2222</v>
      </c>
      <c r="F1267" s="23" t="s">
        <v>3</v>
      </c>
      <c r="G1267" s="23" t="s">
        <v>4</v>
      </c>
      <c r="H1267" s="21" t="str">
        <f t="shared" si="19"/>
        <v>I_LYONS/INFLOW</v>
      </c>
      <c r="I1267" s="24" t="s">
        <v>2292</v>
      </c>
      <c r="J1267" s="10" t="str">
        <f>VLOOKUP(Table1[[#This Row],[UID]],CS3SVComposerConfig!$B$3:$D$1808,3,FALSE)</f>
        <v>adj_SV_CS3LTO_0803_riminflow20231214.dss</v>
      </c>
      <c r="K1267" s="10" t="s">
        <v>2212</v>
      </c>
      <c r="L1267" s="10" t="s">
        <v>2212</v>
      </c>
      <c r="M1267" s="10" t="s">
        <v>2224</v>
      </c>
      <c r="N1267" s="10" t="s">
        <v>2258</v>
      </c>
      <c r="O1267" s="10" t="s">
        <v>2259</v>
      </c>
      <c r="P1267" s="39">
        <v>0.56509966637367903</v>
      </c>
    </row>
    <row r="1268" spans="2:16" ht="18" customHeight="1" x14ac:dyDescent="0.25">
      <c r="B1268" s="21" t="s">
        <v>0</v>
      </c>
      <c r="C1268" s="22" t="s">
        <v>1517</v>
      </c>
      <c r="D1268" s="22" t="s">
        <v>1380</v>
      </c>
      <c r="E1268" s="21" t="s">
        <v>2222</v>
      </c>
      <c r="F1268" s="23" t="s">
        <v>3</v>
      </c>
      <c r="G1268" s="23" t="s">
        <v>4</v>
      </c>
      <c r="H1268" s="21" t="str">
        <f t="shared" si="19"/>
        <v>I_MCD055/INFLOW</v>
      </c>
      <c r="I1268" s="24" t="s">
        <v>2292</v>
      </c>
      <c r="J1268" s="10" t="str">
        <f>VLOOKUP(Table1[[#This Row],[UID]],CS3SVComposerConfig!$B$3:$D$1808,3,FALSE)</f>
        <v>adj_SV_CS3LTO_0803_riminflow20231214.dss</v>
      </c>
      <c r="K1268" s="10" t="s">
        <v>2212</v>
      </c>
      <c r="L1268" s="10" t="s">
        <v>2212</v>
      </c>
      <c r="M1268" s="10" t="s">
        <v>2224</v>
      </c>
      <c r="N1268" s="10" t="s">
        <v>2258</v>
      </c>
      <c r="O1268" s="10" t="s">
        <v>2259</v>
      </c>
      <c r="P1268" s="39">
        <v>0.468188063311958</v>
      </c>
    </row>
    <row r="1269" spans="2:16" ht="18" customHeight="1" x14ac:dyDescent="0.25">
      <c r="B1269" s="21" t="s">
        <v>0</v>
      </c>
      <c r="C1269" s="22" t="s">
        <v>1661</v>
      </c>
      <c r="D1269" s="22" t="s">
        <v>1380</v>
      </c>
      <c r="E1269" s="21" t="s">
        <v>2222</v>
      </c>
      <c r="F1269" s="23" t="s">
        <v>3</v>
      </c>
      <c r="G1269" s="23" t="s">
        <v>4</v>
      </c>
      <c r="H1269" s="21" t="str">
        <f t="shared" si="19"/>
        <v>I_MCLRE/INFLOW</v>
      </c>
      <c r="I1269" s="24" t="s">
        <v>2292</v>
      </c>
      <c r="J1269" s="10" t="str">
        <f>VLOOKUP(Table1[[#This Row],[UID]],CS3SVComposerConfig!$B$3:$D$1808,3,FALSE)</f>
        <v>adj_SV_CS3LTO_0803_riminflow20231214.dss</v>
      </c>
      <c r="K1269" s="10" t="s">
        <v>2212</v>
      </c>
      <c r="L1269" s="10" t="s">
        <v>2212</v>
      </c>
      <c r="M1269" s="10" t="s">
        <v>2224</v>
      </c>
      <c r="N1269" s="10" t="s">
        <v>2258</v>
      </c>
      <c r="O1269" s="10" t="s">
        <v>2259</v>
      </c>
      <c r="P1269" s="39">
        <v>0.86457869938882603</v>
      </c>
    </row>
    <row r="1270" spans="2:16" ht="18" customHeight="1" x14ac:dyDescent="0.25">
      <c r="B1270" s="21" t="s">
        <v>0</v>
      </c>
      <c r="C1270" s="22" t="s">
        <v>1750</v>
      </c>
      <c r="D1270" s="22" t="s">
        <v>1380</v>
      </c>
      <c r="E1270" s="21" t="s">
        <v>2222</v>
      </c>
      <c r="F1270" s="23" t="s">
        <v>3</v>
      </c>
      <c r="G1270" s="23" t="s">
        <v>4</v>
      </c>
      <c r="H1270" s="21" t="str">
        <f t="shared" si="19"/>
        <v>I_MELON_FCST/INFLOW</v>
      </c>
      <c r="I1270" s="24" t="s">
        <v>2292</v>
      </c>
      <c r="J1270" s="10" t="str">
        <f>VLOOKUP(Table1[[#This Row],[UID]],CS3SVComposerConfig!$B$3:$D$1808,3,FALSE)</f>
        <v>DCR2023_SV_Danube_Hist_v3.dss</v>
      </c>
      <c r="K1270" s="10" t="s">
        <v>2212</v>
      </c>
      <c r="L1270" s="10" t="s">
        <v>2212</v>
      </c>
      <c r="M1270" s="10" t="s">
        <v>2224</v>
      </c>
      <c r="N1270" s="10" t="s">
        <v>2258</v>
      </c>
      <c r="O1270" s="10" t="s">
        <v>2259</v>
      </c>
      <c r="P1270" s="39">
        <v>0.84075290987156304</v>
      </c>
    </row>
    <row r="1271" spans="2:16" ht="18" customHeight="1" x14ac:dyDescent="0.25">
      <c r="B1271" s="21" t="s">
        <v>0</v>
      </c>
      <c r="C1271" s="22" t="s">
        <v>1655</v>
      </c>
      <c r="D1271" s="22" t="s">
        <v>1380</v>
      </c>
      <c r="E1271" s="21" t="s">
        <v>2222</v>
      </c>
      <c r="F1271" s="23" t="s">
        <v>3</v>
      </c>
      <c r="G1271" s="23" t="s">
        <v>4</v>
      </c>
      <c r="H1271" s="21" t="str">
        <f t="shared" si="19"/>
        <v>I_MERLC/INFLOW</v>
      </c>
      <c r="I1271" s="24" t="s">
        <v>2292</v>
      </c>
      <c r="J1271" s="10" t="str">
        <f>VLOOKUP(Table1[[#This Row],[UID]],CS3SVComposerConfig!$B$3:$D$1808,3,FALSE)</f>
        <v>adj_SV_CS3LTO_0803_riminflow20231214.dss</v>
      </c>
      <c r="K1271" s="10" t="s">
        <v>2212</v>
      </c>
      <c r="L1271" s="10" t="s">
        <v>2212</v>
      </c>
      <c r="M1271" s="10" t="s">
        <v>2224</v>
      </c>
      <c r="N1271" s="10" t="s">
        <v>2258</v>
      </c>
      <c r="O1271" s="10" t="s">
        <v>2259</v>
      </c>
      <c r="P1271" s="39">
        <v>0.77372105924494206</v>
      </c>
    </row>
    <row r="1272" spans="2:16" ht="18" customHeight="1" x14ac:dyDescent="0.25">
      <c r="B1272" s="21" t="s">
        <v>0</v>
      </c>
      <c r="C1272" s="22" t="s">
        <v>1547</v>
      </c>
      <c r="D1272" s="22" t="s">
        <v>1380</v>
      </c>
      <c r="E1272" s="21" t="s">
        <v>2222</v>
      </c>
      <c r="F1272" s="23" t="s">
        <v>3</v>
      </c>
      <c r="G1272" s="23" t="s">
        <v>4</v>
      </c>
      <c r="H1272" s="21" t="str">
        <f t="shared" si="19"/>
        <v>I_MFA001/INFLOW</v>
      </c>
      <c r="I1272" s="24" t="s">
        <v>2292</v>
      </c>
      <c r="J1272" s="10" t="str">
        <f>VLOOKUP(Table1[[#This Row],[UID]],CS3SVComposerConfig!$B$3:$D$1808,3,FALSE)</f>
        <v>adj_SV_CS3LTO_0803_riminflow20231214.dss</v>
      </c>
      <c r="K1272" s="10" t="s">
        <v>2212</v>
      </c>
      <c r="L1272" s="10" t="s">
        <v>2212</v>
      </c>
      <c r="M1272" s="10" t="s">
        <v>2224</v>
      </c>
      <c r="N1272" s="10" t="s">
        <v>2258</v>
      </c>
      <c r="O1272" s="10" t="s">
        <v>2259</v>
      </c>
      <c r="P1272" s="39">
        <v>0.475613199348766</v>
      </c>
    </row>
    <row r="1273" spans="2:16" ht="18" customHeight="1" x14ac:dyDescent="0.25">
      <c r="B1273" s="21" t="s">
        <v>0</v>
      </c>
      <c r="C1273" s="22" t="s">
        <v>1545</v>
      </c>
      <c r="D1273" s="22" t="s">
        <v>1380</v>
      </c>
      <c r="E1273" s="21" t="s">
        <v>2222</v>
      </c>
      <c r="F1273" s="23" t="s">
        <v>3</v>
      </c>
      <c r="G1273" s="23" t="s">
        <v>4</v>
      </c>
      <c r="H1273" s="21" t="str">
        <f t="shared" si="19"/>
        <v>I_MFA023/INFLOW</v>
      </c>
      <c r="I1273" s="24" t="s">
        <v>2292</v>
      </c>
      <c r="J1273" s="10" t="str">
        <f>VLOOKUP(Table1[[#This Row],[UID]],CS3SVComposerConfig!$B$3:$D$1808,3,FALSE)</f>
        <v>adj_SV_CS3LTO_0803_riminflow20231214.dss</v>
      </c>
      <c r="K1273" s="10" t="s">
        <v>2212</v>
      </c>
      <c r="L1273" s="10" t="s">
        <v>2212</v>
      </c>
      <c r="M1273" s="10" t="s">
        <v>2224</v>
      </c>
      <c r="N1273" s="10" t="s">
        <v>2258</v>
      </c>
      <c r="O1273" s="10" t="s">
        <v>2259</v>
      </c>
      <c r="P1273" s="39">
        <v>0.67794110763936499</v>
      </c>
    </row>
    <row r="1274" spans="2:16" ht="18" customHeight="1" x14ac:dyDescent="0.25">
      <c r="B1274" s="21" t="s">
        <v>0</v>
      </c>
      <c r="C1274" s="22" t="s">
        <v>1549</v>
      </c>
      <c r="D1274" s="22" t="s">
        <v>1380</v>
      </c>
      <c r="E1274" s="21" t="s">
        <v>2222</v>
      </c>
      <c r="F1274" s="23" t="s">
        <v>3</v>
      </c>
      <c r="G1274" s="23" t="s">
        <v>4</v>
      </c>
      <c r="H1274" s="21" t="str">
        <f t="shared" si="19"/>
        <v>I_MFA025/INFLOW</v>
      </c>
      <c r="I1274" s="24" t="s">
        <v>2292</v>
      </c>
      <c r="J1274" s="10" t="str">
        <f>VLOOKUP(Table1[[#This Row],[UID]],CS3SVComposerConfig!$B$3:$D$1808,3,FALSE)</f>
        <v>adj_SV_CS3LTO_0803_riminflow20231214.dss</v>
      </c>
      <c r="K1274" s="10" t="s">
        <v>2212</v>
      </c>
      <c r="L1274" s="10" t="s">
        <v>2212</v>
      </c>
      <c r="M1274" s="10" t="s">
        <v>2224</v>
      </c>
      <c r="N1274" s="10" t="s">
        <v>2258</v>
      </c>
      <c r="O1274" s="10" t="s">
        <v>2259</v>
      </c>
      <c r="P1274" s="39">
        <v>0.68448138402269498</v>
      </c>
    </row>
    <row r="1275" spans="2:16" ht="18" customHeight="1" x14ac:dyDescent="0.25">
      <c r="B1275" s="21" t="s">
        <v>0</v>
      </c>
      <c r="C1275" s="22" t="s">
        <v>1543</v>
      </c>
      <c r="D1275" s="22" t="s">
        <v>1380</v>
      </c>
      <c r="E1275" s="21" t="s">
        <v>2222</v>
      </c>
      <c r="F1275" s="23" t="s">
        <v>3</v>
      </c>
      <c r="G1275" s="23" t="s">
        <v>4</v>
      </c>
      <c r="H1275" s="21" t="str">
        <f t="shared" si="19"/>
        <v>I_MFA036/INFLOW</v>
      </c>
      <c r="I1275" s="24" t="s">
        <v>2292</v>
      </c>
      <c r="J1275" s="10" t="str">
        <f>VLOOKUP(Table1[[#This Row],[UID]],CS3SVComposerConfig!$B$3:$D$1808,3,FALSE)</f>
        <v>adj_SV_CS3LTO_0803_riminflow20231214.dss</v>
      </c>
      <c r="K1275" s="10" t="s">
        <v>2212</v>
      </c>
      <c r="L1275" s="10" t="s">
        <v>2212</v>
      </c>
      <c r="M1275" s="10" t="s">
        <v>2224</v>
      </c>
      <c r="N1275" s="10" t="s">
        <v>2258</v>
      </c>
      <c r="O1275" s="10" t="s">
        <v>2259</v>
      </c>
      <c r="P1275" s="39">
        <v>0.55141470281910099</v>
      </c>
    </row>
    <row r="1276" spans="2:16" ht="18" customHeight="1" x14ac:dyDescent="0.25">
      <c r="B1276" s="21" t="s">
        <v>0</v>
      </c>
      <c r="C1276" s="22" t="s">
        <v>1507</v>
      </c>
      <c r="D1276" s="22" t="s">
        <v>1380</v>
      </c>
      <c r="E1276" s="21" t="s">
        <v>2222</v>
      </c>
      <c r="F1276" s="23" t="s">
        <v>3</v>
      </c>
      <c r="G1276" s="23" t="s">
        <v>4</v>
      </c>
      <c r="H1276" s="21" t="str">
        <f t="shared" si="19"/>
        <v>I_MFF019/INFLOW</v>
      </c>
      <c r="I1276" s="24" t="s">
        <v>2292</v>
      </c>
      <c r="J1276" s="10" t="str">
        <f>VLOOKUP(Table1[[#This Row],[UID]],CS3SVComposerConfig!$B$3:$D$1808,3,FALSE)</f>
        <v>adj_SV_CS3LTO_0803_riminflow20231214.dss</v>
      </c>
      <c r="K1276" s="10" t="s">
        <v>2212</v>
      </c>
      <c r="L1276" s="10" t="s">
        <v>2212</v>
      </c>
      <c r="M1276" s="10" t="s">
        <v>2224</v>
      </c>
      <c r="N1276" s="10" t="s">
        <v>2258</v>
      </c>
      <c r="O1276" s="10" t="s">
        <v>2259</v>
      </c>
      <c r="P1276" s="39">
        <v>0.735788067871885</v>
      </c>
    </row>
    <row r="1277" spans="2:16" ht="18" customHeight="1" x14ac:dyDescent="0.25">
      <c r="B1277" s="21" t="s">
        <v>0</v>
      </c>
      <c r="C1277" s="22" t="s">
        <v>1511</v>
      </c>
      <c r="D1277" s="22" t="s">
        <v>1380</v>
      </c>
      <c r="E1277" s="21" t="s">
        <v>2222</v>
      </c>
      <c r="F1277" s="23" t="s">
        <v>3</v>
      </c>
      <c r="G1277" s="23" t="s">
        <v>4</v>
      </c>
      <c r="H1277" s="21" t="str">
        <f t="shared" si="19"/>
        <v>I_MFF087/INFLOW</v>
      </c>
      <c r="I1277" s="24" t="s">
        <v>2292</v>
      </c>
      <c r="J1277" s="10" t="str">
        <f>VLOOKUP(Table1[[#This Row],[UID]],CS3SVComposerConfig!$B$3:$D$1808,3,FALSE)</f>
        <v>adj_SV_CS3LTO_0803_riminflow20231214.dss</v>
      </c>
      <c r="K1277" s="10" t="s">
        <v>2212</v>
      </c>
      <c r="L1277" s="10" t="s">
        <v>2212</v>
      </c>
      <c r="M1277" s="10" t="s">
        <v>2224</v>
      </c>
      <c r="N1277" s="10" t="s">
        <v>2258</v>
      </c>
      <c r="O1277" s="10" t="s">
        <v>2259</v>
      </c>
      <c r="P1277" s="39">
        <v>0.71174291109755705</v>
      </c>
    </row>
    <row r="1278" spans="2:16" ht="18" customHeight="1" x14ac:dyDescent="0.25">
      <c r="B1278" s="21" t="s">
        <v>0</v>
      </c>
      <c r="C1278" s="22" t="s">
        <v>1505</v>
      </c>
      <c r="D1278" s="22" t="s">
        <v>1380</v>
      </c>
      <c r="E1278" s="21" t="s">
        <v>2222</v>
      </c>
      <c r="F1278" s="23" t="s">
        <v>3</v>
      </c>
      <c r="G1278" s="23" t="s">
        <v>4</v>
      </c>
      <c r="H1278" s="21" t="str">
        <f t="shared" si="19"/>
        <v>I_MFM008/INFLOW</v>
      </c>
      <c r="I1278" s="24" t="s">
        <v>2292</v>
      </c>
      <c r="J1278" s="10" t="str">
        <f>VLOOKUP(Table1[[#This Row],[UID]],CS3SVComposerConfig!$B$3:$D$1808,3,FALSE)</f>
        <v>adj_SV_CS3LTO_0803_riminflow20231214.dss</v>
      </c>
      <c r="K1278" s="10" t="s">
        <v>2212</v>
      </c>
      <c r="L1278" s="10" t="s">
        <v>2212</v>
      </c>
      <c r="M1278" s="10" t="s">
        <v>2224</v>
      </c>
      <c r="N1278" s="10" t="s">
        <v>2258</v>
      </c>
      <c r="O1278" s="10" t="s">
        <v>2259</v>
      </c>
      <c r="P1278" s="39">
        <v>0.77429732327983203</v>
      </c>
    </row>
    <row r="1279" spans="2:16" ht="18" customHeight="1" x14ac:dyDescent="0.25">
      <c r="B1279" s="21" t="s">
        <v>0</v>
      </c>
      <c r="C1279" s="22" t="s">
        <v>1513</v>
      </c>
      <c r="D1279" s="22" t="s">
        <v>1380</v>
      </c>
      <c r="E1279" s="21" t="s">
        <v>2222</v>
      </c>
      <c r="F1279" s="23" t="s">
        <v>3</v>
      </c>
      <c r="G1279" s="23" t="s">
        <v>4</v>
      </c>
      <c r="H1279" s="21" t="str">
        <f t="shared" si="19"/>
        <v>I_MFS013/INFLOW</v>
      </c>
      <c r="I1279" s="24" t="s">
        <v>2292</v>
      </c>
      <c r="J1279" s="10" t="str">
        <f>VLOOKUP(Table1[[#This Row],[UID]],CS3SVComposerConfig!$B$3:$D$1808,3,FALSE)</f>
        <v>adj_SV_CS3LTO_0803_riminflow20231214.dss</v>
      </c>
      <c r="K1279" s="10" t="s">
        <v>2212</v>
      </c>
      <c r="L1279" s="10" t="s">
        <v>2212</v>
      </c>
      <c r="M1279" s="10" t="s">
        <v>2224</v>
      </c>
      <c r="N1279" s="10" t="s">
        <v>2258</v>
      </c>
      <c r="O1279" s="10" t="s">
        <v>2259</v>
      </c>
      <c r="P1279" s="39">
        <v>0.34664138288782897</v>
      </c>
    </row>
    <row r="1280" spans="2:16" ht="18" customHeight="1" x14ac:dyDescent="0.25">
      <c r="B1280" s="21" t="s">
        <v>0</v>
      </c>
      <c r="C1280" s="22" t="s">
        <v>1653</v>
      </c>
      <c r="D1280" s="22" t="s">
        <v>1380</v>
      </c>
      <c r="E1280" s="21" t="s">
        <v>2222</v>
      </c>
      <c r="F1280" s="23" t="s">
        <v>3</v>
      </c>
      <c r="G1280" s="23" t="s">
        <v>4</v>
      </c>
      <c r="H1280" s="21" t="str">
        <f t="shared" si="19"/>
        <v>I_MFS022/INFLOW</v>
      </c>
      <c r="I1280" s="24" t="s">
        <v>2292</v>
      </c>
      <c r="J1280" s="10" t="str">
        <f>VLOOKUP(Table1[[#This Row],[UID]],CS3SVComposerConfig!$B$3:$D$1808,3,FALSE)</f>
        <v>adj_SV_CS3LTO_0803_riminflow20231214.dss</v>
      </c>
      <c r="K1280" s="10" t="s">
        <v>2212</v>
      </c>
      <c r="L1280" s="10" t="s">
        <v>2212</v>
      </c>
      <c r="M1280" s="10" t="s">
        <v>2224</v>
      </c>
      <c r="N1280" s="10" t="s">
        <v>2258</v>
      </c>
      <c r="O1280" s="10" t="s">
        <v>2259</v>
      </c>
      <c r="P1280" s="39">
        <v>0.39291960732474002</v>
      </c>
    </row>
    <row r="1281" spans="2:16" ht="18" customHeight="1" x14ac:dyDescent="0.25">
      <c r="B1281" s="21" t="s">
        <v>0</v>
      </c>
      <c r="C1281" s="22" t="s">
        <v>1515</v>
      </c>
      <c r="D1281" s="22" t="s">
        <v>1380</v>
      </c>
      <c r="E1281" s="21" t="s">
        <v>2222</v>
      </c>
      <c r="F1281" s="23" t="s">
        <v>3</v>
      </c>
      <c r="G1281" s="23" t="s">
        <v>4</v>
      </c>
      <c r="H1281" s="21" t="str">
        <f t="shared" si="19"/>
        <v>I_MFS047/INFLOW</v>
      </c>
      <c r="I1281" s="24" t="s">
        <v>2292</v>
      </c>
      <c r="J1281" s="10" t="str">
        <f>VLOOKUP(Table1[[#This Row],[UID]],CS3SVComposerConfig!$B$3:$D$1808,3,FALSE)</f>
        <v>adj_SV_CS3LTO_0803_riminflow20231214.dss</v>
      </c>
      <c r="K1281" s="10" t="s">
        <v>2212</v>
      </c>
      <c r="L1281" s="10" t="s">
        <v>2212</v>
      </c>
      <c r="M1281" s="10" t="s">
        <v>2224</v>
      </c>
      <c r="N1281" s="10" t="s">
        <v>2258</v>
      </c>
      <c r="O1281" s="10" t="s">
        <v>2259</v>
      </c>
      <c r="P1281" s="39">
        <v>0.85007358310275305</v>
      </c>
    </row>
    <row r="1282" spans="2:16" ht="18" customHeight="1" x14ac:dyDescent="0.25">
      <c r="B1282" s="21" t="s">
        <v>0</v>
      </c>
      <c r="C1282" s="22" t="s">
        <v>1462</v>
      </c>
      <c r="D1282" s="22" t="s">
        <v>1380</v>
      </c>
      <c r="E1282" s="21" t="s">
        <v>2222</v>
      </c>
      <c r="F1282" s="23" t="s">
        <v>3</v>
      </c>
      <c r="G1282" s="23" t="s">
        <v>4</v>
      </c>
      <c r="H1282" s="21" t="str">
        <f t="shared" si="19"/>
        <v>I_MFT000/INFLOW</v>
      </c>
      <c r="I1282" s="24" t="s">
        <v>2292</v>
      </c>
      <c r="J1282" s="10" t="str">
        <f>VLOOKUP(Table1[[#This Row],[UID]],CS3SVComposerConfig!$B$3:$D$1808,3,FALSE)</f>
        <v>DCR2023_SV_Danube_Hist_v3.dss</v>
      </c>
      <c r="K1282" s="10" t="s">
        <v>2224</v>
      </c>
      <c r="L1282" s="10" t="s">
        <v>2212</v>
      </c>
      <c r="M1282" s="10" t="s">
        <v>2224</v>
      </c>
      <c r="N1282" s="10" t="s">
        <v>2227</v>
      </c>
      <c r="O1282" s="10" t="s">
        <v>2227</v>
      </c>
      <c r="P1282" s="39" t="s">
        <v>2227</v>
      </c>
    </row>
    <row r="1283" spans="2:16" ht="18" customHeight="1" x14ac:dyDescent="0.25">
      <c r="B1283" s="21" t="s">
        <v>0</v>
      </c>
      <c r="C1283" s="22" t="s">
        <v>1525</v>
      </c>
      <c r="D1283" s="22" t="s">
        <v>1380</v>
      </c>
      <c r="E1283" s="21" t="s">
        <v>2222</v>
      </c>
      <c r="F1283" s="23" t="s">
        <v>3</v>
      </c>
      <c r="G1283" s="23" t="s">
        <v>4</v>
      </c>
      <c r="H1283" s="21" t="str">
        <f t="shared" ref="H1283:H1346" si="20">_xlfn.CONCAT(C1283,"/",D1283)</f>
        <v>I_MFY013/INFLOW</v>
      </c>
      <c r="I1283" s="24" t="s">
        <v>2292</v>
      </c>
      <c r="J1283" s="10" t="str">
        <f>VLOOKUP(Table1[[#This Row],[UID]],CS3SVComposerConfig!$B$3:$D$1808,3,FALSE)</f>
        <v>adj_SV_CS3LTO_0803_riminflow20231214.dss</v>
      </c>
      <c r="K1283" s="10" t="s">
        <v>2212</v>
      </c>
      <c r="L1283" s="10" t="s">
        <v>2212</v>
      </c>
      <c r="M1283" s="10" t="s">
        <v>2224</v>
      </c>
      <c r="N1283" s="10" t="s">
        <v>2258</v>
      </c>
      <c r="O1283" s="10" t="s">
        <v>2259</v>
      </c>
      <c r="P1283" s="39">
        <v>0.816859905765289</v>
      </c>
    </row>
    <row r="1284" spans="2:16" ht="18" customHeight="1" x14ac:dyDescent="0.25">
      <c r="B1284" s="21" t="s">
        <v>0</v>
      </c>
      <c r="C1284" s="22" t="s">
        <v>1501</v>
      </c>
      <c r="D1284" s="22" t="s">
        <v>1380</v>
      </c>
      <c r="E1284" s="21" t="s">
        <v>2222</v>
      </c>
      <c r="F1284" s="23" t="s">
        <v>3</v>
      </c>
      <c r="G1284" s="23" t="s">
        <v>4</v>
      </c>
      <c r="H1284" s="21" t="str">
        <f t="shared" si="20"/>
        <v>I_MIL003/INFLOW</v>
      </c>
      <c r="I1284" s="24" t="s">
        <v>2292</v>
      </c>
      <c r="J1284" s="10" t="str">
        <f>VLOOKUP(Table1[[#This Row],[UID]],CS3SVComposerConfig!$B$3:$D$1808,3,FALSE)</f>
        <v>adj_SV_CS3LTO_0803_riminflow20231214.dss</v>
      </c>
      <c r="K1284" s="10" t="s">
        <v>2212</v>
      </c>
      <c r="L1284" s="10" t="s">
        <v>2212</v>
      </c>
      <c r="M1284" s="10" t="s">
        <v>2224</v>
      </c>
      <c r="N1284" s="10" t="s">
        <v>2258</v>
      </c>
      <c r="O1284" s="10" t="s">
        <v>2259</v>
      </c>
      <c r="P1284" s="39">
        <v>0.49905265813015798</v>
      </c>
    </row>
    <row r="1285" spans="2:16" ht="18" customHeight="1" x14ac:dyDescent="0.25">
      <c r="B1285" s="21" t="s">
        <v>0</v>
      </c>
      <c r="C1285" s="22" t="s">
        <v>1503</v>
      </c>
      <c r="D1285" s="22" t="s">
        <v>1380</v>
      </c>
      <c r="E1285" s="21" t="s">
        <v>2222</v>
      </c>
      <c r="F1285" s="23" t="s">
        <v>3</v>
      </c>
      <c r="G1285" s="23" t="s">
        <v>4</v>
      </c>
      <c r="H1285" s="21" t="str">
        <f t="shared" si="20"/>
        <v>I_MLC006/INFLOW</v>
      </c>
      <c r="I1285" s="24" t="s">
        <v>2292</v>
      </c>
      <c r="J1285" s="10" t="str">
        <f>VLOOKUP(Table1[[#This Row],[UID]],CS3SVComposerConfig!$B$3:$D$1808,3,FALSE)</f>
        <v>adj_SV_CS3LTO_0803_riminflow20231214.dss</v>
      </c>
      <c r="K1285" s="10" t="s">
        <v>2212</v>
      </c>
      <c r="L1285" s="10" t="s">
        <v>2212</v>
      </c>
      <c r="M1285" s="10" t="s">
        <v>2224</v>
      </c>
      <c r="N1285" s="10" t="s">
        <v>2258</v>
      </c>
      <c r="O1285" s="10" t="s">
        <v>2259</v>
      </c>
      <c r="P1285" s="39">
        <v>0.843561896444741</v>
      </c>
    </row>
    <row r="1286" spans="2:16" ht="18" customHeight="1" x14ac:dyDescent="0.25">
      <c r="B1286" s="21" t="s">
        <v>0</v>
      </c>
      <c r="C1286" s="22" t="s">
        <v>1651</v>
      </c>
      <c r="D1286" s="22" t="s">
        <v>1380</v>
      </c>
      <c r="E1286" s="21" t="s">
        <v>2222</v>
      </c>
      <c r="F1286" s="23" t="s">
        <v>3</v>
      </c>
      <c r="G1286" s="23" t="s">
        <v>4</v>
      </c>
      <c r="H1286" s="21" t="str">
        <f t="shared" si="20"/>
        <v>I_MLRTN/INFLOW</v>
      </c>
      <c r="I1286" s="24" t="s">
        <v>2292</v>
      </c>
      <c r="J1286" s="10" t="str">
        <f>VLOOKUP(Table1[[#This Row],[UID]],CS3SVComposerConfig!$B$3:$D$1808,3,FALSE)</f>
        <v>I_MLRTN_HistAdj.dss</v>
      </c>
      <c r="K1286" s="10" t="s">
        <v>2212</v>
      </c>
      <c r="L1286" s="10" t="s">
        <v>2212</v>
      </c>
      <c r="M1286" s="10" t="s">
        <v>2224</v>
      </c>
      <c r="N1286" s="10" t="s">
        <v>2258</v>
      </c>
      <c r="O1286" s="10" t="s">
        <v>2259</v>
      </c>
      <c r="P1286" s="39">
        <v>0.868750122211292</v>
      </c>
    </row>
    <row r="1287" spans="2:16" ht="18" customHeight="1" x14ac:dyDescent="0.25">
      <c r="B1287" s="21" t="s">
        <v>0</v>
      </c>
      <c r="C1287" s="22" t="s">
        <v>2294</v>
      </c>
      <c r="D1287" s="22" t="s">
        <v>1380</v>
      </c>
      <c r="E1287" s="21" t="s">
        <v>2222</v>
      </c>
      <c r="F1287" s="23" t="s">
        <v>3</v>
      </c>
      <c r="G1287" s="23" t="s">
        <v>4</v>
      </c>
      <c r="H1287" s="21" t="str">
        <f t="shared" si="20"/>
        <v>I_MLRTN_IMP/INFLOW</v>
      </c>
      <c r="I1287" s="24" t="s">
        <v>2292</v>
      </c>
      <c r="J1287" s="10" t="str">
        <f>VLOOKUP(Table1[[#This Row],[UID]],CS3SVComposerConfig!$B$3:$D$1808,3,FALSE)</f>
        <v>I_MLRTN_HistAdj.dss</v>
      </c>
      <c r="K1287" s="10" t="s">
        <v>2212</v>
      </c>
      <c r="L1287" s="10" t="s">
        <v>2212</v>
      </c>
      <c r="M1287" s="10" t="s">
        <v>2224</v>
      </c>
      <c r="N1287" s="10" t="s">
        <v>2258</v>
      </c>
      <c r="O1287" s="10" t="s">
        <v>2259</v>
      </c>
      <c r="P1287" s="39">
        <v>0.75803598866189803</v>
      </c>
    </row>
    <row r="1288" spans="2:16" ht="18" customHeight="1" x14ac:dyDescent="0.25">
      <c r="B1288" s="21" t="s">
        <v>0</v>
      </c>
      <c r="C1288" s="22" t="s">
        <v>1499</v>
      </c>
      <c r="D1288" s="22" t="s">
        <v>1380</v>
      </c>
      <c r="E1288" s="21" t="s">
        <v>2222</v>
      </c>
      <c r="F1288" s="23" t="s">
        <v>3</v>
      </c>
      <c r="G1288" s="23" t="s">
        <v>4</v>
      </c>
      <c r="H1288" s="21" t="str">
        <f t="shared" si="20"/>
        <v>I_MNS000/INFLOW</v>
      </c>
      <c r="I1288" s="24" t="s">
        <v>2292</v>
      </c>
      <c r="J1288" s="10" t="str">
        <f>VLOOKUP(Table1[[#This Row],[UID]],CS3SVComposerConfig!$B$3:$D$1808,3,FALSE)</f>
        <v>adj_SV_CS3LTO_0803_riminflow20231214.dss</v>
      </c>
      <c r="K1288" s="10" t="s">
        <v>2212</v>
      </c>
      <c r="L1288" s="10" t="s">
        <v>2212</v>
      </c>
      <c r="M1288" s="10" t="s">
        <v>2224</v>
      </c>
      <c r="N1288" s="10" t="s">
        <v>2258</v>
      </c>
      <c r="O1288" s="10" t="s">
        <v>2259</v>
      </c>
      <c r="P1288" s="39">
        <v>0.79799035637925997</v>
      </c>
    </row>
    <row r="1289" spans="2:16" ht="18" customHeight="1" x14ac:dyDescent="0.25">
      <c r="B1289" s="21" t="s">
        <v>0</v>
      </c>
      <c r="C1289" s="22" t="s">
        <v>1454</v>
      </c>
      <c r="D1289" s="22" t="s">
        <v>1380</v>
      </c>
      <c r="E1289" s="21" t="s">
        <v>2222</v>
      </c>
      <c r="F1289" s="23" t="s">
        <v>3</v>
      </c>
      <c r="G1289" s="23" t="s">
        <v>4</v>
      </c>
      <c r="H1289" s="21" t="str">
        <f t="shared" si="20"/>
        <v>I_MOC003/INFLOW</v>
      </c>
      <c r="I1289" s="24" t="s">
        <v>2292</v>
      </c>
      <c r="J1289" s="10" t="str">
        <f>VLOOKUP(Table1[[#This Row],[UID]],CS3SVComposerConfig!$B$3:$D$1808,3,FALSE)</f>
        <v>DCR2023_SV_Danube_Hist_v3.dss</v>
      </c>
      <c r="K1289" s="10" t="s">
        <v>2224</v>
      </c>
      <c r="L1289" s="10" t="s">
        <v>2212</v>
      </c>
      <c r="M1289" s="10" t="s">
        <v>2224</v>
      </c>
      <c r="N1289" s="10" t="s">
        <v>2227</v>
      </c>
      <c r="O1289" s="10" t="s">
        <v>2227</v>
      </c>
      <c r="P1289" s="39" t="s">
        <v>2227</v>
      </c>
    </row>
    <row r="1290" spans="2:16" ht="18" customHeight="1" x14ac:dyDescent="0.25">
      <c r="B1290" s="21" t="s">
        <v>0</v>
      </c>
      <c r="C1290" s="22" t="s">
        <v>1497</v>
      </c>
      <c r="D1290" s="22" t="s">
        <v>1380</v>
      </c>
      <c r="E1290" s="21" t="s">
        <v>2222</v>
      </c>
      <c r="F1290" s="23" t="s">
        <v>3</v>
      </c>
      <c r="G1290" s="23" t="s">
        <v>4</v>
      </c>
      <c r="H1290" s="21" t="str">
        <f t="shared" si="20"/>
        <v>I_MOK079/INFLOW</v>
      </c>
      <c r="I1290" s="24" t="s">
        <v>2292</v>
      </c>
      <c r="J1290" s="10" t="str">
        <f>VLOOKUP(Table1[[#This Row],[UID]],CS3SVComposerConfig!$B$3:$D$1808,3,FALSE)</f>
        <v>adj_SV_CS3LTO_0803_riminflow20231214.dss</v>
      </c>
      <c r="K1290" s="10" t="s">
        <v>2212</v>
      </c>
      <c r="L1290" s="10" t="s">
        <v>2212</v>
      </c>
      <c r="M1290" s="10" t="s">
        <v>2224</v>
      </c>
      <c r="N1290" s="10" t="s">
        <v>2258</v>
      </c>
      <c r="O1290" s="10" t="s">
        <v>2259</v>
      </c>
      <c r="P1290" s="39">
        <v>0.35600856185640201</v>
      </c>
    </row>
    <row r="1291" spans="2:16" ht="18" customHeight="1" x14ac:dyDescent="0.25">
      <c r="B1291" s="21" t="s">
        <v>0</v>
      </c>
      <c r="C1291" s="22" t="s">
        <v>1726</v>
      </c>
      <c r="D1291" s="22" t="s">
        <v>1380</v>
      </c>
      <c r="E1291" s="21" t="s">
        <v>2222</v>
      </c>
      <c r="F1291" s="23" t="s">
        <v>3</v>
      </c>
      <c r="G1291" s="23" t="s">
        <v>4</v>
      </c>
      <c r="H1291" s="21" t="str">
        <f t="shared" si="20"/>
        <v>I_MPS038/INFLOW</v>
      </c>
      <c r="I1291" s="24" t="s">
        <v>2292</v>
      </c>
      <c r="J1291" s="10" t="str">
        <f>VLOOKUP(Table1[[#This Row],[UID]],CS3SVComposerConfig!$B$3:$D$1808,3,FALSE)</f>
        <v>adj_SV_CS3LTO_0803_riminflow20231214.dss</v>
      </c>
      <c r="K1291" s="10" t="s">
        <v>2212</v>
      </c>
      <c r="L1291" s="10" t="s">
        <v>2212</v>
      </c>
      <c r="M1291" s="10" t="s">
        <v>2224</v>
      </c>
      <c r="N1291" s="10" t="s">
        <v>2258</v>
      </c>
      <c r="O1291" s="10" t="s">
        <v>2259</v>
      </c>
      <c r="P1291" s="39">
        <v>0.220788651694036</v>
      </c>
    </row>
    <row r="1292" spans="2:16" ht="18" customHeight="1" x14ac:dyDescent="0.25">
      <c r="B1292" s="21" t="s">
        <v>0</v>
      </c>
      <c r="C1292" s="22" t="s">
        <v>1519</v>
      </c>
      <c r="D1292" s="22" t="s">
        <v>1380</v>
      </c>
      <c r="E1292" s="21" t="s">
        <v>2222</v>
      </c>
      <c r="F1292" s="23" t="s">
        <v>3</v>
      </c>
      <c r="G1292" s="23" t="s">
        <v>4</v>
      </c>
      <c r="H1292" s="21" t="str">
        <f t="shared" si="20"/>
        <v>I_MSH015/INFLOW</v>
      </c>
      <c r="I1292" s="24" t="s">
        <v>2292</v>
      </c>
      <c r="J1292" s="10" t="str">
        <f>VLOOKUP(Table1[[#This Row],[UID]],CS3SVComposerConfig!$B$3:$D$1808,3,FALSE)</f>
        <v>adj_SV_CS3LTO_0803_riminflow20231214.dss</v>
      </c>
      <c r="K1292" s="10" t="s">
        <v>2212</v>
      </c>
      <c r="L1292" s="10" t="s">
        <v>2212</v>
      </c>
      <c r="M1292" s="10" t="s">
        <v>2224</v>
      </c>
      <c r="N1292" s="10" t="s">
        <v>2258</v>
      </c>
      <c r="O1292" s="10" t="s">
        <v>2259</v>
      </c>
      <c r="P1292" s="39">
        <v>0.74994558878299999</v>
      </c>
    </row>
    <row r="1293" spans="2:16" ht="18" customHeight="1" x14ac:dyDescent="0.25">
      <c r="B1293" s="21" t="s">
        <v>0</v>
      </c>
      <c r="C1293" s="22" t="s">
        <v>1649</v>
      </c>
      <c r="D1293" s="22" t="s">
        <v>1380</v>
      </c>
      <c r="E1293" s="21" t="s">
        <v>2222</v>
      </c>
      <c r="F1293" s="23" t="s">
        <v>3</v>
      </c>
      <c r="G1293" s="23" t="s">
        <v>4</v>
      </c>
      <c r="H1293" s="21" t="str">
        <f t="shared" si="20"/>
        <v>I_MTMDW/INFLOW</v>
      </c>
      <c r="I1293" s="24" t="s">
        <v>2292</v>
      </c>
      <c r="J1293" s="10" t="str">
        <f>VLOOKUP(Table1[[#This Row],[UID]],CS3SVComposerConfig!$B$3:$D$1808,3,FALSE)</f>
        <v>adj_SV_CS3LTO_0803_riminflow20231214.dss</v>
      </c>
      <c r="K1293" s="10" t="s">
        <v>2212</v>
      </c>
      <c r="L1293" s="10" t="s">
        <v>2212</v>
      </c>
      <c r="M1293" s="10" t="s">
        <v>2224</v>
      </c>
      <c r="N1293" s="10" t="s">
        <v>2258</v>
      </c>
      <c r="O1293" s="10" t="s">
        <v>2259</v>
      </c>
      <c r="P1293" s="39">
        <v>0.56978406040584395</v>
      </c>
    </row>
    <row r="1294" spans="2:16" ht="18" customHeight="1" x14ac:dyDescent="0.25">
      <c r="B1294" s="21" t="s">
        <v>0</v>
      </c>
      <c r="C1294" s="22" t="s">
        <v>1579</v>
      </c>
      <c r="D1294" s="22" t="s">
        <v>1380</v>
      </c>
      <c r="E1294" s="21" t="s">
        <v>2222</v>
      </c>
      <c r="F1294" s="23" t="s">
        <v>3</v>
      </c>
      <c r="G1294" s="23" t="s">
        <v>4</v>
      </c>
      <c r="H1294" s="21" t="str">
        <f t="shared" si="20"/>
        <v>I_NBLDB/INFLOW</v>
      </c>
      <c r="I1294" s="24" t="s">
        <v>2292</v>
      </c>
      <c r="J1294" s="10" t="str">
        <f>VLOOKUP(Table1[[#This Row],[UID]],CS3SVComposerConfig!$B$3:$D$1808,3,FALSE)</f>
        <v>adj_SV_CS3LTO_0803_riminflow20231214.dss</v>
      </c>
      <c r="K1294" s="10" t="s">
        <v>2212</v>
      </c>
      <c r="L1294" s="10" t="s">
        <v>2212</v>
      </c>
      <c r="M1294" s="10" t="s">
        <v>2224</v>
      </c>
      <c r="N1294" s="10" t="s">
        <v>2258</v>
      </c>
      <c r="O1294" s="10" t="s">
        <v>2259</v>
      </c>
      <c r="P1294" s="39">
        <v>0.741355649606945</v>
      </c>
    </row>
    <row r="1295" spans="2:16" ht="18" customHeight="1" x14ac:dyDescent="0.25">
      <c r="B1295" s="21" t="s">
        <v>0</v>
      </c>
      <c r="C1295" s="22" t="s">
        <v>1541</v>
      </c>
      <c r="D1295" s="22" t="s">
        <v>1380</v>
      </c>
      <c r="E1295" s="21" t="s">
        <v>2222</v>
      </c>
      <c r="F1295" s="23" t="s">
        <v>3</v>
      </c>
      <c r="G1295" s="23" t="s">
        <v>4</v>
      </c>
      <c r="H1295" s="21" t="str">
        <f t="shared" si="20"/>
        <v>I_NFA016/INFLOW</v>
      </c>
      <c r="I1295" s="24" t="s">
        <v>2292</v>
      </c>
      <c r="J1295" s="10" t="str">
        <f>VLOOKUP(Table1[[#This Row],[UID]],CS3SVComposerConfig!$B$3:$D$1808,3,FALSE)</f>
        <v>adj_SV_CS3LTO_0803_riminflow20231214.dss</v>
      </c>
      <c r="K1295" s="10" t="s">
        <v>2212</v>
      </c>
      <c r="L1295" s="10" t="s">
        <v>2212</v>
      </c>
      <c r="M1295" s="10" t="s">
        <v>2224</v>
      </c>
      <c r="N1295" s="10" t="s">
        <v>2258</v>
      </c>
      <c r="O1295" s="10" t="s">
        <v>2259</v>
      </c>
      <c r="P1295" s="39">
        <v>0.60597955952971705</v>
      </c>
    </row>
    <row r="1296" spans="2:16" ht="18" customHeight="1" x14ac:dyDescent="0.25">
      <c r="B1296" s="21" t="s">
        <v>0</v>
      </c>
      <c r="C1296" s="22" t="s">
        <v>1490</v>
      </c>
      <c r="D1296" s="22" t="s">
        <v>1380</v>
      </c>
      <c r="E1296" s="21" t="s">
        <v>2222</v>
      </c>
      <c r="F1296" s="23" t="s">
        <v>3</v>
      </c>
      <c r="G1296" s="23" t="s">
        <v>4</v>
      </c>
      <c r="H1296" s="21" t="str">
        <f t="shared" si="20"/>
        <v>I_NFA022/INFLOW</v>
      </c>
      <c r="I1296" s="24" t="s">
        <v>2292</v>
      </c>
      <c r="J1296" s="10" t="str">
        <f>VLOOKUP(Table1[[#This Row],[UID]],CS3SVComposerConfig!$B$3:$D$1808,3,FALSE)</f>
        <v>adj_SV_CS3LTO_0803_riminflow20231214.dss</v>
      </c>
      <c r="K1296" s="10" t="s">
        <v>2212</v>
      </c>
      <c r="L1296" s="10" t="s">
        <v>2212</v>
      </c>
      <c r="M1296" s="10" t="s">
        <v>2224</v>
      </c>
      <c r="N1296" s="10" t="s">
        <v>2258</v>
      </c>
      <c r="O1296" s="10" t="s">
        <v>2259</v>
      </c>
      <c r="P1296" s="39">
        <v>0.61931483170707002</v>
      </c>
    </row>
    <row r="1297" spans="2:16" ht="18" customHeight="1" x14ac:dyDescent="0.25">
      <c r="B1297" s="21" t="s">
        <v>0</v>
      </c>
      <c r="C1297" s="22" t="s">
        <v>1492</v>
      </c>
      <c r="D1297" s="22" t="s">
        <v>1380</v>
      </c>
      <c r="E1297" s="21" t="s">
        <v>2222</v>
      </c>
      <c r="F1297" s="23" t="s">
        <v>3</v>
      </c>
      <c r="G1297" s="23" t="s">
        <v>4</v>
      </c>
      <c r="H1297" s="21" t="str">
        <f t="shared" si="20"/>
        <v>I_NFA054/INFLOW</v>
      </c>
      <c r="I1297" s="24" t="s">
        <v>2292</v>
      </c>
      <c r="J1297" s="10" t="str">
        <f>VLOOKUP(Table1[[#This Row],[UID]],CS3SVComposerConfig!$B$3:$D$1808,3,FALSE)</f>
        <v>adj_SV_CS3LTO_0803_riminflow20231214.dss</v>
      </c>
      <c r="K1297" s="10" t="s">
        <v>2212</v>
      </c>
      <c r="L1297" s="10" t="s">
        <v>2212</v>
      </c>
      <c r="M1297" s="10" t="s">
        <v>2224</v>
      </c>
      <c r="N1297" s="10" t="s">
        <v>2258</v>
      </c>
      <c r="O1297" s="10" t="s">
        <v>2259</v>
      </c>
      <c r="P1297" s="39">
        <v>0.85402018412645897</v>
      </c>
    </row>
    <row r="1298" spans="2:16" ht="18" customHeight="1" x14ac:dyDescent="0.25">
      <c r="B1298" s="21" t="s">
        <v>0</v>
      </c>
      <c r="C1298" s="22" t="s">
        <v>1607</v>
      </c>
      <c r="D1298" s="22" t="s">
        <v>1380</v>
      </c>
      <c r="E1298" s="21" t="s">
        <v>2222</v>
      </c>
      <c r="F1298" s="23" t="s">
        <v>3</v>
      </c>
      <c r="G1298" s="23" t="s">
        <v>4</v>
      </c>
      <c r="H1298" s="21" t="str">
        <f t="shared" si="20"/>
        <v>I_NFF029/INFLOW</v>
      </c>
      <c r="I1298" s="24" t="s">
        <v>2292</v>
      </c>
      <c r="J1298" s="10" t="str">
        <f>VLOOKUP(Table1[[#This Row],[UID]],CS3SVComposerConfig!$B$3:$D$1808,3,FALSE)</f>
        <v>adj_SV_CS3LTO_0803_riminflow20231214.dss</v>
      </c>
      <c r="K1298" s="10" t="s">
        <v>2212</v>
      </c>
      <c r="L1298" s="10" t="s">
        <v>2212</v>
      </c>
      <c r="M1298" s="10" t="s">
        <v>2224</v>
      </c>
      <c r="N1298" s="10" t="s">
        <v>2258</v>
      </c>
      <c r="O1298" s="10" t="s">
        <v>2259</v>
      </c>
      <c r="P1298" s="39">
        <v>0.64443921033433604</v>
      </c>
    </row>
    <row r="1299" spans="2:16" ht="18" customHeight="1" x14ac:dyDescent="0.25">
      <c r="B1299" s="21" t="s">
        <v>0</v>
      </c>
      <c r="C1299" s="22" t="s">
        <v>1447</v>
      </c>
      <c r="D1299" s="22" t="s">
        <v>1380</v>
      </c>
      <c r="E1299" s="21" t="s">
        <v>2222</v>
      </c>
      <c r="F1299" s="23" t="s">
        <v>3</v>
      </c>
      <c r="G1299" s="23" t="s">
        <v>4</v>
      </c>
      <c r="H1299" s="21" t="str">
        <f t="shared" si="20"/>
        <v>I_NFF046/INFLOW</v>
      </c>
      <c r="I1299" s="24" t="s">
        <v>2292</v>
      </c>
      <c r="J1299" s="10" t="str">
        <f>VLOOKUP(Table1[[#This Row],[UID]],CS3SVComposerConfig!$B$3:$D$1808,3,FALSE)</f>
        <v>DCR2023_SV_Danube_Hist_v3.dss</v>
      </c>
      <c r="K1299" s="10" t="s">
        <v>2224</v>
      </c>
      <c r="L1299" s="10" t="s">
        <v>2212</v>
      </c>
      <c r="M1299" s="10" t="s">
        <v>2224</v>
      </c>
      <c r="N1299" s="10" t="s">
        <v>2227</v>
      </c>
      <c r="O1299" s="10" t="s">
        <v>2227</v>
      </c>
      <c r="P1299" s="39" t="s">
        <v>2227</v>
      </c>
    </row>
    <row r="1300" spans="2:16" ht="18" customHeight="1" x14ac:dyDescent="0.25">
      <c r="B1300" s="21" t="s">
        <v>0</v>
      </c>
      <c r="C1300" s="22" t="s">
        <v>1449</v>
      </c>
      <c r="D1300" s="22" t="s">
        <v>1380</v>
      </c>
      <c r="E1300" s="21" t="s">
        <v>2222</v>
      </c>
      <c r="F1300" s="23" t="s">
        <v>3</v>
      </c>
      <c r="G1300" s="23" t="s">
        <v>4</v>
      </c>
      <c r="H1300" s="21" t="str">
        <f t="shared" si="20"/>
        <v>I_NFF058/INFLOW</v>
      </c>
      <c r="I1300" s="24" t="s">
        <v>2292</v>
      </c>
      <c r="J1300" s="10" t="str">
        <f>VLOOKUP(Table1[[#This Row],[UID]],CS3SVComposerConfig!$B$3:$D$1808,3,FALSE)</f>
        <v>DCR2023_SV_Danube_Hist_v3.dss</v>
      </c>
      <c r="K1300" s="10" t="s">
        <v>2224</v>
      </c>
      <c r="L1300" s="10" t="s">
        <v>2212</v>
      </c>
      <c r="M1300" s="10" t="s">
        <v>2224</v>
      </c>
      <c r="N1300" s="10" t="s">
        <v>2227</v>
      </c>
      <c r="O1300" s="10" t="s">
        <v>2227</v>
      </c>
      <c r="P1300" s="39" t="s">
        <v>2227</v>
      </c>
    </row>
    <row r="1301" spans="2:16" ht="18" customHeight="1" x14ac:dyDescent="0.25">
      <c r="B1301" s="21" t="s">
        <v>0</v>
      </c>
      <c r="C1301" s="22" t="s">
        <v>1486</v>
      </c>
      <c r="D1301" s="22" t="s">
        <v>1380</v>
      </c>
      <c r="E1301" s="21" t="s">
        <v>2222</v>
      </c>
      <c r="F1301" s="23" t="s">
        <v>3</v>
      </c>
      <c r="G1301" s="23" t="s">
        <v>4</v>
      </c>
      <c r="H1301" s="21" t="str">
        <f t="shared" si="20"/>
        <v>I_NFM010/INFLOW</v>
      </c>
      <c r="I1301" s="24" t="s">
        <v>2292</v>
      </c>
      <c r="J1301" s="10" t="str">
        <f>VLOOKUP(Table1[[#This Row],[UID]],CS3SVComposerConfig!$B$3:$D$1808,3,FALSE)</f>
        <v>adj_SV_CS3LTO_0803_riminflow20231214.dss</v>
      </c>
      <c r="K1301" s="10" t="s">
        <v>2212</v>
      </c>
      <c r="L1301" s="10" t="s">
        <v>2212</v>
      </c>
      <c r="M1301" s="10" t="s">
        <v>2224</v>
      </c>
      <c r="N1301" s="10" t="s">
        <v>2258</v>
      </c>
      <c r="O1301" s="10" t="s">
        <v>2259</v>
      </c>
      <c r="P1301" s="39">
        <v>0.36997721584604698</v>
      </c>
    </row>
    <row r="1302" spans="2:16" ht="18" customHeight="1" x14ac:dyDescent="0.25">
      <c r="B1302" s="21" t="s">
        <v>0</v>
      </c>
      <c r="C1302" s="22" t="s">
        <v>1493</v>
      </c>
      <c r="D1302" s="22" t="s">
        <v>1380</v>
      </c>
      <c r="E1302" s="21" t="s">
        <v>2222</v>
      </c>
      <c r="F1302" s="23" t="s">
        <v>3</v>
      </c>
      <c r="G1302" s="23" t="s">
        <v>4</v>
      </c>
      <c r="H1302" s="21" t="str">
        <f t="shared" si="20"/>
        <v>I_NFS005/INFLOW</v>
      </c>
      <c r="I1302" s="24" t="s">
        <v>2292</v>
      </c>
      <c r="J1302" s="10" t="str">
        <f>VLOOKUP(Table1[[#This Row],[UID]],CS3SVComposerConfig!$B$3:$D$1808,3,FALSE)</f>
        <v>adj_SV_CS3LTO_0803_riminflow20231214.dss</v>
      </c>
      <c r="K1302" s="10" t="s">
        <v>2212</v>
      </c>
      <c r="L1302" s="10" t="s">
        <v>2212</v>
      </c>
      <c r="M1302" s="10" t="s">
        <v>2224</v>
      </c>
      <c r="N1302" s="10" t="s">
        <v>2258</v>
      </c>
      <c r="O1302" s="10" t="s">
        <v>2259</v>
      </c>
      <c r="P1302" s="39">
        <v>0.186981468942539</v>
      </c>
    </row>
    <row r="1303" spans="2:16" ht="18" customHeight="1" x14ac:dyDescent="0.25">
      <c r="B1303" s="21" t="s">
        <v>0</v>
      </c>
      <c r="C1303" s="22" t="s">
        <v>1480</v>
      </c>
      <c r="D1303" s="22" t="s">
        <v>1380</v>
      </c>
      <c r="E1303" s="21" t="s">
        <v>2222</v>
      </c>
      <c r="F1303" s="23" t="s">
        <v>3</v>
      </c>
      <c r="G1303" s="23" t="s">
        <v>4</v>
      </c>
      <c r="H1303" s="21" t="str">
        <f t="shared" si="20"/>
        <v>I_NFS009/INFLOW</v>
      </c>
      <c r="I1303" s="24" t="s">
        <v>2292</v>
      </c>
      <c r="J1303" s="10" t="str">
        <f>VLOOKUP(Table1[[#This Row],[UID]],CS3SVComposerConfig!$B$3:$D$1808,3,FALSE)</f>
        <v>adj_SV_CS3LTO_0803_riminflow20231214.dss</v>
      </c>
      <c r="K1303" s="10" t="s">
        <v>2212</v>
      </c>
      <c r="L1303" s="10" t="s">
        <v>2212</v>
      </c>
      <c r="M1303" s="10" t="s">
        <v>2224</v>
      </c>
      <c r="N1303" s="10" t="s">
        <v>2258</v>
      </c>
      <c r="O1303" s="10" t="s">
        <v>2259</v>
      </c>
      <c r="P1303" s="39">
        <v>0.70393954691621297</v>
      </c>
    </row>
    <row r="1304" spans="2:16" ht="18" customHeight="1" x14ac:dyDescent="0.25">
      <c r="B1304" s="21" t="s">
        <v>0</v>
      </c>
      <c r="C1304" s="22" t="s">
        <v>1482</v>
      </c>
      <c r="D1304" s="22" t="s">
        <v>1380</v>
      </c>
      <c r="E1304" s="21" t="s">
        <v>2222</v>
      </c>
      <c r="F1304" s="23" t="s">
        <v>3</v>
      </c>
      <c r="G1304" s="23" t="s">
        <v>4</v>
      </c>
      <c r="H1304" s="21" t="str">
        <f t="shared" si="20"/>
        <v>I_NFS033/INFLOW</v>
      </c>
      <c r="I1304" s="24" t="s">
        <v>2292</v>
      </c>
      <c r="J1304" s="10" t="str">
        <f>VLOOKUP(Table1[[#This Row],[UID]],CS3SVComposerConfig!$B$3:$D$1808,3,FALSE)</f>
        <v>adj_SV_CS3LTO_0803_riminflow20231214.dss</v>
      </c>
      <c r="K1304" s="10" t="s">
        <v>2212</v>
      </c>
      <c r="L1304" s="10" t="s">
        <v>2212</v>
      </c>
      <c r="M1304" s="10" t="s">
        <v>2224</v>
      </c>
      <c r="N1304" s="10" t="s">
        <v>2258</v>
      </c>
      <c r="O1304" s="10" t="s">
        <v>2259</v>
      </c>
      <c r="P1304" s="39">
        <v>0.80548424499087501</v>
      </c>
    </row>
    <row r="1305" spans="2:16" ht="18" customHeight="1" x14ac:dyDescent="0.25">
      <c r="B1305" s="21" t="s">
        <v>0</v>
      </c>
      <c r="C1305" s="22" t="s">
        <v>1452</v>
      </c>
      <c r="D1305" s="22" t="s">
        <v>1380</v>
      </c>
      <c r="E1305" s="21" t="s">
        <v>2222</v>
      </c>
      <c r="F1305" s="23" t="s">
        <v>3</v>
      </c>
      <c r="G1305" s="23" t="s">
        <v>4</v>
      </c>
      <c r="H1305" s="21" t="str">
        <f t="shared" si="20"/>
        <v>I_NFT008/INFLOW</v>
      </c>
      <c r="I1305" s="24" t="s">
        <v>2292</v>
      </c>
      <c r="J1305" s="10" t="str">
        <f>VLOOKUP(Table1[[#This Row],[UID]],CS3SVComposerConfig!$B$3:$D$1808,3,FALSE)</f>
        <v>DCR2023_SV_Danube_Hist_v3.dss</v>
      </c>
      <c r="K1305" s="10" t="s">
        <v>2224</v>
      </c>
      <c r="L1305" s="10" t="s">
        <v>2212</v>
      </c>
      <c r="M1305" s="10" t="s">
        <v>2224</v>
      </c>
      <c r="N1305" s="10" t="s">
        <v>2227</v>
      </c>
      <c r="O1305" s="10" t="s">
        <v>2227</v>
      </c>
      <c r="P1305" s="39" t="s">
        <v>2227</v>
      </c>
    </row>
    <row r="1306" spans="2:16" ht="18" customHeight="1" x14ac:dyDescent="0.25">
      <c r="B1306" s="21" t="s">
        <v>0</v>
      </c>
      <c r="C1306" s="22" t="s">
        <v>1478</v>
      </c>
      <c r="D1306" s="22" t="s">
        <v>1380</v>
      </c>
      <c r="E1306" s="21" t="s">
        <v>2222</v>
      </c>
      <c r="F1306" s="23" t="s">
        <v>3</v>
      </c>
      <c r="G1306" s="23" t="s">
        <v>4</v>
      </c>
      <c r="H1306" s="21" t="str">
        <f t="shared" si="20"/>
        <v>I_NFY029/INFLOW</v>
      </c>
      <c r="I1306" s="24" t="s">
        <v>2292</v>
      </c>
      <c r="J1306" s="10" t="str">
        <f>VLOOKUP(Table1[[#This Row],[UID]],CS3SVComposerConfig!$B$3:$D$1808,3,FALSE)</f>
        <v>adj_SV_CS3LTO_0803_riminflow20231214.dss</v>
      </c>
      <c r="K1306" s="10" t="s">
        <v>2212</v>
      </c>
      <c r="L1306" s="10" t="s">
        <v>2212</v>
      </c>
      <c r="M1306" s="10" t="s">
        <v>2224</v>
      </c>
      <c r="N1306" s="10" t="s">
        <v>2258</v>
      </c>
      <c r="O1306" s="10" t="s">
        <v>2259</v>
      </c>
      <c r="P1306" s="39">
        <v>0.660087157844234</v>
      </c>
    </row>
    <row r="1307" spans="2:16" ht="18" customHeight="1" x14ac:dyDescent="0.25">
      <c r="B1307" s="21" t="s">
        <v>0</v>
      </c>
      <c r="C1307" s="22" t="s">
        <v>1647</v>
      </c>
      <c r="D1307" s="22" t="s">
        <v>1380</v>
      </c>
      <c r="E1307" s="21" t="s">
        <v>2222</v>
      </c>
      <c r="F1307" s="23" t="s">
        <v>3</v>
      </c>
      <c r="G1307" s="23" t="s">
        <v>4</v>
      </c>
      <c r="H1307" s="21" t="str">
        <f t="shared" si="20"/>
        <v>I_NHGAN/INFLOW</v>
      </c>
      <c r="I1307" s="24" t="s">
        <v>2292</v>
      </c>
      <c r="J1307" s="10" t="str">
        <f>VLOOKUP(Table1[[#This Row],[UID]],CS3SVComposerConfig!$B$3:$D$1808,3,FALSE)</f>
        <v>adj_SV_CS3LTO_0803_riminflow20231214.dss</v>
      </c>
      <c r="K1307" s="10" t="s">
        <v>2212</v>
      </c>
      <c r="L1307" s="10" t="s">
        <v>2212</v>
      </c>
      <c r="M1307" s="10" t="s">
        <v>2224</v>
      </c>
      <c r="N1307" s="10" t="s">
        <v>2258</v>
      </c>
      <c r="O1307" s="10" t="s">
        <v>2259</v>
      </c>
      <c r="P1307" s="39">
        <v>0.90370345651967598</v>
      </c>
    </row>
    <row r="1308" spans="2:16" ht="18" customHeight="1" x14ac:dyDescent="0.25">
      <c r="B1308" s="21" t="s">
        <v>0</v>
      </c>
      <c r="C1308" s="22" t="s">
        <v>1488</v>
      </c>
      <c r="D1308" s="22" t="s">
        <v>1380</v>
      </c>
      <c r="E1308" s="21" t="s">
        <v>2222</v>
      </c>
      <c r="F1308" s="23" t="s">
        <v>3</v>
      </c>
      <c r="G1308" s="23" t="s">
        <v>4</v>
      </c>
      <c r="H1308" s="21" t="str">
        <f t="shared" si="20"/>
        <v>I_NLC003/INFLOW</v>
      </c>
      <c r="I1308" s="24" t="s">
        <v>2292</v>
      </c>
      <c r="J1308" s="10" t="str">
        <f>VLOOKUP(Table1[[#This Row],[UID]],CS3SVComposerConfig!$B$3:$D$1808,3,FALSE)</f>
        <v>adj_SV_CS3LTO_0803_riminflow20231214.dss</v>
      </c>
      <c r="K1308" s="10" t="s">
        <v>2212</v>
      </c>
      <c r="L1308" s="10" t="s">
        <v>2212</v>
      </c>
      <c r="M1308" s="10" t="s">
        <v>2224</v>
      </c>
      <c r="N1308" s="10" t="s">
        <v>2258</v>
      </c>
      <c r="O1308" s="10" t="s">
        <v>2259</v>
      </c>
      <c r="P1308" s="39">
        <v>0.59206622887525195</v>
      </c>
    </row>
    <row r="1309" spans="2:16" ht="18" customHeight="1" x14ac:dyDescent="0.25">
      <c r="B1309" s="21" t="s">
        <v>0</v>
      </c>
      <c r="C1309" s="22" t="s">
        <v>1484</v>
      </c>
      <c r="D1309" s="22" t="s">
        <v>1380</v>
      </c>
      <c r="E1309" s="21" t="s">
        <v>2222</v>
      </c>
      <c r="F1309" s="23" t="s">
        <v>3</v>
      </c>
      <c r="G1309" s="23" t="s">
        <v>4</v>
      </c>
      <c r="H1309" s="21" t="str">
        <f t="shared" si="20"/>
        <v>I_NMA003/INFLOW</v>
      </c>
      <c r="I1309" s="24" t="s">
        <v>2292</v>
      </c>
      <c r="J1309" s="10" t="str">
        <f>VLOOKUP(Table1[[#This Row],[UID]],CS3SVComposerConfig!$B$3:$D$1808,3,FALSE)</f>
        <v>adj_SV_CS3LTO_0803_riminflow20231214.dss</v>
      </c>
      <c r="K1309" s="10" t="s">
        <v>2212</v>
      </c>
      <c r="L1309" s="10" t="s">
        <v>2212</v>
      </c>
      <c r="M1309" s="10" t="s">
        <v>2224</v>
      </c>
      <c r="N1309" s="10" t="s">
        <v>2258</v>
      </c>
      <c r="O1309" s="10" t="s">
        <v>2259</v>
      </c>
      <c r="P1309" s="39">
        <v>0.55849540466529402</v>
      </c>
    </row>
    <row r="1310" spans="2:16" ht="18" customHeight="1" x14ac:dyDescent="0.25">
      <c r="B1310" s="21" t="s">
        <v>0</v>
      </c>
      <c r="C1310" s="22" t="s">
        <v>1829</v>
      </c>
      <c r="D1310" s="22" t="s">
        <v>1380</v>
      </c>
      <c r="E1310" s="21" t="s">
        <v>2222</v>
      </c>
      <c r="F1310" s="23" t="s">
        <v>3</v>
      </c>
      <c r="G1310" s="23" t="s">
        <v>4</v>
      </c>
      <c r="H1310" s="21" t="str">
        <f t="shared" si="20"/>
        <v>I_NNA013/INFLOW</v>
      </c>
      <c r="I1310" s="24" t="s">
        <v>2292</v>
      </c>
      <c r="J1310" s="10" t="str">
        <f>VLOOKUP(Table1[[#This Row],[UID]],CS3SVComposerConfig!$B$3:$D$1808,3,FALSE)</f>
        <v>adj_SV_CS3LTO_0803_riminflow20231214.dss</v>
      </c>
      <c r="K1310" s="10" t="s">
        <v>2212</v>
      </c>
      <c r="L1310" s="10" t="s">
        <v>2212</v>
      </c>
      <c r="M1310" s="10" t="s">
        <v>2224</v>
      </c>
      <c r="N1310" s="10" t="s">
        <v>2258</v>
      </c>
      <c r="O1310" s="10" t="s">
        <v>2259</v>
      </c>
      <c r="P1310" s="39">
        <v>0.34280124726591499</v>
      </c>
    </row>
    <row r="1311" spans="2:16" ht="18" customHeight="1" x14ac:dyDescent="0.25">
      <c r="B1311" s="21" t="s">
        <v>0</v>
      </c>
      <c r="C1311" s="22" t="s">
        <v>1476</v>
      </c>
      <c r="D1311" s="22" t="s">
        <v>1380</v>
      </c>
      <c r="E1311" s="21" t="s">
        <v>2222</v>
      </c>
      <c r="F1311" s="23" t="s">
        <v>3</v>
      </c>
      <c r="G1311" s="23" t="s">
        <v>4</v>
      </c>
      <c r="H1311" s="21" t="str">
        <f t="shared" si="20"/>
        <v>I_OGN005/INFLOW</v>
      </c>
      <c r="I1311" s="24" t="s">
        <v>2292</v>
      </c>
      <c r="J1311" s="10" t="str">
        <f>VLOOKUP(Table1[[#This Row],[UID]],CS3SVComposerConfig!$B$3:$D$1808,3,FALSE)</f>
        <v>adj_SV_CS3LTO_0803_riminflow20231214.dss</v>
      </c>
      <c r="K1311" s="10" t="s">
        <v>2212</v>
      </c>
      <c r="L1311" s="10" t="s">
        <v>2212</v>
      </c>
      <c r="M1311" s="10" t="s">
        <v>2224</v>
      </c>
      <c r="N1311" s="10" t="s">
        <v>2258</v>
      </c>
      <c r="O1311" s="10" t="s">
        <v>2259</v>
      </c>
      <c r="P1311" s="39">
        <v>0.79912152400588099</v>
      </c>
    </row>
    <row r="1312" spans="2:16" ht="18" customHeight="1" x14ac:dyDescent="0.25">
      <c r="B1312" s="21" t="s">
        <v>0</v>
      </c>
      <c r="C1312" s="22" t="s">
        <v>1472</v>
      </c>
      <c r="D1312" s="22" t="s">
        <v>1380</v>
      </c>
      <c r="E1312" s="21" t="s">
        <v>2222</v>
      </c>
      <c r="F1312" s="23" t="s">
        <v>3</v>
      </c>
      <c r="G1312" s="23" t="s">
        <v>4</v>
      </c>
      <c r="H1312" s="21" t="str">
        <f t="shared" si="20"/>
        <v>I_ORG000/INFLOW</v>
      </c>
      <c r="I1312" s="24" t="s">
        <v>2292</v>
      </c>
      <c r="J1312" s="10" t="str">
        <f>VLOOKUP(Table1[[#This Row],[UID]],CS3SVComposerConfig!$B$3:$D$1808,3,FALSE)</f>
        <v>adj_SV_CS3LTO_0803_riminflow20231214.dss</v>
      </c>
      <c r="K1312" s="10" t="s">
        <v>2212</v>
      </c>
      <c r="L1312" s="10" t="s">
        <v>2212</v>
      </c>
      <c r="M1312" s="10" t="s">
        <v>2224</v>
      </c>
      <c r="N1312" s="10" t="s">
        <v>2258</v>
      </c>
      <c r="O1312" s="10" t="s">
        <v>2259</v>
      </c>
      <c r="P1312" s="39">
        <v>0.50907684721323598</v>
      </c>
    </row>
    <row r="1313" spans="2:16" ht="18" customHeight="1" x14ac:dyDescent="0.25">
      <c r="B1313" s="21" t="s">
        <v>0</v>
      </c>
      <c r="C1313" s="22" t="s">
        <v>1551</v>
      </c>
      <c r="D1313" s="22" t="s">
        <v>1380</v>
      </c>
      <c r="E1313" s="21" t="s">
        <v>2222</v>
      </c>
      <c r="F1313" s="23" t="s">
        <v>3</v>
      </c>
      <c r="G1313" s="23" t="s">
        <v>4</v>
      </c>
      <c r="H1313" s="21" t="str">
        <f t="shared" si="20"/>
        <v>I_OROVL/INFLOW</v>
      </c>
      <c r="I1313" s="24" t="s">
        <v>2292</v>
      </c>
      <c r="J1313" s="10" t="str">
        <f>VLOOKUP(Table1[[#This Row],[UID]],CS3SVComposerConfig!$B$3:$D$1808,3,FALSE)</f>
        <v>adj_SV_CS3LTO_0803_riminflow20231214.dss</v>
      </c>
      <c r="K1313" s="10" t="s">
        <v>2212</v>
      </c>
      <c r="L1313" s="10" t="s">
        <v>2212</v>
      </c>
      <c r="M1313" s="10" t="s">
        <v>2224</v>
      </c>
      <c r="N1313" s="10" t="s">
        <v>2258</v>
      </c>
      <c r="O1313" s="10" t="s">
        <v>2259</v>
      </c>
      <c r="P1313" s="39">
        <v>0.71742598704734595</v>
      </c>
    </row>
    <row r="1314" spans="2:16" ht="18" customHeight="1" x14ac:dyDescent="0.25">
      <c r="B1314" s="21" t="s">
        <v>0</v>
      </c>
      <c r="C1314" s="22" t="s">
        <v>1474</v>
      </c>
      <c r="D1314" s="22" t="s">
        <v>1380</v>
      </c>
      <c r="E1314" s="21" t="s">
        <v>2222</v>
      </c>
      <c r="F1314" s="23" t="s">
        <v>3</v>
      </c>
      <c r="G1314" s="23" t="s">
        <v>4</v>
      </c>
      <c r="H1314" s="21" t="str">
        <f t="shared" si="20"/>
        <v>I_ORT014/INFLOW</v>
      </c>
      <c r="I1314" s="24" t="s">
        <v>2292</v>
      </c>
      <c r="J1314" s="10" t="str">
        <f>VLOOKUP(Table1[[#This Row],[UID]],CS3SVComposerConfig!$B$3:$D$1808,3,FALSE)</f>
        <v>adj_SV_CS3LTO_0803_riminflow20231214.dss</v>
      </c>
      <c r="K1314" s="10" t="s">
        <v>2212</v>
      </c>
      <c r="L1314" s="10" t="s">
        <v>2212</v>
      </c>
      <c r="M1314" s="10" t="s">
        <v>2224</v>
      </c>
      <c r="N1314" s="10" t="s">
        <v>2258</v>
      </c>
      <c r="O1314" s="10" t="s">
        <v>2259</v>
      </c>
      <c r="P1314" s="39">
        <v>0.58021092190453205</v>
      </c>
    </row>
    <row r="1315" spans="2:16" ht="18" customHeight="1" x14ac:dyDescent="0.25">
      <c r="B1315" s="21" t="s">
        <v>0</v>
      </c>
      <c r="C1315" s="22" t="s">
        <v>1722</v>
      </c>
      <c r="D1315" s="22" t="s">
        <v>1380</v>
      </c>
      <c r="E1315" s="21" t="s">
        <v>2222</v>
      </c>
      <c r="F1315" s="23" t="s">
        <v>3</v>
      </c>
      <c r="G1315" s="23" t="s">
        <v>4</v>
      </c>
      <c r="H1315" s="21" t="str">
        <f t="shared" si="20"/>
        <v>I_OWN040/INFLOW</v>
      </c>
      <c r="I1315" s="24" t="s">
        <v>2292</v>
      </c>
      <c r="J1315" s="10" t="str">
        <f>VLOOKUP(Table1[[#This Row],[UID]],CS3SVComposerConfig!$B$3:$D$1808,3,FALSE)</f>
        <v>adj_SV_CS3LTO_0803_riminflow20231214.dss</v>
      </c>
      <c r="K1315" s="10" t="s">
        <v>2212</v>
      </c>
      <c r="L1315" s="10" t="s">
        <v>2212</v>
      </c>
      <c r="M1315" s="10" t="s">
        <v>2224</v>
      </c>
      <c r="N1315" s="10" t="s">
        <v>2258</v>
      </c>
      <c r="O1315" s="10" t="s">
        <v>2259</v>
      </c>
      <c r="P1315" s="39">
        <v>0.64851075844517103</v>
      </c>
    </row>
    <row r="1316" spans="2:16" ht="18" customHeight="1" x14ac:dyDescent="0.25">
      <c r="B1316" s="21" t="s">
        <v>0</v>
      </c>
      <c r="C1316" s="22" t="s">
        <v>1724</v>
      </c>
      <c r="D1316" s="22" t="s">
        <v>1380</v>
      </c>
      <c r="E1316" s="21" t="s">
        <v>2222</v>
      </c>
      <c r="F1316" s="23" t="s">
        <v>3</v>
      </c>
      <c r="G1316" s="23" t="s">
        <v>4</v>
      </c>
      <c r="H1316" s="21" t="str">
        <f t="shared" si="20"/>
        <v>I_PARDE/INFLOW</v>
      </c>
      <c r="I1316" s="24" t="s">
        <v>2292</v>
      </c>
      <c r="J1316" s="10" t="str">
        <f>VLOOKUP(Table1[[#This Row],[UID]],CS3SVComposerConfig!$B$3:$D$1808,3,FALSE)</f>
        <v>adj_SV_CS3LTO_0803_riminflow20231214.dss</v>
      </c>
      <c r="K1316" s="10" t="s">
        <v>2212</v>
      </c>
      <c r="L1316" s="10" t="s">
        <v>2212</v>
      </c>
      <c r="M1316" s="10" t="s">
        <v>2224</v>
      </c>
      <c r="N1316" s="10" t="s">
        <v>2258</v>
      </c>
      <c r="O1316" s="10" t="s">
        <v>2259</v>
      </c>
      <c r="P1316" s="39">
        <v>0.71618664307076296</v>
      </c>
    </row>
    <row r="1317" spans="2:16" ht="18" customHeight="1" x14ac:dyDescent="0.25">
      <c r="B1317" s="21" t="s">
        <v>0</v>
      </c>
      <c r="C1317" s="22" t="s">
        <v>1414</v>
      </c>
      <c r="D1317" s="22" t="s">
        <v>1380</v>
      </c>
      <c r="E1317" s="21" t="s">
        <v>2222</v>
      </c>
      <c r="F1317" s="23" t="s">
        <v>3</v>
      </c>
      <c r="G1317" s="23" t="s">
        <v>4</v>
      </c>
      <c r="H1317" s="21" t="str">
        <f t="shared" si="20"/>
        <v>I_PCRST/INFLOW</v>
      </c>
      <c r="I1317" s="24" t="s">
        <v>2292</v>
      </c>
      <c r="J1317" s="10" t="str">
        <f>VLOOKUP(Table1[[#This Row],[UID]],CS3SVComposerConfig!$B$3:$D$1808,3,FALSE)</f>
        <v>adj_SV_CS3LTO_0803_riminflow20231214.dss</v>
      </c>
      <c r="K1317" s="10" t="s">
        <v>2212</v>
      </c>
      <c r="L1317" s="10" t="s">
        <v>2212</v>
      </c>
      <c r="M1317" s="10" t="s">
        <v>2224</v>
      </c>
      <c r="N1317" s="10" t="s">
        <v>2258</v>
      </c>
      <c r="O1317" s="10" t="s">
        <v>2259</v>
      </c>
      <c r="P1317" s="39">
        <v>0.889932239355125</v>
      </c>
    </row>
    <row r="1318" spans="2:16" ht="18" customHeight="1" x14ac:dyDescent="0.25">
      <c r="B1318" s="21" t="s">
        <v>0</v>
      </c>
      <c r="C1318" s="22" t="s">
        <v>1699</v>
      </c>
      <c r="D1318" s="22" t="s">
        <v>1380</v>
      </c>
      <c r="E1318" s="21" t="s">
        <v>2222</v>
      </c>
      <c r="F1318" s="23" t="s">
        <v>3</v>
      </c>
      <c r="G1318" s="23" t="s">
        <v>4</v>
      </c>
      <c r="H1318" s="21" t="str">
        <f t="shared" si="20"/>
        <v>I_PEDRO/INFLOW</v>
      </c>
      <c r="I1318" s="24" t="s">
        <v>2292</v>
      </c>
      <c r="J1318" s="10" t="str">
        <f>VLOOKUP(Table1[[#This Row],[UID]],CS3SVComposerConfig!$B$3:$D$1808,3,FALSE)</f>
        <v>adj_SV_CS3LTO_0803_riminflow20231214.dss</v>
      </c>
      <c r="K1318" s="10" t="s">
        <v>2212</v>
      </c>
      <c r="L1318" s="10" t="s">
        <v>2212</v>
      </c>
      <c r="M1318" s="10" t="s">
        <v>2224</v>
      </c>
      <c r="N1318" s="10" t="s">
        <v>2258</v>
      </c>
      <c r="O1318" s="10" t="s">
        <v>2259</v>
      </c>
      <c r="P1318" s="39">
        <v>0.83864678225001998</v>
      </c>
    </row>
    <row r="1319" spans="2:16" ht="18" customHeight="1" x14ac:dyDescent="0.25">
      <c r="B1319" s="21" t="s">
        <v>0</v>
      </c>
      <c r="C1319" s="22" t="s">
        <v>1468</v>
      </c>
      <c r="D1319" s="22" t="s">
        <v>1380</v>
      </c>
      <c r="E1319" s="21" t="s">
        <v>2222</v>
      </c>
      <c r="F1319" s="23" t="s">
        <v>3</v>
      </c>
      <c r="G1319" s="23" t="s">
        <v>4</v>
      </c>
      <c r="H1319" s="21" t="str">
        <f t="shared" si="20"/>
        <v>I_PLC007/INFLOW</v>
      </c>
      <c r="I1319" s="24" t="s">
        <v>2292</v>
      </c>
      <c r="J1319" s="10" t="str">
        <f>VLOOKUP(Table1[[#This Row],[UID]],CS3SVComposerConfig!$B$3:$D$1808,3,FALSE)</f>
        <v>adj_SV_CS3LTO_0803_riminflow20231214.dss</v>
      </c>
      <c r="K1319" s="10" t="s">
        <v>2212</v>
      </c>
      <c r="L1319" s="10" t="s">
        <v>2212</v>
      </c>
      <c r="M1319" s="10" t="s">
        <v>2224</v>
      </c>
      <c r="N1319" s="10" t="s">
        <v>2258</v>
      </c>
      <c r="O1319" s="10" t="s">
        <v>2259</v>
      </c>
      <c r="P1319" s="39">
        <v>0.56281651621973305</v>
      </c>
    </row>
    <row r="1320" spans="2:16" ht="18" customHeight="1" x14ac:dyDescent="0.25">
      <c r="B1320" s="21" t="s">
        <v>0</v>
      </c>
      <c r="C1320" s="22" t="s">
        <v>1442</v>
      </c>
      <c r="D1320" s="22" t="s">
        <v>1380</v>
      </c>
      <c r="E1320" s="21" t="s">
        <v>2222</v>
      </c>
      <c r="F1320" s="23" t="s">
        <v>3</v>
      </c>
      <c r="G1320" s="23" t="s">
        <v>4</v>
      </c>
      <c r="H1320" s="21" t="str">
        <f t="shared" si="20"/>
        <v>I_PLM001/INFLOW</v>
      </c>
      <c r="I1320" s="24" t="s">
        <v>2292</v>
      </c>
      <c r="J1320" s="10" t="str">
        <f>VLOOKUP(Table1[[#This Row],[UID]],CS3SVComposerConfig!$B$3:$D$1808,3,FALSE)</f>
        <v>adj_SV_CS3LTO_0803_riminflow20231214.dss</v>
      </c>
      <c r="K1320" s="10" t="s">
        <v>2212</v>
      </c>
      <c r="L1320" s="10" t="s">
        <v>2212</v>
      </c>
      <c r="M1320" s="10" t="s">
        <v>2224</v>
      </c>
      <c r="N1320" s="10" t="s">
        <v>2258</v>
      </c>
      <c r="O1320" s="10" t="s">
        <v>2259</v>
      </c>
      <c r="P1320" s="39">
        <v>0.59022028292814799</v>
      </c>
    </row>
    <row r="1321" spans="2:16" ht="18" customHeight="1" x14ac:dyDescent="0.25">
      <c r="B1321" s="21" t="s">
        <v>0</v>
      </c>
      <c r="C1321" s="22" t="s">
        <v>1671</v>
      </c>
      <c r="D1321" s="22" t="s">
        <v>1380</v>
      </c>
      <c r="E1321" s="21" t="s">
        <v>2222</v>
      </c>
      <c r="F1321" s="23" t="s">
        <v>3</v>
      </c>
      <c r="G1321" s="23" t="s">
        <v>4</v>
      </c>
      <c r="H1321" s="21" t="str">
        <f t="shared" si="20"/>
        <v>I_PTH070/INFLOW</v>
      </c>
      <c r="I1321" s="24" t="s">
        <v>2292</v>
      </c>
      <c r="J1321" s="10" t="str">
        <f>VLOOKUP(Table1[[#This Row],[UID]],CS3SVComposerConfig!$B$3:$D$1808,3,FALSE)</f>
        <v>adj_SV_CS3LTO_0803_riminflow20231214.dss</v>
      </c>
      <c r="K1321" s="10" t="s">
        <v>2212</v>
      </c>
      <c r="L1321" s="10" t="s">
        <v>2212</v>
      </c>
      <c r="M1321" s="10" t="s">
        <v>2224</v>
      </c>
      <c r="N1321" s="10" t="s">
        <v>2258</v>
      </c>
      <c r="O1321" s="10" t="s">
        <v>2259</v>
      </c>
      <c r="P1321" s="39">
        <v>0.92062175557083803</v>
      </c>
    </row>
    <row r="1322" spans="2:16" ht="18" customHeight="1" x14ac:dyDescent="0.25">
      <c r="B1322" s="21" t="s">
        <v>0</v>
      </c>
      <c r="C1322" s="22" t="s">
        <v>1470</v>
      </c>
      <c r="D1322" s="22" t="s">
        <v>1380</v>
      </c>
      <c r="E1322" s="21" t="s">
        <v>2222</v>
      </c>
      <c r="F1322" s="23" t="s">
        <v>3</v>
      </c>
      <c r="G1322" s="23" t="s">
        <v>4</v>
      </c>
      <c r="H1322" s="21" t="str">
        <f t="shared" si="20"/>
        <v>I_PYN001/INFLOW</v>
      </c>
      <c r="I1322" s="24" t="s">
        <v>2292</v>
      </c>
      <c r="J1322" s="10" t="str">
        <f>VLOOKUP(Table1[[#This Row],[UID]],CS3SVComposerConfig!$B$3:$D$1808,3,FALSE)</f>
        <v>adj_SV_CS3LTO_0803_riminflow20231214.dss</v>
      </c>
      <c r="K1322" s="10" t="s">
        <v>2212</v>
      </c>
      <c r="L1322" s="10" t="s">
        <v>2212</v>
      </c>
      <c r="M1322" s="10" t="s">
        <v>2224</v>
      </c>
      <c r="N1322" s="10" t="s">
        <v>2258</v>
      </c>
      <c r="O1322" s="10" t="s">
        <v>2259</v>
      </c>
      <c r="P1322" s="39">
        <v>0.68102257269199395</v>
      </c>
    </row>
    <row r="1323" spans="2:16" ht="18" customHeight="1" x14ac:dyDescent="0.25">
      <c r="B1323" s="21" t="s">
        <v>0</v>
      </c>
      <c r="C1323" s="22" t="s">
        <v>1438</v>
      </c>
      <c r="D1323" s="22" t="s">
        <v>1380</v>
      </c>
      <c r="E1323" s="21" t="s">
        <v>2222</v>
      </c>
      <c r="F1323" s="23" t="s">
        <v>3</v>
      </c>
      <c r="G1323" s="23" t="s">
        <v>4</v>
      </c>
      <c r="H1323" s="21" t="str">
        <f t="shared" si="20"/>
        <v>I_PYR001/INFLOW</v>
      </c>
      <c r="I1323" s="24" t="s">
        <v>2292</v>
      </c>
      <c r="J1323" s="10" t="str">
        <f>VLOOKUP(Table1[[#This Row],[UID]],CS3SVComposerConfig!$B$3:$D$1808,3,FALSE)</f>
        <v>adj_SV_CS3LTO_0803_riminflow20231214.dss</v>
      </c>
      <c r="K1323" s="10" t="s">
        <v>2212</v>
      </c>
      <c r="L1323" s="10" t="s">
        <v>2212</v>
      </c>
      <c r="M1323" s="10" t="s">
        <v>2224</v>
      </c>
      <c r="N1323" s="10" t="s">
        <v>2258</v>
      </c>
      <c r="O1323" s="10" t="s">
        <v>2259</v>
      </c>
      <c r="P1323" s="39">
        <v>0.60558899046095005</v>
      </c>
    </row>
    <row r="1324" spans="2:16" ht="18" customHeight="1" x14ac:dyDescent="0.25">
      <c r="B1324" s="21" t="s">
        <v>0</v>
      </c>
      <c r="C1324" s="22" t="s">
        <v>1436</v>
      </c>
      <c r="D1324" s="22" t="s">
        <v>1380</v>
      </c>
      <c r="E1324" s="21" t="s">
        <v>2222</v>
      </c>
      <c r="F1324" s="23" t="s">
        <v>3</v>
      </c>
      <c r="G1324" s="23" t="s">
        <v>4</v>
      </c>
      <c r="H1324" s="21" t="str">
        <f t="shared" si="20"/>
        <v>I_QNT005/INFLOW</v>
      </c>
      <c r="I1324" s="24" t="s">
        <v>2292</v>
      </c>
      <c r="J1324" s="10" t="str">
        <f>VLOOKUP(Table1[[#This Row],[UID]],CS3SVComposerConfig!$B$3:$D$1808,3,FALSE)</f>
        <v>adj_SV_CS3LTO_0803_riminflow20231214.dss</v>
      </c>
      <c r="K1324" s="10" t="s">
        <v>2212</v>
      </c>
      <c r="L1324" s="10" t="s">
        <v>2212</v>
      </c>
      <c r="M1324" s="10" t="s">
        <v>2224</v>
      </c>
      <c r="N1324" s="10" t="s">
        <v>2258</v>
      </c>
      <c r="O1324" s="10" t="s">
        <v>2259</v>
      </c>
      <c r="P1324" s="39">
        <v>0.50272635559149303</v>
      </c>
    </row>
    <row r="1325" spans="2:16" ht="18" customHeight="1" x14ac:dyDescent="0.25">
      <c r="B1325" s="21" t="s">
        <v>0</v>
      </c>
      <c r="C1325" s="22" t="s">
        <v>1432</v>
      </c>
      <c r="D1325" s="22" t="s">
        <v>1380</v>
      </c>
      <c r="E1325" s="21" t="s">
        <v>2222</v>
      </c>
      <c r="F1325" s="23" t="s">
        <v>3</v>
      </c>
      <c r="G1325" s="23" t="s">
        <v>4</v>
      </c>
      <c r="H1325" s="21" t="str">
        <f t="shared" si="20"/>
        <v>I_RCK001/INFLOW</v>
      </c>
      <c r="I1325" s="24" t="s">
        <v>2292</v>
      </c>
      <c r="J1325" s="10" t="str">
        <f>VLOOKUP(Table1[[#This Row],[UID]],CS3SVComposerConfig!$B$3:$D$1808,3,FALSE)</f>
        <v>adj_SV_CS3LTO_0803_riminflow20231214.dss</v>
      </c>
      <c r="K1325" s="10" t="s">
        <v>2212</v>
      </c>
      <c r="L1325" s="10" t="s">
        <v>2212</v>
      </c>
      <c r="M1325" s="10" t="s">
        <v>2224</v>
      </c>
      <c r="N1325" s="10" t="s">
        <v>2258</v>
      </c>
      <c r="O1325" s="10" t="s">
        <v>2259</v>
      </c>
      <c r="P1325" s="39">
        <v>0.76927963210405603</v>
      </c>
    </row>
    <row r="1326" spans="2:16" ht="18" customHeight="1" x14ac:dyDescent="0.25">
      <c r="B1326" s="21" t="s">
        <v>0</v>
      </c>
      <c r="C1326" s="22" t="s">
        <v>1434</v>
      </c>
      <c r="D1326" s="22" t="s">
        <v>1380</v>
      </c>
      <c r="E1326" s="21" t="s">
        <v>2222</v>
      </c>
      <c r="F1326" s="23" t="s">
        <v>3</v>
      </c>
      <c r="G1326" s="23" t="s">
        <v>4</v>
      </c>
      <c r="H1326" s="21" t="str">
        <f t="shared" si="20"/>
        <v>I_RLIEF/INFLOW</v>
      </c>
      <c r="I1326" s="24" t="s">
        <v>2292</v>
      </c>
      <c r="J1326" s="10" t="str">
        <f>VLOOKUP(Table1[[#This Row],[UID]],CS3SVComposerConfig!$B$3:$D$1808,3,FALSE)</f>
        <v>adj_SV_CS3LTO_0803_riminflow20231214.dss</v>
      </c>
      <c r="K1326" s="10" t="s">
        <v>2212</v>
      </c>
      <c r="L1326" s="10" t="s">
        <v>2212</v>
      </c>
      <c r="M1326" s="10" t="s">
        <v>2224</v>
      </c>
      <c r="N1326" s="10" t="s">
        <v>2258</v>
      </c>
      <c r="O1326" s="10" t="s">
        <v>2259</v>
      </c>
      <c r="P1326" s="39">
        <v>0.77127817917181696</v>
      </c>
    </row>
    <row r="1327" spans="2:16" ht="18" customHeight="1" x14ac:dyDescent="0.25">
      <c r="B1327" s="21" t="s">
        <v>0</v>
      </c>
      <c r="C1327" s="22" t="s">
        <v>1430</v>
      </c>
      <c r="D1327" s="22" t="s">
        <v>1380</v>
      </c>
      <c r="E1327" s="21" t="s">
        <v>2222</v>
      </c>
      <c r="F1327" s="23" t="s">
        <v>3</v>
      </c>
      <c r="G1327" s="23" t="s">
        <v>4</v>
      </c>
      <c r="H1327" s="21" t="str">
        <f t="shared" si="20"/>
        <v>I_RLLNS/INFLOW</v>
      </c>
      <c r="I1327" s="24" t="s">
        <v>2292</v>
      </c>
      <c r="J1327" s="10" t="str">
        <f>VLOOKUP(Table1[[#This Row],[UID]],CS3SVComposerConfig!$B$3:$D$1808,3,FALSE)</f>
        <v>adj_SV_CS3LTO_0803_riminflow20231214.dss</v>
      </c>
      <c r="K1327" s="10" t="s">
        <v>2212</v>
      </c>
      <c r="L1327" s="10" t="s">
        <v>2212</v>
      </c>
      <c r="M1327" s="10" t="s">
        <v>2224</v>
      </c>
      <c r="N1327" s="10" t="s">
        <v>2258</v>
      </c>
      <c r="O1327" s="10" t="s">
        <v>2259</v>
      </c>
      <c r="P1327" s="39">
        <v>0.87378455858502202</v>
      </c>
    </row>
    <row r="1328" spans="2:16" ht="18" customHeight="1" x14ac:dyDescent="0.25">
      <c r="B1328" s="21" t="s">
        <v>0</v>
      </c>
      <c r="C1328" s="22" t="s">
        <v>1539</v>
      </c>
      <c r="D1328" s="22" t="s">
        <v>1380</v>
      </c>
      <c r="E1328" s="21" t="s">
        <v>2222</v>
      </c>
      <c r="F1328" s="23" t="s">
        <v>3</v>
      </c>
      <c r="G1328" s="23" t="s">
        <v>4</v>
      </c>
      <c r="H1328" s="21" t="str">
        <f t="shared" si="20"/>
        <v>I_RUB002/INFLOW</v>
      </c>
      <c r="I1328" s="24" t="s">
        <v>2292</v>
      </c>
      <c r="J1328" s="10" t="str">
        <f>VLOOKUP(Table1[[#This Row],[UID]],CS3SVComposerConfig!$B$3:$D$1808,3,FALSE)</f>
        <v>adj_SV_CS3LTO_0803_riminflow20231214.dss</v>
      </c>
      <c r="K1328" s="10" t="s">
        <v>2224</v>
      </c>
      <c r="L1328" s="10" t="s">
        <v>2212</v>
      </c>
      <c r="M1328" s="10" t="s">
        <v>2224</v>
      </c>
      <c r="N1328" s="10" t="s">
        <v>2227</v>
      </c>
      <c r="O1328" s="10" t="s">
        <v>2227</v>
      </c>
      <c r="P1328" s="39" t="s">
        <v>2227</v>
      </c>
    </row>
    <row r="1329" spans="2:16" ht="18" customHeight="1" x14ac:dyDescent="0.25">
      <c r="B1329" s="21" t="s">
        <v>0</v>
      </c>
      <c r="C1329" s="22" t="s">
        <v>1643</v>
      </c>
      <c r="D1329" s="22" t="s">
        <v>1380</v>
      </c>
      <c r="E1329" s="21" t="s">
        <v>2222</v>
      </c>
      <c r="F1329" s="23" t="s">
        <v>3</v>
      </c>
      <c r="G1329" s="23" t="s">
        <v>4</v>
      </c>
      <c r="H1329" s="21" t="str">
        <f t="shared" si="20"/>
        <v>I_RUB047/INFLOW</v>
      </c>
      <c r="I1329" s="24" t="s">
        <v>2292</v>
      </c>
      <c r="J1329" s="10" t="str">
        <f>VLOOKUP(Table1[[#This Row],[UID]],CS3SVComposerConfig!$B$3:$D$1808,3,FALSE)</f>
        <v>adj_SV_CS3LTO_0803_riminflow20231214.dss</v>
      </c>
      <c r="K1329" s="10" t="s">
        <v>2212</v>
      </c>
      <c r="L1329" s="10" t="s">
        <v>2212</v>
      </c>
      <c r="M1329" s="10" t="s">
        <v>2224</v>
      </c>
      <c r="N1329" s="10" t="s">
        <v>2258</v>
      </c>
      <c r="O1329" s="10" t="s">
        <v>2259</v>
      </c>
      <c r="P1329" s="39">
        <v>0.73387111344878497</v>
      </c>
    </row>
    <row r="1330" spans="2:16" ht="18" customHeight="1" x14ac:dyDescent="0.25">
      <c r="B1330" s="21" t="s">
        <v>0</v>
      </c>
      <c r="C1330" s="22" t="s">
        <v>1717</v>
      </c>
      <c r="D1330" s="22" t="s">
        <v>1380</v>
      </c>
      <c r="E1330" s="21" t="s">
        <v>2222</v>
      </c>
      <c r="F1330" s="23" t="s">
        <v>3</v>
      </c>
      <c r="G1330" s="23" t="s">
        <v>4</v>
      </c>
      <c r="H1330" s="21" t="str">
        <f t="shared" si="20"/>
        <v>I_RVPHB/INFLOW</v>
      </c>
      <c r="I1330" s="24" t="s">
        <v>2292</v>
      </c>
      <c r="J1330" s="10" t="str">
        <f>VLOOKUP(Table1[[#This Row],[UID]],CS3SVComposerConfig!$B$3:$D$1808,3,FALSE)</f>
        <v>adj_SV_CS3LTO_0803_riminflow20231214.dss</v>
      </c>
      <c r="K1330" s="10" t="s">
        <v>2212</v>
      </c>
      <c r="L1330" s="10" t="s">
        <v>2212</v>
      </c>
      <c r="M1330" s="10" t="s">
        <v>2224</v>
      </c>
      <c r="N1330" s="10" t="s">
        <v>2258</v>
      </c>
      <c r="O1330" s="10" t="s">
        <v>2259</v>
      </c>
      <c r="P1330" s="39">
        <v>0.74676068733845402</v>
      </c>
    </row>
    <row r="1331" spans="2:16" ht="18" customHeight="1" x14ac:dyDescent="0.25">
      <c r="B1331" s="21" t="s">
        <v>0</v>
      </c>
      <c r="C1331" s="22" t="s">
        <v>1537</v>
      </c>
      <c r="D1331" s="22" t="s">
        <v>1380</v>
      </c>
      <c r="E1331" s="21" t="s">
        <v>2222</v>
      </c>
      <c r="F1331" s="23" t="s">
        <v>3</v>
      </c>
      <c r="G1331" s="23" t="s">
        <v>4</v>
      </c>
      <c r="H1331" s="21" t="str">
        <f t="shared" si="20"/>
        <v>I_SCOTF/INFLOW</v>
      </c>
      <c r="I1331" s="24" t="s">
        <v>2292</v>
      </c>
      <c r="J1331" s="10" t="str">
        <f>VLOOKUP(Table1[[#This Row],[UID]],CS3SVComposerConfig!$B$3:$D$1808,3,FALSE)</f>
        <v>adj_SV_CS3LTO_0803_riminflow20231214.dss</v>
      </c>
      <c r="K1331" s="10" t="s">
        <v>2212</v>
      </c>
      <c r="L1331" s="10" t="s">
        <v>2212</v>
      </c>
      <c r="M1331" s="10" t="s">
        <v>2224</v>
      </c>
      <c r="N1331" s="10" t="s">
        <v>2258</v>
      </c>
      <c r="O1331" s="10" t="s">
        <v>2259</v>
      </c>
      <c r="P1331" s="39">
        <v>0.86407381525493698</v>
      </c>
    </row>
    <row r="1332" spans="2:16" ht="18" customHeight="1" x14ac:dyDescent="0.25">
      <c r="B1332" s="21" t="s">
        <v>0</v>
      </c>
      <c r="C1332" s="22" t="s">
        <v>1408</v>
      </c>
      <c r="D1332" s="22" t="s">
        <v>1380</v>
      </c>
      <c r="E1332" s="21" t="s">
        <v>2222</v>
      </c>
      <c r="F1332" s="23" t="s">
        <v>3</v>
      </c>
      <c r="G1332" s="23" t="s">
        <v>4</v>
      </c>
      <c r="H1332" s="21" t="str">
        <f t="shared" si="20"/>
        <v>I_SCW008/INFLOW</v>
      </c>
      <c r="I1332" s="24" t="s">
        <v>2292</v>
      </c>
      <c r="J1332" s="10" t="str">
        <f>VLOOKUP(Table1[[#This Row],[UID]],CS3SVComposerConfig!$B$3:$D$1808,3,FALSE)</f>
        <v>adj_SV_CS3LTO_0803_riminflow20231214.dss</v>
      </c>
      <c r="K1332" s="10" t="s">
        <v>2212</v>
      </c>
      <c r="L1332" s="10" t="s">
        <v>2212</v>
      </c>
      <c r="M1332" s="10" t="s">
        <v>2224</v>
      </c>
      <c r="N1332" s="10" t="s">
        <v>2258</v>
      </c>
      <c r="O1332" s="10" t="s">
        <v>2259</v>
      </c>
      <c r="P1332" s="39">
        <v>0.90352993758564704</v>
      </c>
    </row>
    <row r="1333" spans="2:16" ht="18" customHeight="1" x14ac:dyDescent="0.25">
      <c r="B1333" s="21" t="s">
        <v>0</v>
      </c>
      <c r="C1333" s="22" t="s">
        <v>1531</v>
      </c>
      <c r="D1333" s="22" t="s">
        <v>1380</v>
      </c>
      <c r="E1333" s="21" t="s">
        <v>2222</v>
      </c>
      <c r="F1333" s="23" t="s">
        <v>3</v>
      </c>
      <c r="G1333" s="23" t="s">
        <v>4</v>
      </c>
      <c r="H1333" s="21" t="str">
        <f t="shared" si="20"/>
        <v>I_SFA030/INFLOW</v>
      </c>
      <c r="I1333" s="24" t="s">
        <v>2292</v>
      </c>
      <c r="J1333" s="10" t="str">
        <f>VLOOKUP(Table1[[#This Row],[UID]],CS3SVComposerConfig!$B$3:$D$1808,3,FALSE)</f>
        <v>adj_SV_CS3LTO_0803_riminflow20231214.dss</v>
      </c>
      <c r="K1333" s="10" t="s">
        <v>2212</v>
      </c>
      <c r="L1333" s="10" t="s">
        <v>2212</v>
      </c>
      <c r="M1333" s="10" t="s">
        <v>2224</v>
      </c>
      <c r="N1333" s="10" t="s">
        <v>2258</v>
      </c>
      <c r="O1333" s="10" t="s">
        <v>2259</v>
      </c>
      <c r="P1333" s="39">
        <v>0.46343571374754</v>
      </c>
    </row>
    <row r="1334" spans="2:16" ht="18" customHeight="1" x14ac:dyDescent="0.25">
      <c r="B1334" s="21" t="s">
        <v>0</v>
      </c>
      <c r="C1334" s="22" t="s">
        <v>1533</v>
      </c>
      <c r="D1334" s="22" t="s">
        <v>1380</v>
      </c>
      <c r="E1334" s="21" t="s">
        <v>2222</v>
      </c>
      <c r="F1334" s="23" t="s">
        <v>3</v>
      </c>
      <c r="G1334" s="23" t="s">
        <v>4</v>
      </c>
      <c r="H1334" s="21" t="str">
        <f t="shared" si="20"/>
        <v>I_SFA040/INFLOW</v>
      </c>
      <c r="I1334" s="24" t="s">
        <v>2292</v>
      </c>
      <c r="J1334" s="10" t="str">
        <f>VLOOKUP(Table1[[#This Row],[UID]],CS3SVComposerConfig!$B$3:$D$1808,3,FALSE)</f>
        <v>adj_SV_CS3LTO_0803_riminflow20231214.dss</v>
      </c>
      <c r="K1334" s="10" t="s">
        <v>2212</v>
      </c>
      <c r="L1334" s="10" t="s">
        <v>2212</v>
      </c>
      <c r="M1334" s="10" t="s">
        <v>2224</v>
      </c>
      <c r="N1334" s="10" t="s">
        <v>2258</v>
      </c>
      <c r="O1334" s="10" t="s">
        <v>2259</v>
      </c>
      <c r="P1334" s="39">
        <v>0.68092436559419101</v>
      </c>
    </row>
    <row r="1335" spans="2:16" ht="18" customHeight="1" x14ac:dyDescent="0.25">
      <c r="B1335" s="21" t="s">
        <v>0</v>
      </c>
      <c r="C1335" s="22" t="s">
        <v>1410</v>
      </c>
      <c r="D1335" s="22" t="s">
        <v>1380</v>
      </c>
      <c r="E1335" s="21" t="s">
        <v>2222</v>
      </c>
      <c r="F1335" s="23" t="s">
        <v>3</v>
      </c>
      <c r="G1335" s="23" t="s">
        <v>4</v>
      </c>
      <c r="H1335" s="21" t="str">
        <f t="shared" si="20"/>
        <v>I_SFA066/INFLOW</v>
      </c>
      <c r="I1335" s="24" t="s">
        <v>2292</v>
      </c>
      <c r="J1335" s="10" t="str">
        <f>VLOOKUP(Table1[[#This Row],[UID]],CS3SVComposerConfig!$B$3:$D$1808,3,FALSE)</f>
        <v>adj_SV_CS3LTO_0803_riminflow20231214.dss</v>
      </c>
      <c r="K1335" s="10" t="s">
        <v>2212</v>
      </c>
      <c r="L1335" s="10" t="s">
        <v>2212</v>
      </c>
      <c r="M1335" s="10" t="s">
        <v>2224</v>
      </c>
      <c r="N1335" s="10" t="s">
        <v>2258</v>
      </c>
      <c r="O1335" s="10" t="s">
        <v>2259</v>
      </c>
      <c r="P1335" s="39">
        <v>0.342435935553495</v>
      </c>
    </row>
    <row r="1336" spans="2:16" ht="18" customHeight="1" x14ac:dyDescent="0.25">
      <c r="B1336" s="21" t="s">
        <v>0</v>
      </c>
      <c r="C1336" s="22" t="s">
        <v>1563</v>
      </c>
      <c r="D1336" s="22" t="s">
        <v>1380</v>
      </c>
      <c r="E1336" s="21" t="s">
        <v>2222</v>
      </c>
      <c r="F1336" s="23" t="s">
        <v>3</v>
      </c>
      <c r="G1336" s="23" t="s">
        <v>4</v>
      </c>
      <c r="H1336" s="21" t="str">
        <f t="shared" si="20"/>
        <v>I_SFA076/INFLOW</v>
      </c>
      <c r="I1336" s="24" t="s">
        <v>2292</v>
      </c>
      <c r="J1336" s="10" t="str">
        <f>VLOOKUP(Table1[[#This Row],[UID]],CS3SVComposerConfig!$B$3:$D$1808,3,FALSE)</f>
        <v>adj_SV_CS3LTO_0803_riminflow20231214.dss</v>
      </c>
      <c r="K1336" s="10" t="s">
        <v>2212</v>
      </c>
      <c r="L1336" s="10" t="s">
        <v>2212</v>
      </c>
      <c r="M1336" s="10" t="s">
        <v>2224</v>
      </c>
      <c r="N1336" s="10" t="s">
        <v>2258</v>
      </c>
      <c r="O1336" s="10" t="s">
        <v>2259</v>
      </c>
      <c r="P1336" s="39">
        <v>0.77663286649921404</v>
      </c>
    </row>
    <row r="1337" spans="2:16" ht="18" customHeight="1" x14ac:dyDescent="0.25">
      <c r="B1337" s="21" t="s">
        <v>0</v>
      </c>
      <c r="C1337" s="22" t="s">
        <v>1529</v>
      </c>
      <c r="D1337" s="22" t="s">
        <v>1380</v>
      </c>
      <c r="E1337" s="21" t="s">
        <v>2222</v>
      </c>
      <c r="F1337" s="23" t="s">
        <v>3</v>
      </c>
      <c r="G1337" s="23" t="s">
        <v>4</v>
      </c>
      <c r="H1337" s="21" t="str">
        <f t="shared" si="20"/>
        <v>I_SFD003/INFLOW</v>
      </c>
      <c r="I1337" s="24" t="s">
        <v>2292</v>
      </c>
      <c r="J1337" s="10" t="str">
        <f>VLOOKUP(Table1[[#This Row],[UID]],CS3SVComposerConfig!$B$3:$D$1808,3,FALSE)</f>
        <v>adj_SV_CS3LTO_0803_riminflow20231214.dss</v>
      </c>
      <c r="K1337" s="10" t="s">
        <v>2212</v>
      </c>
      <c r="L1337" s="10" t="s">
        <v>2212</v>
      </c>
      <c r="M1337" s="10" t="s">
        <v>2224</v>
      </c>
      <c r="N1337" s="10" t="s">
        <v>2258</v>
      </c>
      <c r="O1337" s="10" t="s">
        <v>2259</v>
      </c>
      <c r="P1337" s="39">
        <v>0.85221394740283596</v>
      </c>
    </row>
    <row r="1338" spans="2:16" ht="18" customHeight="1" x14ac:dyDescent="0.25">
      <c r="B1338" s="21" t="s">
        <v>0</v>
      </c>
      <c r="C1338" s="22" t="s">
        <v>1575</v>
      </c>
      <c r="D1338" s="22" t="s">
        <v>1380</v>
      </c>
      <c r="E1338" s="21" t="s">
        <v>2222</v>
      </c>
      <c r="F1338" s="23" t="s">
        <v>3</v>
      </c>
      <c r="G1338" s="23" t="s">
        <v>4</v>
      </c>
      <c r="H1338" s="21" t="str">
        <f t="shared" si="20"/>
        <v>I_SFF008/INFLOW</v>
      </c>
      <c r="I1338" s="24" t="s">
        <v>2292</v>
      </c>
      <c r="J1338" s="10" t="str">
        <f>VLOOKUP(Table1[[#This Row],[UID]],CS3SVComposerConfig!$B$3:$D$1808,3,FALSE)</f>
        <v>adj_SV_CS3LTO_0803_riminflow20231214.dss</v>
      </c>
      <c r="K1338" s="10" t="s">
        <v>2212</v>
      </c>
      <c r="L1338" s="10" t="s">
        <v>2212</v>
      </c>
      <c r="M1338" s="10" t="s">
        <v>2224</v>
      </c>
      <c r="N1338" s="10" t="s">
        <v>2258</v>
      </c>
      <c r="O1338" s="10" t="s">
        <v>2259</v>
      </c>
      <c r="P1338" s="39">
        <v>0.68477899874495096</v>
      </c>
    </row>
    <row r="1339" spans="2:16" ht="18" customHeight="1" x14ac:dyDescent="0.25">
      <c r="B1339" s="21" t="s">
        <v>0</v>
      </c>
      <c r="C1339" s="22" t="s">
        <v>1573</v>
      </c>
      <c r="D1339" s="22" t="s">
        <v>1380</v>
      </c>
      <c r="E1339" s="21" t="s">
        <v>2222</v>
      </c>
      <c r="F1339" s="23" t="s">
        <v>3</v>
      </c>
      <c r="G1339" s="23" t="s">
        <v>4</v>
      </c>
      <c r="H1339" s="21" t="str">
        <f t="shared" si="20"/>
        <v>I_SFF011/INFLOW</v>
      </c>
      <c r="I1339" s="24" t="s">
        <v>2292</v>
      </c>
      <c r="J1339" s="10" t="str">
        <f>VLOOKUP(Table1[[#This Row],[UID]],CS3SVComposerConfig!$B$3:$D$1808,3,FALSE)</f>
        <v>adj_SV_CS3LTO_0803_riminflow20231214.dss</v>
      </c>
      <c r="K1339" s="10" t="s">
        <v>2212</v>
      </c>
      <c r="L1339" s="10" t="s">
        <v>2212</v>
      </c>
      <c r="M1339" s="10" t="s">
        <v>2224</v>
      </c>
      <c r="N1339" s="10" t="s">
        <v>2258</v>
      </c>
      <c r="O1339" s="10" t="s">
        <v>2259</v>
      </c>
      <c r="P1339" s="39">
        <v>0.71451058518905897</v>
      </c>
    </row>
    <row r="1340" spans="2:16" ht="18" customHeight="1" x14ac:dyDescent="0.25">
      <c r="B1340" s="21" t="s">
        <v>0</v>
      </c>
      <c r="C1340" s="22" t="s">
        <v>1402</v>
      </c>
      <c r="D1340" s="22" t="s">
        <v>1380</v>
      </c>
      <c r="E1340" s="21" t="s">
        <v>2222</v>
      </c>
      <c r="F1340" s="23" t="s">
        <v>3</v>
      </c>
      <c r="G1340" s="23" t="s">
        <v>4</v>
      </c>
      <c r="H1340" s="21" t="str">
        <f t="shared" si="20"/>
        <v>I_SFM005/INFLOW</v>
      </c>
      <c r="I1340" s="24" t="s">
        <v>2292</v>
      </c>
      <c r="J1340" s="10" t="str">
        <f>VLOOKUP(Table1[[#This Row],[UID]],CS3SVComposerConfig!$B$3:$D$1808,3,FALSE)</f>
        <v>adj_SV_CS3LTO_0803_riminflow20231214.dss</v>
      </c>
      <c r="K1340" s="10" t="s">
        <v>2212</v>
      </c>
      <c r="L1340" s="10" t="s">
        <v>2212</v>
      </c>
      <c r="M1340" s="10" t="s">
        <v>2224</v>
      </c>
      <c r="N1340" s="10" t="s">
        <v>2258</v>
      </c>
      <c r="O1340" s="10" t="s">
        <v>2259</v>
      </c>
      <c r="P1340" s="39">
        <v>0.77945955977329995</v>
      </c>
    </row>
    <row r="1341" spans="2:16" ht="18" customHeight="1" x14ac:dyDescent="0.25">
      <c r="B1341" s="21" t="s">
        <v>0</v>
      </c>
      <c r="C1341" s="22" t="s">
        <v>1400</v>
      </c>
      <c r="D1341" s="22" t="s">
        <v>1380</v>
      </c>
      <c r="E1341" s="21" t="s">
        <v>2222</v>
      </c>
      <c r="F1341" s="23" t="s">
        <v>3</v>
      </c>
      <c r="G1341" s="23" t="s">
        <v>4</v>
      </c>
      <c r="H1341" s="21" t="str">
        <f t="shared" si="20"/>
        <v>I_SFR006/INFLOW</v>
      </c>
      <c r="I1341" s="24" t="s">
        <v>2292</v>
      </c>
      <c r="J1341" s="10" t="str">
        <f>VLOOKUP(Table1[[#This Row],[UID]],CS3SVComposerConfig!$B$3:$D$1808,3,FALSE)</f>
        <v>adj_SV_CS3LTO_0803_riminflow20231214.dss</v>
      </c>
      <c r="K1341" s="10" t="s">
        <v>2212</v>
      </c>
      <c r="L1341" s="10" t="s">
        <v>2212</v>
      </c>
      <c r="M1341" s="10" t="s">
        <v>2224</v>
      </c>
      <c r="N1341" s="10" t="s">
        <v>2258</v>
      </c>
      <c r="O1341" s="10" t="s">
        <v>2259</v>
      </c>
      <c r="P1341" s="39">
        <v>0.65611336941343801</v>
      </c>
    </row>
    <row r="1342" spans="2:16" ht="18" customHeight="1" x14ac:dyDescent="0.25">
      <c r="B1342" s="21" t="s">
        <v>0</v>
      </c>
      <c r="C1342" s="22" t="s">
        <v>1418</v>
      </c>
      <c r="D1342" s="22" t="s">
        <v>1380</v>
      </c>
      <c r="E1342" s="21" t="s">
        <v>2222</v>
      </c>
      <c r="F1342" s="23" t="s">
        <v>3</v>
      </c>
      <c r="G1342" s="23" t="s">
        <v>4</v>
      </c>
      <c r="H1342" s="21" t="str">
        <f t="shared" si="20"/>
        <v>I_SFS030/INFLOW</v>
      </c>
      <c r="I1342" s="24" t="s">
        <v>2292</v>
      </c>
      <c r="J1342" s="10" t="str">
        <f>VLOOKUP(Table1[[#This Row],[UID]],CS3SVComposerConfig!$B$3:$D$1808,3,FALSE)</f>
        <v>adj_SV_CS3LTO_0803_riminflow20231214.dss</v>
      </c>
      <c r="K1342" s="10" t="s">
        <v>2212</v>
      </c>
      <c r="L1342" s="10" t="s">
        <v>2212</v>
      </c>
      <c r="M1342" s="10" t="s">
        <v>2224</v>
      </c>
      <c r="N1342" s="10" t="s">
        <v>2258</v>
      </c>
      <c r="O1342" s="10" t="s">
        <v>2259</v>
      </c>
      <c r="P1342" s="39">
        <v>0.591054576454206</v>
      </c>
    </row>
    <row r="1343" spans="2:16" ht="18" customHeight="1" x14ac:dyDescent="0.25">
      <c r="B1343" s="21" t="s">
        <v>0</v>
      </c>
      <c r="C1343" s="22" t="s">
        <v>1420</v>
      </c>
      <c r="D1343" s="22" t="s">
        <v>1380</v>
      </c>
      <c r="E1343" s="21" t="s">
        <v>2222</v>
      </c>
      <c r="F1343" s="23" t="s">
        <v>3</v>
      </c>
      <c r="G1343" s="23" t="s">
        <v>4</v>
      </c>
      <c r="H1343" s="21" t="str">
        <f t="shared" si="20"/>
        <v>I_SFS033/INFLOW</v>
      </c>
      <c r="I1343" s="24" t="s">
        <v>2292</v>
      </c>
      <c r="J1343" s="10" t="str">
        <f>VLOOKUP(Table1[[#This Row],[UID]],CS3SVComposerConfig!$B$3:$D$1808,3,FALSE)</f>
        <v>adj_SV_CS3LTO_0803_riminflow20231214.dss</v>
      </c>
      <c r="K1343" s="10" t="s">
        <v>2212</v>
      </c>
      <c r="L1343" s="10" t="s">
        <v>2212</v>
      </c>
      <c r="M1343" s="10" t="s">
        <v>2224</v>
      </c>
      <c r="N1343" s="10" t="s">
        <v>2258</v>
      </c>
      <c r="O1343" s="10" t="s">
        <v>2259</v>
      </c>
      <c r="P1343" s="39">
        <v>0.77425579207583795</v>
      </c>
    </row>
    <row r="1344" spans="2:16" ht="18" customHeight="1" x14ac:dyDescent="0.25">
      <c r="B1344" s="21" t="s">
        <v>0</v>
      </c>
      <c r="C1344" s="22" t="s">
        <v>1450</v>
      </c>
      <c r="D1344" s="22" t="s">
        <v>1380</v>
      </c>
      <c r="E1344" s="21" t="s">
        <v>2222</v>
      </c>
      <c r="F1344" s="23" t="s">
        <v>3</v>
      </c>
      <c r="G1344" s="23" t="s">
        <v>4</v>
      </c>
      <c r="H1344" s="21" t="str">
        <f t="shared" si="20"/>
        <v>I_SFT003/INFLOW</v>
      </c>
      <c r="I1344" s="24" t="s">
        <v>2292</v>
      </c>
      <c r="J1344" s="10" t="str">
        <f>VLOOKUP(Table1[[#This Row],[UID]],CS3SVComposerConfig!$B$3:$D$1808,3,FALSE)</f>
        <v>DCR2023_SV_Danube_Hist_v3.dss</v>
      </c>
      <c r="K1344" s="10" t="s">
        <v>2224</v>
      </c>
      <c r="L1344" s="10" t="s">
        <v>2212</v>
      </c>
      <c r="M1344" s="10" t="s">
        <v>2224</v>
      </c>
      <c r="N1344" s="10" t="s">
        <v>2227</v>
      </c>
      <c r="O1344" s="10" t="s">
        <v>2227</v>
      </c>
      <c r="P1344" s="39" t="s">
        <v>2227</v>
      </c>
    </row>
    <row r="1345" spans="2:16" ht="18" customHeight="1" x14ac:dyDescent="0.25">
      <c r="B1345" s="21" t="s">
        <v>0</v>
      </c>
      <c r="C1345" s="22" t="s">
        <v>1527</v>
      </c>
      <c r="D1345" s="22" t="s">
        <v>1380</v>
      </c>
      <c r="E1345" s="21" t="s">
        <v>2222</v>
      </c>
      <c r="F1345" s="23" t="s">
        <v>3</v>
      </c>
      <c r="G1345" s="23" t="s">
        <v>4</v>
      </c>
      <c r="H1345" s="21" t="str">
        <f t="shared" si="20"/>
        <v>I_SFY007/INFLOW</v>
      </c>
      <c r="I1345" s="24" t="s">
        <v>2292</v>
      </c>
      <c r="J1345" s="10" t="str">
        <f>VLOOKUP(Table1[[#This Row],[UID]],CS3SVComposerConfig!$B$3:$D$1808,3,FALSE)</f>
        <v>adj_SV_CS3LTO_0803_riminflow20231214.dss</v>
      </c>
      <c r="K1345" s="10" t="s">
        <v>2212</v>
      </c>
      <c r="L1345" s="10" t="s">
        <v>2212</v>
      </c>
      <c r="M1345" s="10" t="s">
        <v>2224</v>
      </c>
      <c r="N1345" s="10" t="s">
        <v>2258</v>
      </c>
      <c r="O1345" s="10" t="s">
        <v>2259</v>
      </c>
      <c r="P1345" s="39">
        <v>0.76010208559453796</v>
      </c>
    </row>
    <row r="1346" spans="2:16" ht="18" customHeight="1" x14ac:dyDescent="0.25">
      <c r="B1346" s="21" t="s">
        <v>0</v>
      </c>
      <c r="C1346" s="22" t="s">
        <v>1398</v>
      </c>
      <c r="D1346" s="22" t="s">
        <v>1380</v>
      </c>
      <c r="E1346" s="21" t="s">
        <v>2222</v>
      </c>
      <c r="F1346" s="23" t="s">
        <v>3</v>
      </c>
      <c r="G1346" s="23" t="s">
        <v>4</v>
      </c>
      <c r="H1346" s="21" t="str">
        <f t="shared" si="20"/>
        <v>I_SFY048/INFLOW</v>
      </c>
      <c r="I1346" s="24" t="s">
        <v>2292</v>
      </c>
      <c r="J1346" s="10" t="str">
        <f>VLOOKUP(Table1[[#This Row],[UID]],CS3SVComposerConfig!$B$3:$D$1808,3,FALSE)</f>
        <v>adj_SV_CS3LTO_0803_riminflow20231214.dss</v>
      </c>
      <c r="K1346" s="10" t="s">
        <v>2212</v>
      </c>
      <c r="L1346" s="10" t="s">
        <v>2212</v>
      </c>
      <c r="M1346" s="10" t="s">
        <v>2224</v>
      </c>
      <c r="N1346" s="10" t="s">
        <v>2258</v>
      </c>
      <c r="O1346" s="10" t="s">
        <v>2259</v>
      </c>
      <c r="P1346" s="39">
        <v>0.729206695041136</v>
      </c>
    </row>
    <row r="1347" spans="2:16" ht="18" customHeight="1" x14ac:dyDescent="0.25">
      <c r="B1347" s="21" t="s">
        <v>0</v>
      </c>
      <c r="C1347" s="22" t="s">
        <v>1567</v>
      </c>
      <c r="D1347" s="22" t="s">
        <v>1380</v>
      </c>
      <c r="E1347" s="21" t="s">
        <v>2222</v>
      </c>
      <c r="F1347" s="23" t="s">
        <v>3</v>
      </c>
      <c r="G1347" s="23" t="s">
        <v>4</v>
      </c>
      <c r="H1347" s="21" t="str">
        <f t="shared" ref="H1347:H1410" si="21">_xlfn.CONCAT(C1347,"/",D1347)</f>
        <v>I_SGRGE/INFLOW</v>
      </c>
      <c r="I1347" s="24" t="s">
        <v>2292</v>
      </c>
      <c r="J1347" s="10" t="str">
        <f>VLOOKUP(Table1[[#This Row],[UID]],CS3SVComposerConfig!$B$3:$D$1808,3,FALSE)</f>
        <v>adj_SV_CS3LTO_0803_riminflow20231214.dss</v>
      </c>
      <c r="K1347" s="10" t="s">
        <v>2212</v>
      </c>
      <c r="L1347" s="10" t="s">
        <v>2212</v>
      </c>
      <c r="M1347" s="10" t="s">
        <v>2224</v>
      </c>
      <c r="N1347" s="10" t="s">
        <v>2258</v>
      </c>
      <c r="O1347" s="10" t="s">
        <v>2259</v>
      </c>
      <c r="P1347" s="39">
        <v>0.84271662382359802</v>
      </c>
    </row>
    <row r="1348" spans="2:16" ht="18" customHeight="1" x14ac:dyDescent="0.25">
      <c r="B1348" s="21" t="s">
        <v>0</v>
      </c>
      <c r="C1348" s="22" t="s">
        <v>1659</v>
      </c>
      <c r="D1348" s="22" t="s">
        <v>1380</v>
      </c>
      <c r="E1348" s="21" t="s">
        <v>2222</v>
      </c>
      <c r="F1348" s="23" t="s">
        <v>3</v>
      </c>
      <c r="G1348" s="23" t="s">
        <v>4</v>
      </c>
      <c r="H1348" s="21" t="str">
        <f t="shared" si="21"/>
        <v>I_SHSTA/INFLOW</v>
      </c>
      <c r="I1348" s="24" t="s">
        <v>2292</v>
      </c>
      <c r="J1348" s="10" t="str">
        <f>VLOOKUP(Table1[[#This Row],[UID]],CS3SVComposerConfig!$B$3:$D$1808,3,FALSE)</f>
        <v>adj_SV_CS3LTO_0803_riminflow20231214.dss</v>
      </c>
      <c r="K1348" s="10" t="s">
        <v>2212</v>
      </c>
      <c r="L1348" s="10" t="s">
        <v>2212</v>
      </c>
      <c r="M1348" s="10" t="s">
        <v>2224</v>
      </c>
      <c r="N1348" s="10" t="s">
        <v>2258</v>
      </c>
      <c r="O1348" s="10" t="s">
        <v>2259</v>
      </c>
      <c r="P1348" s="39">
        <v>0.93508913424148499</v>
      </c>
    </row>
    <row r="1349" spans="2:16" ht="18" customHeight="1" x14ac:dyDescent="0.25">
      <c r="B1349" s="21" t="s">
        <v>0</v>
      </c>
      <c r="C1349" s="22" t="s">
        <v>1637</v>
      </c>
      <c r="D1349" s="22" t="s">
        <v>1380</v>
      </c>
      <c r="E1349" s="21" t="s">
        <v>2222</v>
      </c>
      <c r="F1349" s="23" t="s">
        <v>3</v>
      </c>
      <c r="G1349" s="23" t="s">
        <v>4</v>
      </c>
      <c r="H1349" s="21" t="str">
        <f t="shared" si="21"/>
        <v>I_SILVR/INFLOW</v>
      </c>
      <c r="I1349" s="24" t="s">
        <v>2292</v>
      </c>
      <c r="J1349" s="10" t="str">
        <f>VLOOKUP(Table1[[#This Row],[UID]],CS3SVComposerConfig!$B$3:$D$1808,3,FALSE)</f>
        <v>adj_SV_CS3LTO_0803_riminflow20231214.dss</v>
      </c>
      <c r="K1349" s="10" t="s">
        <v>2212</v>
      </c>
      <c r="L1349" s="10" t="s">
        <v>2212</v>
      </c>
      <c r="M1349" s="10" t="s">
        <v>2224</v>
      </c>
      <c r="N1349" s="10" t="s">
        <v>2258</v>
      </c>
      <c r="O1349" s="10" t="s">
        <v>2259</v>
      </c>
      <c r="P1349" s="39">
        <v>0.81252187071298598</v>
      </c>
    </row>
    <row r="1350" spans="2:16" ht="18" customHeight="1" x14ac:dyDescent="0.25">
      <c r="B1350" s="21" t="s">
        <v>0</v>
      </c>
      <c r="C1350" s="22" t="s">
        <v>1728</v>
      </c>
      <c r="D1350" s="22" t="s">
        <v>1380</v>
      </c>
      <c r="E1350" s="21" t="s">
        <v>2222</v>
      </c>
      <c r="F1350" s="23" t="s">
        <v>3</v>
      </c>
      <c r="G1350" s="23" t="s">
        <v>4</v>
      </c>
      <c r="H1350" s="21" t="str">
        <f t="shared" si="21"/>
        <v>I_SJR258/INFLOW</v>
      </c>
      <c r="I1350" s="24" t="s">
        <v>2292</v>
      </c>
      <c r="J1350" s="10" t="str">
        <f>VLOOKUP(Table1[[#This Row],[UID]],CS3SVComposerConfig!$B$3:$D$1808,3,FALSE)</f>
        <v>adj_SV_CS3LTO_0803_riminflow20231214.dss</v>
      </c>
      <c r="K1350" s="10" t="s">
        <v>2212</v>
      </c>
      <c r="L1350" s="10" t="s">
        <v>2212</v>
      </c>
      <c r="M1350" s="10" t="s">
        <v>2224</v>
      </c>
      <c r="N1350" s="10" t="s">
        <v>2258</v>
      </c>
      <c r="O1350" s="10" t="s">
        <v>2259</v>
      </c>
      <c r="P1350" s="39">
        <v>0.78158132209197495</v>
      </c>
    </row>
    <row r="1351" spans="2:16" ht="18" customHeight="1" x14ac:dyDescent="0.25">
      <c r="B1351" s="21" t="s">
        <v>0</v>
      </c>
      <c r="C1351" s="22" t="s">
        <v>1641</v>
      </c>
      <c r="D1351" s="22" t="s">
        <v>1380</v>
      </c>
      <c r="E1351" s="21" t="s">
        <v>2222</v>
      </c>
      <c r="F1351" s="23" t="s">
        <v>3</v>
      </c>
      <c r="G1351" s="23" t="s">
        <v>4</v>
      </c>
      <c r="H1351" s="21" t="str">
        <f t="shared" si="21"/>
        <v>I_SJR265/INFLOW</v>
      </c>
      <c r="I1351" s="24" t="s">
        <v>2292</v>
      </c>
      <c r="J1351" s="10" t="str">
        <f>VLOOKUP(Table1[[#This Row],[UID]],CS3SVComposerConfig!$B$3:$D$1808,3,FALSE)</f>
        <v>adj_SV_CS3LTO_0803_riminflow20231214.dss</v>
      </c>
      <c r="K1351" s="10" t="s">
        <v>2212</v>
      </c>
      <c r="L1351" s="10" t="s">
        <v>2212</v>
      </c>
      <c r="M1351" s="10" t="s">
        <v>2224</v>
      </c>
      <c r="N1351" s="10" t="s">
        <v>2258</v>
      </c>
      <c r="O1351" s="10" t="s">
        <v>2259</v>
      </c>
      <c r="P1351" s="39">
        <v>0.53959113412199</v>
      </c>
    </row>
    <row r="1352" spans="2:16" ht="18" customHeight="1" x14ac:dyDescent="0.25">
      <c r="B1352" s="21" t="s">
        <v>0</v>
      </c>
      <c r="C1352" s="22" t="s">
        <v>1404</v>
      </c>
      <c r="D1352" s="22" t="s">
        <v>1380</v>
      </c>
      <c r="E1352" s="21" t="s">
        <v>2222</v>
      </c>
      <c r="F1352" s="23" t="s">
        <v>3</v>
      </c>
      <c r="G1352" s="23" t="s">
        <v>4</v>
      </c>
      <c r="H1352" s="21" t="str">
        <f t="shared" si="21"/>
        <v>I_SLC003/INFLOW</v>
      </c>
      <c r="I1352" s="24" t="s">
        <v>2292</v>
      </c>
      <c r="J1352" s="10" t="str">
        <f>VLOOKUP(Table1[[#This Row],[UID]],CS3SVComposerConfig!$B$3:$D$1808,3,FALSE)</f>
        <v>adj_SV_CS3LTO_0803_riminflow20231214.dss</v>
      </c>
      <c r="K1352" s="10" t="s">
        <v>2212</v>
      </c>
      <c r="L1352" s="10" t="s">
        <v>2212</v>
      </c>
      <c r="M1352" s="10" t="s">
        <v>2224</v>
      </c>
      <c r="N1352" s="10" t="s">
        <v>2258</v>
      </c>
      <c r="O1352" s="10" t="s">
        <v>2259</v>
      </c>
      <c r="P1352" s="39">
        <v>0.58606381020975695</v>
      </c>
    </row>
    <row r="1353" spans="2:16" ht="18" customHeight="1" x14ac:dyDescent="0.25">
      <c r="B1353" s="21" t="s">
        <v>0</v>
      </c>
      <c r="C1353" s="22" t="s">
        <v>1535</v>
      </c>
      <c r="D1353" s="22" t="s">
        <v>1380</v>
      </c>
      <c r="E1353" s="21" t="s">
        <v>2222</v>
      </c>
      <c r="F1353" s="23" t="s">
        <v>3</v>
      </c>
      <c r="G1353" s="23" t="s">
        <v>4</v>
      </c>
      <c r="H1353" s="21" t="str">
        <f t="shared" si="21"/>
        <v>I_SLF009/INFLOW</v>
      </c>
      <c r="I1353" s="24" t="s">
        <v>2292</v>
      </c>
      <c r="J1353" s="10" t="str">
        <f>VLOOKUP(Table1[[#This Row],[UID]],CS3SVComposerConfig!$B$3:$D$1808,3,FALSE)</f>
        <v>adj_SV_CS3LTO_0803_riminflow20231214.dss</v>
      </c>
      <c r="K1353" s="10" t="s">
        <v>2212</v>
      </c>
      <c r="L1353" s="10" t="s">
        <v>2212</v>
      </c>
      <c r="M1353" s="10" t="s">
        <v>2224</v>
      </c>
      <c r="N1353" s="10" t="s">
        <v>2258</v>
      </c>
      <c r="O1353" s="10" t="s">
        <v>2259</v>
      </c>
      <c r="P1353" s="39">
        <v>0.81016120281862503</v>
      </c>
    </row>
    <row r="1354" spans="2:16" ht="18" customHeight="1" x14ac:dyDescent="0.25">
      <c r="B1354" s="21" t="s">
        <v>0</v>
      </c>
      <c r="C1354" s="22" t="s">
        <v>1428</v>
      </c>
      <c r="D1354" s="22" t="s">
        <v>1380</v>
      </c>
      <c r="E1354" s="21" t="s">
        <v>2222</v>
      </c>
      <c r="F1354" s="23" t="s">
        <v>3</v>
      </c>
      <c r="G1354" s="23" t="s">
        <v>4</v>
      </c>
      <c r="H1354" s="21" t="str">
        <f t="shared" si="21"/>
        <v>I_SLO007/INFLOW</v>
      </c>
      <c r="I1354" s="24" t="s">
        <v>2292</v>
      </c>
      <c r="J1354" s="10" t="str">
        <f>VLOOKUP(Table1[[#This Row],[UID]],CS3SVComposerConfig!$B$3:$D$1808,3,FALSE)</f>
        <v>adj_SV_CS3LTO_0803_riminflow20231214.dss</v>
      </c>
      <c r="K1354" s="10" t="s">
        <v>2212</v>
      </c>
      <c r="L1354" s="10" t="s">
        <v>2212</v>
      </c>
      <c r="M1354" s="10" t="s">
        <v>2224</v>
      </c>
      <c r="N1354" s="10" t="s">
        <v>2258</v>
      </c>
      <c r="O1354" s="10" t="s">
        <v>2259</v>
      </c>
      <c r="P1354" s="39">
        <v>0.59917893159759505</v>
      </c>
    </row>
    <row r="1355" spans="2:16" ht="18" customHeight="1" x14ac:dyDescent="0.25">
      <c r="B1355" s="21" t="s">
        <v>0</v>
      </c>
      <c r="C1355" s="22" t="s">
        <v>1412</v>
      </c>
      <c r="D1355" s="22" t="s">
        <v>1380</v>
      </c>
      <c r="E1355" s="21" t="s">
        <v>2222</v>
      </c>
      <c r="F1355" s="23" t="s">
        <v>3</v>
      </c>
      <c r="G1355" s="23" t="s">
        <v>4</v>
      </c>
      <c r="H1355" s="21" t="str">
        <f t="shared" si="21"/>
        <v>I_SLT009/INFLOW</v>
      </c>
      <c r="I1355" s="24" t="s">
        <v>2292</v>
      </c>
      <c r="J1355" s="10" t="str">
        <f>VLOOKUP(Table1[[#This Row],[UID]],CS3SVComposerConfig!$B$3:$D$1808,3,FALSE)</f>
        <v>adj_SV_CS3LTO_0803_riminflow20231214.dss</v>
      </c>
      <c r="K1355" s="10" t="s">
        <v>2212</v>
      </c>
      <c r="L1355" s="10" t="s">
        <v>2212</v>
      </c>
      <c r="M1355" s="10" t="s">
        <v>2224</v>
      </c>
      <c r="N1355" s="10" t="s">
        <v>2258</v>
      </c>
      <c r="O1355" s="10" t="s">
        <v>2259</v>
      </c>
      <c r="P1355" s="39">
        <v>0.70777184890866995</v>
      </c>
    </row>
    <row r="1356" spans="2:16" ht="18" customHeight="1" x14ac:dyDescent="0.25">
      <c r="B1356" s="21" t="s">
        <v>0</v>
      </c>
      <c r="C1356" s="22" t="s">
        <v>1426</v>
      </c>
      <c r="D1356" s="22" t="s">
        <v>1380</v>
      </c>
      <c r="E1356" s="21" t="s">
        <v>2222</v>
      </c>
      <c r="F1356" s="23" t="s">
        <v>3</v>
      </c>
      <c r="G1356" s="23" t="s">
        <v>4</v>
      </c>
      <c r="H1356" s="21" t="str">
        <f t="shared" si="21"/>
        <v>I_SLTSP/INFLOW</v>
      </c>
      <c r="I1356" s="24" t="s">
        <v>2292</v>
      </c>
      <c r="J1356" s="10" t="str">
        <f>VLOOKUP(Table1[[#This Row],[UID]],CS3SVComposerConfig!$B$3:$D$1808,3,FALSE)</f>
        <v>adj_SV_CS3LTO_0803_riminflow20231214.dss</v>
      </c>
      <c r="K1356" s="10" t="s">
        <v>2212</v>
      </c>
      <c r="L1356" s="10" t="s">
        <v>2212</v>
      </c>
      <c r="M1356" s="10" t="s">
        <v>2224</v>
      </c>
      <c r="N1356" s="10" t="s">
        <v>2258</v>
      </c>
      <c r="O1356" s="10" t="s">
        <v>2259</v>
      </c>
      <c r="P1356" s="39">
        <v>0.80861285276569095</v>
      </c>
    </row>
    <row r="1357" spans="2:16" ht="18" customHeight="1" x14ac:dyDescent="0.25">
      <c r="B1357" s="21" t="s">
        <v>0</v>
      </c>
      <c r="C1357" s="22" t="s">
        <v>1639</v>
      </c>
      <c r="D1357" s="22" t="s">
        <v>1380</v>
      </c>
      <c r="E1357" s="21" t="s">
        <v>2222</v>
      </c>
      <c r="F1357" s="23" t="s">
        <v>3</v>
      </c>
      <c r="G1357" s="23" t="s">
        <v>4</v>
      </c>
      <c r="H1357" s="21" t="str">
        <f t="shared" si="21"/>
        <v>I_SLUIS/INFLOW</v>
      </c>
      <c r="I1357" s="24" t="s">
        <v>2292</v>
      </c>
      <c r="J1357" s="10" t="str">
        <f>VLOOKUP(Table1[[#This Row],[UID]],CS3SVComposerConfig!$B$3:$D$1808,3,FALSE)</f>
        <v>adj_SV_CS3LTO_0803_riminflow20231214.dss</v>
      </c>
      <c r="K1357" s="10" t="s">
        <v>2212</v>
      </c>
      <c r="L1357" s="10" t="s">
        <v>2212</v>
      </c>
      <c r="M1357" s="10" t="s">
        <v>2224</v>
      </c>
      <c r="N1357" s="10" t="s">
        <v>2258</v>
      </c>
      <c r="O1357" s="10" t="s">
        <v>2259</v>
      </c>
      <c r="P1357" s="39">
        <v>0.45052591299260197</v>
      </c>
    </row>
    <row r="1358" spans="2:16" ht="18" customHeight="1" x14ac:dyDescent="0.25">
      <c r="B1358" s="21" t="s">
        <v>0</v>
      </c>
      <c r="C1358" s="22" t="s">
        <v>1599</v>
      </c>
      <c r="D1358" s="22" t="s">
        <v>1380</v>
      </c>
      <c r="E1358" s="21" t="s">
        <v>2222</v>
      </c>
      <c r="F1358" s="23" t="s">
        <v>3</v>
      </c>
      <c r="G1358" s="23" t="s">
        <v>4</v>
      </c>
      <c r="H1358" s="21" t="str">
        <f t="shared" si="21"/>
        <v>I_SLV006/INFLOW</v>
      </c>
      <c r="I1358" s="24" t="s">
        <v>2292</v>
      </c>
      <c r="J1358" s="10" t="str">
        <f>VLOOKUP(Table1[[#This Row],[UID]],CS3SVComposerConfig!$B$3:$D$1808,3,FALSE)</f>
        <v>adj_SV_CS3LTO_0803_riminflow20231214.dss</v>
      </c>
      <c r="K1358" s="10" t="s">
        <v>2212</v>
      </c>
      <c r="L1358" s="10" t="s">
        <v>2212</v>
      </c>
      <c r="M1358" s="10" t="s">
        <v>2224</v>
      </c>
      <c r="N1358" s="10" t="s">
        <v>2258</v>
      </c>
      <c r="O1358" s="10" t="s">
        <v>2259</v>
      </c>
      <c r="P1358" s="39">
        <v>0.50354711527351304</v>
      </c>
    </row>
    <row r="1359" spans="2:16" ht="18" customHeight="1" x14ac:dyDescent="0.25">
      <c r="B1359" s="21" t="s">
        <v>0</v>
      </c>
      <c r="C1359" s="22" t="s">
        <v>1587</v>
      </c>
      <c r="D1359" s="22" t="s">
        <v>1380</v>
      </c>
      <c r="E1359" s="21" t="s">
        <v>2222</v>
      </c>
      <c r="F1359" s="23" t="s">
        <v>3</v>
      </c>
      <c r="G1359" s="23" t="s">
        <v>4</v>
      </c>
      <c r="H1359" s="21" t="str">
        <f t="shared" si="21"/>
        <v>I_SLV015/INFLOW</v>
      </c>
      <c r="I1359" s="24" t="s">
        <v>2292</v>
      </c>
      <c r="J1359" s="10" t="str">
        <f>VLOOKUP(Table1[[#This Row],[UID]],CS3SVComposerConfig!$B$3:$D$1808,3,FALSE)</f>
        <v>adj_SV_CS3LTO_0803_riminflow20231214.dss</v>
      </c>
      <c r="K1359" s="10" t="s">
        <v>2212</v>
      </c>
      <c r="L1359" s="10" t="s">
        <v>2212</v>
      </c>
      <c r="M1359" s="10" t="s">
        <v>2224</v>
      </c>
      <c r="N1359" s="10" t="s">
        <v>2258</v>
      </c>
      <c r="O1359" s="10" t="s">
        <v>2259</v>
      </c>
      <c r="P1359" s="39">
        <v>0.53975845360527197</v>
      </c>
    </row>
    <row r="1360" spans="2:16" ht="18" customHeight="1" x14ac:dyDescent="0.25">
      <c r="B1360" s="21" t="s">
        <v>0</v>
      </c>
      <c r="C1360" s="22" t="s">
        <v>1635</v>
      </c>
      <c r="D1360" s="22" t="s">
        <v>1380</v>
      </c>
      <c r="E1360" s="21" t="s">
        <v>2222</v>
      </c>
      <c r="F1360" s="23" t="s">
        <v>3</v>
      </c>
      <c r="G1360" s="23" t="s">
        <v>4</v>
      </c>
      <c r="H1360" s="21" t="str">
        <f t="shared" si="21"/>
        <v>I_SLYCK/INFLOW</v>
      </c>
      <c r="I1360" s="24" t="s">
        <v>2292</v>
      </c>
      <c r="J1360" s="10" t="str">
        <f>VLOOKUP(Table1[[#This Row],[UID]],CS3SVComposerConfig!$B$3:$D$1808,3,FALSE)</f>
        <v>adj_SV_CS3LTO_0803_riminflow20231214.dss</v>
      </c>
      <c r="K1360" s="10" t="s">
        <v>2212</v>
      </c>
      <c r="L1360" s="10" t="s">
        <v>2212</v>
      </c>
      <c r="M1360" s="10" t="s">
        <v>2224</v>
      </c>
      <c r="N1360" s="10" t="s">
        <v>2258</v>
      </c>
      <c r="O1360" s="10" t="s">
        <v>2259</v>
      </c>
      <c r="P1360" s="39">
        <v>0.72940347224140401</v>
      </c>
    </row>
    <row r="1361" spans="2:16" ht="18" customHeight="1" x14ac:dyDescent="0.25">
      <c r="B1361" s="21" t="s">
        <v>0</v>
      </c>
      <c r="C1361" s="22" t="s">
        <v>1742</v>
      </c>
      <c r="D1361" s="22" t="s">
        <v>1380</v>
      </c>
      <c r="E1361" s="21" t="s">
        <v>2222</v>
      </c>
      <c r="F1361" s="23" t="s">
        <v>3</v>
      </c>
      <c r="G1361" s="23" t="s">
        <v>4</v>
      </c>
      <c r="H1361" s="21" t="str">
        <f t="shared" si="21"/>
        <v>I_SPICE/INFLOW</v>
      </c>
      <c r="I1361" s="24" t="s">
        <v>2292</v>
      </c>
      <c r="J1361" s="10" t="str">
        <f>VLOOKUP(Table1[[#This Row],[UID]],CS3SVComposerConfig!$B$3:$D$1808,3,FALSE)</f>
        <v>adj_SV_CS3LTO_0803_riminflow20231214.dss</v>
      </c>
      <c r="K1361" s="10" t="s">
        <v>2212</v>
      </c>
      <c r="L1361" s="10" t="s">
        <v>2212</v>
      </c>
      <c r="M1361" s="10" t="s">
        <v>2224</v>
      </c>
      <c r="N1361" s="10" t="s">
        <v>2258</v>
      </c>
      <c r="O1361" s="10" t="s">
        <v>2259</v>
      </c>
      <c r="P1361" s="39">
        <v>0.82468168879404502</v>
      </c>
    </row>
    <row r="1362" spans="2:16" ht="18" customHeight="1" x14ac:dyDescent="0.25">
      <c r="B1362" s="21" t="s">
        <v>0</v>
      </c>
      <c r="C1362" s="22" t="s">
        <v>1583</v>
      </c>
      <c r="D1362" s="22" t="s">
        <v>1380</v>
      </c>
      <c r="E1362" s="21" t="s">
        <v>2222</v>
      </c>
      <c r="F1362" s="23" t="s">
        <v>3</v>
      </c>
      <c r="G1362" s="23" t="s">
        <v>4</v>
      </c>
      <c r="H1362" s="21" t="str">
        <f t="shared" si="21"/>
        <v>I_SPLDG/INFLOW</v>
      </c>
      <c r="I1362" s="24" t="s">
        <v>2292</v>
      </c>
      <c r="J1362" s="10" t="str">
        <f>VLOOKUP(Table1[[#This Row],[UID]],CS3SVComposerConfig!$B$3:$D$1808,3,FALSE)</f>
        <v>adj_SV_CS3LTO_0803_riminflow20231214.dss</v>
      </c>
      <c r="K1362" s="10" t="s">
        <v>2212</v>
      </c>
      <c r="L1362" s="10" t="s">
        <v>2212</v>
      </c>
      <c r="M1362" s="10" t="s">
        <v>2224</v>
      </c>
      <c r="N1362" s="10" t="s">
        <v>2258</v>
      </c>
      <c r="O1362" s="10" t="s">
        <v>2259</v>
      </c>
      <c r="P1362" s="39">
        <v>0.74655834526965703</v>
      </c>
    </row>
    <row r="1363" spans="2:16" ht="18" customHeight="1" x14ac:dyDescent="0.25">
      <c r="B1363" s="21" t="s">
        <v>0</v>
      </c>
      <c r="C1363" s="22" t="s">
        <v>1466</v>
      </c>
      <c r="D1363" s="22" t="s">
        <v>1380</v>
      </c>
      <c r="E1363" s="21" t="s">
        <v>2222</v>
      </c>
      <c r="F1363" s="23" t="s">
        <v>3</v>
      </c>
      <c r="G1363" s="23" t="s">
        <v>4</v>
      </c>
      <c r="H1363" s="21" t="str">
        <f t="shared" si="21"/>
        <v>I_STMPY/INFLOW</v>
      </c>
      <c r="I1363" s="24" t="s">
        <v>2292</v>
      </c>
      <c r="J1363" s="10" t="str">
        <f>VLOOKUP(Table1[[#This Row],[UID]],CS3SVComposerConfig!$B$3:$D$1808,3,FALSE)</f>
        <v>adj_SV_CS3LTO_0803_riminflow20231214.dss</v>
      </c>
      <c r="K1363" s="10" t="s">
        <v>2212</v>
      </c>
      <c r="L1363" s="10" t="s">
        <v>2212</v>
      </c>
      <c r="M1363" s="10" t="s">
        <v>2224</v>
      </c>
      <c r="N1363" s="10" t="s">
        <v>2258</v>
      </c>
      <c r="O1363" s="10" t="s">
        <v>2259</v>
      </c>
      <c r="P1363" s="39">
        <v>0.61071360467189095</v>
      </c>
    </row>
    <row r="1364" spans="2:16" ht="18" customHeight="1" x14ac:dyDescent="0.25">
      <c r="B1364" s="21" t="s">
        <v>0</v>
      </c>
      <c r="C1364" s="22" t="s">
        <v>1569</v>
      </c>
      <c r="D1364" s="22" t="s">
        <v>1380</v>
      </c>
      <c r="E1364" s="21" t="s">
        <v>2222</v>
      </c>
      <c r="F1364" s="23" t="s">
        <v>3</v>
      </c>
      <c r="G1364" s="23" t="s">
        <v>4</v>
      </c>
      <c r="H1364" s="21" t="str">
        <f t="shared" si="21"/>
        <v>I_STS059/INFLOW</v>
      </c>
      <c r="I1364" s="24" t="s">
        <v>2292</v>
      </c>
      <c r="J1364" s="10" t="str">
        <f>VLOOKUP(Table1[[#This Row],[UID]],CS3SVComposerConfig!$B$3:$D$1808,3,FALSE)</f>
        <v>adj_SV_CS3LTO_0803_riminflow20231214.dss</v>
      </c>
      <c r="K1364" s="10" t="s">
        <v>2212</v>
      </c>
      <c r="L1364" s="10" t="s">
        <v>2212</v>
      </c>
      <c r="M1364" s="10" t="s">
        <v>2224</v>
      </c>
      <c r="N1364" s="10" t="s">
        <v>2258</v>
      </c>
      <c r="O1364" s="10" t="s">
        <v>2259</v>
      </c>
      <c r="P1364" s="39">
        <v>0.56672874833028897</v>
      </c>
    </row>
    <row r="1365" spans="2:16" ht="18" customHeight="1" x14ac:dyDescent="0.25">
      <c r="B1365" s="21" t="s">
        <v>0</v>
      </c>
      <c r="C1365" s="22" t="s">
        <v>1577</v>
      </c>
      <c r="D1365" s="22" t="s">
        <v>1380</v>
      </c>
      <c r="E1365" s="21" t="s">
        <v>2222</v>
      </c>
      <c r="F1365" s="23" t="s">
        <v>3</v>
      </c>
      <c r="G1365" s="23" t="s">
        <v>4</v>
      </c>
      <c r="H1365" s="21" t="str">
        <f t="shared" si="21"/>
        <v>I_STS072/INFLOW</v>
      </c>
      <c r="I1365" s="24" t="s">
        <v>2292</v>
      </c>
      <c r="J1365" s="10" t="str">
        <f>VLOOKUP(Table1[[#This Row],[UID]],CS3SVComposerConfig!$B$3:$D$1808,3,FALSE)</f>
        <v>adj_SV_CS3LTO_0803_riminflow20231214.dss</v>
      </c>
      <c r="K1365" s="10" t="s">
        <v>2212</v>
      </c>
      <c r="L1365" s="10" t="s">
        <v>2212</v>
      </c>
      <c r="M1365" s="10" t="s">
        <v>2224</v>
      </c>
      <c r="N1365" s="10" t="s">
        <v>2258</v>
      </c>
      <c r="O1365" s="10" t="s">
        <v>2259</v>
      </c>
      <c r="P1365" s="39">
        <v>0.80035137534842005</v>
      </c>
    </row>
    <row r="1366" spans="2:16" ht="18" customHeight="1" x14ac:dyDescent="0.25">
      <c r="B1366" s="21" t="s">
        <v>0</v>
      </c>
      <c r="C1366" s="22" t="s">
        <v>1390</v>
      </c>
      <c r="D1366" s="22" t="s">
        <v>1380</v>
      </c>
      <c r="E1366" s="21" t="s">
        <v>2222</v>
      </c>
      <c r="F1366" s="23" t="s">
        <v>3</v>
      </c>
      <c r="G1366" s="23" t="s">
        <v>4</v>
      </c>
      <c r="H1366" s="21" t="str">
        <f t="shared" si="21"/>
        <v>I_TGC003/INFLOW</v>
      </c>
      <c r="I1366" s="24" t="s">
        <v>2292</v>
      </c>
      <c r="J1366" s="10" t="str">
        <f>VLOOKUP(Table1[[#This Row],[UID]],CS3SVComposerConfig!$B$3:$D$1808,3,FALSE)</f>
        <v>adj_SV_CS3LTO_0803_riminflow20231214.dss</v>
      </c>
      <c r="K1366" s="10" t="s">
        <v>2212</v>
      </c>
      <c r="L1366" s="10" t="s">
        <v>2212</v>
      </c>
      <c r="M1366" s="10" t="s">
        <v>2224</v>
      </c>
      <c r="N1366" s="10" t="s">
        <v>2258</v>
      </c>
      <c r="O1366" s="10" t="s">
        <v>2259</v>
      </c>
      <c r="P1366" s="39">
        <v>0.30525514415467597</v>
      </c>
    </row>
    <row r="1367" spans="2:16" ht="18" customHeight="1" x14ac:dyDescent="0.25">
      <c r="B1367" s="21" t="s">
        <v>0</v>
      </c>
      <c r="C1367" s="22" t="s">
        <v>1392</v>
      </c>
      <c r="D1367" s="22" t="s">
        <v>1380</v>
      </c>
      <c r="E1367" s="21" t="s">
        <v>2222</v>
      </c>
      <c r="F1367" s="23" t="s">
        <v>3</v>
      </c>
      <c r="G1367" s="23" t="s">
        <v>4</v>
      </c>
      <c r="H1367" s="21" t="str">
        <f t="shared" si="21"/>
        <v>I_THM028/INFLOW</v>
      </c>
      <c r="I1367" s="24" t="s">
        <v>2292</v>
      </c>
      <c r="J1367" s="10" t="str">
        <f>VLOOKUP(Table1[[#This Row],[UID]],CS3SVComposerConfig!$B$3:$D$1808,3,FALSE)</f>
        <v>adj_SV_CS3LTO_0803_riminflow20231214.dss</v>
      </c>
      <c r="K1367" s="10" t="s">
        <v>2212</v>
      </c>
      <c r="L1367" s="10" t="s">
        <v>2212</v>
      </c>
      <c r="M1367" s="10" t="s">
        <v>2224</v>
      </c>
      <c r="N1367" s="10" t="s">
        <v>2258</v>
      </c>
      <c r="O1367" s="10" t="s">
        <v>2259</v>
      </c>
      <c r="P1367" s="39">
        <v>0.79149956598325699</v>
      </c>
    </row>
    <row r="1368" spans="2:16" ht="18" customHeight="1" x14ac:dyDescent="0.25">
      <c r="B1368" s="21" t="s">
        <v>0</v>
      </c>
      <c r="C1368" s="22" t="s">
        <v>1633</v>
      </c>
      <c r="D1368" s="22" t="s">
        <v>1380</v>
      </c>
      <c r="E1368" s="21" t="s">
        <v>2222</v>
      </c>
      <c r="F1368" s="23" t="s">
        <v>3</v>
      </c>
      <c r="G1368" s="23" t="s">
        <v>4</v>
      </c>
      <c r="H1368" s="21" t="str">
        <f t="shared" si="21"/>
        <v>I_TRNTY/INFLOW</v>
      </c>
      <c r="I1368" s="24" t="s">
        <v>2292</v>
      </c>
      <c r="J1368" s="10" t="str">
        <f>VLOOKUP(Table1[[#This Row],[UID]],CS3SVComposerConfig!$B$3:$D$1808,3,FALSE)</f>
        <v>adj_SV_CS3LTO_0803_riminflow20231214.dss</v>
      </c>
      <c r="K1368" s="10" t="s">
        <v>2212</v>
      </c>
      <c r="L1368" s="10" t="s">
        <v>2212</v>
      </c>
      <c r="M1368" s="10" t="s">
        <v>2224</v>
      </c>
      <c r="N1368" s="10" t="s">
        <v>2258</v>
      </c>
      <c r="O1368" s="10" t="s">
        <v>2259</v>
      </c>
      <c r="P1368" s="39">
        <v>0.64166234237015196</v>
      </c>
    </row>
    <row r="1369" spans="2:16" ht="18" customHeight="1" x14ac:dyDescent="0.25">
      <c r="B1369" s="21" t="s">
        <v>0</v>
      </c>
      <c r="C1369" s="22" t="s">
        <v>1571</v>
      </c>
      <c r="D1369" s="22" t="s">
        <v>1380</v>
      </c>
      <c r="E1369" s="21" t="s">
        <v>2222</v>
      </c>
      <c r="F1369" s="23" t="s">
        <v>3</v>
      </c>
      <c r="G1369" s="23" t="s">
        <v>4</v>
      </c>
      <c r="H1369" s="21" t="str">
        <f t="shared" si="21"/>
        <v>I_TULOC/INFLOW</v>
      </c>
      <c r="I1369" s="24" t="s">
        <v>2292</v>
      </c>
      <c r="J1369" s="10" t="str">
        <f>VLOOKUP(Table1[[#This Row],[UID]],CS3SVComposerConfig!$B$3:$D$1808,3,FALSE)</f>
        <v>adj_SV_CS3LTO_0803_riminflow20231214.dss</v>
      </c>
      <c r="K1369" s="10" t="s">
        <v>2212</v>
      </c>
      <c r="L1369" s="10" t="s">
        <v>2212</v>
      </c>
      <c r="M1369" s="10" t="s">
        <v>2224</v>
      </c>
      <c r="N1369" s="10" t="s">
        <v>2258</v>
      </c>
      <c r="O1369" s="10" t="s">
        <v>2259</v>
      </c>
      <c r="P1369" s="39">
        <v>0.67810272823698903</v>
      </c>
    </row>
    <row r="1370" spans="2:16" ht="18" customHeight="1" x14ac:dyDescent="0.25">
      <c r="B1370" s="21" t="s">
        <v>0</v>
      </c>
      <c r="C1370" s="22" t="s">
        <v>1388</v>
      </c>
      <c r="D1370" s="22" t="s">
        <v>1380</v>
      </c>
      <c r="E1370" s="21" t="s">
        <v>2222</v>
      </c>
      <c r="F1370" s="23" t="s">
        <v>3</v>
      </c>
      <c r="G1370" s="23" t="s">
        <v>4</v>
      </c>
      <c r="H1370" s="21" t="str">
        <f t="shared" si="21"/>
        <v>I_TUO054/INFLOW</v>
      </c>
      <c r="I1370" s="24" t="s">
        <v>2292</v>
      </c>
      <c r="J1370" s="10" t="str">
        <f>VLOOKUP(Table1[[#This Row],[UID]],CS3SVComposerConfig!$B$3:$D$1808,3,FALSE)</f>
        <v>adj_SV_CS3LTO_0803_riminflow20231214.dss</v>
      </c>
      <c r="K1370" s="10" t="s">
        <v>2212</v>
      </c>
      <c r="L1370" s="10" t="s">
        <v>2212</v>
      </c>
      <c r="M1370" s="10" t="s">
        <v>2224</v>
      </c>
      <c r="N1370" s="10" t="s">
        <v>2258</v>
      </c>
      <c r="O1370" s="10" t="s">
        <v>2259</v>
      </c>
      <c r="P1370" s="39">
        <v>0.60473146675914802</v>
      </c>
    </row>
    <row r="1371" spans="2:16" ht="18" customHeight="1" x14ac:dyDescent="0.25">
      <c r="B1371" s="21" t="s">
        <v>0</v>
      </c>
      <c r="C1371" s="22" t="s">
        <v>1444</v>
      </c>
      <c r="D1371" s="22" t="s">
        <v>1380</v>
      </c>
      <c r="E1371" s="21" t="s">
        <v>2222</v>
      </c>
      <c r="F1371" s="23" t="s">
        <v>3</v>
      </c>
      <c r="G1371" s="23" t="s">
        <v>4</v>
      </c>
      <c r="H1371" s="21" t="str">
        <f t="shared" si="21"/>
        <v>I_TUO105/INFLOW</v>
      </c>
      <c r="I1371" s="24" t="s">
        <v>2292</v>
      </c>
      <c r="J1371" s="10" t="str">
        <f>VLOOKUP(Table1[[#This Row],[UID]],CS3SVComposerConfig!$B$3:$D$1808,3,FALSE)</f>
        <v>DCR2023_SV_Danube_Hist_v3.dss</v>
      </c>
      <c r="K1371" s="10" t="s">
        <v>2224</v>
      </c>
      <c r="L1371" s="10" t="s">
        <v>2212</v>
      </c>
      <c r="M1371" s="10" t="s">
        <v>2224</v>
      </c>
      <c r="N1371" s="10" t="s">
        <v>2227</v>
      </c>
      <c r="O1371" s="10" t="s">
        <v>2227</v>
      </c>
      <c r="P1371" s="39" t="s">
        <v>2227</v>
      </c>
    </row>
    <row r="1372" spans="2:16" ht="18" customHeight="1" x14ac:dyDescent="0.25">
      <c r="B1372" s="21" t="s">
        <v>0</v>
      </c>
      <c r="C1372" s="22" t="s">
        <v>1386</v>
      </c>
      <c r="D1372" s="22" t="s">
        <v>1380</v>
      </c>
      <c r="E1372" s="21" t="s">
        <v>2222</v>
      </c>
      <c r="F1372" s="23" t="s">
        <v>3</v>
      </c>
      <c r="G1372" s="23" t="s">
        <v>4</v>
      </c>
      <c r="H1372" s="21" t="str">
        <f t="shared" si="21"/>
        <v>I_UBEAR/INFLOW</v>
      </c>
      <c r="I1372" s="24" t="s">
        <v>2292</v>
      </c>
      <c r="J1372" s="10" t="str">
        <f>VLOOKUP(Table1[[#This Row],[UID]],CS3SVComposerConfig!$B$3:$D$1808,3,FALSE)</f>
        <v>adj_SV_CS3LTO_0803_riminflow20231214.dss</v>
      </c>
      <c r="K1372" s="10" t="s">
        <v>2212</v>
      </c>
      <c r="L1372" s="10" t="s">
        <v>2212</v>
      </c>
      <c r="M1372" s="10" t="s">
        <v>2224</v>
      </c>
      <c r="N1372" s="10" t="s">
        <v>2258</v>
      </c>
      <c r="O1372" s="10" t="s">
        <v>2259</v>
      </c>
      <c r="P1372" s="39">
        <v>0.59275037463523494</v>
      </c>
    </row>
    <row r="1373" spans="2:16" ht="18" customHeight="1" x14ac:dyDescent="0.25">
      <c r="B1373" s="21" t="s">
        <v>0</v>
      </c>
      <c r="C1373" s="22" t="s">
        <v>1631</v>
      </c>
      <c r="D1373" s="22" t="s">
        <v>1380</v>
      </c>
      <c r="E1373" s="21" t="s">
        <v>2222</v>
      </c>
      <c r="F1373" s="23" t="s">
        <v>3</v>
      </c>
      <c r="G1373" s="23" t="s">
        <v>4</v>
      </c>
      <c r="H1373" s="21" t="str">
        <f t="shared" si="21"/>
        <v>I_UNVLY/INFLOW</v>
      </c>
      <c r="I1373" s="24" t="s">
        <v>2292</v>
      </c>
      <c r="J1373" s="10" t="str">
        <f>VLOOKUP(Table1[[#This Row],[UID]],CS3SVComposerConfig!$B$3:$D$1808,3,FALSE)</f>
        <v>adj_SV_CS3LTO_0803_riminflow20231214.dss</v>
      </c>
      <c r="K1373" s="10" t="s">
        <v>2212</v>
      </c>
      <c r="L1373" s="10" t="s">
        <v>2212</v>
      </c>
      <c r="M1373" s="10" t="s">
        <v>2224</v>
      </c>
      <c r="N1373" s="10" t="s">
        <v>2258</v>
      </c>
      <c r="O1373" s="10" t="s">
        <v>2259</v>
      </c>
      <c r="P1373" s="39">
        <v>0.50867489316668402</v>
      </c>
    </row>
    <row r="1374" spans="2:16" ht="18" customHeight="1" x14ac:dyDescent="0.25">
      <c r="B1374" s="21" t="s">
        <v>0</v>
      </c>
      <c r="C1374" s="22" t="s">
        <v>1565</v>
      </c>
      <c r="D1374" s="22" t="s">
        <v>1380</v>
      </c>
      <c r="E1374" s="21" t="s">
        <v>2222</v>
      </c>
      <c r="F1374" s="23" t="s">
        <v>3</v>
      </c>
      <c r="G1374" s="23" t="s">
        <v>4</v>
      </c>
      <c r="H1374" s="21" t="str">
        <f t="shared" si="21"/>
        <v>I_WBF006/INFLOW</v>
      </c>
      <c r="I1374" s="24" t="s">
        <v>2292</v>
      </c>
      <c r="J1374" s="10" t="str">
        <f>VLOOKUP(Table1[[#This Row],[UID]],CS3SVComposerConfig!$B$3:$D$1808,3,FALSE)</f>
        <v>adj_SV_CS3LTO_0803_riminflow20231214.dss</v>
      </c>
      <c r="K1374" s="10" t="s">
        <v>2212</v>
      </c>
      <c r="L1374" s="10" t="s">
        <v>2212</v>
      </c>
      <c r="M1374" s="10" t="s">
        <v>2224</v>
      </c>
      <c r="N1374" s="10" t="s">
        <v>2258</v>
      </c>
      <c r="O1374" s="10" t="s">
        <v>2259</v>
      </c>
      <c r="P1374" s="39">
        <v>0.66453566767054795</v>
      </c>
    </row>
    <row r="1375" spans="2:16" ht="18" customHeight="1" x14ac:dyDescent="0.25">
      <c r="B1375" s="21" t="s">
        <v>0</v>
      </c>
      <c r="C1375" s="22" t="s">
        <v>1827</v>
      </c>
      <c r="D1375" s="22" t="s">
        <v>1380</v>
      </c>
      <c r="E1375" s="21" t="s">
        <v>2222</v>
      </c>
      <c r="F1375" s="23" t="s">
        <v>3</v>
      </c>
      <c r="G1375" s="23" t="s">
        <v>4</v>
      </c>
      <c r="H1375" s="21" t="str">
        <f t="shared" si="21"/>
        <v>I_WBF015/INFLOW</v>
      </c>
      <c r="I1375" s="24" t="s">
        <v>2292</v>
      </c>
      <c r="J1375" s="10" t="str">
        <f>VLOOKUP(Table1[[#This Row],[UID]],CS3SVComposerConfig!$B$3:$D$1808,3,FALSE)</f>
        <v>adj_SV_CS3LTO_0803_riminflow20231214.dss</v>
      </c>
      <c r="K1375" s="10" t="s">
        <v>2212</v>
      </c>
      <c r="L1375" s="10" t="s">
        <v>2212</v>
      </c>
      <c r="M1375" s="10" t="s">
        <v>2224</v>
      </c>
      <c r="N1375" s="10" t="s">
        <v>2258</v>
      </c>
      <c r="O1375" s="10" t="s">
        <v>2259</v>
      </c>
      <c r="P1375" s="39">
        <v>0.717741349483349</v>
      </c>
    </row>
    <row r="1376" spans="2:16" ht="18" customHeight="1" x14ac:dyDescent="0.25">
      <c r="B1376" s="21" t="s">
        <v>0</v>
      </c>
      <c r="C1376" s="22" t="s">
        <v>1719</v>
      </c>
      <c r="D1376" s="22" t="s">
        <v>1380</v>
      </c>
      <c r="E1376" s="21" t="s">
        <v>2222</v>
      </c>
      <c r="F1376" s="23" t="s">
        <v>3</v>
      </c>
      <c r="G1376" s="23" t="s">
        <v>4</v>
      </c>
      <c r="H1376" s="21" t="str">
        <f t="shared" si="21"/>
        <v>I_WBF030/INFLOW</v>
      </c>
      <c r="I1376" s="24" t="s">
        <v>2292</v>
      </c>
      <c r="J1376" s="10" t="str">
        <f>VLOOKUP(Table1[[#This Row],[UID]],CS3SVComposerConfig!$B$3:$D$1808,3,FALSE)</f>
        <v>adj_SV_CS3LTO_0803_riminflow20231214.dss</v>
      </c>
      <c r="K1376" s="10" t="s">
        <v>2212</v>
      </c>
      <c r="L1376" s="10" t="s">
        <v>2212</v>
      </c>
      <c r="M1376" s="10" t="s">
        <v>2224</v>
      </c>
      <c r="N1376" s="10" t="s">
        <v>2258</v>
      </c>
      <c r="O1376" s="10" t="s">
        <v>2259</v>
      </c>
      <c r="P1376" s="39">
        <v>0.81276850705492298</v>
      </c>
    </row>
    <row r="1377" spans="2:16" ht="18" customHeight="1" x14ac:dyDescent="0.25">
      <c r="B1377" s="21" t="s">
        <v>0</v>
      </c>
      <c r="C1377" s="22" t="s">
        <v>1384</v>
      </c>
      <c r="D1377" s="22" t="s">
        <v>1380</v>
      </c>
      <c r="E1377" s="21" t="s">
        <v>2222</v>
      </c>
      <c r="F1377" s="23" t="s">
        <v>3</v>
      </c>
      <c r="G1377" s="23" t="s">
        <v>4</v>
      </c>
      <c r="H1377" s="21" t="str">
        <f t="shared" si="21"/>
        <v>I_WBR001/INFLOW</v>
      </c>
      <c r="I1377" s="24" t="s">
        <v>2292</v>
      </c>
      <c r="J1377" s="10" t="str">
        <f>VLOOKUP(Table1[[#This Row],[UID]],CS3SVComposerConfig!$B$3:$D$1808,3,FALSE)</f>
        <v>adj_SV_CS3LTO_0803_riminflow20231214.dss</v>
      </c>
      <c r="K1377" s="10" t="s">
        <v>2212</v>
      </c>
      <c r="L1377" s="10" t="s">
        <v>2212</v>
      </c>
      <c r="M1377" s="10" t="s">
        <v>2224</v>
      </c>
      <c r="N1377" s="10" t="s">
        <v>2258</v>
      </c>
      <c r="O1377" s="10" t="s">
        <v>2259</v>
      </c>
      <c r="P1377" s="39">
        <v>0.75544808539090202</v>
      </c>
    </row>
    <row r="1378" spans="2:16" ht="18" customHeight="1" x14ac:dyDescent="0.25">
      <c r="B1378" s="21" t="s">
        <v>0</v>
      </c>
      <c r="C1378" s="22" t="s">
        <v>1495</v>
      </c>
      <c r="D1378" s="22" t="s">
        <v>1380</v>
      </c>
      <c r="E1378" s="21" t="s">
        <v>2222</v>
      </c>
      <c r="F1378" s="23" t="s">
        <v>3</v>
      </c>
      <c r="G1378" s="23" t="s">
        <v>4</v>
      </c>
      <c r="H1378" s="21" t="str">
        <f t="shared" si="21"/>
        <v>I_WKYTN/INFLOW</v>
      </c>
      <c r="I1378" s="24" t="s">
        <v>2292</v>
      </c>
      <c r="J1378" s="10" t="str">
        <f>VLOOKUP(Table1[[#This Row],[UID]],CS3SVComposerConfig!$B$3:$D$1808,3,FALSE)</f>
        <v>adj_SV_CS3LTO_0803_riminflow20231214.dss</v>
      </c>
      <c r="K1378" s="10" t="s">
        <v>2212</v>
      </c>
      <c r="L1378" s="10" t="s">
        <v>2212</v>
      </c>
      <c r="M1378" s="10" t="s">
        <v>2224</v>
      </c>
      <c r="N1378" s="10" t="s">
        <v>2258</v>
      </c>
      <c r="O1378" s="10" t="s">
        <v>2259</v>
      </c>
      <c r="P1378" s="39">
        <v>0.82980456031838401</v>
      </c>
    </row>
    <row r="1379" spans="2:16" ht="18" customHeight="1" x14ac:dyDescent="0.25">
      <c r="B1379" s="21" t="s">
        <v>0</v>
      </c>
      <c r="C1379" s="22" t="s">
        <v>1379</v>
      </c>
      <c r="D1379" s="22" t="s">
        <v>1380</v>
      </c>
      <c r="E1379" s="21" t="s">
        <v>2222</v>
      </c>
      <c r="F1379" s="23" t="s">
        <v>3</v>
      </c>
      <c r="G1379" s="23" t="s">
        <v>4</v>
      </c>
      <c r="H1379" s="21" t="str">
        <f t="shared" si="21"/>
        <v>I_WLF013/INFLOW</v>
      </c>
      <c r="I1379" s="24" t="s">
        <v>2292</v>
      </c>
      <c r="J1379" s="10" t="str">
        <f>VLOOKUP(Table1[[#This Row],[UID]],CS3SVComposerConfig!$B$3:$D$1808,3,FALSE)</f>
        <v>adj_SV_CS3LTO_0803_riminflow20231214.dss</v>
      </c>
      <c r="K1379" s="10" t="s">
        <v>2212</v>
      </c>
      <c r="L1379" s="10" t="s">
        <v>2212</v>
      </c>
      <c r="M1379" s="10" t="s">
        <v>2224</v>
      </c>
      <c r="N1379" s="10" t="s">
        <v>2258</v>
      </c>
      <c r="O1379" s="10" t="s">
        <v>2259</v>
      </c>
      <c r="P1379" s="39">
        <v>0.91877173205551599</v>
      </c>
    </row>
    <row r="1380" spans="2:16" ht="18" customHeight="1" x14ac:dyDescent="0.25">
      <c r="B1380" s="21" t="s">
        <v>0</v>
      </c>
      <c r="C1380" s="22" t="s">
        <v>1621</v>
      </c>
      <c r="D1380" s="22" t="s">
        <v>1423</v>
      </c>
      <c r="E1380" s="21" t="s">
        <v>2222</v>
      </c>
      <c r="F1380" s="23" t="s">
        <v>3</v>
      </c>
      <c r="G1380" s="23" t="s">
        <v>4</v>
      </c>
      <c r="H1380" s="21" t="str">
        <f t="shared" si="21"/>
        <v>I422/FLOW-INFLOW</v>
      </c>
      <c r="I1380" s="24" t="s">
        <v>2292</v>
      </c>
      <c r="J1380" s="10" t="str">
        <f>VLOOKUP(Table1[[#This Row],[UID]],CS3SVComposerConfig!$B$3:$D$1808,3,FALSE)</f>
        <v>DCR2023_SV_Danube_Hist_v3.dss</v>
      </c>
      <c r="K1380" s="10" t="s">
        <v>2212</v>
      </c>
      <c r="L1380" s="10" t="s">
        <v>2212</v>
      </c>
      <c r="M1380" s="10" t="s">
        <v>2224</v>
      </c>
      <c r="N1380" s="10" t="s">
        <v>2258</v>
      </c>
      <c r="O1380" s="10" t="s">
        <v>2259</v>
      </c>
      <c r="P1380" s="39">
        <v>0.56435956384752795</v>
      </c>
    </row>
    <row r="1381" spans="2:16" ht="18" customHeight="1" x14ac:dyDescent="0.25">
      <c r="B1381" s="21" t="s">
        <v>0</v>
      </c>
      <c r="C1381" s="22" t="s">
        <v>1136</v>
      </c>
      <c r="D1381" s="22" t="s">
        <v>1137</v>
      </c>
      <c r="E1381" s="21" t="s">
        <v>2222</v>
      </c>
      <c r="F1381" s="23" t="s">
        <v>3</v>
      </c>
      <c r="G1381" s="23" t="s">
        <v>4</v>
      </c>
      <c r="H1381" s="21" t="str">
        <f t="shared" si="21"/>
        <v>UNIMP_FOLS/FLOW-UNIMPAIRED</v>
      </c>
      <c r="I1381" s="24" t="s">
        <v>2292</v>
      </c>
      <c r="J1381" s="10" t="str">
        <f>VLOOKUP(Table1[[#This Row],[UID]],CS3SVComposerConfig!$B$3:$D$1808,3,FALSE)</f>
        <v>adj_SV_CS3LTO_0803_riminflow20231214.dss</v>
      </c>
      <c r="K1381" s="10" t="s">
        <v>2212</v>
      </c>
      <c r="L1381" s="10" t="s">
        <v>2212</v>
      </c>
      <c r="M1381" s="10" t="s">
        <v>2224</v>
      </c>
      <c r="N1381" s="10" t="s">
        <v>2258</v>
      </c>
      <c r="O1381" s="10" t="s">
        <v>2259</v>
      </c>
      <c r="P1381" s="39">
        <v>0.80232213133267205</v>
      </c>
    </row>
    <row r="1382" spans="2:16" ht="18" customHeight="1" x14ac:dyDescent="0.25">
      <c r="B1382" s="21" t="s">
        <v>0</v>
      </c>
      <c r="C1382" s="22" t="s">
        <v>2295</v>
      </c>
      <c r="D1382" s="22" t="s">
        <v>1137</v>
      </c>
      <c r="E1382" s="21" t="s">
        <v>2222</v>
      </c>
      <c r="F1382" s="23" t="s">
        <v>3</v>
      </c>
      <c r="G1382" s="23" t="s">
        <v>4</v>
      </c>
      <c r="H1382" s="21" t="str">
        <f t="shared" si="21"/>
        <v>UNIMP_FOLS_UHH/FLOW-UNIMPAIRED</v>
      </c>
      <c r="I1382" s="24" t="s">
        <v>2292</v>
      </c>
      <c r="J1382" s="10" t="str">
        <f>VLOOKUP(Table1[[#This Row],[UID]],CS3SVComposerConfig!$B$3:$D$1808,3,FALSE)</f>
        <v>HydroForecastInputForHao.dss</v>
      </c>
      <c r="K1382" s="10" t="s">
        <v>2212</v>
      </c>
      <c r="L1382" s="10" t="s">
        <v>2212</v>
      </c>
      <c r="M1382" s="10" t="s">
        <v>2224</v>
      </c>
      <c r="N1382" s="10" t="s">
        <v>2258</v>
      </c>
      <c r="O1382" s="10" t="s">
        <v>2259</v>
      </c>
      <c r="P1382" s="39">
        <v>0.80232213133267205</v>
      </c>
    </row>
    <row r="1383" spans="2:16" ht="18" customHeight="1" x14ac:dyDescent="0.25">
      <c r="B1383" s="21" t="s">
        <v>0</v>
      </c>
      <c r="C1383" s="22" t="s">
        <v>1139</v>
      </c>
      <c r="D1383" s="22" t="s">
        <v>1137</v>
      </c>
      <c r="E1383" s="21" t="s">
        <v>2222</v>
      </c>
      <c r="F1383" s="23" t="s">
        <v>3</v>
      </c>
      <c r="G1383" s="23" t="s">
        <v>4</v>
      </c>
      <c r="H1383" s="21" t="str">
        <f t="shared" si="21"/>
        <v>UNIMP_ME/FLOW-UNIMPAIRED</v>
      </c>
      <c r="I1383" s="24" t="s">
        <v>2292</v>
      </c>
      <c r="J1383" s="10" t="str">
        <f>VLOOKUP(Table1[[#This Row],[UID]],CS3SVComposerConfig!$B$3:$D$1808,3,FALSE)</f>
        <v>adj_SV_CS3LTO_0803_riminflow20231214.dss</v>
      </c>
      <c r="K1383" s="10" t="s">
        <v>2212</v>
      </c>
      <c r="L1383" s="10" t="s">
        <v>2212</v>
      </c>
      <c r="M1383" s="10" t="s">
        <v>2224</v>
      </c>
      <c r="N1383" s="10" t="s">
        <v>2258</v>
      </c>
      <c r="O1383" s="10" t="s">
        <v>2259</v>
      </c>
      <c r="P1383" s="39">
        <v>0.86335992090581104</v>
      </c>
    </row>
    <row r="1384" spans="2:16" ht="18" customHeight="1" x14ac:dyDescent="0.25">
      <c r="B1384" s="21" t="s">
        <v>0</v>
      </c>
      <c r="C1384" s="22" t="s">
        <v>2296</v>
      </c>
      <c r="D1384" s="22" t="s">
        <v>1137</v>
      </c>
      <c r="E1384" s="21" t="s">
        <v>2222</v>
      </c>
      <c r="F1384" s="23" t="s">
        <v>3</v>
      </c>
      <c r="G1384" s="23" t="s">
        <v>4</v>
      </c>
      <c r="H1384" s="21" t="str">
        <f t="shared" si="21"/>
        <v>UNIMP_ME_UHH/FLOW-UNIMPAIRED</v>
      </c>
      <c r="I1384" s="24" t="s">
        <v>2292</v>
      </c>
      <c r="J1384" s="10" t="str">
        <f>VLOOKUP(Table1[[#This Row],[UID]],CS3SVComposerConfig!$B$3:$D$1808,3,FALSE)</f>
        <v>HydroForecastInputForHao.dss</v>
      </c>
      <c r="K1384" s="10" t="s">
        <v>2212</v>
      </c>
      <c r="L1384" s="10" t="s">
        <v>2212</v>
      </c>
      <c r="M1384" s="10" t="s">
        <v>2224</v>
      </c>
      <c r="N1384" s="10" t="s">
        <v>2258</v>
      </c>
      <c r="O1384" s="10" t="s">
        <v>2259</v>
      </c>
      <c r="P1384" s="39">
        <v>0.86335992090581104</v>
      </c>
    </row>
    <row r="1385" spans="2:16" ht="18" customHeight="1" x14ac:dyDescent="0.25">
      <c r="B1385" s="21" t="s">
        <v>0</v>
      </c>
      <c r="C1385" s="22" t="s">
        <v>1140</v>
      </c>
      <c r="D1385" s="22" t="s">
        <v>1137</v>
      </c>
      <c r="E1385" s="21" t="s">
        <v>2222</v>
      </c>
      <c r="F1385" s="23" t="s">
        <v>3</v>
      </c>
      <c r="G1385" s="23" t="s">
        <v>4</v>
      </c>
      <c r="H1385" s="21" t="str">
        <f t="shared" si="21"/>
        <v>UNIMP_OROV/FLOW-UNIMPAIRED</v>
      </c>
      <c r="I1385" s="24" t="s">
        <v>2292</v>
      </c>
      <c r="J1385" s="10" t="str">
        <f>VLOOKUP(Table1[[#This Row],[UID]],CS3SVComposerConfig!$B$3:$D$1808,3,FALSE)</f>
        <v>adj_SV_CS3LTO_0803_riminflow20231214.dss</v>
      </c>
      <c r="K1385" s="10" t="s">
        <v>2212</v>
      </c>
      <c r="L1385" s="10" t="s">
        <v>2212</v>
      </c>
      <c r="M1385" s="10" t="s">
        <v>2224</v>
      </c>
      <c r="N1385" s="10" t="s">
        <v>2258</v>
      </c>
      <c r="O1385" s="10" t="s">
        <v>2259</v>
      </c>
      <c r="P1385" s="39">
        <v>0.82282979577353699</v>
      </c>
    </row>
    <row r="1386" spans="2:16" ht="18" customHeight="1" x14ac:dyDescent="0.25">
      <c r="B1386" s="21" t="s">
        <v>0</v>
      </c>
      <c r="C1386" s="22" t="s">
        <v>2297</v>
      </c>
      <c r="D1386" s="22" t="s">
        <v>1137</v>
      </c>
      <c r="E1386" s="21" t="s">
        <v>2222</v>
      </c>
      <c r="F1386" s="23" t="s">
        <v>3</v>
      </c>
      <c r="G1386" s="23" t="s">
        <v>4</v>
      </c>
      <c r="H1386" s="21" t="str">
        <f t="shared" si="21"/>
        <v>UNIMP_OROV_UHH/FLOW-UNIMPAIRED</v>
      </c>
      <c r="I1386" s="24" t="s">
        <v>2292</v>
      </c>
      <c r="J1386" s="10" t="str">
        <f>VLOOKUP(Table1[[#This Row],[UID]],CS3SVComposerConfig!$B$3:$D$1808,3,FALSE)</f>
        <v>HydroForecastInputForHao.dss</v>
      </c>
      <c r="K1386" s="10" t="s">
        <v>2212</v>
      </c>
      <c r="L1386" s="10" t="s">
        <v>2212</v>
      </c>
      <c r="M1386" s="10" t="s">
        <v>2224</v>
      </c>
      <c r="N1386" s="10" t="s">
        <v>2258</v>
      </c>
      <c r="O1386" s="10" t="s">
        <v>2259</v>
      </c>
      <c r="P1386" s="39">
        <v>0.82282979577353699</v>
      </c>
    </row>
    <row r="1387" spans="2:16" ht="18" customHeight="1" x14ac:dyDescent="0.25">
      <c r="B1387" s="21" t="s">
        <v>0</v>
      </c>
      <c r="C1387" s="22" t="s">
        <v>1141</v>
      </c>
      <c r="D1387" s="22" t="s">
        <v>1137</v>
      </c>
      <c r="E1387" s="21" t="s">
        <v>2222</v>
      </c>
      <c r="F1387" s="23" t="s">
        <v>3</v>
      </c>
      <c r="G1387" s="23" t="s">
        <v>4</v>
      </c>
      <c r="H1387" s="21" t="str">
        <f t="shared" si="21"/>
        <v>UNIMP_SHAS/FLOW-UNIMPAIRED</v>
      </c>
      <c r="I1387" s="24" t="s">
        <v>2292</v>
      </c>
      <c r="J1387" s="10" t="str">
        <f>VLOOKUP(Table1[[#This Row],[UID]],CS3SVComposerConfig!$B$3:$D$1808,3,FALSE)</f>
        <v>adj_SV_CS3LTO_0803_riminflow20231214.dss</v>
      </c>
      <c r="K1387" s="10" t="s">
        <v>2212</v>
      </c>
      <c r="L1387" s="10" t="s">
        <v>2212</v>
      </c>
      <c r="M1387" s="10" t="s">
        <v>2224</v>
      </c>
      <c r="N1387" s="10" t="s">
        <v>2258</v>
      </c>
      <c r="O1387" s="10" t="s">
        <v>2259</v>
      </c>
      <c r="P1387" s="39">
        <v>0.92483134279920398</v>
      </c>
    </row>
    <row r="1388" spans="2:16" ht="18" customHeight="1" x14ac:dyDescent="0.25">
      <c r="B1388" s="21" t="s">
        <v>0</v>
      </c>
      <c r="C1388" s="22" t="s">
        <v>2298</v>
      </c>
      <c r="D1388" s="22" t="s">
        <v>1137</v>
      </c>
      <c r="E1388" s="21" t="s">
        <v>2222</v>
      </c>
      <c r="F1388" s="23" t="s">
        <v>3</v>
      </c>
      <c r="G1388" s="23" t="s">
        <v>4</v>
      </c>
      <c r="H1388" s="21" t="str">
        <f t="shared" si="21"/>
        <v>UNIMP_SHAS_UHH/FLOW-UNIMPAIRED</v>
      </c>
      <c r="I1388" s="24" t="s">
        <v>2292</v>
      </c>
      <c r="J1388" s="10" t="str">
        <f>VLOOKUP(Table1[[#This Row],[UID]],CS3SVComposerConfig!$B$3:$D$1808,3,FALSE)</f>
        <v>HydroForecastInputForHao.dss</v>
      </c>
      <c r="K1388" s="10" t="s">
        <v>2212</v>
      </c>
      <c r="L1388" s="10" t="s">
        <v>2212</v>
      </c>
      <c r="M1388" s="10" t="s">
        <v>2224</v>
      </c>
      <c r="N1388" s="10" t="s">
        <v>2258</v>
      </c>
      <c r="O1388" s="10" t="s">
        <v>2259</v>
      </c>
      <c r="P1388" s="39">
        <v>0.92483134279920398</v>
      </c>
    </row>
    <row r="1389" spans="2:16" ht="18" customHeight="1" x14ac:dyDescent="0.25">
      <c r="B1389" s="21" t="s">
        <v>0</v>
      </c>
      <c r="C1389" s="22" t="s">
        <v>1142</v>
      </c>
      <c r="D1389" s="22" t="s">
        <v>1137</v>
      </c>
      <c r="E1389" s="21" t="s">
        <v>2222</v>
      </c>
      <c r="F1389" s="23" t="s">
        <v>3</v>
      </c>
      <c r="G1389" s="23" t="s">
        <v>4</v>
      </c>
      <c r="H1389" s="21" t="str">
        <f t="shared" si="21"/>
        <v>UNIMP_SJ/FLOW-UNIMPAIRED</v>
      </c>
      <c r="I1389" s="24" t="s">
        <v>2292</v>
      </c>
      <c r="J1389" s="10" t="str">
        <f>VLOOKUP(Table1[[#This Row],[UID]],CS3SVComposerConfig!$B$3:$D$1808,3,FALSE)</f>
        <v>adj_SV_CS3LTO_0803_riminflow20231214.dss</v>
      </c>
      <c r="K1389" s="10" t="s">
        <v>2212</v>
      </c>
      <c r="L1389" s="10" t="s">
        <v>2212</v>
      </c>
      <c r="M1389" s="10" t="s">
        <v>2224</v>
      </c>
      <c r="N1389" s="10" t="s">
        <v>2258</v>
      </c>
      <c r="O1389" s="10" t="s">
        <v>2259</v>
      </c>
      <c r="P1389" s="39">
        <v>0.87192443866173897</v>
      </c>
    </row>
    <row r="1390" spans="2:16" ht="18" customHeight="1" x14ac:dyDescent="0.25">
      <c r="B1390" s="21" t="s">
        <v>0</v>
      </c>
      <c r="C1390" s="22" t="s">
        <v>2299</v>
      </c>
      <c r="D1390" s="22" t="s">
        <v>1137</v>
      </c>
      <c r="E1390" s="21" t="s">
        <v>2222</v>
      </c>
      <c r="F1390" s="23" t="s">
        <v>3</v>
      </c>
      <c r="G1390" s="23" t="s">
        <v>4</v>
      </c>
      <c r="H1390" s="21" t="str">
        <f t="shared" si="21"/>
        <v>UNIMP_SJ_UHH/FLOW-UNIMPAIRED</v>
      </c>
      <c r="I1390" s="24" t="s">
        <v>2292</v>
      </c>
      <c r="J1390" s="10" t="str">
        <f>VLOOKUP(Table1[[#This Row],[UID]],CS3SVComposerConfig!$B$3:$D$1808,3,FALSE)</f>
        <v>HydroForecastInputForHao.dss</v>
      </c>
      <c r="K1390" s="10" t="s">
        <v>2212</v>
      </c>
      <c r="L1390" s="10" t="s">
        <v>2212</v>
      </c>
      <c r="M1390" s="10" t="s">
        <v>2224</v>
      </c>
      <c r="N1390" s="10" t="s">
        <v>2258</v>
      </c>
      <c r="O1390" s="10" t="s">
        <v>2259</v>
      </c>
      <c r="P1390" s="39">
        <v>0.87192443866173897</v>
      </c>
    </row>
    <row r="1391" spans="2:16" ht="18" customHeight="1" x14ac:dyDescent="0.25">
      <c r="B1391" s="21" t="s">
        <v>0</v>
      </c>
      <c r="C1391" s="22" t="s">
        <v>1143</v>
      </c>
      <c r="D1391" s="22" t="s">
        <v>1137</v>
      </c>
      <c r="E1391" s="21" t="s">
        <v>2222</v>
      </c>
      <c r="F1391" s="23" t="s">
        <v>3</v>
      </c>
      <c r="G1391" s="23" t="s">
        <v>4</v>
      </c>
      <c r="H1391" s="21" t="str">
        <f t="shared" si="21"/>
        <v>UNIMP_SRBB/FLOW-UNIMPAIRED</v>
      </c>
      <c r="I1391" s="24" t="s">
        <v>2292</v>
      </c>
      <c r="J1391" s="10" t="str">
        <f>VLOOKUP(Table1[[#This Row],[UID]],CS3SVComposerConfig!$B$3:$D$1808,3,FALSE)</f>
        <v>adj_SV_CS3LTO_0803_riminflow20231214.dss</v>
      </c>
      <c r="K1391" s="10" t="s">
        <v>2212</v>
      </c>
      <c r="L1391" s="10" t="s">
        <v>2212</v>
      </c>
      <c r="M1391" s="10" t="s">
        <v>2224</v>
      </c>
      <c r="N1391" s="10" t="s">
        <v>2258</v>
      </c>
      <c r="O1391" s="10" t="s">
        <v>2259</v>
      </c>
      <c r="P1391" s="39">
        <v>0.92724596210094201</v>
      </c>
    </row>
    <row r="1392" spans="2:16" ht="18" customHeight="1" x14ac:dyDescent="0.25">
      <c r="B1392" s="21" t="s">
        <v>0</v>
      </c>
      <c r="C1392" s="22" t="s">
        <v>2300</v>
      </c>
      <c r="D1392" s="22" t="s">
        <v>1137</v>
      </c>
      <c r="E1392" s="21" t="s">
        <v>2222</v>
      </c>
      <c r="F1392" s="23" t="s">
        <v>3</v>
      </c>
      <c r="G1392" s="23" t="s">
        <v>4</v>
      </c>
      <c r="H1392" s="21" t="str">
        <f t="shared" si="21"/>
        <v>UNIMP_SRBB_UHH/FLOW-UNIMPAIRED</v>
      </c>
      <c r="I1392" s="24" t="s">
        <v>2292</v>
      </c>
      <c r="J1392" s="10" t="str">
        <f>VLOOKUP(Table1[[#This Row],[UID]],CS3SVComposerConfig!$B$3:$D$1808,3,FALSE)</f>
        <v>HydroForecastInputForHao.dss</v>
      </c>
      <c r="K1392" s="10" t="s">
        <v>2212</v>
      </c>
      <c r="L1392" s="10" t="s">
        <v>2212</v>
      </c>
      <c r="M1392" s="10" t="s">
        <v>2224</v>
      </c>
      <c r="N1392" s="10" t="s">
        <v>2258</v>
      </c>
      <c r="O1392" s="10" t="s">
        <v>2259</v>
      </c>
      <c r="P1392" s="39">
        <v>0.92724596210094201</v>
      </c>
    </row>
    <row r="1393" spans="2:16" ht="18" customHeight="1" x14ac:dyDescent="0.25">
      <c r="B1393" s="21" t="s">
        <v>0</v>
      </c>
      <c r="C1393" s="22" t="s">
        <v>1144</v>
      </c>
      <c r="D1393" s="22" t="s">
        <v>1137</v>
      </c>
      <c r="E1393" s="21" t="s">
        <v>2222</v>
      </c>
      <c r="F1393" s="23" t="s">
        <v>3</v>
      </c>
      <c r="G1393" s="23" t="s">
        <v>4</v>
      </c>
      <c r="H1393" s="21" t="str">
        <f t="shared" si="21"/>
        <v>UNIMP_ST/FLOW-UNIMPAIRED</v>
      </c>
      <c r="I1393" s="24" t="s">
        <v>2292</v>
      </c>
      <c r="J1393" s="10" t="str">
        <f>VLOOKUP(Table1[[#This Row],[UID]],CS3SVComposerConfig!$B$3:$D$1808,3,FALSE)</f>
        <v>adj_SV_CS3LTO_0803_riminflow20231214.dss</v>
      </c>
      <c r="K1393" s="10" t="s">
        <v>2212</v>
      </c>
      <c r="L1393" s="10" t="s">
        <v>2212</v>
      </c>
      <c r="M1393" s="10" t="s">
        <v>2224</v>
      </c>
      <c r="N1393" s="10" t="s">
        <v>2258</v>
      </c>
      <c r="O1393" s="10" t="s">
        <v>2259</v>
      </c>
      <c r="P1393" s="39">
        <v>0.89764987986970701</v>
      </c>
    </row>
    <row r="1394" spans="2:16" ht="18" customHeight="1" x14ac:dyDescent="0.25">
      <c r="B1394" s="21" t="s">
        <v>0</v>
      </c>
      <c r="C1394" s="22" t="s">
        <v>2301</v>
      </c>
      <c r="D1394" s="22" t="s">
        <v>1137</v>
      </c>
      <c r="E1394" s="21" t="s">
        <v>2222</v>
      </c>
      <c r="F1394" s="23" t="s">
        <v>3</v>
      </c>
      <c r="G1394" s="23" t="s">
        <v>4</v>
      </c>
      <c r="H1394" s="21" t="str">
        <f t="shared" si="21"/>
        <v>UNIMP_ST_UHH/FLOW-UNIMPAIRED</v>
      </c>
      <c r="I1394" s="24" t="s">
        <v>2292</v>
      </c>
      <c r="J1394" s="10" t="str">
        <f>VLOOKUP(Table1[[#This Row],[UID]],CS3SVComposerConfig!$B$3:$D$1808,3,FALSE)</f>
        <v>HydroForecastInputForHao.dss</v>
      </c>
      <c r="K1394" s="10" t="s">
        <v>2212</v>
      </c>
      <c r="L1394" s="10" t="s">
        <v>2212</v>
      </c>
      <c r="M1394" s="10" t="s">
        <v>2224</v>
      </c>
      <c r="N1394" s="10" t="s">
        <v>2258</v>
      </c>
      <c r="O1394" s="10" t="s">
        <v>2259</v>
      </c>
      <c r="P1394" s="39">
        <v>0.89764987986970701</v>
      </c>
    </row>
    <row r="1395" spans="2:16" ht="18" customHeight="1" x14ac:dyDescent="0.25">
      <c r="B1395" s="21" t="s">
        <v>0</v>
      </c>
      <c r="C1395" s="22" t="s">
        <v>1145</v>
      </c>
      <c r="D1395" s="22" t="s">
        <v>1137</v>
      </c>
      <c r="E1395" s="21" t="s">
        <v>2222</v>
      </c>
      <c r="F1395" s="23" t="s">
        <v>3</v>
      </c>
      <c r="G1395" s="23" t="s">
        <v>4</v>
      </c>
      <c r="H1395" s="21" t="str">
        <f t="shared" si="21"/>
        <v>UNIMP_TRIN/FLOW-UNIMPAIRED</v>
      </c>
      <c r="I1395" s="24" t="s">
        <v>2292</v>
      </c>
      <c r="J1395" s="10" t="str">
        <f>VLOOKUP(Table1[[#This Row],[UID]],CS3SVComposerConfig!$B$3:$D$1808,3,FALSE)</f>
        <v>adj_SV_CS3LTO_0803_riminflow20231214.dss</v>
      </c>
      <c r="K1395" s="10" t="s">
        <v>2212</v>
      </c>
      <c r="L1395" s="10" t="s">
        <v>2212</v>
      </c>
      <c r="M1395" s="10" t="s">
        <v>2224</v>
      </c>
      <c r="N1395" s="10" t="s">
        <v>2258</v>
      </c>
      <c r="O1395" s="10" t="s">
        <v>2259</v>
      </c>
      <c r="P1395" s="39">
        <v>0.62979512177945995</v>
      </c>
    </row>
    <row r="1396" spans="2:16" ht="18" customHeight="1" x14ac:dyDescent="0.25">
      <c r="B1396" s="21" t="s">
        <v>0</v>
      </c>
      <c r="C1396" s="22" t="s">
        <v>2302</v>
      </c>
      <c r="D1396" s="22" t="s">
        <v>1137</v>
      </c>
      <c r="E1396" s="21" t="s">
        <v>2222</v>
      </c>
      <c r="F1396" s="23" t="s">
        <v>3</v>
      </c>
      <c r="G1396" s="23" t="s">
        <v>4</v>
      </c>
      <c r="H1396" s="21" t="str">
        <f t="shared" si="21"/>
        <v>UNIMP_TRIN_UHH/FLOW-UNIMPAIRED</v>
      </c>
      <c r="I1396" s="24" t="s">
        <v>2292</v>
      </c>
      <c r="J1396" s="10" t="str">
        <f>VLOOKUP(Table1[[#This Row],[UID]],CS3SVComposerConfig!$B$3:$D$1808,3,FALSE)</f>
        <v>HydroForecastInputForHao.dss</v>
      </c>
      <c r="K1396" s="10" t="s">
        <v>2212</v>
      </c>
      <c r="L1396" s="10" t="s">
        <v>2212</v>
      </c>
      <c r="M1396" s="10" t="s">
        <v>2224</v>
      </c>
      <c r="N1396" s="10" t="s">
        <v>2258</v>
      </c>
      <c r="O1396" s="10" t="s">
        <v>2259</v>
      </c>
      <c r="P1396" s="39">
        <v>0.62979512177945995</v>
      </c>
    </row>
    <row r="1397" spans="2:16" ht="18" customHeight="1" x14ac:dyDescent="0.25">
      <c r="B1397" s="21" t="s">
        <v>0</v>
      </c>
      <c r="C1397" s="22" t="s">
        <v>1146</v>
      </c>
      <c r="D1397" s="22" t="s">
        <v>1137</v>
      </c>
      <c r="E1397" s="21" t="s">
        <v>2222</v>
      </c>
      <c r="F1397" s="23" t="s">
        <v>3</v>
      </c>
      <c r="G1397" s="23" t="s">
        <v>4</v>
      </c>
      <c r="H1397" s="21" t="str">
        <f t="shared" si="21"/>
        <v>UNIMP_TU/FLOW-UNIMPAIRED</v>
      </c>
      <c r="I1397" s="24" t="s">
        <v>2292</v>
      </c>
      <c r="J1397" s="10" t="str">
        <f>VLOOKUP(Table1[[#This Row],[UID]],CS3SVComposerConfig!$B$3:$D$1808,3,FALSE)</f>
        <v>adj_SV_CS3LTO_0803_riminflow20231214.dss</v>
      </c>
      <c r="K1397" s="10" t="s">
        <v>2212</v>
      </c>
      <c r="L1397" s="10" t="s">
        <v>2212</v>
      </c>
      <c r="M1397" s="10" t="s">
        <v>2224</v>
      </c>
      <c r="N1397" s="10" t="s">
        <v>2258</v>
      </c>
      <c r="O1397" s="10" t="s">
        <v>2259</v>
      </c>
      <c r="P1397" s="39">
        <v>0.87272380151578999</v>
      </c>
    </row>
    <row r="1398" spans="2:16" ht="18" customHeight="1" x14ac:dyDescent="0.25">
      <c r="B1398" s="21" t="s">
        <v>0</v>
      </c>
      <c r="C1398" s="22" t="s">
        <v>2303</v>
      </c>
      <c r="D1398" s="22" t="s">
        <v>1137</v>
      </c>
      <c r="E1398" s="21" t="s">
        <v>2222</v>
      </c>
      <c r="F1398" s="23" t="s">
        <v>3</v>
      </c>
      <c r="G1398" s="23" t="s">
        <v>4</v>
      </c>
      <c r="H1398" s="21" t="str">
        <f t="shared" si="21"/>
        <v>UNIMP_TU_UHH/FLOW-UNIMPAIRED</v>
      </c>
      <c r="I1398" s="24" t="s">
        <v>2292</v>
      </c>
      <c r="J1398" s="10" t="str">
        <f>VLOOKUP(Table1[[#This Row],[UID]],CS3SVComposerConfig!$B$3:$D$1808,3,FALSE)</f>
        <v>HydroForecastInputForHao.dss</v>
      </c>
      <c r="K1398" s="10" t="s">
        <v>2212</v>
      </c>
      <c r="L1398" s="10" t="s">
        <v>2212</v>
      </c>
      <c r="M1398" s="10" t="s">
        <v>2224</v>
      </c>
      <c r="N1398" s="10" t="s">
        <v>2258</v>
      </c>
      <c r="O1398" s="10" t="s">
        <v>2259</v>
      </c>
      <c r="P1398" s="39">
        <v>0.87272380151578999</v>
      </c>
    </row>
    <row r="1399" spans="2:16" ht="18" customHeight="1" x14ac:dyDescent="0.25">
      <c r="B1399" s="21" t="s">
        <v>0</v>
      </c>
      <c r="C1399" s="22" t="s">
        <v>2304</v>
      </c>
      <c r="D1399" s="22" t="s">
        <v>1137</v>
      </c>
      <c r="E1399" s="21" t="s">
        <v>2222</v>
      </c>
      <c r="F1399" s="23" t="s">
        <v>3</v>
      </c>
      <c r="G1399" s="23" t="s">
        <v>4</v>
      </c>
      <c r="H1399" s="21" t="str">
        <f t="shared" si="21"/>
        <v>UNIMP_WH/FLOW-UNIMPAIRED</v>
      </c>
      <c r="I1399" s="24" t="s">
        <v>2292</v>
      </c>
      <c r="J1399" s="10" t="str">
        <f>VLOOKUP(Table1[[#This Row],[UID]],CS3SVComposerConfig!$B$3:$D$1808,3,FALSE)</f>
        <v>adj_SV_CS3LTO_0803_riminflow20231214.dss</v>
      </c>
      <c r="K1399" s="10" t="s">
        <v>2212</v>
      </c>
      <c r="L1399" s="10" t="s">
        <v>2212</v>
      </c>
      <c r="M1399" s="10" t="s">
        <v>2224</v>
      </c>
      <c r="N1399" s="10" t="s">
        <v>2258</v>
      </c>
      <c r="O1399" s="10" t="s">
        <v>2259</v>
      </c>
      <c r="P1399" s="39">
        <v>0.81127589683804102</v>
      </c>
    </row>
    <row r="1400" spans="2:16" ht="18" customHeight="1" x14ac:dyDescent="0.25">
      <c r="B1400" s="21" t="s">
        <v>0</v>
      </c>
      <c r="C1400" s="22" t="s">
        <v>2305</v>
      </c>
      <c r="D1400" s="22" t="s">
        <v>1137</v>
      </c>
      <c r="E1400" s="21" t="s">
        <v>2222</v>
      </c>
      <c r="F1400" s="23" t="s">
        <v>3</v>
      </c>
      <c r="G1400" s="23" t="s">
        <v>4</v>
      </c>
      <c r="H1400" s="21" t="str">
        <f t="shared" si="21"/>
        <v>UNIMP_WH_UHH/FLOW-UNIMPAIRED</v>
      </c>
      <c r="I1400" s="24" t="s">
        <v>2292</v>
      </c>
      <c r="J1400" s="10" t="str">
        <f>VLOOKUP(Table1[[#This Row],[UID]],CS3SVComposerConfig!$B$3:$D$1808,3,FALSE)</f>
        <v>HydroForecastInputForHao.dss</v>
      </c>
      <c r="K1400" s="10" t="s">
        <v>2212</v>
      </c>
      <c r="L1400" s="10" t="s">
        <v>2212</v>
      </c>
      <c r="M1400" s="10" t="s">
        <v>2224</v>
      </c>
      <c r="N1400" s="10" t="s">
        <v>2258</v>
      </c>
      <c r="O1400" s="10" t="s">
        <v>2259</v>
      </c>
      <c r="P1400" s="39">
        <v>0.81127589683804102</v>
      </c>
    </row>
    <row r="1401" spans="2:16" ht="18" customHeight="1" x14ac:dyDescent="0.25">
      <c r="B1401" s="21" t="s">
        <v>0</v>
      </c>
      <c r="C1401" s="22" t="s">
        <v>1147</v>
      </c>
      <c r="D1401" s="22" t="s">
        <v>1137</v>
      </c>
      <c r="E1401" s="21" t="s">
        <v>2222</v>
      </c>
      <c r="F1401" s="23" t="s">
        <v>3</v>
      </c>
      <c r="G1401" s="23" t="s">
        <v>4</v>
      </c>
      <c r="H1401" s="21" t="str">
        <f t="shared" si="21"/>
        <v>UNIMP_YUBA/FLOW-UNIMPAIRED</v>
      </c>
      <c r="I1401" s="24" t="s">
        <v>2292</v>
      </c>
      <c r="J1401" s="10" t="str">
        <f>VLOOKUP(Table1[[#This Row],[UID]],CS3SVComposerConfig!$B$3:$D$1808,3,FALSE)</f>
        <v>adj_SV_CS3LTO_0803_riminflow20231214.dss</v>
      </c>
      <c r="K1401" s="10" t="s">
        <v>2212</v>
      </c>
      <c r="L1401" s="10" t="s">
        <v>2212</v>
      </c>
      <c r="M1401" s="10" t="s">
        <v>2224</v>
      </c>
      <c r="N1401" s="10" t="s">
        <v>2258</v>
      </c>
      <c r="O1401" s="10" t="s">
        <v>2259</v>
      </c>
      <c r="P1401" s="39">
        <v>0.82929609108991698</v>
      </c>
    </row>
    <row r="1402" spans="2:16" ht="18" customHeight="1" x14ac:dyDescent="0.25">
      <c r="B1402" s="21" t="s">
        <v>0</v>
      </c>
      <c r="C1402" s="22" t="s">
        <v>2306</v>
      </c>
      <c r="D1402" s="22" t="s">
        <v>1137</v>
      </c>
      <c r="E1402" s="21" t="s">
        <v>2222</v>
      </c>
      <c r="F1402" s="23" t="s">
        <v>3</v>
      </c>
      <c r="G1402" s="23" t="s">
        <v>4</v>
      </c>
      <c r="H1402" s="21" t="str">
        <f t="shared" si="21"/>
        <v>UNIMP_YUBA_UHH/FLOW-UNIMPAIRED</v>
      </c>
      <c r="I1402" s="24" t="s">
        <v>2292</v>
      </c>
      <c r="J1402" s="10" t="str">
        <f>VLOOKUP(Table1[[#This Row],[UID]],CS3SVComposerConfig!$B$3:$D$1808,3,FALSE)</f>
        <v>HydroForecastInputForHao.dss</v>
      </c>
      <c r="K1402" s="10" t="s">
        <v>2212</v>
      </c>
      <c r="L1402" s="10" t="s">
        <v>2212</v>
      </c>
      <c r="M1402" s="10" t="s">
        <v>2224</v>
      </c>
      <c r="N1402" s="10" t="s">
        <v>2258</v>
      </c>
      <c r="O1402" s="10" t="s">
        <v>2259</v>
      </c>
      <c r="P1402" s="39">
        <v>0.82929609108991698</v>
      </c>
    </row>
    <row r="1403" spans="2:16" ht="18" customHeight="1" x14ac:dyDescent="0.25">
      <c r="B1403" s="21" t="s">
        <v>0</v>
      </c>
      <c r="C1403" s="22" t="s">
        <v>1868</v>
      </c>
      <c r="D1403" s="22" t="s">
        <v>1869</v>
      </c>
      <c r="E1403" s="21" t="s">
        <v>2222</v>
      </c>
      <c r="F1403" s="23" t="s">
        <v>3</v>
      </c>
      <c r="G1403" s="23" t="s">
        <v>4</v>
      </c>
      <c r="H1403" s="21" t="str">
        <f t="shared" si="21"/>
        <v>WQ406A_MS/SALINITY</v>
      </c>
      <c r="I1403" s="24" t="s">
        <v>2307</v>
      </c>
      <c r="J1403" s="10" t="str">
        <f>VLOOKUP(Table1[[#This Row],[UID]],CS3SVComposerConfig!$B$3:$D$1808,3,FALSE)</f>
        <v>DCR2023_SV_Danube_Hist_v3.dss</v>
      </c>
      <c r="K1403" s="10" t="s">
        <v>2212</v>
      </c>
      <c r="L1403" s="10" t="s">
        <v>2224</v>
      </c>
      <c r="M1403" s="10" t="s">
        <v>2224</v>
      </c>
      <c r="N1403" s="10" t="s">
        <v>2270</v>
      </c>
      <c r="O1403" s="10" t="s">
        <v>2270</v>
      </c>
      <c r="P1403" s="39" t="s">
        <v>2227</v>
      </c>
    </row>
    <row r="1404" spans="2:16" ht="18" customHeight="1" x14ac:dyDescent="0.25">
      <c r="B1404" s="21" t="s">
        <v>0</v>
      </c>
      <c r="C1404" s="22" t="s">
        <v>1873</v>
      </c>
      <c r="D1404" s="22" t="s">
        <v>1869</v>
      </c>
      <c r="E1404" s="21" t="s">
        <v>2222</v>
      </c>
      <c r="F1404" s="23" t="s">
        <v>3</v>
      </c>
      <c r="G1404" s="23" t="s">
        <v>4</v>
      </c>
      <c r="H1404" s="21" t="str">
        <f t="shared" si="21"/>
        <v>WQ408_OR/SALINITY</v>
      </c>
      <c r="I1404" s="24" t="s">
        <v>2307</v>
      </c>
      <c r="J1404" s="10" t="str">
        <f>VLOOKUP(Table1[[#This Row],[UID]],CS3SVComposerConfig!$B$3:$D$1808,3,FALSE)</f>
        <v>DCR2023_SV_Danube_Hist_v3.dss</v>
      </c>
      <c r="K1404" s="10" t="s">
        <v>2212</v>
      </c>
      <c r="L1404" s="10" t="s">
        <v>2224</v>
      </c>
      <c r="M1404" s="10" t="s">
        <v>2224</v>
      </c>
      <c r="N1404" s="10" t="s">
        <v>2270</v>
      </c>
      <c r="O1404" s="10" t="s">
        <v>2270</v>
      </c>
      <c r="P1404" s="39" t="s">
        <v>2227</v>
      </c>
    </row>
    <row r="1405" spans="2:16" ht="18" customHeight="1" x14ac:dyDescent="0.25">
      <c r="B1405" s="21" t="s">
        <v>0</v>
      </c>
      <c r="C1405" s="22" t="s">
        <v>1874</v>
      </c>
      <c r="D1405" s="22" t="s">
        <v>1869</v>
      </c>
      <c r="E1405" s="21" t="s">
        <v>2222</v>
      </c>
      <c r="F1405" s="23" t="s">
        <v>3</v>
      </c>
      <c r="G1405" s="23" t="s">
        <v>4</v>
      </c>
      <c r="H1405" s="21" t="str">
        <f t="shared" si="21"/>
        <v>WQ408_RS/SALINITY</v>
      </c>
      <c r="I1405" s="24" t="s">
        <v>2307</v>
      </c>
      <c r="J1405" s="10" t="str">
        <f>VLOOKUP(Table1[[#This Row],[UID]],CS3SVComposerConfig!$B$3:$D$1808,3,FALSE)</f>
        <v>DCR2023_SV_Danube_Hist_v3.dss</v>
      </c>
      <c r="K1405" s="10" t="s">
        <v>2212</v>
      </c>
      <c r="L1405" s="10" t="s">
        <v>2224</v>
      </c>
      <c r="M1405" s="10" t="s">
        <v>2224</v>
      </c>
      <c r="N1405" s="10" t="s">
        <v>2270</v>
      </c>
      <c r="O1405" s="10" t="s">
        <v>2270</v>
      </c>
      <c r="P1405" s="39" t="s">
        <v>2227</v>
      </c>
    </row>
    <row r="1406" spans="2:16" ht="18" customHeight="1" x14ac:dyDescent="0.25">
      <c r="B1406" s="21" t="s">
        <v>0</v>
      </c>
      <c r="C1406" s="22" t="s">
        <v>1875</v>
      </c>
      <c r="D1406" s="22" t="s">
        <v>1869</v>
      </c>
      <c r="E1406" s="21" t="s">
        <v>2222</v>
      </c>
      <c r="F1406" s="23" t="s">
        <v>3</v>
      </c>
      <c r="G1406" s="23" t="s">
        <v>4</v>
      </c>
      <c r="H1406" s="21" t="str">
        <f t="shared" si="21"/>
        <v>WQ408_VC/SALINITY</v>
      </c>
      <c r="I1406" s="24" t="s">
        <v>2307</v>
      </c>
      <c r="J1406" s="10" t="str">
        <f>VLOOKUP(Table1[[#This Row],[UID]],CS3SVComposerConfig!$B$3:$D$1808,3,FALSE)</f>
        <v>DCR2023_SV_Danube_Hist_v3.dss</v>
      </c>
      <c r="K1406" s="10" t="s">
        <v>2212</v>
      </c>
      <c r="L1406" s="10" t="s">
        <v>2224</v>
      </c>
      <c r="M1406" s="10" t="s">
        <v>2224</v>
      </c>
      <c r="N1406" s="10" t="s">
        <v>2270</v>
      </c>
      <c r="O1406" s="10" t="s">
        <v>2270</v>
      </c>
      <c r="P1406" s="39" t="s">
        <v>2227</v>
      </c>
    </row>
    <row r="1407" spans="2:16" ht="18" customHeight="1" x14ac:dyDescent="0.25">
      <c r="B1407" s="21" t="s">
        <v>0</v>
      </c>
      <c r="C1407" s="22" t="s">
        <v>1876</v>
      </c>
      <c r="D1407" s="22" t="s">
        <v>1869</v>
      </c>
      <c r="E1407" s="21" t="s">
        <v>2222</v>
      </c>
      <c r="F1407" s="23" t="s">
        <v>3</v>
      </c>
      <c r="G1407" s="23" t="s">
        <v>4</v>
      </c>
      <c r="H1407" s="21" t="str">
        <f t="shared" si="21"/>
        <v>WQ422_INFLOW/SALINITY</v>
      </c>
      <c r="I1407" s="24" t="s">
        <v>2307</v>
      </c>
      <c r="J1407" s="10" t="str">
        <f>VLOOKUP(Table1[[#This Row],[UID]],CS3SVComposerConfig!$B$3:$D$1808,3,FALSE)</f>
        <v>DCR2023_SV_Danube_Hist_v3.dss</v>
      </c>
      <c r="K1407" s="10" t="s">
        <v>2212</v>
      </c>
      <c r="L1407" s="10" t="s">
        <v>2224</v>
      </c>
      <c r="M1407" s="10" t="s">
        <v>2224</v>
      </c>
      <c r="N1407" s="10" t="s">
        <v>2270</v>
      </c>
      <c r="O1407" s="10" t="s">
        <v>2270</v>
      </c>
      <c r="P1407" s="39" t="s">
        <v>2227</v>
      </c>
    </row>
    <row r="1408" spans="2:16" ht="18" customHeight="1" x14ac:dyDescent="0.25">
      <c r="B1408" s="21" t="s">
        <v>0</v>
      </c>
      <c r="C1408" s="22" t="s">
        <v>71</v>
      </c>
      <c r="D1408" s="22" t="s">
        <v>72</v>
      </c>
      <c r="E1408" s="21" t="s">
        <v>2222</v>
      </c>
      <c r="F1408" s="23" t="s">
        <v>3</v>
      </c>
      <c r="G1408" s="23" t="s">
        <v>4</v>
      </c>
      <c r="H1408" s="21" t="str">
        <f t="shared" si="21"/>
        <v>GW1_N1003/BUGW-INFLOW</v>
      </c>
      <c r="I1408" s="24" t="s">
        <v>2308</v>
      </c>
      <c r="J1408" s="10" t="str">
        <f>VLOOKUP(Table1[[#This Row],[UID]],CS3SVComposerConfig!$B$3:$D$1808,3,FALSE)</f>
        <v>CVSWShed_FlowContribution3pcntWBA24_2013Init_2021.dss</v>
      </c>
      <c r="K1408" s="10" t="s">
        <v>2212</v>
      </c>
      <c r="L1408" s="10" t="s">
        <v>2212</v>
      </c>
      <c r="M1408" s="10" t="s">
        <v>2224</v>
      </c>
      <c r="N1408" s="10" t="s">
        <v>2225</v>
      </c>
      <c r="O1408" s="10" t="s">
        <v>2226</v>
      </c>
      <c r="P1408" s="39" t="s">
        <v>2227</v>
      </c>
    </row>
    <row r="1409" spans="2:16" ht="18" customHeight="1" x14ac:dyDescent="0.25">
      <c r="B1409" s="21" t="s">
        <v>0</v>
      </c>
      <c r="C1409" s="22" t="s">
        <v>73</v>
      </c>
      <c r="D1409" s="22" t="s">
        <v>72</v>
      </c>
      <c r="E1409" s="21" t="s">
        <v>2222</v>
      </c>
      <c r="F1409" s="23" t="s">
        <v>3</v>
      </c>
      <c r="G1409" s="23" t="s">
        <v>4</v>
      </c>
      <c r="H1409" s="21" t="str">
        <f t="shared" si="21"/>
        <v>GW1_N1004/BUGW-INFLOW</v>
      </c>
      <c r="I1409" s="24" t="s">
        <v>2308</v>
      </c>
      <c r="J1409" s="10" t="str">
        <f>VLOOKUP(Table1[[#This Row],[UID]],CS3SVComposerConfig!$B$3:$D$1808,3,FALSE)</f>
        <v>CVSWShed_FlowContribution3pcntWBA24_2013Init_2021.dss</v>
      </c>
      <c r="K1409" s="10" t="s">
        <v>2212</v>
      </c>
      <c r="L1409" s="10" t="s">
        <v>2212</v>
      </c>
      <c r="M1409" s="10" t="s">
        <v>2224</v>
      </c>
      <c r="N1409" s="10" t="s">
        <v>2225</v>
      </c>
      <c r="O1409" s="10" t="s">
        <v>2226</v>
      </c>
      <c r="P1409" s="39" t="s">
        <v>2227</v>
      </c>
    </row>
    <row r="1410" spans="2:16" ht="18" customHeight="1" x14ac:dyDescent="0.25">
      <c r="B1410" s="21" t="s">
        <v>0</v>
      </c>
      <c r="C1410" s="22" t="s">
        <v>74</v>
      </c>
      <c r="D1410" s="22" t="s">
        <v>72</v>
      </c>
      <c r="E1410" s="21" t="s">
        <v>2222</v>
      </c>
      <c r="F1410" s="23" t="s">
        <v>3</v>
      </c>
      <c r="G1410" s="23" t="s">
        <v>4</v>
      </c>
      <c r="H1410" s="21" t="str">
        <f t="shared" si="21"/>
        <v>GW1_N1005/BUGW-INFLOW</v>
      </c>
      <c r="I1410" s="24" t="s">
        <v>2308</v>
      </c>
      <c r="J1410" s="10" t="str">
        <f>VLOOKUP(Table1[[#This Row],[UID]],CS3SVComposerConfig!$B$3:$D$1808,3,FALSE)</f>
        <v>CVSWShed_FlowContribution3pcntWBA24_2013Init_2021.dss</v>
      </c>
      <c r="K1410" s="10" t="s">
        <v>2212</v>
      </c>
      <c r="L1410" s="10" t="s">
        <v>2212</v>
      </c>
      <c r="M1410" s="10" t="s">
        <v>2224</v>
      </c>
      <c r="N1410" s="10" t="s">
        <v>2225</v>
      </c>
      <c r="O1410" s="10" t="s">
        <v>2226</v>
      </c>
      <c r="P1410" s="39" t="s">
        <v>2227</v>
      </c>
    </row>
    <row r="1411" spans="2:16" ht="18" customHeight="1" x14ac:dyDescent="0.25">
      <c r="B1411" s="21" t="s">
        <v>0</v>
      </c>
      <c r="C1411" s="22" t="s">
        <v>75</v>
      </c>
      <c r="D1411" s="22" t="s">
        <v>72</v>
      </c>
      <c r="E1411" s="21" t="s">
        <v>2222</v>
      </c>
      <c r="F1411" s="23" t="s">
        <v>3</v>
      </c>
      <c r="G1411" s="23" t="s">
        <v>4</v>
      </c>
      <c r="H1411" s="21" t="str">
        <f t="shared" ref="H1411:H1474" si="22">_xlfn.CONCAT(C1411,"/",D1411)</f>
        <v>GW1_N1006/BUGW-INFLOW</v>
      </c>
      <c r="I1411" s="24" t="s">
        <v>2308</v>
      </c>
      <c r="J1411" s="10" t="str">
        <f>VLOOKUP(Table1[[#This Row],[UID]],CS3SVComposerConfig!$B$3:$D$1808,3,FALSE)</f>
        <v>CVSWShed_FlowContribution3pcntWBA24_2013Init_2021.dss</v>
      </c>
      <c r="K1411" s="10" t="s">
        <v>2212</v>
      </c>
      <c r="L1411" s="10" t="s">
        <v>2212</v>
      </c>
      <c r="M1411" s="10" t="s">
        <v>2224</v>
      </c>
      <c r="N1411" s="10" t="s">
        <v>2225</v>
      </c>
      <c r="O1411" s="10" t="s">
        <v>2226</v>
      </c>
      <c r="P1411" s="39" t="s">
        <v>2227</v>
      </c>
    </row>
    <row r="1412" spans="2:16" ht="18" customHeight="1" x14ac:dyDescent="0.25">
      <c r="B1412" s="21" t="s">
        <v>0</v>
      </c>
      <c r="C1412" s="22" t="s">
        <v>76</v>
      </c>
      <c r="D1412" s="22" t="s">
        <v>72</v>
      </c>
      <c r="E1412" s="21" t="s">
        <v>2222</v>
      </c>
      <c r="F1412" s="23" t="s">
        <v>3</v>
      </c>
      <c r="G1412" s="23" t="s">
        <v>4</v>
      </c>
      <c r="H1412" s="21" t="str">
        <f t="shared" si="22"/>
        <v>GW1_N1007/BUGW-INFLOW</v>
      </c>
      <c r="I1412" s="24" t="s">
        <v>2308</v>
      </c>
      <c r="J1412" s="10" t="str">
        <f>VLOOKUP(Table1[[#This Row],[UID]],CS3SVComposerConfig!$B$3:$D$1808,3,FALSE)</f>
        <v>CVSWShed_FlowContribution3pcntWBA24_2013Init_2021.dss</v>
      </c>
      <c r="K1412" s="10" t="s">
        <v>2212</v>
      </c>
      <c r="L1412" s="10" t="s">
        <v>2212</v>
      </c>
      <c r="M1412" s="10" t="s">
        <v>2224</v>
      </c>
      <c r="N1412" s="10" t="s">
        <v>2225</v>
      </c>
      <c r="O1412" s="10" t="s">
        <v>2226</v>
      </c>
      <c r="P1412" s="39" t="s">
        <v>2227</v>
      </c>
    </row>
    <row r="1413" spans="2:16" ht="18" customHeight="1" x14ac:dyDescent="0.25">
      <c r="B1413" s="21" t="s">
        <v>0</v>
      </c>
      <c r="C1413" s="22" t="s">
        <v>77</v>
      </c>
      <c r="D1413" s="22" t="s">
        <v>72</v>
      </c>
      <c r="E1413" s="21" t="s">
        <v>2222</v>
      </c>
      <c r="F1413" s="23" t="s">
        <v>3</v>
      </c>
      <c r="G1413" s="23" t="s">
        <v>4</v>
      </c>
      <c r="H1413" s="21" t="str">
        <f t="shared" si="22"/>
        <v>GW1_N1017/BUGW-INFLOW</v>
      </c>
      <c r="I1413" s="24" t="s">
        <v>2308</v>
      </c>
      <c r="J1413" s="10" t="str">
        <f>VLOOKUP(Table1[[#This Row],[UID]],CS3SVComposerConfig!$B$3:$D$1808,3,FALSE)</f>
        <v>CVSWShed_FlowContribution3pcntWBA24_2013Init_2021.dss</v>
      </c>
      <c r="K1413" s="10" t="s">
        <v>2212</v>
      </c>
      <c r="L1413" s="10" t="s">
        <v>2212</v>
      </c>
      <c r="M1413" s="10" t="s">
        <v>2224</v>
      </c>
      <c r="N1413" s="10" t="s">
        <v>2225</v>
      </c>
      <c r="O1413" s="10" t="s">
        <v>2226</v>
      </c>
      <c r="P1413" s="39" t="s">
        <v>2227</v>
      </c>
    </row>
    <row r="1414" spans="2:16" ht="18" customHeight="1" x14ac:dyDescent="0.25">
      <c r="B1414" s="21" t="s">
        <v>0</v>
      </c>
      <c r="C1414" s="22" t="s">
        <v>78</v>
      </c>
      <c r="D1414" s="22" t="s">
        <v>72</v>
      </c>
      <c r="E1414" s="21" t="s">
        <v>2222</v>
      </c>
      <c r="F1414" s="23" t="s">
        <v>3</v>
      </c>
      <c r="G1414" s="23" t="s">
        <v>4</v>
      </c>
      <c r="H1414" s="21" t="str">
        <f t="shared" si="22"/>
        <v>GW1_N1034/BUGW-INFLOW</v>
      </c>
      <c r="I1414" s="24" t="s">
        <v>2308</v>
      </c>
      <c r="J1414" s="10" t="str">
        <f>VLOOKUP(Table1[[#This Row],[UID]],CS3SVComposerConfig!$B$3:$D$1808,3,FALSE)</f>
        <v>CVSWShed_FlowContribution3pcntWBA24_2013Init_2021.dss</v>
      </c>
      <c r="K1414" s="10" t="s">
        <v>2212</v>
      </c>
      <c r="L1414" s="10" t="s">
        <v>2212</v>
      </c>
      <c r="M1414" s="10" t="s">
        <v>2224</v>
      </c>
      <c r="N1414" s="10" t="s">
        <v>2225</v>
      </c>
      <c r="O1414" s="10" t="s">
        <v>2226</v>
      </c>
      <c r="P1414" s="39" t="s">
        <v>2227</v>
      </c>
    </row>
    <row r="1415" spans="2:16" ht="18" customHeight="1" x14ac:dyDescent="0.25">
      <c r="B1415" s="21" t="s">
        <v>0</v>
      </c>
      <c r="C1415" s="22" t="s">
        <v>79</v>
      </c>
      <c r="D1415" s="22" t="s">
        <v>72</v>
      </c>
      <c r="E1415" s="21" t="s">
        <v>2222</v>
      </c>
      <c r="F1415" s="23" t="s">
        <v>3</v>
      </c>
      <c r="G1415" s="23" t="s">
        <v>4</v>
      </c>
      <c r="H1415" s="21" t="str">
        <f t="shared" si="22"/>
        <v>GW1_N1035/BUGW-INFLOW</v>
      </c>
      <c r="I1415" s="24" t="s">
        <v>2308</v>
      </c>
      <c r="J1415" s="10" t="str">
        <f>VLOOKUP(Table1[[#This Row],[UID]],CS3SVComposerConfig!$B$3:$D$1808,3,FALSE)</f>
        <v>CVSWShed_FlowContribution3pcntWBA24_2013Init_2021.dss</v>
      </c>
      <c r="K1415" s="10" t="s">
        <v>2212</v>
      </c>
      <c r="L1415" s="10" t="s">
        <v>2212</v>
      </c>
      <c r="M1415" s="10" t="s">
        <v>2224</v>
      </c>
      <c r="N1415" s="10" t="s">
        <v>2225</v>
      </c>
      <c r="O1415" s="10" t="s">
        <v>2226</v>
      </c>
      <c r="P1415" s="39" t="s">
        <v>2227</v>
      </c>
    </row>
    <row r="1416" spans="2:16" ht="18" customHeight="1" x14ac:dyDescent="0.25">
      <c r="B1416" s="21" t="s">
        <v>0</v>
      </c>
      <c r="C1416" s="22" t="s">
        <v>80</v>
      </c>
      <c r="D1416" s="22" t="s">
        <v>72</v>
      </c>
      <c r="E1416" s="21" t="s">
        <v>2222</v>
      </c>
      <c r="F1416" s="23" t="s">
        <v>3</v>
      </c>
      <c r="G1416" s="23" t="s">
        <v>4</v>
      </c>
      <c r="H1416" s="21" t="str">
        <f t="shared" si="22"/>
        <v>GW1_N1036/BUGW-INFLOW</v>
      </c>
      <c r="I1416" s="24" t="s">
        <v>2308</v>
      </c>
      <c r="J1416" s="10" t="str">
        <f>VLOOKUP(Table1[[#This Row],[UID]],CS3SVComposerConfig!$B$3:$D$1808,3,FALSE)</f>
        <v>CVSWShed_FlowContribution3pcntWBA24_2013Init_2021.dss</v>
      </c>
      <c r="K1416" s="10" t="s">
        <v>2212</v>
      </c>
      <c r="L1416" s="10" t="s">
        <v>2212</v>
      </c>
      <c r="M1416" s="10" t="s">
        <v>2224</v>
      </c>
      <c r="N1416" s="10" t="s">
        <v>2225</v>
      </c>
      <c r="O1416" s="10" t="s">
        <v>2226</v>
      </c>
      <c r="P1416" s="39" t="s">
        <v>2227</v>
      </c>
    </row>
    <row r="1417" spans="2:16" ht="18" customHeight="1" x14ac:dyDescent="0.25">
      <c r="B1417" s="21" t="s">
        <v>0</v>
      </c>
      <c r="C1417" s="22" t="s">
        <v>81</v>
      </c>
      <c r="D1417" s="22" t="s">
        <v>72</v>
      </c>
      <c r="E1417" s="21" t="s">
        <v>2222</v>
      </c>
      <c r="F1417" s="23" t="s">
        <v>3</v>
      </c>
      <c r="G1417" s="23" t="s">
        <v>4</v>
      </c>
      <c r="H1417" s="21" t="str">
        <f t="shared" si="22"/>
        <v>GW1_N1051/BUGW-INFLOW</v>
      </c>
      <c r="I1417" s="24" t="s">
        <v>2308</v>
      </c>
      <c r="J1417" s="10" t="str">
        <f>VLOOKUP(Table1[[#This Row],[UID]],CS3SVComposerConfig!$B$3:$D$1808,3,FALSE)</f>
        <v>CVSWShed_FlowContribution3pcntWBA24_2013Init_2021.dss</v>
      </c>
      <c r="K1417" s="10" t="s">
        <v>2212</v>
      </c>
      <c r="L1417" s="10" t="s">
        <v>2212</v>
      </c>
      <c r="M1417" s="10" t="s">
        <v>2224</v>
      </c>
      <c r="N1417" s="10" t="s">
        <v>2225</v>
      </c>
      <c r="O1417" s="10" t="s">
        <v>2226</v>
      </c>
      <c r="P1417" s="39" t="s">
        <v>2227</v>
      </c>
    </row>
    <row r="1418" spans="2:16" ht="18" customHeight="1" x14ac:dyDescent="0.25">
      <c r="B1418" s="21" t="s">
        <v>0</v>
      </c>
      <c r="C1418" s="22" t="s">
        <v>82</v>
      </c>
      <c r="D1418" s="22" t="s">
        <v>72</v>
      </c>
      <c r="E1418" s="21" t="s">
        <v>2222</v>
      </c>
      <c r="F1418" s="23" t="s">
        <v>3</v>
      </c>
      <c r="G1418" s="23" t="s">
        <v>4</v>
      </c>
      <c r="H1418" s="21" t="str">
        <f t="shared" si="22"/>
        <v>GW1_N1052/BUGW-INFLOW</v>
      </c>
      <c r="I1418" s="24" t="s">
        <v>2308</v>
      </c>
      <c r="J1418" s="10" t="str">
        <f>VLOOKUP(Table1[[#This Row],[UID]],CS3SVComposerConfig!$B$3:$D$1808,3,FALSE)</f>
        <v>CVSWShed_FlowContribution3pcntWBA24_2013Init_2021.dss</v>
      </c>
      <c r="K1418" s="10" t="s">
        <v>2212</v>
      </c>
      <c r="L1418" s="10" t="s">
        <v>2212</v>
      </c>
      <c r="M1418" s="10" t="s">
        <v>2224</v>
      </c>
      <c r="N1418" s="10" t="s">
        <v>2225</v>
      </c>
      <c r="O1418" s="10" t="s">
        <v>2226</v>
      </c>
      <c r="P1418" s="39" t="s">
        <v>2227</v>
      </c>
    </row>
    <row r="1419" spans="2:16" ht="18" customHeight="1" x14ac:dyDescent="0.25">
      <c r="B1419" s="21" t="s">
        <v>0</v>
      </c>
      <c r="C1419" s="22" t="s">
        <v>83</v>
      </c>
      <c r="D1419" s="22" t="s">
        <v>72</v>
      </c>
      <c r="E1419" s="21" t="s">
        <v>2222</v>
      </c>
      <c r="F1419" s="23" t="s">
        <v>3</v>
      </c>
      <c r="G1419" s="23" t="s">
        <v>4</v>
      </c>
      <c r="H1419" s="21" t="str">
        <f t="shared" si="22"/>
        <v>GW1_N1061/BUGW-INFLOW</v>
      </c>
      <c r="I1419" s="24" t="s">
        <v>2308</v>
      </c>
      <c r="J1419" s="10" t="str">
        <f>VLOOKUP(Table1[[#This Row],[UID]],CS3SVComposerConfig!$B$3:$D$1808,3,FALSE)</f>
        <v>CVSWShed_FlowContribution3pcntWBA24_2013Init_2021.dss</v>
      </c>
      <c r="K1419" s="10" t="s">
        <v>2212</v>
      </c>
      <c r="L1419" s="10" t="s">
        <v>2212</v>
      </c>
      <c r="M1419" s="10" t="s">
        <v>2224</v>
      </c>
      <c r="N1419" s="10" t="s">
        <v>2225</v>
      </c>
      <c r="O1419" s="10" t="s">
        <v>2226</v>
      </c>
      <c r="P1419" s="39" t="s">
        <v>2227</v>
      </c>
    </row>
    <row r="1420" spans="2:16" ht="18" customHeight="1" x14ac:dyDescent="0.25">
      <c r="B1420" s="21" t="s">
        <v>0</v>
      </c>
      <c r="C1420" s="22" t="s">
        <v>84</v>
      </c>
      <c r="D1420" s="22" t="s">
        <v>72</v>
      </c>
      <c r="E1420" s="21" t="s">
        <v>2222</v>
      </c>
      <c r="F1420" s="23" t="s">
        <v>3</v>
      </c>
      <c r="G1420" s="23" t="s">
        <v>4</v>
      </c>
      <c r="H1420" s="21" t="str">
        <f t="shared" si="22"/>
        <v>GW1_N107/BUGW-INFLOW</v>
      </c>
      <c r="I1420" s="24" t="s">
        <v>2308</v>
      </c>
      <c r="J1420" s="10" t="str">
        <f>VLOOKUP(Table1[[#This Row],[UID]],CS3SVComposerConfig!$B$3:$D$1808,3,FALSE)</f>
        <v>CVSWShed_FlowContribution3pcntWBA24_2013Init_2021.dss</v>
      </c>
      <c r="K1420" s="10" t="s">
        <v>2212</v>
      </c>
      <c r="L1420" s="10" t="s">
        <v>2212</v>
      </c>
      <c r="M1420" s="10" t="s">
        <v>2224</v>
      </c>
      <c r="N1420" s="10" t="s">
        <v>2225</v>
      </c>
      <c r="O1420" s="10" t="s">
        <v>2226</v>
      </c>
      <c r="P1420" s="39" t="s">
        <v>2227</v>
      </c>
    </row>
    <row r="1421" spans="2:16" ht="18" customHeight="1" x14ac:dyDescent="0.25">
      <c r="B1421" s="21" t="s">
        <v>0</v>
      </c>
      <c r="C1421" s="22" t="s">
        <v>85</v>
      </c>
      <c r="D1421" s="22" t="s">
        <v>72</v>
      </c>
      <c r="E1421" s="21" t="s">
        <v>2222</v>
      </c>
      <c r="F1421" s="23" t="s">
        <v>3</v>
      </c>
      <c r="G1421" s="23" t="s">
        <v>4</v>
      </c>
      <c r="H1421" s="21" t="str">
        <f t="shared" si="22"/>
        <v>GW1_N1078/BUGW-INFLOW</v>
      </c>
      <c r="I1421" s="24" t="s">
        <v>2308</v>
      </c>
      <c r="J1421" s="10" t="str">
        <f>VLOOKUP(Table1[[#This Row],[UID]],CS3SVComposerConfig!$B$3:$D$1808,3,FALSE)</f>
        <v>CVSWShed_FlowContribution3pcntWBA24_2013Init_2021.dss</v>
      </c>
      <c r="K1421" s="10" t="s">
        <v>2212</v>
      </c>
      <c r="L1421" s="10" t="s">
        <v>2212</v>
      </c>
      <c r="M1421" s="10" t="s">
        <v>2224</v>
      </c>
      <c r="N1421" s="10" t="s">
        <v>2225</v>
      </c>
      <c r="O1421" s="10" t="s">
        <v>2226</v>
      </c>
      <c r="P1421" s="39" t="s">
        <v>2227</v>
      </c>
    </row>
    <row r="1422" spans="2:16" ht="18" customHeight="1" x14ac:dyDescent="0.25">
      <c r="B1422" s="21" t="s">
        <v>0</v>
      </c>
      <c r="C1422" s="22" t="s">
        <v>86</v>
      </c>
      <c r="D1422" s="22" t="s">
        <v>72</v>
      </c>
      <c r="E1422" s="21" t="s">
        <v>2222</v>
      </c>
      <c r="F1422" s="23" t="s">
        <v>3</v>
      </c>
      <c r="G1422" s="23" t="s">
        <v>4</v>
      </c>
      <c r="H1422" s="21" t="str">
        <f t="shared" si="22"/>
        <v>GW1_N1083/BUGW-INFLOW</v>
      </c>
      <c r="I1422" s="24" t="s">
        <v>2308</v>
      </c>
      <c r="J1422" s="10" t="str">
        <f>VLOOKUP(Table1[[#This Row],[UID]],CS3SVComposerConfig!$B$3:$D$1808,3,FALSE)</f>
        <v>CVSWShed_FlowContribution3pcntWBA24_2013Init_2021.dss</v>
      </c>
      <c r="K1422" s="10" t="s">
        <v>2212</v>
      </c>
      <c r="L1422" s="10" t="s">
        <v>2212</v>
      </c>
      <c r="M1422" s="10" t="s">
        <v>2224</v>
      </c>
      <c r="N1422" s="10" t="s">
        <v>2225</v>
      </c>
      <c r="O1422" s="10" t="s">
        <v>2226</v>
      </c>
      <c r="P1422" s="39" t="s">
        <v>2227</v>
      </c>
    </row>
    <row r="1423" spans="2:16" ht="18" customHeight="1" x14ac:dyDescent="0.25">
      <c r="B1423" s="21" t="s">
        <v>0</v>
      </c>
      <c r="C1423" s="22" t="s">
        <v>87</v>
      </c>
      <c r="D1423" s="22" t="s">
        <v>72</v>
      </c>
      <c r="E1423" s="21" t="s">
        <v>2222</v>
      </c>
      <c r="F1423" s="23" t="s">
        <v>3</v>
      </c>
      <c r="G1423" s="23" t="s">
        <v>4</v>
      </c>
      <c r="H1423" s="21" t="str">
        <f t="shared" si="22"/>
        <v>GW1_N1086/BUGW-INFLOW</v>
      </c>
      <c r="I1423" s="24" t="s">
        <v>2308</v>
      </c>
      <c r="J1423" s="10" t="str">
        <f>VLOOKUP(Table1[[#This Row],[UID]],CS3SVComposerConfig!$B$3:$D$1808,3,FALSE)</f>
        <v>CVSWShed_FlowContribution3pcntWBA24_2013Init_2021.dss</v>
      </c>
      <c r="K1423" s="10" t="s">
        <v>2212</v>
      </c>
      <c r="L1423" s="10" t="s">
        <v>2212</v>
      </c>
      <c r="M1423" s="10" t="s">
        <v>2224</v>
      </c>
      <c r="N1423" s="10" t="s">
        <v>2225</v>
      </c>
      <c r="O1423" s="10" t="s">
        <v>2226</v>
      </c>
      <c r="P1423" s="39" t="s">
        <v>2227</v>
      </c>
    </row>
    <row r="1424" spans="2:16" ht="18" customHeight="1" x14ac:dyDescent="0.25">
      <c r="B1424" s="21" t="s">
        <v>0</v>
      </c>
      <c r="C1424" s="22" t="s">
        <v>88</v>
      </c>
      <c r="D1424" s="22" t="s">
        <v>72</v>
      </c>
      <c r="E1424" s="21" t="s">
        <v>2222</v>
      </c>
      <c r="F1424" s="23" t="s">
        <v>3</v>
      </c>
      <c r="G1424" s="23" t="s">
        <v>4</v>
      </c>
      <c r="H1424" s="21" t="str">
        <f t="shared" si="22"/>
        <v>GW1_N1093/BUGW-INFLOW</v>
      </c>
      <c r="I1424" s="24" t="s">
        <v>2308</v>
      </c>
      <c r="J1424" s="10" t="str">
        <f>VLOOKUP(Table1[[#This Row],[UID]],CS3SVComposerConfig!$B$3:$D$1808,3,FALSE)</f>
        <v>CVSWShed_FlowContribution3pcntWBA24_2013Init_2021.dss</v>
      </c>
      <c r="K1424" s="10" t="s">
        <v>2212</v>
      </c>
      <c r="L1424" s="10" t="s">
        <v>2212</v>
      </c>
      <c r="M1424" s="10" t="s">
        <v>2224</v>
      </c>
      <c r="N1424" s="10" t="s">
        <v>2225</v>
      </c>
      <c r="O1424" s="10" t="s">
        <v>2226</v>
      </c>
      <c r="P1424" s="39" t="s">
        <v>2227</v>
      </c>
    </row>
    <row r="1425" spans="2:16" ht="18" customHeight="1" x14ac:dyDescent="0.25">
      <c r="B1425" s="21" t="s">
        <v>0</v>
      </c>
      <c r="C1425" s="22" t="s">
        <v>89</v>
      </c>
      <c r="D1425" s="22" t="s">
        <v>72</v>
      </c>
      <c r="E1425" s="21" t="s">
        <v>2222</v>
      </c>
      <c r="F1425" s="23" t="s">
        <v>3</v>
      </c>
      <c r="G1425" s="23" t="s">
        <v>4</v>
      </c>
      <c r="H1425" s="21" t="str">
        <f t="shared" si="22"/>
        <v>GW1_N1097/BUGW-INFLOW</v>
      </c>
      <c r="I1425" s="24" t="s">
        <v>2308</v>
      </c>
      <c r="J1425" s="10" t="str">
        <f>VLOOKUP(Table1[[#This Row],[UID]],CS3SVComposerConfig!$B$3:$D$1808,3,FALSE)</f>
        <v>CVSWShed_FlowContribution3pcntWBA24_2013Init_2021.dss</v>
      </c>
      <c r="K1425" s="10" t="s">
        <v>2212</v>
      </c>
      <c r="L1425" s="10" t="s">
        <v>2212</v>
      </c>
      <c r="M1425" s="10" t="s">
        <v>2224</v>
      </c>
      <c r="N1425" s="10" t="s">
        <v>2225</v>
      </c>
      <c r="O1425" s="10" t="s">
        <v>2226</v>
      </c>
      <c r="P1425" s="39" t="s">
        <v>2227</v>
      </c>
    </row>
    <row r="1426" spans="2:16" ht="18" customHeight="1" x14ac:dyDescent="0.25">
      <c r="B1426" s="21" t="s">
        <v>0</v>
      </c>
      <c r="C1426" s="22" t="s">
        <v>90</v>
      </c>
      <c r="D1426" s="22" t="s">
        <v>72</v>
      </c>
      <c r="E1426" s="21" t="s">
        <v>2222</v>
      </c>
      <c r="F1426" s="23" t="s">
        <v>3</v>
      </c>
      <c r="G1426" s="23" t="s">
        <v>4</v>
      </c>
      <c r="H1426" s="21" t="str">
        <f t="shared" si="22"/>
        <v>GW1_N1103/BUGW-INFLOW</v>
      </c>
      <c r="I1426" s="24" t="s">
        <v>2308</v>
      </c>
      <c r="J1426" s="10" t="str">
        <f>VLOOKUP(Table1[[#This Row],[UID]],CS3SVComposerConfig!$B$3:$D$1808,3,FALSE)</f>
        <v>CVSWShed_FlowContribution3pcntWBA24_2013Init_2021.dss</v>
      </c>
      <c r="K1426" s="10" t="s">
        <v>2212</v>
      </c>
      <c r="L1426" s="10" t="s">
        <v>2212</v>
      </c>
      <c r="M1426" s="10" t="s">
        <v>2224</v>
      </c>
      <c r="N1426" s="10" t="s">
        <v>2225</v>
      </c>
      <c r="O1426" s="10" t="s">
        <v>2226</v>
      </c>
      <c r="P1426" s="39" t="s">
        <v>2227</v>
      </c>
    </row>
    <row r="1427" spans="2:16" ht="18" customHeight="1" x14ac:dyDescent="0.25">
      <c r="B1427" s="21" t="s">
        <v>0</v>
      </c>
      <c r="C1427" s="22" t="s">
        <v>91</v>
      </c>
      <c r="D1427" s="22" t="s">
        <v>72</v>
      </c>
      <c r="E1427" s="21" t="s">
        <v>2222</v>
      </c>
      <c r="F1427" s="23" t="s">
        <v>3</v>
      </c>
      <c r="G1427" s="23" t="s">
        <v>4</v>
      </c>
      <c r="H1427" s="21" t="str">
        <f t="shared" si="22"/>
        <v>GW1_N1104/BUGW-INFLOW</v>
      </c>
      <c r="I1427" s="24" t="s">
        <v>2308</v>
      </c>
      <c r="J1427" s="10" t="str">
        <f>VLOOKUP(Table1[[#This Row],[UID]],CS3SVComposerConfig!$B$3:$D$1808,3,FALSE)</f>
        <v>CVSWShed_FlowContribution3pcntWBA24_2013Init_2021.dss</v>
      </c>
      <c r="K1427" s="10" t="s">
        <v>2212</v>
      </c>
      <c r="L1427" s="10" t="s">
        <v>2212</v>
      </c>
      <c r="M1427" s="10" t="s">
        <v>2224</v>
      </c>
      <c r="N1427" s="10" t="s">
        <v>2225</v>
      </c>
      <c r="O1427" s="10" t="s">
        <v>2226</v>
      </c>
      <c r="P1427" s="39" t="s">
        <v>2227</v>
      </c>
    </row>
    <row r="1428" spans="2:16" ht="18" customHeight="1" x14ac:dyDescent="0.25">
      <c r="B1428" s="21" t="s">
        <v>0</v>
      </c>
      <c r="C1428" s="22" t="s">
        <v>92</v>
      </c>
      <c r="D1428" s="22" t="s">
        <v>72</v>
      </c>
      <c r="E1428" s="21" t="s">
        <v>2222</v>
      </c>
      <c r="F1428" s="23" t="s">
        <v>3</v>
      </c>
      <c r="G1428" s="23" t="s">
        <v>4</v>
      </c>
      <c r="H1428" s="21" t="str">
        <f t="shared" si="22"/>
        <v>GW1_N1112/BUGW-INFLOW</v>
      </c>
      <c r="I1428" s="24" t="s">
        <v>2308</v>
      </c>
      <c r="J1428" s="10" t="str">
        <f>VLOOKUP(Table1[[#This Row],[UID]],CS3SVComposerConfig!$B$3:$D$1808,3,FALSE)</f>
        <v>CVSWShed_FlowContribution3pcntWBA24_2013Init_2021.dss</v>
      </c>
      <c r="K1428" s="10" t="s">
        <v>2212</v>
      </c>
      <c r="L1428" s="10" t="s">
        <v>2212</v>
      </c>
      <c r="M1428" s="10" t="s">
        <v>2224</v>
      </c>
      <c r="N1428" s="10" t="s">
        <v>2225</v>
      </c>
      <c r="O1428" s="10" t="s">
        <v>2226</v>
      </c>
      <c r="P1428" s="39" t="s">
        <v>2227</v>
      </c>
    </row>
    <row r="1429" spans="2:16" ht="18" customHeight="1" x14ac:dyDescent="0.25">
      <c r="B1429" s="21" t="s">
        <v>0</v>
      </c>
      <c r="C1429" s="22" t="s">
        <v>93</v>
      </c>
      <c r="D1429" s="22" t="s">
        <v>72</v>
      </c>
      <c r="E1429" s="21" t="s">
        <v>2222</v>
      </c>
      <c r="F1429" s="23" t="s">
        <v>3</v>
      </c>
      <c r="G1429" s="23" t="s">
        <v>4</v>
      </c>
      <c r="H1429" s="21" t="str">
        <f t="shared" si="22"/>
        <v>GW1_N1113/BUGW-INFLOW</v>
      </c>
      <c r="I1429" s="24" t="s">
        <v>2308</v>
      </c>
      <c r="J1429" s="10" t="str">
        <f>VLOOKUP(Table1[[#This Row],[UID]],CS3SVComposerConfig!$B$3:$D$1808,3,FALSE)</f>
        <v>CVSWShed_FlowContribution3pcntWBA24_2013Init_2021.dss</v>
      </c>
      <c r="K1429" s="10" t="s">
        <v>2212</v>
      </c>
      <c r="L1429" s="10" t="s">
        <v>2212</v>
      </c>
      <c r="M1429" s="10" t="s">
        <v>2224</v>
      </c>
      <c r="N1429" s="10" t="s">
        <v>2225</v>
      </c>
      <c r="O1429" s="10" t="s">
        <v>2226</v>
      </c>
      <c r="P1429" s="39" t="s">
        <v>2227</v>
      </c>
    </row>
    <row r="1430" spans="2:16" ht="18" customHeight="1" x14ac:dyDescent="0.25">
      <c r="B1430" s="21" t="s">
        <v>0</v>
      </c>
      <c r="C1430" s="22" t="s">
        <v>94</v>
      </c>
      <c r="D1430" s="22" t="s">
        <v>72</v>
      </c>
      <c r="E1430" s="21" t="s">
        <v>2222</v>
      </c>
      <c r="F1430" s="23" t="s">
        <v>3</v>
      </c>
      <c r="G1430" s="23" t="s">
        <v>4</v>
      </c>
      <c r="H1430" s="21" t="str">
        <f t="shared" si="22"/>
        <v>GW1_N1136/BUGW-INFLOW</v>
      </c>
      <c r="I1430" s="24" t="s">
        <v>2308</v>
      </c>
      <c r="J1430" s="10" t="str">
        <f>VLOOKUP(Table1[[#This Row],[UID]],CS3SVComposerConfig!$B$3:$D$1808,3,FALSE)</f>
        <v>CVSWShed_FlowContribution3pcntWBA24_2013Init_2021.dss</v>
      </c>
      <c r="K1430" s="10" t="s">
        <v>2212</v>
      </c>
      <c r="L1430" s="10" t="s">
        <v>2212</v>
      </c>
      <c r="M1430" s="10" t="s">
        <v>2224</v>
      </c>
      <c r="N1430" s="10" t="s">
        <v>2225</v>
      </c>
      <c r="O1430" s="10" t="s">
        <v>2226</v>
      </c>
      <c r="P1430" s="39" t="s">
        <v>2227</v>
      </c>
    </row>
    <row r="1431" spans="2:16" ht="18" customHeight="1" x14ac:dyDescent="0.25">
      <c r="B1431" s="21" t="s">
        <v>0</v>
      </c>
      <c r="C1431" s="22" t="s">
        <v>95</v>
      </c>
      <c r="D1431" s="22" t="s">
        <v>72</v>
      </c>
      <c r="E1431" s="21" t="s">
        <v>2222</v>
      </c>
      <c r="F1431" s="23" t="s">
        <v>3</v>
      </c>
      <c r="G1431" s="23" t="s">
        <v>4</v>
      </c>
      <c r="H1431" s="21" t="str">
        <f t="shared" si="22"/>
        <v>GW1_N115/BUGW-INFLOW</v>
      </c>
      <c r="I1431" s="24" t="s">
        <v>2308</v>
      </c>
      <c r="J1431" s="10" t="str">
        <f>VLOOKUP(Table1[[#This Row],[UID]],CS3SVComposerConfig!$B$3:$D$1808,3,FALSE)</f>
        <v>CVSWShed_FlowContribution3pcntWBA24_2013Init_2021.dss</v>
      </c>
      <c r="K1431" s="10" t="s">
        <v>2212</v>
      </c>
      <c r="L1431" s="10" t="s">
        <v>2212</v>
      </c>
      <c r="M1431" s="10" t="s">
        <v>2224</v>
      </c>
      <c r="N1431" s="10" t="s">
        <v>2225</v>
      </c>
      <c r="O1431" s="10" t="s">
        <v>2226</v>
      </c>
      <c r="P1431" s="39" t="s">
        <v>2227</v>
      </c>
    </row>
    <row r="1432" spans="2:16" ht="18" customHeight="1" x14ac:dyDescent="0.25">
      <c r="B1432" s="21" t="s">
        <v>0</v>
      </c>
      <c r="C1432" s="22" t="s">
        <v>96</v>
      </c>
      <c r="D1432" s="22" t="s">
        <v>72</v>
      </c>
      <c r="E1432" s="21" t="s">
        <v>2222</v>
      </c>
      <c r="F1432" s="23" t="s">
        <v>3</v>
      </c>
      <c r="G1432" s="23" t="s">
        <v>4</v>
      </c>
      <c r="H1432" s="21" t="str">
        <f t="shared" si="22"/>
        <v>GW1_N1151/BUGW-INFLOW</v>
      </c>
      <c r="I1432" s="24" t="s">
        <v>2308</v>
      </c>
      <c r="J1432" s="10" t="str">
        <f>VLOOKUP(Table1[[#This Row],[UID]],CS3SVComposerConfig!$B$3:$D$1808,3,FALSE)</f>
        <v>CVSWShed_FlowContribution3pcntWBA24_2013Init_2021.dss</v>
      </c>
      <c r="K1432" s="10" t="s">
        <v>2212</v>
      </c>
      <c r="L1432" s="10" t="s">
        <v>2212</v>
      </c>
      <c r="M1432" s="10" t="s">
        <v>2224</v>
      </c>
      <c r="N1432" s="10" t="s">
        <v>2225</v>
      </c>
      <c r="O1432" s="10" t="s">
        <v>2226</v>
      </c>
      <c r="P1432" s="39" t="s">
        <v>2227</v>
      </c>
    </row>
    <row r="1433" spans="2:16" ht="18" customHeight="1" x14ac:dyDescent="0.25">
      <c r="B1433" s="21" t="s">
        <v>0</v>
      </c>
      <c r="C1433" s="22" t="s">
        <v>97</v>
      </c>
      <c r="D1433" s="22" t="s">
        <v>72</v>
      </c>
      <c r="E1433" s="21" t="s">
        <v>2222</v>
      </c>
      <c r="F1433" s="23" t="s">
        <v>3</v>
      </c>
      <c r="G1433" s="23" t="s">
        <v>4</v>
      </c>
      <c r="H1433" s="21" t="str">
        <f t="shared" si="22"/>
        <v>GW1_N1152/BUGW-INFLOW</v>
      </c>
      <c r="I1433" s="24" t="s">
        <v>2308</v>
      </c>
      <c r="J1433" s="10" t="str">
        <f>VLOOKUP(Table1[[#This Row],[UID]],CS3SVComposerConfig!$B$3:$D$1808,3,FALSE)</f>
        <v>CVSWShed_FlowContribution3pcntWBA24_2013Init_2021.dss</v>
      </c>
      <c r="K1433" s="10" t="s">
        <v>2212</v>
      </c>
      <c r="L1433" s="10" t="s">
        <v>2212</v>
      </c>
      <c r="M1433" s="10" t="s">
        <v>2224</v>
      </c>
      <c r="N1433" s="10" t="s">
        <v>2225</v>
      </c>
      <c r="O1433" s="10" t="s">
        <v>2226</v>
      </c>
      <c r="P1433" s="39" t="s">
        <v>2227</v>
      </c>
    </row>
    <row r="1434" spans="2:16" ht="18" customHeight="1" x14ac:dyDescent="0.25">
      <c r="B1434" s="21" t="s">
        <v>0</v>
      </c>
      <c r="C1434" s="22" t="s">
        <v>98</v>
      </c>
      <c r="D1434" s="22" t="s">
        <v>72</v>
      </c>
      <c r="E1434" s="21" t="s">
        <v>2222</v>
      </c>
      <c r="F1434" s="23" t="s">
        <v>3</v>
      </c>
      <c r="G1434" s="23" t="s">
        <v>4</v>
      </c>
      <c r="H1434" s="21" t="str">
        <f t="shared" si="22"/>
        <v>GW1_N1174/BUGW-INFLOW</v>
      </c>
      <c r="I1434" s="24" t="s">
        <v>2308</v>
      </c>
      <c r="J1434" s="10" t="str">
        <f>VLOOKUP(Table1[[#This Row],[UID]],CS3SVComposerConfig!$B$3:$D$1808,3,FALSE)</f>
        <v>CVSWShed_FlowContribution3pcntWBA24_2013Init_2021.dss</v>
      </c>
      <c r="K1434" s="10" t="s">
        <v>2212</v>
      </c>
      <c r="L1434" s="10" t="s">
        <v>2212</v>
      </c>
      <c r="M1434" s="10" t="s">
        <v>2224</v>
      </c>
      <c r="N1434" s="10" t="s">
        <v>2225</v>
      </c>
      <c r="O1434" s="10" t="s">
        <v>2226</v>
      </c>
      <c r="P1434" s="39" t="s">
        <v>2227</v>
      </c>
    </row>
    <row r="1435" spans="2:16" ht="18" customHeight="1" x14ac:dyDescent="0.25">
      <c r="B1435" s="21" t="s">
        <v>0</v>
      </c>
      <c r="C1435" s="22" t="s">
        <v>99</v>
      </c>
      <c r="D1435" s="22" t="s">
        <v>72</v>
      </c>
      <c r="E1435" s="21" t="s">
        <v>2222</v>
      </c>
      <c r="F1435" s="23" t="s">
        <v>3</v>
      </c>
      <c r="G1435" s="23" t="s">
        <v>4</v>
      </c>
      <c r="H1435" s="21" t="str">
        <f t="shared" si="22"/>
        <v>GW1_N118/BUGW-INFLOW</v>
      </c>
      <c r="I1435" s="24" t="s">
        <v>2308</v>
      </c>
      <c r="J1435" s="10" t="str">
        <f>VLOOKUP(Table1[[#This Row],[UID]],CS3SVComposerConfig!$B$3:$D$1808,3,FALSE)</f>
        <v>CVSWShed_FlowContribution3pcntWBA24_2013Init_2021.dss</v>
      </c>
      <c r="K1435" s="10" t="s">
        <v>2212</v>
      </c>
      <c r="L1435" s="10" t="s">
        <v>2212</v>
      </c>
      <c r="M1435" s="10" t="s">
        <v>2224</v>
      </c>
      <c r="N1435" s="10" t="s">
        <v>2225</v>
      </c>
      <c r="O1435" s="10" t="s">
        <v>2226</v>
      </c>
      <c r="P1435" s="39" t="s">
        <v>2227</v>
      </c>
    </row>
    <row r="1436" spans="2:16" ht="18" customHeight="1" x14ac:dyDescent="0.25">
      <c r="B1436" s="21" t="s">
        <v>0</v>
      </c>
      <c r="C1436" s="22" t="s">
        <v>100</v>
      </c>
      <c r="D1436" s="22" t="s">
        <v>72</v>
      </c>
      <c r="E1436" s="21" t="s">
        <v>2222</v>
      </c>
      <c r="F1436" s="23" t="s">
        <v>3</v>
      </c>
      <c r="G1436" s="23" t="s">
        <v>4</v>
      </c>
      <c r="H1436" s="21" t="str">
        <f t="shared" si="22"/>
        <v>GW1_N1186/BUGW-INFLOW</v>
      </c>
      <c r="I1436" s="24" t="s">
        <v>2308</v>
      </c>
      <c r="J1436" s="10" t="str">
        <f>VLOOKUP(Table1[[#This Row],[UID]],CS3SVComposerConfig!$B$3:$D$1808,3,FALSE)</f>
        <v>CVSWShed_FlowContribution3pcntWBA24_2013Init_2021.dss</v>
      </c>
      <c r="K1436" s="10" t="s">
        <v>2212</v>
      </c>
      <c r="L1436" s="10" t="s">
        <v>2212</v>
      </c>
      <c r="M1436" s="10" t="s">
        <v>2224</v>
      </c>
      <c r="N1436" s="10" t="s">
        <v>2225</v>
      </c>
      <c r="O1436" s="10" t="s">
        <v>2226</v>
      </c>
      <c r="P1436" s="39" t="s">
        <v>2227</v>
      </c>
    </row>
    <row r="1437" spans="2:16" ht="18" customHeight="1" x14ac:dyDescent="0.25">
      <c r="B1437" s="21" t="s">
        <v>0</v>
      </c>
      <c r="C1437" s="22" t="s">
        <v>101</v>
      </c>
      <c r="D1437" s="22" t="s">
        <v>72</v>
      </c>
      <c r="E1437" s="21" t="s">
        <v>2222</v>
      </c>
      <c r="F1437" s="23" t="s">
        <v>3</v>
      </c>
      <c r="G1437" s="23" t="s">
        <v>4</v>
      </c>
      <c r="H1437" s="21" t="str">
        <f t="shared" si="22"/>
        <v>GW1_N1187/BUGW-INFLOW</v>
      </c>
      <c r="I1437" s="24" t="s">
        <v>2308</v>
      </c>
      <c r="J1437" s="10" t="str">
        <f>VLOOKUP(Table1[[#This Row],[UID]],CS3SVComposerConfig!$B$3:$D$1808,3,FALSE)</f>
        <v>CVSWShed_FlowContribution3pcntWBA24_2013Init_2021.dss</v>
      </c>
      <c r="K1437" s="10" t="s">
        <v>2212</v>
      </c>
      <c r="L1437" s="10" t="s">
        <v>2212</v>
      </c>
      <c r="M1437" s="10" t="s">
        <v>2224</v>
      </c>
      <c r="N1437" s="10" t="s">
        <v>2225</v>
      </c>
      <c r="O1437" s="10" t="s">
        <v>2226</v>
      </c>
      <c r="P1437" s="39" t="s">
        <v>2227</v>
      </c>
    </row>
    <row r="1438" spans="2:16" ht="18" customHeight="1" x14ac:dyDescent="0.25">
      <c r="B1438" s="21" t="s">
        <v>0</v>
      </c>
      <c r="C1438" s="22" t="s">
        <v>102</v>
      </c>
      <c r="D1438" s="22" t="s">
        <v>72</v>
      </c>
      <c r="E1438" s="21" t="s">
        <v>2222</v>
      </c>
      <c r="F1438" s="23" t="s">
        <v>3</v>
      </c>
      <c r="G1438" s="23" t="s">
        <v>4</v>
      </c>
      <c r="H1438" s="21" t="str">
        <f t="shared" si="22"/>
        <v>GW1_N1194/BUGW-INFLOW</v>
      </c>
      <c r="I1438" s="24" t="s">
        <v>2308</v>
      </c>
      <c r="J1438" s="10" t="str">
        <f>VLOOKUP(Table1[[#This Row],[UID]],CS3SVComposerConfig!$B$3:$D$1808,3,FALSE)</f>
        <v>CVSWShed_FlowContribution3pcntWBA24_2013Init_2021.dss</v>
      </c>
      <c r="K1438" s="10" t="s">
        <v>2212</v>
      </c>
      <c r="L1438" s="10" t="s">
        <v>2212</v>
      </c>
      <c r="M1438" s="10" t="s">
        <v>2224</v>
      </c>
      <c r="N1438" s="10" t="s">
        <v>2225</v>
      </c>
      <c r="O1438" s="10" t="s">
        <v>2226</v>
      </c>
      <c r="P1438" s="39" t="s">
        <v>2227</v>
      </c>
    </row>
    <row r="1439" spans="2:16" ht="18" customHeight="1" x14ac:dyDescent="0.25">
      <c r="B1439" s="21" t="s">
        <v>0</v>
      </c>
      <c r="C1439" s="22" t="s">
        <v>103</v>
      </c>
      <c r="D1439" s="22" t="s">
        <v>72</v>
      </c>
      <c r="E1439" s="21" t="s">
        <v>2222</v>
      </c>
      <c r="F1439" s="23" t="s">
        <v>3</v>
      </c>
      <c r="G1439" s="23" t="s">
        <v>4</v>
      </c>
      <c r="H1439" s="21" t="str">
        <f t="shared" si="22"/>
        <v>GW1_N1207/BUGW-INFLOW</v>
      </c>
      <c r="I1439" s="24" t="s">
        <v>2308</v>
      </c>
      <c r="J1439" s="10" t="str">
        <f>VLOOKUP(Table1[[#This Row],[UID]],CS3SVComposerConfig!$B$3:$D$1808,3,FALSE)</f>
        <v>CVSWShed_FlowContribution3pcntWBA24_2013Init_2021.dss</v>
      </c>
      <c r="K1439" s="10" t="s">
        <v>2212</v>
      </c>
      <c r="L1439" s="10" t="s">
        <v>2212</v>
      </c>
      <c r="M1439" s="10" t="s">
        <v>2224</v>
      </c>
      <c r="N1439" s="10" t="s">
        <v>2225</v>
      </c>
      <c r="O1439" s="10" t="s">
        <v>2226</v>
      </c>
      <c r="P1439" s="39" t="s">
        <v>2227</v>
      </c>
    </row>
    <row r="1440" spans="2:16" ht="18" customHeight="1" x14ac:dyDescent="0.25">
      <c r="B1440" s="21" t="s">
        <v>0</v>
      </c>
      <c r="C1440" s="22" t="s">
        <v>104</v>
      </c>
      <c r="D1440" s="22" t="s">
        <v>72</v>
      </c>
      <c r="E1440" s="21" t="s">
        <v>2222</v>
      </c>
      <c r="F1440" s="23" t="s">
        <v>3</v>
      </c>
      <c r="G1440" s="23" t="s">
        <v>4</v>
      </c>
      <c r="H1440" s="21" t="str">
        <f t="shared" si="22"/>
        <v>GW1_N1208/BUGW-INFLOW</v>
      </c>
      <c r="I1440" s="24" t="s">
        <v>2308</v>
      </c>
      <c r="J1440" s="10" t="str">
        <f>VLOOKUP(Table1[[#This Row],[UID]],CS3SVComposerConfig!$B$3:$D$1808,3,FALSE)</f>
        <v>CVSWShed_FlowContribution3pcntWBA24_2013Init_2021.dss</v>
      </c>
      <c r="K1440" s="10" t="s">
        <v>2212</v>
      </c>
      <c r="L1440" s="10" t="s">
        <v>2212</v>
      </c>
      <c r="M1440" s="10" t="s">
        <v>2224</v>
      </c>
      <c r="N1440" s="10" t="s">
        <v>2225</v>
      </c>
      <c r="O1440" s="10" t="s">
        <v>2226</v>
      </c>
      <c r="P1440" s="39" t="s">
        <v>2227</v>
      </c>
    </row>
    <row r="1441" spans="2:16" ht="18" customHeight="1" x14ac:dyDescent="0.25">
      <c r="B1441" s="21" t="s">
        <v>0</v>
      </c>
      <c r="C1441" s="22" t="s">
        <v>105</v>
      </c>
      <c r="D1441" s="22" t="s">
        <v>72</v>
      </c>
      <c r="E1441" s="21" t="s">
        <v>2222</v>
      </c>
      <c r="F1441" s="23" t="s">
        <v>3</v>
      </c>
      <c r="G1441" s="23" t="s">
        <v>4</v>
      </c>
      <c r="H1441" s="21" t="str">
        <f t="shared" si="22"/>
        <v>GW1_N1209/BUGW-INFLOW</v>
      </c>
      <c r="I1441" s="24" t="s">
        <v>2308</v>
      </c>
      <c r="J1441" s="10" t="str">
        <f>VLOOKUP(Table1[[#This Row],[UID]],CS3SVComposerConfig!$B$3:$D$1808,3,FALSE)</f>
        <v>CVSWShed_FlowContribution3pcntWBA24_2013Init_2021.dss</v>
      </c>
      <c r="K1441" s="10" t="s">
        <v>2212</v>
      </c>
      <c r="L1441" s="10" t="s">
        <v>2212</v>
      </c>
      <c r="M1441" s="10" t="s">
        <v>2224</v>
      </c>
      <c r="N1441" s="10" t="s">
        <v>2225</v>
      </c>
      <c r="O1441" s="10" t="s">
        <v>2226</v>
      </c>
      <c r="P1441" s="39" t="s">
        <v>2227</v>
      </c>
    </row>
    <row r="1442" spans="2:16" ht="18" customHeight="1" x14ac:dyDescent="0.25">
      <c r="B1442" s="21" t="s">
        <v>0</v>
      </c>
      <c r="C1442" s="22" t="s">
        <v>106</v>
      </c>
      <c r="D1442" s="22" t="s">
        <v>72</v>
      </c>
      <c r="E1442" s="21" t="s">
        <v>2222</v>
      </c>
      <c r="F1442" s="23" t="s">
        <v>3</v>
      </c>
      <c r="G1442" s="23" t="s">
        <v>4</v>
      </c>
      <c r="H1442" s="21" t="str">
        <f t="shared" si="22"/>
        <v>GW1_N121/BUGW-INFLOW</v>
      </c>
      <c r="I1442" s="24" t="s">
        <v>2308</v>
      </c>
      <c r="J1442" s="10" t="str">
        <f>VLOOKUP(Table1[[#This Row],[UID]],CS3SVComposerConfig!$B$3:$D$1808,3,FALSE)</f>
        <v>CVSWShed_FlowContribution3pcntWBA24_2013Init_2021.dss</v>
      </c>
      <c r="K1442" s="10" t="s">
        <v>2212</v>
      </c>
      <c r="L1442" s="10" t="s">
        <v>2212</v>
      </c>
      <c r="M1442" s="10" t="s">
        <v>2224</v>
      </c>
      <c r="N1442" s="10" t="s">
        <v>2225</v>
      </c>
      <c r="O1442" s="10" t="s">
        <v>2226</v>
      </c>
      <c r="P1442" s="39" t="s">
        <v>2227</v>
      </c>
    </row>
    <row r="1443" spans="2:16" ht="18" customHeight="1" x14ac:dyDescent="0.25">
      <c r="B1443" s="21" t="s">
        <v>0</v>
      </c>
      <c r="C1443" s="22" t="s">
        <v>107</v>
      </c>
      <c r="D1443" s="22" t="s">
        <v>72</v>
      </c>
      <c r="E1443" s="21" t="s">
        <v>2222</v>
      </c>
      <c r="F1443" s="23" t="s">
        <v>3</v>
      </c>
      <c r="G1443" s="23" t="s">
        <v>4</v>
      </c>
      <c r="H1443" s="21" t="str">
        <f t="shared" si="22"/>
        <v>GW1_N1210/BUGW-INFLOW</v>
      </c>
      <c r="I1443" s="24" t="s">
        <v>2308</v>
      </c>
      <c r="J1443" s="10" t="str">
        <f>VLOOKUP(Table1[[#This Row],[UID]],CS3SVComposerConfig!$B$3:$D$1808,3,FALSE)</f>
        <v>CVSWShed_FlowContribution3pcntWBA24_2013Init_2021.dss</v>
      </c>
      <c r="K1443" s="10" t="s">
        <v>2212</v>
      </c>
      <c r="L1443" s="10" t="s">
        <v>2212</v>
      </c>
      <c r="M1443" s="10" t="s">
        <v>2224</v>
      </c>
      <c r="N1443" s="10" t="s">
        <v>2225</v>
      </c>
      <c r="O1443" s="10" t="s">
        <v>2226</v>
      </c>
      <c r="P1443" s="39" t="s">
        <v>2227</v>
      </c>
    </row>
    <row r="1444" spans="2:16" ht="18" customHeight="1" x14ac:dyDescent="0.25">
      <c r="B1444" s="21" t="s">
        <v>0</v>
      </c>
      <c r="C1444" s="22" t="s">
        <v>108</v>
      </c>
      <c r="D1444" s="22" t="s">
        <v>72</v>
      </c>
      <c r="E1444" s="21" t="s">
        <v>2222</v>
      </c>
      <c r="F1444" s="23" t="s">
        <v>3</v>
      </c>
      <c r="G1444" s="23" t="s">
        <v>4</v>
      </c>
      <c r="H1444" s="21" t="str">
        <f t="shared" si="22"/>
        <v>GW1_N1212/BUGW-INFLOW</v>
      </c>
      <c r="I1444" s="24" t="s">
        <v>2308</v>
      </c>
      <c r="J1444" s="10" t="str">
        <f>VLOOKUP(Table1[[#This Row],[UID]],CS3SVComposerConfig!$B$3:$D$1808,3,FALSE)</f>
        <v>CVSWShed_FlowContribution3pcntWBA24_2013Init_2021.dss</v>
      </c>
      <c r="K1444" s="10" t="s">
        <v>2212</v>
      </c>
      <c r="L1444" s="10" t="s">
        <v>2212</v>
      </c>
      <c r="M1444" s="10" t="s">
        <v>2224</v>
      </c>
      <c r="N1444" s="10" t="s">
        <v>2225</v>
      </c>
      <c r="O1444" s="10" t="s">
        <v>2226</v>
      </c>
      <c r="P1444" s="39" t="s">
        <v>2227</v>
      </c>
    </row>
    <row r="1445" spans="2:16" ht="18" customHeight="1" x14ac:dyDescent="0.25">
      <c r="B1445" s="21" t="s">
        <v>0</v>
      </c>
      <c r="C1445" s="22" t="s">
        <v>109</v>
      </c>
      <c r="D1445" s="22" t="s">
        <v>72</v>
      </c>
      <c r="E1445" s="21" t="s">
        <v>2222</v>
      </c>
      <c r="F1445" s="23" t="s">
        <v>3</v>
      </c>
      <c r="G1445" s="23" t="s">
        <v>4</v>
      </c>
      <c r="H1445" s="21" t="str">
        <f t="shared" si="22"/>
        <v>GW1_N1213/BUGW-INFLOW</v>
      </c>
      <c r="I1445" s="24" t="s">
        <v>2308</v>
      </c>
      <c r="J1445" s="10" t="str">
        <f>VLOOKUP(Table1[[#This Row],[UID]],CS3SVComposerConfig!$B$3:$D$1808,3,FALSE)</f>
        <v>CVSWShed_FlowContribution3pcntWBA24_2013Init_2021.dss</v>
      </c>
      <c r="K1445" s="10" t="s">
        <v>2212</v>
      </c>
      <c r="L1445" s="10" t="s">
        <v>2212</v>
      </c>
      <c r="M1445" s="10" t="s">
        <v>2224</v>
      </c>
      <c r="N1445" s="10" t="s">
        <v>2225</v>
      </c>
      <c r="O1445" s="10" t="s">
        <v>2226</v>
      </c>
      <c r="P1445" s="39" t="s">
        <v>2227</v>
      </c>
    </row>
    <row r="1446" spans="2:16" ht="18" customHeight="1" x14ac:dyDescent="0.25">
      <c r="B1446" s="21" t="s">
        <v>0</v>
      </c>
      <c r="C1446" s="22" t="s">
        <v>110</v>
      </c>
      <c r="D1446" s="22" t="s">
        <v>72</v>
      </c>
      <c r="E1446" s="21" t="s">
        <v>2222</v>
      </c>
      <c r="F1446" s="23" t="s">
        <v>3</v>
      </c>
      <c r="G1446" s="23" t="s">
        <v>4</v>
      </c>
      <c r="H1446" s="21" t="str">
        <f t="shared" si="22"/>
        <v>GW1_N1214/BUGW-INFLOW</v>
      </c>
      <c r="I1446" s="24" t="s">
        <v>2308</v>
      </c>
      <c r="J1446" s="10" t="str">
        <f>VLOOKUP(Table1[[#This Row],[UID]],CS3SVComposerConfig!$B$3:$D$1808,3,FALSE)</f>
        <v>CVSWShed_FlowContribution3pcntWBA24_2013Init_2021.dss</v>
      </c>
      <c r="K1446" s="10" t="s">
        <v>2212</v>
      </c>
      <c r="L1446" s="10" t="s">
        <v>2212</v>
      </c>
      <c r="M1446" s="10" t="s">
        <v>2224</v>
      </c>
      <c r="N1446" s="10" t="s">
        <v>2225</v>
      </c>
      <c r="O1446" s="10" t="s">
        <v>2226</v>
      </c>
      <c r="P1446" s="39" t="s">
        <v>2227</v>
      </c>
    </row>
    <row r="1447" spans="2:16" ht="18" customHeight="1" x14ac:dyDescent="0.25">
      <c r="B1447" s="21" t="s">
        <v>0</v>
      </c>
      <c r="C1447" s="22" t="s">
        <v>111</v>
      </c>
      <c r="D1447" s="22" t="s">
        <v>72</v>
      </c>
      <c r="E1447" s="21" t="s">
        <v>2222</v>
      </c>
      <c r="F1447" s="23" t="s">
        <v>3</v>
      </c>
      <c r="G1447" s="23" t="s">
        <v>4</v>
      </c>
      <c r="H1447" s="21" t="str">
        <f t="shared" si="22"/>
        <v>GW1_N122/BUGW-INFLOW</v>
      </c>
      <c r="I1447" s="24" t="s">
        <v>2308</v>
      </c>
      <c r="J1447" s="10" t="str">
        <f>VLOOKUP(Table1[[#This Row],[UID]],CS3SVComposerConfig!$B$3:$D$1808,3,FALSE)</f>
        <v>CVSWShed_FlowContribution3pcntWBA24_2013Init_2021.dss</v>
      </c>
      <c r="K1447" s="10" t="s">
        <v>2212</v>
      </c>
      <c r="L1447" s="10" t="s">
        <v>2212</v>
      </c>
      <c r="M1447" s="10" t="s">
        <v>2224</v>
      </c>
      <c r="N1447" s="10" t="s">
        <v>2225</v>
      </c>
      <c r="O1447" s="10" t="s">
        <v>2226</v>
      </c>
      <c r="P1447" s="39" t="s">
        <v>2227</v>
      </c>
    </row>
    <row r="1448" spans="2:16" ht="18" customHeight="1" x14ac:dyDescent="0.25">
      <c r="B1448" s="21" t="s">
        <v>0</v>
      </c>
      <c r="C1448" s="22" t="s">
        <v>112</v>
      </c>
      <c r="D1448" s="22" t="s">
        <v>72</v>
      </c>
      <c r="E1448" s="21" t="s">
        <v>2222</v>
      </c>
      <c r="F1448" s="23" t="s">
        <v>3</v>
      </c>
      <c r="G1448" s="23" t="s">
        <v>4</v>
      </c>
      <c r="H1448" s="21" t="str">
        <f t="shared" si="22"/>
        <v>GW1_N1227/BUGW-INFLOW</v>
      </c>
      <c r="I1448" s="24" t="s">
        <v>2308</v>
      </c>
      <c r="J1448" s="10" t="str">
        <f>VLOOKUP(Table1[[#This Row],[UID]],CS3SVComposerConfig!$B$3:$D$1808,3,FALSE)</f>
        <v>CVSWShed_FlowContribution3pcntWBA24_2013Init_2021.dss</v>
      </c>
      <c r="K1448" s="10" t="s">
        <v>2212</v>
      </c>
      <c r="L1448" s="10" t="s">
        <v>2212</v>
      </c>
      <c r="M1448" s="10" t="s">
        <v>2224</v>
      </c>
      <c r="N1448" s="10" t="s">
        <v>2225</v>
      </c>
      <c r="O1448" s="10" t="s">
        <v>2226</v>
      </c>
      <c r="P1448" s="39" t="s">
        <v>2227</v>
      </c>
    </row>
    <row r="1449" spans="2:16" ht="18" customHeight="1" x14ac:dyDescent="0.25">
      <c r="B1449" s="21" t="s">
        <v>0</v>
      </c>
      <c r="C1449" s="22" t="s">
        <v>113</v>
      </c>
      <c r="D1449" s="22" t="s">
        <v>72</v>
      </c>
      <c r="E1449" s="21" t="s">
        <v>2222</v>
      </c>
      <c r="F1449" s="23" t="s">
        <v>3</v>
      </c>
      <c r="G1449" s="23" t="s">
        <v>4</v>
      </c>
      <c r="H1449" s="21" t="str">
        <f t="shared" si="22"/>
        <v>GW1_N1228/BUGW-INFLOW</v>
      </c>
      <c r="I1449" s="24" t="s">
        <v>2308</v>
      </c>
      <c r="J1449" s="10" t="str">
        <f>VLOOKUP(Table1[[#This Row],[UID]],CS3SVComposerConfig!$B$3:$D$1808,3,FALSE)</f>
        <v>CVSWShed_FlowContribution3pcntWBA24_2013Init_2021.dss</v>
      </c>
      <c r="K1449" s="10" t="s">
        <v>2212</v>
      </c>
      <c r="L1449" s="10" t="s">
        <v>2212</v>
      </c>
      <c r="M1449" s="10" t="s">
        <v>2224</v>
      </c>
      <c r="N1449" s="10" t="s">
        <v>2225</v>
      </c>
      <c r="O1449" s="10" t="s">
        <v>2226</v>
      </c>
      <c r="P1449" s="39" t="s">
        <v>2227</v>
      </c>
    </row>
    <row r="1450" spans="2:16" ht="18" customHeight="1" x14ac:dyDescent="0.25">
      <c r="B1450" s="21" t="s">
        <v>0</v>
      </c>
      <c r="C1450" s="22" t="s">
        <v>114</v>
      </c>
      <c r="D1450" s="22" t="s">
        <v>72</v>
      </c>
      <c r="E1450" s="21" t="s">
        <v>2222</v>
      </c>
      <c r="F1450" s="23" t="s">
        <v>3</v>
      </c>
      <c r="G1450" s="23" t="s">
        <v>4</v>
      </c>
      <c r="H1450" s="21" t="str">
        <f t="shared" si="22"/>
        <v>GW1_N1243/BUGW-INFLOW</v>
      </c>
      <c r="I1450" s="24" t="s">
        <v>2308</v>
      </c>
      <c r="J1450" s="10" t="str">
        <f>VLOOKUP(Table1[[#This Row],[UID]],CS3SVComposerConfig!$B$3:$D$1808,3,FALSE)</f>
        <v>CVSWShed_FlowContribution3pcntWBA24_2013Init_2021.dss</v>
      </c>
      <c r="K1450" s="10" t="s">
        <v>2212</v>
      </c>
      <c r="L1450" s="10" t="s">
        <v>2212</v>
      </c>
      <c r="M1450" s="10" t="s">
        <v>2224</v>
      </c>
      <c r="N1450" s="10" t="s">
        <v>2225</v>
      </c>
      <c r="O1450" s="10" t="s">
        <v>2226</v>
      </c>
      <c r="P1450" s="39" t="s">
        <v>2227</v>
      </c>
    </row>
    <row r="1451" spans="2:16" ht="18" customHeight="1" x14ac:dyDescent="0.25">
      <c r="B1451" s="21" t="s">
        <v>0</v>
      </c>
      <c r="C1451" s="22" t="s">
        <v>115</v>
      </c>
      <c r="D1451" s="22" t="s">
        <v>72</v>
      </c>
      <c r="E1451" s="21" t="s">
        <v>2222</v>
      </c>
      <c r="F1451" s="23" t="s">
        <v>3</v>
      </c>
      <c r="G1451" s="23" t="s">
        <v>4</v>
      </c>
      <c r="H1451" s="21" t="str">
        <f t="shared" si="22"/>
        <v>GW1_N1244/BUGW-INFLOW</v>
      </c>
      <c r="I1451" s="24" t="s">
        <v>2308</v>
      </c>
      <c r="J1451" s="10" t="str">
        <f>VLOOKUP(Table1[[#This Row],[UID]],CS3SVComposerConfig!$B$3:$D$1808,3,FALSE)</f>
        <v>CVSWShed_FlowContribution3pcntWBA24_2013Init_2021.dss</v>
      </c>
      <c r="K1451" s="10" t="s">
        <v>2212</v>
      </c>
      <c r="L1451" s="10" t="s">
        <v>2212</v>
      </c>
      <c r="M1451" s="10" t="s">
        <v>2224</v>
      </c>
      <c r="N1451" s="10" t="s">
        <v>2225</v>
      </c>
      <c r="O1451" s="10" t="s">
        <v>2226</v>
      </c>
      <c r="P1451" s="39" t="s">
        <v>2227</v>
      </c>
    </row>
    <row r="1452" spans="2:16" ht="18" customHeight="1" x14ac:dyDescent="0.25">
      <c r="B1452" s="21" t="s">
        <v>0</v>
      </c>
      <c r="C1452" s="22" t="s">
        <v>116</v>
      </c>
      <c r="D1452" s="22" t="s">
        <v>72</v>
      </c>
      <c r="E1452" s="21" t="s">
        <v>2222</v>
      </c>
      <c r="F1452" s="23" t="s">
        <v>3</v>
      </c>
      <c r="G1452" s="23" t="s">
        <v>4</v>
      </c>
      <c r="H1452" s="21" t="str">
        <f t="shared" si="22"/>
        <v>GW1_N1253/BUGW-INFLOW</v>
      </c>
      <c r="I1452" s="24" t="s">
        <v>2308</v>
      </c>
      <c r="J1452" s="10" t="str">
        <f>VLOOKUP(Table1[[#This Row],[UID]],CS3SVComposerConfig!$B$3:$D$1808,3,FALSE)</f>
        <v>CVSWShed_FlowContribution3pcntWBA24_2013Init_2021.dss</v>
      </c>
      <c r="K1452" s="10" t="s">
        <v>2212</v>
      </c>
      <c r="L1452" s="10" t="s">
        <v>2212</v>
      </c>
      <c r="M1452" s="10" t="s">
        <v>2224</v>
      </c>
      <c r="N1452" s="10" t="s">
        <v>2225</v>
      </c>
      <c r="O1452" s="10" t="s">
        <v>2226</v>
      </c>
      <c r="P1452" s="39" t="s">
        <v>2227</v>
      </c>
    </row>
    <row r="1453" spans="2:16" ht="18" customHeight="1" x14ac:dyDescent="0.25">
      <c r="B1453" s="21" t="s">
        <v>0</v>
      </c>
      <c r="C1453" s="22" t="s">
        <v>117</v>
      </c>
      <c r="D1453" s="22" t="s">
        <v>72</v>
      </c>
      <c r="E1453" s="21" t="s">
        <v>2222</v>
      </c>
      <c r="F1453" s="23" t="s">
        <v>3</v>
      </c>
      <c r="G1453" s="23" t="s">
        <v>4</v>
      </c>
      <c r="H1453" s="21" t="str">
        <f t="shared" si="22"/>
        <v>GW1_N1255/BUGW-INFLOW</v>
      </c>
      <c r="I1453" s="24" t="s">
        <v>2308</v>
      </c>
      <c r="J1453" s="10" t="str">
        <f>VLOOKUP(Table1[[#This Row],[UID]],CS3SVComposerConfig!$B$3:$D$1808,3,FALSE)</f>
        <v>CVSWShed_FlowContribution3pcntWBA24_2013Init_2021.dss</v>
      </c>
      <c r="K1453" s="10" t="s">
        <v>2212</v>
      </c>
      <c r="L1453" s="10" t="s">
        <v>2212</v>
      </c>
      <c r="M1453" s="10" t="s">
        <v>2224</v>
      </c>
      <c r="N1453" s="10" t="s">
        <v>2225</v>
      </c>
      <c r="O1453" s="10" t="s">
        <v>2226</v>
      </c>
      <c r="P1453" s="39" t="s">
        <v>2227</v>
      </c>
    </row>
    <row r="1454" spans="2:16" ht="18" customHeight="1" x14ac:dyDescent="0.25">
      <c r="B1454" s="21" t="s">
        <v>0</v>
      </c>
      <c r="C1454" s="22" t="s">
        <v>118</v>
      </c>
      <c r="D1454" s="22" t="s">
        <v>72</v>
      </c>
      <c r="E1454" s="21" t="s">
        <v>2222</v>
      </c>
      <c r="F1454" s="23" t="s">
        <v>3</v>
      </c>
      <c r="G1454" s="23" t="s">
        <v>4</v>
      </c>
      <c r="H1454" s="21" t="str">
        <f t="shared" si="22"/>
        <v>GW1_N1266/BUGW-INFLOW</v>
      </c>
      <c r="I1454" s="24" t="s">
        <v>2308</v>
      </c>
      <c r="J1454" s="10" t="str">
        <f>VLOOKUP(Table1[[#This Row],[UID]],CS3SVComposerConfig!$B$3:$D$1808,3,FALSE)</f>
        <v>CVSWShed_FlowContribution3pcntWBA24_2013Init_2021.dss</v>
      </c>
      <c r="K1454" s="10" t="s">
        <v>2212</v>
      </c>
      <c r="L1454" s="10" t="s">
        <v>2212</v>
      </c>
      <c r="M1454" s="10" t="s">
        <v>2224</v>
      </c>
      <c r="N1454" s="10" t="s">
        <v>2225</v>
      </c>
      <c r="O1454" s="10" t="s">
        <v>2226</v>
      </c>
      <c r="P1454" s="39" t="s">
        <v>2227</v>
      </c>
    </row>
    <row r="1455" spans="2:16" ht="18" customHeight="1" x14ac:dyDescent="0.25">
      <c r="B1455" s="21" t="s">
        <v>0</v>
      </c>
      <c r="C1455" s="22" t="s">
        <v>119</v>
      </c>
      <c r="D1455" s="22" t="s">
        <v>72</v>
      </c>
      <c r="E1455" s="21" t="s">
        <v>2222</v>
      </c>
      <c r="F1455" s="23" t="s">
        <v>3</v>
      </c>
      <c r="G1455" s="23" t="s">
        <v>4</v>
      </c>
      <c r="H1455" s="21" t="str">
        <f t="shared" si="22"/>
        <v>GW1_N1267/BUGW-INFLOW</v>
      </c>
      <c r="I1455" s="24" t="s">
        <v>2308</v>
      </c>
      <c r="J1455" s="10" t="str">
        <f>VLOOKUP(Table1[[#This Row],[UID]],CS3SVComposerConfig!$B$3:$D$1808,3,FALSE)</f>
        <v>CVSWShed_FlowContribution3pcntWBA24_2013Init_2021.dss</v>
      </c>
      <c r="K1455" s="10" t="s">
        <v>2212</v>
      </c>
      <c r="L1455" s="10" t="s">
        <v>2212</v>
      </c>
      <c r="M1455" s="10" t="s">
        <v>2224</v>
      </c>
      <c r="N1455" s="10" t="s">
        <v>2225</v>
      </c>
      <c r="O1455" s="10" t="s">
        <v>2226</v>
      </c>
      <c r="P1455" s="39" t="s">
        <v>2227</v>
      </c>
    </row>
    <row r="1456" spans="2:16" ht="18" customHeight="1" x14ac:dyDescent="0.25">
      <c r="B1456" s="21" t="s">
        <v>0</v>
      </c>
      <c r="C1456" s="22" t="s">
        <v>120</v>
      </c>
      <c r="D1456" s="22" t="s">
        <v>72</v>
      </c>
      <c r="E1456" s="21" t="s">
        <v>2222</v>
      </c>
      <c r="F1456" s="23" t="s">
        <v>3</v>
      </c>
      <c r="G1456" s="23" t="s">
        <v>4</v>
      </c>
      <c r="H1456" s="21" t="str">
        <f t="shared" si="22"/>
        <v>GW1_N1279/BUGW-INFLOW</v>
      </c>
      <c r="I1456" s="24" t="s">
        <v>2308</v>
      </c>
      <c r="J1456" s="10" t="str">
        <f>VLOOKUP(Table1[[#This Row],[UID]],CS3SVComposerConfig!$B$3:$D$1808,3,FALSE)</f>
        <v>CVSWShed_FlowContribution3pcntWBA24_2013Init_2021.dss</v>
      </c>
      <c r="K1456" s="10" t="s">
        <v>2212</v>
      </c>
      <c r="L1456" s="10" t="s">
        <v>2212</v>
      </c>
      <c r="M1456" s="10" t="s">
        <v>2224</v>
      </c>
      <c r="N1456" s="10" t="s">
        <v>2225</v>
      </c>
      <c r="O1456" s="10" t="s">
        <v>2226</v>
      </c>
      <c r="P1456" s="39" t="s">
        <v>2227</v>
      </c>
    </row>
    <row r="1457" spans="2:16" ht="18" customHeight="1" x14ac:dyDescent="0.25">
      <c r="B1457" s="21" t="s">
        <v>0</v>
      </c>
      <c r="C1457" s="22" t="s">
        <v>121</v>
      </c>
      <c r="D1457" s="22" t="s">
        <v>72</v>
      </c>
      <c r="E1457" s="21" t="s">
        <v>2222</v>
      </c>
      <c r="F1457" s="23" t="s">
        <v>3</v>
      </c>
      <c r="G1457" s="23" t="s">
        <v>4</v>
      </c>
      <c r="H1457" s="21" t="str">
        <f t="shared" si="22"/>
        <v>GW1_N1280/BUGW-INFLOW</v>
      </c>
      <c r="I1457" s="24" t="s">
        <v>2308</v>
      </c>
      <c r="J1457" s="10" t="str">
        <f>VLOOKUP(Table1[[#This Row],[UID]],CS3SVComposerConfig!$B$3:$D$1808,3,FALSE)</f>
        <v>CVSWShed_FlowContribution3pcntWBA24_2013Init_2021.dss</v>
      </c>
      <c r="K1457" s="10" t="s">
        <v>2212</v>
      </c>
      <c r="L1457" s="10" t="s">
        <v>2212</v>
      </c>
      <c r="M1457" s="10" t="s">
        <v>2224</v>
      </c>
      <c r="N1457" s="10" t="s">
        <v>2225</v>
      </c>
      <c r="O1457" s="10" t="s">
        <v>2226</v>
      </c>
      <c r="P1457" s="39" t="s">
        <v>2227</v>
      </c>
    </row>
    <row r="1458" spans="2:16" ht="18" customHeight="1" x14ac:dyDescent="0.25">
      <c r="B1458" s="21" t="s">
        <v>0</v>
      </c>
      <c r="C1458" s="22" t="s">
        <v>122</v>
      </c>
      <c r="D1458" s="22" t="s">
        <v>72</v>
      </c>
      <c r="E1458" s="21" t="s">
        <v>2222</v>
      </c>
      <c r="F1458" s="23" t="s">
        <v>3</v>
      </c>
      <c r="G1458" s="23" t="s">
        <v>4</v>
      </c>
      <c r="H1458" s="21" t="str">
        <f t="shared" si="22"/>
        <v>GW1_N1292/BUGW-INFLOW</v>
      </c>
      <c r="I1458" s="24" t="s">
        <v>2308</v>
      </c>
      <c r="J1458" s="10" t="str">
        <f>VLOOKUP(Table1[[#This Row],[UID]],CS3SVComposerConfig!$B$3:$D$1808,3,FALSE)</f>
        <v>CVSWShed_FlowContribution3pcntWBA24_2013Init_2021.dss</v>
      </c>
      <c r="K1458" s="10" t="s">
        <v>2212</v>
      </c>
      <c r="L1458" s="10" t="s">
        <v>2212</v>
      </c>
      <c r="M1458" s="10" t="s">
        <v>2224</v>
      </c>
      <c r="N1458" s="10" t="s">
        <v>2225</v>
      </c>
      <c r="O1458" s="10" t="s">
        <v>2226</v>
      </c>
      <c r="P1458" s="39" t="s">
        <v>2227</v>
      </c>
    </row>
    <row r="1459" spans="2:16" ht="18" customHeight="1" x14ac:dyDescent="0.25">
      <c r="B1459" s="21" t="s">
        <v>0</v>
      </c>
      <c r="C1459" s="22" t="s">
        <v>123</v>
      </c>
      <c r="D1459" s="22" t="s">
        <v>72</v>
      </c>
      <c r="E1459" s="21" t="s">
        <v>2222</v>
      </c>
      <c r="F1459" s="23" t="s">
        <v>3</v>
      </c>
      <c r="G1459" s="23" t="s">
        <v>4</v>
      </c>
      <c r="H1459" s="21" t="str">
        <f t="shared" si="22"/>
        <v>GW1_N1293/BUGW-INFLOW</v>
      </c>
      <c r="I1459" s="24" t="s">
        <v>2308</v>
      </c>
      <c r="J1459" s="10" t="str">
        <f>VLOOKUP(Table1[[#This Row],[UID]],CS3SVComposerConfig!$B$3:$D$1808,3,FALSE)</f>
        <v>CVSWShed_FlowContribution3pcntWBA24_2013Init_2021.dss</v>
      </c>
      <c r="K1459" s="10" t="s">
        <v>2212</v>
      </c>
      <c r="L1459" s="10" t="s">
        <v>2212</v>
      </c>
      <c r="M1459" s="10" t="s">
        <v>2224</v>
      </c>
      <c r="N1459" s="10" t="s">
        <v>2225</v>
      </c>
      <c r="O1459" s="10" t="s">
        <v>2226</v>
      </c>
      <c r="P1459" s="39" t="s">
        <v>2227</v>
      </c>
    </row>
    <row r="1460" spans="2:16" ht="18" customHeight="1" x14ac:dyDescent="0.25">
      <c r="B1460" s="21" t="s">
        <v>0</v>
      </c>
      <c r="C1460" s="22" t="s">
        <v>124</v>
      </c>
      <c r="D1460" s="22" t="s">
        <v>72</v>
      </c>
      <c r="E1460" s="21" t="s">
        <v>2222</v>
      </c>
      <c r="F1460" s="23" t="s">
        <v>3</v>
      </c>
      <c r="G1460" s="23" t="s">
        <v>4</v>
      </c>
      <c r="H1460" s="21" t="str">
        <f t="shared" si="22"/>
        <v>GW1_N13/BUGW-INFLOW</v>
      </c>
      <c r="I1460" s="24" t="s">
        <v>2308</v>
      </c>
      <c r="J1460" s="10" t="str">
        <f>VLOOKUP(Table1[[#This Row],[UID]],CS3SVComposerConfig!$B$3:$D$1808,3,FALSE)</f>
        <v>CVSWShed_FlowContribution3pcntWBA24_2013Init_2021.dss</v>
      </c>
      <c r="K1460" s="10" t="s">
        <v>2212</v>
      </c>
      <c r="L1460" s="10" t="s">
        <v>2212</v>
      </c>
      <c r="M1460" s="10" t="s">
        <v>2224</v>
      </c>
      <c r="N1460" s="10" t="s">
        <v>2225</v>
      </c>
      <c r="O1460" s="10" t="s">
        <v>2226</v>
      </c>
      <c r="P1460" s="39" t="s">
        <v>2227</v>
      </c>
    </row>
    <row r="1461" spans="2:16" ht="18" customHeight="1" x14ac:dyDescent="0.25">
      <c r="B1461" s="21" t="s">
        <v>0</v>
      </c>
      <c r="C1461" s="22" t="s">
        <v>125</v>
      </c>
      <c r="D1461" s="22" t="s">
        <v>72</v>
      </c>
      <c r="E1461" s="21" t="s">
        <v>2222</v>
      </c>
      <c r="F1461" s="23" t="s">
        <v>3</v>
      </c>
      <c r="G1461" s="23" t="s">
        <v>4</v>
      </c>
      <c r="H1461" s="21" t="str">
        <f t="shared" si="22"/>
        <v>GW1_N1305/BUGW-INFLOW</v>
      </c>
      <c r="I1461" s="24" t="s">
        <v>2308</v>
      </c>
      <c r="J1461" s="10" t="str">
        <f>VLOOKUP(Table1[[#This Row],[UID]],CS3SVComposerConfig!$B$3:$D$1808,3,FALSE)</f>
        <v>CVSWShed_FlowContribution3pcntWBA24_2013Init_2021.dss</v>
      </c>
      <c r="K1461" s="10" t="s">
        <v>2212</v>
      </c>
      <c r="L1461" s="10" t="s">
        <v>2212</v>
      </c>
      <c r="M1461" s="10" t="s">
        <v>2224</v>
      </c>
      <c r="N1461" s="10" t="s">
        <v>2225</v>
      </c>
      <c r="O1461" s="10" t="s">
        <v>2226</v>
      </c>
      <c r="P1461" s="39" t="s">
        <v>2227</v>
      </c>
    </row>
    <row r="1462" spans="2:16" ht="18" customHeight="1" x14ac:dyDescent="0.25">
      <c r="B1462" s="21" t="s">
        <v>0</v>
      </c>
      <c r="C1462" s="22" t="s">
        <v>126</v>
      </c>
      <c r="D1462" s="22" t="s">
        <v>72</v>
      </c>
      <c r="E1462" s="21" t="s">
        <v>2222</v>
      </c>
      <c r="F1462" s="23" t="s">
        <v>3</v>
      </c>
      <c r="G1462" s="23" t="s">
        <v>4</v>
      </c>
      <c r="H1462" s="21" t="str">
        <f t="shared" si="22"/>
        <v>GW1_N1316/BUGW-INFLOW</v>
      </c>
      <c r="I1462" s="24" t="s">
        <v>2308</v>
      </c>
      <c r="J1462" s="10" t="str">
        <f>VLOOKUP(Table1[[#This Row],[UID]],CS3SVComposerConfig!$B$3:$D$1808,3,FALSE)</f>
        <v>CVSWShed_FlowContribution3pcntWBA24_2013Init_2021.dss</v>
      </c>
      <c r="K1462" s="10" t="s">
        <v>2212</v>
      </c>
      <c r="L1462" s="10" t="s">
        <v>2212</v>
      </c>
      <c r="M1462" s="10" t="s">
        <v>2224</v>
      </c>
      <c r="N1462" s="10" t="s">
        <v>2225</v>
      </c>
      <c r="O1462" s="10" t="s">
        <v>2226</v>
      </c>
      <c r="P1462" s="39" t="s">
        <v>2227</v>
      </c>
    </row>
    <row r="1463" spans="2:16" ht="18" customHeight="1" x14ac:dyDescent="0.25">
      <c r="B1463" s="21" t="s">
        <v>0</v>
      </c>
      <c r="C1463" s="22" t="s">
        <v>127</v>
      </c>
      <c r="D1463" s="22" t="s">
        <v>72</v>
      </c>
      <c r="E1463" s="21" t="s">
        <v>2222</v>
      </c>
      <c r="F1463" s="23" t="s">
        <v>3</v>
      </c>
      <c r="G1463" s="23" t="s">
        <v>4</v>
      </c>
      <c r="H1463" s="21" t="str">
        <f t="shared" si="22"/>
        <v>GW1_N1318/BUGW-INFLOW</v>
      </c>
      <c r="I1463" s="24" t="s">
        <v>2308</v>
      </c>
      <c r="J1463" s="10" t="str">
        <f>VLOOKUP(Table1[[#This Row],[UID]],CS3SVComposerConfig!$B$3:$D$1808,3,FALSE)</f>
        <v>CVSWShed_FlowContribution3pcntWBA24_2013Init_2021.dss</v>
      </c>
      <c r="K1463" s="10" t="s">
        <v>2212</v>
      </c>
      <c r="L1463" s="10" t="s">
        <v>2212</v>
      </c>
      <c r="M1463" s="10" t="s">
        <v>2224</v>
      </c>
      <c r="N1463" s="10" t="s">
        <v>2225</v>
      </c>
      <c r="O1463" s="10" t="s">
        <v>2226</v>
      </c>
      <c r="P1463" s="39" t="s">
        <v>2227</v>
      </c>
    </row>
    <row r="1464" spans="2:16" ht="18" customHeight="1" x14ac:dyDescent="0.25">
      <c r="B1464" s="21" t="s">
        <v>0</v>
      </c>
      <c r="C1464" s="22" t="s">
        <v>128</v>
      </c>
      <c r="D1464" s="22" t="s">
        <v>72</v>
      </c>
      <c r="E1464" s="21" t="s">
        <v>2222</v>
      </c>
      <c r="F1464" s="23" t="s">
        <v>3</v>
      </c>
      <c r="G1464" s="23" t="s">
        <v>4</v>
      </c>
      <c r="H1464" s="21" t="str">
        <f t="shared" si="22"/>
        <v>GW1_N1329/BUGW-INFLOW</v>
      </c>
      <c r="I1464" s="24" t="s">
        <v>2308</v>
      </c>
      <c r="J1464" s="10" t="str">
        <f>VLOOKUP(Table1[[#This Row],[UID]],CS3SVComposerConfig!$B$3:$D$1808,3,FALSE)</f>
        <v>CVSWShed_FlowContribution3pcntWBA24_2013Init_2021.dss</v>
      </c>
      <c r="K1464" s="10" t="s">
        <v>2212</v>
      </c>
      <c r="L1464" s="10" t="s">
        <v>2212</v>
      </c>
      <c r="M1464" s="10" t="s">
        <v>2224</v>
      </c>
      <c r="N1464" s="10" t="s">
        <v>2225</v>
      </c>
      <c r="O1464" s="10" t="s">
        <v>2226</v>
      </c>
      <c r="P1464" s="39" t="s">
        <v>2227</v>
      </c>
    </row>
    <row r="1465" spans="2:16" ht="18" customHeight="1" x14ac:dyDescent="0.25">
      <c r="B1465" s="21" t="s">
        <v>0</v>
      </c>
      <c r="C1465" s="22" t="s">
        <v>129</v>
      </c>
      <c r="D1465" s="22" t="s">
        <v>72</v>
      </c>
      <c r="E1465" s="21" t="s">
        <v>2222</v>
      </c>
      <c r="F1465" s="23" t="s">
        <v>3</v>
      </c>
      <c r="G1465" s="23" t="s">
        <v>4</v>
      </c>
      <c r="H1465" s="21" t="str">
        <f t="shared" si="22"/>
        <v>GW1_N1338/BUGW-INFLOW</v>
      </c>
      <c r="I1465" s="24" t="s">
        <v>2308</v>
      </c>
      <c r="J1465" s="10" t="str">
        <f>VLOOKUP(Table1[[#This Row],[UID]],CS3SVComposerConfig!$B$3:$D$1808,3,FALSE)</f>
        <v>CVSWShed_FlowContribution3pcntWBA24_2013Init_2021.dss</v>
      </c>
      <c r="K1465" s="10" t="s">
        <v>2212</v>
      </c>
      <c r="L1465" s="10" t="s">
        <v>2212</v>
      </c>
      <c r="M1465" s="10" t="s">
        <v>2224</v>
      </c>
      <c r="N1465" s="10" t="s">
        <v>2225</v>
      </c>
      <c r="O1465" s="10" t="s">
        <v>2226</v>
      </c>
      <c r="P1465" s="39" t="s">
        <v>2227</v>
      </c>
    </row>
    <row r="1466" spans="2:16" ht="18" customHeight="1" x14ac:dyDescent="0.25">
      <c r="B1466" s="21" t="s">
        <v>0</v>
      </c>
      <c r="C1466" s="22" t="s">
        <v>130</v>
      </c>
      <c r="D1466" s="22" t="s">
        <v>72</v>
      </c>
      <c r="E1466" s="21" t="s">
        <v>2222</v>
      </c>
      <c r="F1466" s="23" t="s">
        <v>3</v>
      </c>
      <c r="G1466" s="23" t="s">
        <v>4</v>
      </c>
      <c r="H1466" s="21" t="str">
        <f t="shared" si="22"/>
        <v>GW1_N1339/BUGW-INFLOW</v>
      </c>
      <c r="I1466" s="24" t="s">
        <v>2308</v>
      </c>
      <c r="J1466" s="10" t="str">
        <f>VLOOKUP(Table1[[#This Row],[UID]],CS3SVComposerConfig!$B$3:$D$1808,3,FALSE)</f>
        <v>CVSWShed_FlowContribution3pcntWBA24_2013Init_2021.dss</v>
      </c>
      <c r="K1466" s="10" t="s">
        <v>2212</v>
      </c>
      <c r="L1466" s="10" t="s">
        <v>2212</v>
      </c>
      <c r="M1466" s="10" t="s">
        <v>2224</v>
      </c>
      <c r="N1466" s="10" t="s">
        <v>2225</v>
      </c>
      <c r="O1466" s="10" t="s">
        <v>2226</v>
      </c>
      <c r="P1466" s="39" t="s">
        <v>2227</v>
      </c>
    </row>
    <row r="1467" spans="2:16" ht="18" customHeight="1" x14ac:dyDescent="0.25">
      <c r="B1467" s="21" t="s">
        <v>0</v>
      </c>
      <c r="C1467" s="22" t="s">
        <v>131</v>
      </c>
      <c r="D1467" s="22" t="s">
        <v>72</v>
      </c>
      <c r="E1467" s="21" t="s">
        <v>2222</v>
      </c>
      <c r="F1467" s="23" t="s">
        <v>3</v>
      </c>
      <c r="G1467" s="23" t="s">
        <v>4</v>
      </c>
      <c r="H1467" s="21" t="str">
        <f t="shared" si="22"/>
        <v>GW1_N1349/BUGW-INFLOW</v>
      </c>
      <c r="I1467" s="24" t="s">
        <v>2308</v>
      </c>
      <c r="J1467" s="10" t="str">
        <f>VLOOKUP(Table1[[#This Row],[UID]],CS3SVComposerConfig!$B$3:$D$1808,3,FALSE)</f>
        <v>CVSWShed_FlowContribution3pcntWBA24_2013Init_2021.dss</v>
      </c>
      <c r="K1467" s="10" t="s">
        <v>2212</v>
      </c>
      <c r="L1467" s="10" t="s">
        <v>2212</v>
      </c>
      <c r="M1467" s="10" t="s">
        <v>2224</v>
      </c>
      <c r="N1467" s="10" t="s">
        <v>2225</v>
      </c>
      <c r="O1467" s="10" t="s">
        <v>2226</v>
      </c>
      <c r="P1467" s="39" t="s">
        <v>2227</v>
      </c>
    </row>
    <row r="1468" spans="2:16" ht="18" customHeight="1" x14ac:dyDescent="0.25">
      <c r="B1468" s="21" t="s">
        <v>0</v>
      </c>
      <c r="C1468" s="22" t="s">
        <v>132</v>
      </c>
      <c r="D1468" s="22" t="s">
        <v>72</v>
      </c>
      <c r="E1468" s="21" t="s">
        <v>2222</v>
      </c>
      <c r="F1468" s="23" t="s">
        <v>3</v>
      </c>
      <c r="G1468" s="23" t="s">
        <v>4</v>
      </c>
      <c r="H1468" s="21" t="str">
        <f t="shared" si="22"/>
        <v>GW1_N1359/BUGW-INFLOW</v>
      </c>
      <c r="I1468" s="24" t="s">
        <v>2308</v>
      </c>
      <c r="J1468" s="10" t="str">
        <f>VLOOKUP(Table1[[#This Row],[UID]],CS3SVComposerConfig!$B$3:$D$1808,3,FALSE)</f>
        <v>CVSWShed_FlowContribution3pcntWBA24_2013Init_2021.dss</v>
      </c>
      <c r="K1468" s="10" t="s">
        <v>2212</v>
      </c>
      <c r="L1468" s="10" t="s">
        <v>2212</v>
      </c>
      <c r="M1468" s="10" t="s">
        <v>2224</v>
      </c>
      <c r="N1468" s="10" t="s">
        <v>2225</v>
      </c>
      <c r="O1468" s="10" t="s">
        <v>2226</v>
      </c>
      <c r="P1468" s="39" t="s">
        <v>2227</v>
      </c>
    </row>
    <row r="1469" spans="2:16" ht="18" customHeight="1" x14ac:dyDescent="0.25">
      <c r="B1469" s="21" t="s">
        <v>0</v>
      </c>
      <c r="C1469" s="22" t="s">
        <v>133</v>
      </c>
      <c r="D1469" s="22" t="s">
        <v>72</v>
      </c>
      <c r="E1469" s="21" t="s">
        <v>2222</v>
      </c>
      <c r="F1469" s="23" t="s">
        <v>3</v>
      </c>
      <c r="G1469" s="23" t="s">
        <v>4</v>
      </c>
      <c r="H1469" s="21" t="str">
        <f t="shared" si="22"/>
        <v>GW1_N1360/BUGW-INFLOW</v>
      </c>
      <c r="I1469" s="24" t="s">
        <v>2308</v>
      </c>
      <c r="J1469" s="10" t="str">
        <f>VLOOKUP(Table1[[#This Row],[UID]],CS3SVComposerConfig!$B$3:$D$1808,3,FALSE)</f>
        <v>CVSWShed_FlowContribution3pcntWBA24_2013Init_2021.dss</v>
      </c>
      <c r="K1469" s="10" t="s">
        <v>2212</v>
      </c>
      <c r="L1469" s="10" t="s">
        <v>2212</v>
      </c>
      <c r="M1469" s="10" t="s">
        <v>2224</v>
      </c>
      <c r="N1469" s="10" t="s">
        <v>2225</v>
      </c>
      <c r="O1469" s="10" t="s">
        <v>2226</v>
      </c>
      <c r="P1469" s="39" t="s">
        <v>2227</v>
      </c>
    </row>
    <row r="1470" spans="2:16" ht="18" customHeight="1" x14ac:dyDescent="0.25">
      <c r="B1470" s="21" t="s">
        <v>0</v>
      </c>
      <c r="C1470" s="22" t="s">
        <v>134</v>
      </c>
      <c r="D1470" s="22" t="s">
        <v>72</v>
      </c>
      <c r="E1470" s="21" t="s">
        <v>2222</v>
      </c>
      <c r="F1470" s="23" t="s">
        <v>3</v>
      </c>
      <c r="G1470" s="23" t="s">
        <v>4</v>
      </c>
      <c r="H1470" s="21" t="str">
        <f t="shared" si="22"/>
        <v>GW1_N1368/BUGW-INFLOW</v>
      </c>
      <c r="I1470" s="24" t="s">
        <v>2308</v>
      </c>
      <c r="J1470" s="10" t="str">
        <f>VLOOKUP(Table1[[#This Row],[UID]],CS3SVComposerConfig!$B$3:$D$1808,3,FALSE)</f>
        <v>CVSWShed_FlowContribution3pcntWBA24_2013Init_2021.dss</v>
      </c>
      <c r="K1470" s="10" t="s">
        <v>2212</v>
      </c>
      <c r="L1470" s="10" t="s">
        <v>2212</v>
      </c>
      <c r="M1470" s="10" t="s">
        <v>2224</v>
      </c>
      <c r="N1470" s="10" t="s">
        <v>2225</v>
      </c>
      <c r="O1470" s="10" t="s">
        <v>2226</v>
      </c>
      <c r="P1470" s="39" t="s">
        <v>2227</v>
      </c>
    </row>
    <row r="1471" spans="2:16" ht="18" customHeight="1" x14ac:dyDescent="0.25">
      <c r="B1471" s="21" t="s">
        <v>0</v>
      </c>
      <c r="C1471" s="22" t="s">
        <v>135</v>
      </c>
      <c r="D1471" s="22" t="s">
        <v>72</v>
      </c>
      <c r="E1471" s="21" t="s">
        <v>2222</v>
      </c>
      <c r="F1471" s="23" t="s">
        <v>3</v>
      </c>
      <c r="G1471" s="23" t="s">
        <v>4</v>
      </c>
      <c r="H1471" s="21" t="str">
        <f t="shared" si="22"/>
        <v>GW1_N1371/BUGW-INFLOW</v>
      </c>
      <c r="I1471" s="24" t="s">
        <v>2308</v>
      </c>
      <c r="J1471" s="10" t="str">
        <f>VLOOKUP(Table1[[#This Row],[UID]],CS3SVComposerConfig!$B$3:$D$1808,3,FALSE)</f>
        <v>CVSWShed_FlowContribution3pcntWBA24_2013Init_2021.dss</v>
      </c>
      <c r="K1471" s="10" t="s">
        <v>2212</v>
      </c>
      <c r="L1471" s="10" t="s">
        <v>2212</v>
      </c>
      <c r="M1471" s="10" t="s">
        <v>2224</v>
      </c>
      <c r="N1471" s="10" t="s">
        <v>2225</v>
      </c>
      <c r="O1471" s="10" t="s">
        <v>2226</v>
      </c>
      <c r="P1471" s="39" t="s">
        <v>2227</v>
      </c>
    </row>
    <row r="1472" spans="2:16" ht="18" customHeight="1" x14ac:dyDescent="0.25">
      <c r="B1472" s="21" t="s">
        <v>0</v>
      </c>
      <c r="C1472" s="22" t="s">
        <v>136</v>
      </c>
      <c r="D1472" s="22" t="s">
        <v>72</v>
      </c>
      <c r="E1472" s="21" t="s">
        <v>2222</v>
      </c>
      <c r="F1472" s="23" t="s">
        <v>3</v>
      </c>
      <c r="G1472" s="23" t="s">
        <v>4</v>
      </c>
      <c r="H1472" s="21" t="str">
        <f t="shared" si="22"/>
        <v>GW1_N1374/BUGW-INFLOW</v>
      </c>
      <c r="I1472" s="24" t="s">
        <v>2308</v>
      </c>
      <c r="J1472" s="10" t="str">
        <f>VLOOKUP(Table1[[#This Row],[UID]],CS3SVComposerConfig!$B$3:$D$1808,3,FALSE)</f>
        <v>CVSWShed_FlowContribution3pcntWBA24_2013Init_2021.dss</v>
      </c>
      <c r="K1472" s="10" t="s">
        <v>2212</v>
      </c>
      <c r="L1472" s="10" t="s">
        <v>2212</v>
      </c>
      <c r="M1472" s="10" t="s">
        <v>2224</v>
      </c>
      <c r="N1472" s="10" t="s">
        <v>2225</v>
      </c>
      <c r="O1472" s="10" t="s">
        <v>2226</v>
      </c>
      <c r="P1472" s="39" t="s">
        <v>2227</v>
      </c>
    </row>
    <row r="1473" spans="2:16" ht="18" customHeight="1" x14ac:dyDescent="0.25">
      <c r="B1473" s="21" t="s">
        <v>0</v>
      </c>
      <c r="C1473" s="22" t="s">
        <v>137</v>
      </c>
      <c r="D1473" s="22" t="s">
        <v>72</v>
      </c>
      <c r="E1473" s="21" t="s">
        <v>2222</v>
      </c>
      <c r="F1473" s="23" t="s">
        <v>3</v>
      </c>
      <c r="G1473" s="23" t="s">
        <v>4</v>
      </c>
      <c r="H1473" s="21" t="str">
        <f t="shared" si="22"/>
        <v>GW1_N1380/BUGW-INFLOW</v>
      </c>
      <c r="I1473" s="24" t="s">
        <v>2308</v>
      </c>
      <c r="J1473" s="10" t="str">
        <f>VLOOKUP(Table1[[#This Row],[UID]],CS3SVComposerConfig!$B$3:$D$1808,3,FALSE)</f>
        <v>CVSWShed_FlowContribution3pcntWBA24_2013Init_2021.dss</v>
      </c>
      <c r="K1473" s="10" t="s">
        <v>2212</v>
      </c>
      <c r="L1473" s="10" t="s">
        <v>2212</v>
      </c>
      <c r="M1473" s="10" t="s">
        <v>2224</v>
      </c>
      <c r="N1473" s="10" t="s">
        <v>2225</v>
      </c>
      <c r="O1473" s="10" t="s">
        <v>2226</v>
      </c>
      <c r="P1473" s="39" t="s">
        <v>2227</v>
      </c>
    </row>
    <row r="1474" spans="2:16" ht="18" customHeight="1" x14ac:dyDescent="0.25">
      <c r="B1474" s="21" t="s">
        <v>0</v>
      </c>
      <c r="C1474" s="22" t="s">
        <v>138</v>
      </c>
      <c r="D1474" s="22" t="s">
        <v>72</v>
      </c>
      <c r="E1474" s="21" t="s">
        <v>2222</v>
      </c>
      <c r="F1474" s="23" t="s">
        <v>3</v>
      </c>
      <c r="G1474" s="23" t="s">
        <v>4</v>
      </c>
      <c r="H1474" s="21" t="str">
        <f t="shared" si="22"/>
        <v>GW1_N1381/BUGW-INFLOW</v>
      </c>
      <c r="I1474" s="24" t="s">
        <v>2308</v>
      </c>
      <c r="J1474" s="10" t="str">
        <f>VLOOKUP(Table1[[#This Row],[UID]],CS3SVComposerConfig!$B$3:$D$1808,3,FALSE)</f>
        <v>CVSWShed_FlowContribution3pcntWBA24_2013Init_2021.dss</v>
      </c>
      <c r="K1474" s="10" t="s">
        <v>2212</v>
      </c>
      <c r="L1474" s="10" t="s">
        <v>2212</v>
      </c>
      <c r="M1474" s="10" t="s">
        <v>2224</v>
      </c>
      <c r="N1474" s="10" t="s">
        <v>2225</v>
      </c>
      <c r="O1474" s="10" t="s">
        <v>2226</v>
      </c>
      <c r="P1474" s="39" t="s">
        <v>2227</v>
      </c>
    </row>
    <row r="1475" spans="2:16" ht="18" customHeight="1" x14ac:dyDescent="0.25">
      <c r="B1475" s="21" t="s">
        <v>0</v>
      </c>
      <c r="C1475" s="22" t="s">
        <v>139</v>
      </c>
      <c r="D1475" s="22" t="s">
        <v>72</v>
      </c>
      <c r="E1475" s="21" t="s">
        <v>2222</v>
      </c>
      <c r="F1475" s="23" t="s">
        <v>3</v>
      </c>
      <c r="G1475" s="23" t="s">
        <v>4</v>
      </c>
      <c r="H1475" s="21" t="str">
        <f t="shared" ref="H1475:H1538" si="23">_xlfn.CONCAT(C1475,"/",D1475)</f>
        <v>GW1_N1382/BUGW-INFLOW</v>
      </c>
      <c r="I1475" s="24" t="s">
        <v>2308</v>
      </c>
      <c r="J1475" s="10" t="str">
        <f>VLOOKUP(Table1[[#This Row],[UID]],CS3SVComposerConfig!$B$3:$D$1808,3,FALSE)</f>
        <v>CVSWShed_FlowContribution3pcntWBA24_2013Init_2021.dss</v>
      </c>
      <c r="K1475" s="10" t="s">
        <v>2212</v>
      </c>
      <c r="L1475" s="10" t="s">
        <v>2212</v>
      </c>
      <c r="M1475" s="10" t="s">
        <v>2224</v>
      </c>
      <c r="N1475" s="10" t="s">
        <v>2225</v>
      </c>
      <c r="O1475" s="10" t="s">
        <v>2226</v>
      </c>
      <c r="P1475" s="39" t="s">
        <v>2227</v>
      </c>
    </row>
    <row r="1476" spans="2:16" ht="18" customHeight="1" x14ac:dyDescent="0.25">
      <c r="B1476" s="21" t="s">
        <v>0</v>
      </c>
      <c r="C1476" s="22" t="s">
        <v>140</v>
      </c>
      <c r="D1476" s="22" t="s">
        <v>72</v>
      </c>
      <c r="E1476" s="21" t="s">
        <v>2222</v>
      </c>
      <c r="F1476" s="23" t="s">
        <v>3</v>
      </c>
      <c r="G1476" s="23" t="s">
        <v>4</v>
      </c>
      <c r="H1476" s="21" t="str">
        <f t="shared" si="23"/>
        <v>GW1_N1385/BUGW-INFLOW</v>
      </c>
      <c r="I1476" s="24" t="s">
        <v>2308</v>
      </c>
      <c r="J1476" s="10" t="str">
        <f>VLOOKUP(Table1[[#This Row],[UID]],CS3SVComposerConfig!$B$3:$D$1808,3,FALSE)</f>
        <v>CVSWShed_FlowContribution3pcntWBA24_2013Init_2021.dss</v>
      </c>
      <c r="K1476" s="10" t="s">
        <v>2212</v>
      </c>
      <c r="L1476" s="10" t="s">
        <v>2212</v>
      </c>
      <c r="M1476" s="10" t="s">
        <v>2224</v>
      </c>
      <c r="N1476" s="10" t="s">
        <v>2225</v>
      </c>
      <c r="O1476" s="10" t="s">
        <v>2226</v>
      </c>
      <c r="P1476" s="39" t="s">
        <v>2227</v>
      </c>
    </row>
    <row r="1477" spans="2:16" ht="18" customHeight="1" x14ac:dyDescent="0.25">
      <c r="B1477" s="21" t="s">
        <v>0</v>
      </c>
      <c r="C1477" s="22" t="s">
        <v>141</v>
      </c>
      <c r="D1477" s="22" t="s">
        <v>72</v>
      </c>
      <c r="E1477" s="21" t="s">
        <v>2222</v>
      </c>
      <c r="F1477" s="23" t="s">
        <v>3</v>
      </c>
      <c r="G1477" s="23" t="s">
        <v>4</v>
      </c>
      <c r="H1477" s="21" t="str">
        <f t="shared" si="23"/>
        <v>GW1_N1386/BUGW-INFLOW</v>
      </c>
      <c r="I1477" s="24" t="s">
        <v>2308</v>
      </c>
      <c r="J1477" s="10" t="str">
        <f>VLOOKUP(Table1[[#This Row],[UID]],CS3SVComposerConfig!$B$3:$D$1808,3,FALSE)</f>
        <v>CVSWShed_FlowContribution3pcntWBA24_2013Init_2021.dss</v>
      </c>
      <c r="K1477" s="10" t="s">
        <v>2212</v>
      </c>
      <c r="L1477" s="10" t="s">
        <v>2212</v>
      </c>
      <c r="M1477" s="10" t="s">
        <v>2224</v>
      </c>
      <c r="N1477" s="10" t="s">
        <v>2225</v>
      </c>
      <c r="O1477" s="10" t="s">
        <v>2226</v>
      </c>
      <c r="P1477" s="39" t="s">
        <v>2227</v>
      </c>
    </row>
    <row r="1478" spans="2:16" ht="18" customHeight="1" x14ac:dyDescent="0.25">
      <c r="B1478" s="21" t="s">
        <v>0</v>
      </c>
      <c r="C1478" s="22" t="s">
        <v>142</v>
      </c>
      <c r="D1478" s="22" t="s">
        <v>72</v>
      </c>
      <c r="E1478" s="21" t="s">
        <v>2222</v>
      </c>
      <c r="F1478" s="23" t="s">
        <v>3</v>
      </c>
      <c r="G1478" s="23" t="s">
        <v>4</v>
      </c>
      <c r="H1478" s="21" t="str">
        <f t="shared" si="23"/>
        <v>GW1_N1389/BUGW-INFLOW</v>
      </c>
      <c r="I1478" s="24" t="s">
        <v>2308</v>
      </c>
      <c r="J1478" s="10" t="str">
        <f>VLOOKUP(Table1[[#This Row],[UID]],CS3SVComposerConfig!$B$3:$D$1808,3,FALSE)</f>
        <v>CVSWShed_FlowContribution3pcntWBA24_2013Init_2021.dss</v>
      </c>
      <c r="K1478" s="10" t="s">
        <v>2212</v>
      </c>
      <c r="L1478" s="10" t="s">
        <v>2212</v>
      </c>
      <c r="M1478" s="10" t="s">
        <v>2224</v>
      </c>
      <c r="N1478" s="10" t="s">
        <v>2225</v>
      </c>
      <c r="O1478" s="10" t="s">
        <v>2226</v>
      </c>
      <c r="P1478" s="39" t="s">
        <v>2227</v>
      </c>
    </row>
    <row r="1479" spans="2:16" ht="18" customHeight="1" x14ac:dyDescent="0.25">
      <c r="B1479" s="21" t="s">
        <v>0</v>
      </c>
      <c r="C1479" s="22" t="s">
        <v>143</v>
      </c>
      <c r="D1479" s="22" t="s">
        <v>72</v>
      </c>
      <c r="E1479" s="21" t="s">
        <v>2222</v>
      </c>
      <c r="F1479" s="23" t="s">
        <v>3</v>
      </c>
      <c r="G1479" s="23" t="s">
        <v>4</v>
      </c>
      <c r="H1479" s="21" t="str">
        <f t="shared" si="23"/>
        <v>GW1_N1390/BUGW-INFLOW</v>
      </c>
      <c r="I1479" s="24" t="s">
        <v>2308</v>
      </c>
      <c r="J1479" s="10" t="str">
        <f>VLOOKUP(Table1[[#This Row],[UID]],CS3SVComposerConfig!$B$3:$D$1808,3,FALSE)</f>
        <v>CVSWShed_FlowContribution3pcntWBA24_2013Init_2021.dss</v>
      </c>
      <c r="K1479" s="10" t="s">
        <v>2212</v>
      </c>
      <c r="L1479" s="10" t="s">
        <v>2212</v>
      </c>
      <c r="M1479" s="10" t="s">
        <v>2224</v>
      </c>
      <c r="N1479" s="10" t="s">
        <v>2225</v>
      </c>
      <c r="O1479" s="10" t="s">
        <v>2226</v>
      </c>
      <c r="P1479" s="39" t="s">
        <v>2227</v>
      </c>
    </row>
    <row r="1480" spans="2:16" ht="18" customHeight="1" x14ac:dyDescent="0.25">
      <c r="B1480" s="21" t="s">
        <v>0</v>
      </c>
      <c r="C1480" s="22" t="s">
        <v>144</v>
      </c>
      <c r="D1480" s="22" t="s">
        <v>72</v>
      </c>
      <c r="E1480" s="21" t="s">
        <v>2222</v>
      </c>
      <c r="F1480" s="23" t="s">
        <v>3</v>
      </c>
      <c r="G1480" s="23" t="s">
        <v>4</v>
      </c>
      <c r="H1480" s="21" t="str">
        <f t="shared" si="23"/>
        <v>GW1_N1391/BUGW-INFLOW</v>
      </c>
      <c r="I1480" s="24" t="s">
        <v>2308</v>
      </c>
      <c r="J1480" s="10" t="str">
        <f>VLOOKUP(Table1[[#This Row],[UID]],CS3SVComposerConfig!$B$3:$D$1808,3,FALSE)</f>
        <v>CVSWShed_FlowContribution3pcntWBA24_2013Init_2021.dss</v>
      </c>
      <c r="K1480" s="10" t="s">
        <v>2212</v>
      </c>
      <c r="L1480" s="10" t="s">
        <v>2212</v>
      </c>
      <c r="M1480" s="10" t="s">
        <v>2224</v>
      </c>
      <c r="N1480" s="10" t="s">
        <v>2225</v>
      </c>
      <c r="O1480" s="10" t="s">
        <v>2226</v>
      </c>
      <c r="P1480" s="39" t="s">
        <v>2227</v>
      </c>
    </row>
    <row r="1481" spans="2:16" ht="18" customHeight="1" x14ac:dyDescent="0.25">
      <c r="B1481" s="21" t="s">
        <v>0</v>
      </c>
      <c r="C1481" s="22" t="s">
        <v>145</v>
      </c>
      <c r="D1481" s="22" t="s">
        <v>72</v>
      </c>
      <c r="E1481" s="21" t="s">
        <v>2222</v>
      </c>
      <c r="F1481" s="23" t="s">
        <v>3</v>
      </c>
      <c r="G1481" s="23" t="s">
        <v>4</v>
      </c>
      <c r="H1481" s="21" t="str">
        <f t="shared" si="23"/>
        <v>GW1_N1392/BUGW-INFLOW</v>
      </c>
      <c r="I1481" s="24" t="s">
        <v>2308</v>
      </c>
      <c r="J1481" s="10" t="str">
        <f>VLOOKUP(Table1[[#This Row],[UID]],CS3SVComposerConfig!$B$3:$D$1808,3,FALSE)</f>
        <v>CVSWShed_FlowContribution3pcntWBA24_2013Init_2021.dss</v>
      </c>
      <c r="K1481" s="10" t="s">
        <v>2212</v>
      </c>
      <c r="L1481" s="10" t="s">
        <v>2212</v>
      </c>
      <c r="M1481" s="10" t="s">
        <v>2224</v>
      </c>
      <c r="N1481" s="10" t="s">
        <v>2225</v>
      </c>
      <c r="O1481" s="10" t="s">
        <v>2226</v>
      </c>
      <c r="P1481" s="39" t="s">
        <v>2227</v>
      </c>
    </row>
    <row r="1482" spans="2:16" ht="18" customHeight="1" x14ac:dyDescent="0.25">
      <c r="B1482" s="21" t="s">
        <v>0</v>
      </c>
      <c r="C1482" s="22" t="s">
        <v>146</v>
      </c>
      <c r="D1482" s="22" t="s">
        <v>72</v>
      </c>
      <c r="E1482" s="21" t="s">
        <v>2222</v>
      </c>
      <c r="F1482" s="23" t="s">
        <v>3</v>
      </c>
      <c r="G1482" s="23" t="s">
        <v>4</v>
      </c>
      <c r="H1482" s="21" t="str">
        <f t="shared" si="23"/>
        <v>GW1_N1393/BUGW-INFLOW</v>
      </c>
      <c r="I1482" s="24" t="s">
        <v>2308</v>
      </c>
      <c r="J1482" s="10" t="str">
        <f>VLOOKUP(Table1[[#This Row],[UID]],CS3SVComposerConfig!$B$3:$D$1808,3,FALSE)</f>
        <v>CVSWShed_FlowContribution3pcntWBA24_2013Init_2021.dss</v>
      </c>
      <c r="K1482" s="10" t="s">
        <v>2212</v>
      </c>
      <c r="L1482" s="10" t="s">
        <v>2212</v>
      </c>
      <c r="M1482" s="10" t="s">
        <v>2224</v>
      </c>
      <c r="N1482" s="10" t="s">
        <v>2225</v>
      </c>
      <c r="O1482" s="10" t="s">
        <v>2226</v>
      </c>
      <c r="P1482" s="39" t="s">
        <v>2227</v>
      </c>
    </row>
    <row r="1483" spans="2:16" ht="18" customHeight="1" x14ac:dyDescent="0.25">
      <c r="B1483" s="21" t="s">
        <v>0</v>
      </c>
      <c r="C1483" s="22" t="s">
        <v>147</v>
      </c>
      <c r="D1483" s="22" t="s">
        <v>72</v>
      </c>
      <c r="E1483" s="21" t="s">
        <v>2222</v>
      </c>
      <c r="F1483" s="23" t="s">
        <v>3</v>
      </c>
      <c r="G1483" s="23" t="s">
        <v>4</v>
      </c>
      <c r="H1483" s="21" t="str">
        <f t="shared" si="23"/>
        <v>GW1_N14/BUGW-INFLOW</v>
      </c>
      <c r="I1483" s="24" t="s">
        <v>2308</v>
      </c>
      <c r="J1483" s="10" t="str">
        <f>VLOOKUP(Table1[[#This Row],[UID]],CS3SVComposerConfig!$B$3:$D$1808,3,FALSE)</f>
        <v>CVSWShed_FlowContribution3pcntWBA24_2013Init_2021.dss</v>
      </c>
      <c r="K1483" s="10" t="s">
        <v>2212</v>
      </c>
      <c r="L1483" s="10" t="s">
        <v>2212</v>
      </c>
      <c r="M1483" s="10" t="s">
        <v>2224</v>
      </c>
      <c r="N1483" s="10" t="s">
        <v>2225</v>
      </c>
      <c r="O1483" s="10" t="s">
        <v>2226</v>
      </c>
      <c r="P1483" s="39" t="s">
        <v>2227</v>
      </c>
    </row>
    <row r="1484" spans="2:16" ht="18" customHeight="1" x14ac:dyDescent="0.25">
      <c r="B1484" s="21" t="s">
        <v>0</v>
      </c>
      <c r="C1484" s="22" t="s">
        <v>148</v>
      </c>
      <c r="D1484" s="22" t="s">
        <v>72</v>
      </c>
      <c r="E1484" s="21" t="s">
        <v>2222</v>
      </c>
      <c r="F1484" s="23" t="s">
        <v>3</v>
      </c>
      <c r="G1484" s="23" t="s">
        <v>4</v>
      </c>
      <c r="H1484" s="21" t="str">
        <f t="shared" si="23"/>
        <v>GW1_N148/BUGW-INFLOW</v>
      </c>
      <c r="I1484" s="24" t="s">
        <v>2308</v>
      </c>
      <c r="J1484" s="10" t="str">
        <f>VLOOKUP(Table1[[#This Row],[UID]],CS3SVComposerConfig!$B$3:$D$1808,3,FALSE)</f>
        <v>CVSWShed_FlowContribution3pcntWBA24_2013Init_2021.dss</v>
      </c>
      <c r="K1484" s="10" t="s">
        <v>2212</v>
      </c>
      <c r="L1484" s="10" t="s">
        <v>2212</v>
      </c>
      <c r="M1484" s="10" t="s">
        <v>2224</v>
      </c>
      <c r="N1484" s="10" t="s">
        <v>2225</v>
      </c>
      <c r="O1484" s="10" t="s">
        <v>2226</v>
      </c>
      <c r="P1484" s="39" t="s">
        <v>2227</v>
      </c>
    </row>
    <row r="1485" spans="2:16" ht="18" customHeight="1" x14ac:dyDescent="0.25">
      <c r="B1485" s="21" t="s">
        <v>0</v>
      </c>
      <c r="C1485" s="22" t="s">
        <v>149</v>
      </c>
      <c r="D1485" s="22" t="s">
        <v>72</v>
      </c>
      <c r="E1485" s="21" t="s">
        <v>2222</v>
      </c>
      <c r="F1485" s="23" t="s">
        <v>3</v>
      </c>
      <c r="G1485" s="23" t="s">
        <v>4</v>
      </c>
      <c r="H1485" s="21" t="str">
        <f t="shared" si="23"/>
        <v>GW1_N150/BUGW-INFLOW</v>
      </c>
      <c r="I1485" s="24" t="s">
        <v>2308</v>
      </c>
      <c r="J1485" s="10" t="str">
        <f>VLOOKUP(Table1[[#This Row],[UID]],CS3SVComposerConfig!$B$3:$D$1808,3,FALSE)</f>
        <v>CVSWShed_FlowContribution3pcntWBA24_2013Init_2021.dss</v>
      </c>
      <c r="K1485" s="10" t="s">
        <v>2212</v>
      </c>
      <c r="L1485" s="10" t="s">
        <v>2212</v>
      </c>
      <c r="M1485" s="10" t="s">
        <v>2224</v>
      </c>
      <c r="N1485" s="10" t="s">
        <v>2225</v>
      </c>
      <c r="O1485" s="10" t="s">
        <v>2226</v>
      </c>
      <c r="P1485" s="39" t="s">
        <v>2227</v>
      </c>
    </row>
    <row r="1486" spans="2:16" ht="18" customHeight="1" x14ac:dyDescent="0.25">
      <c r="B1486" s="21" t="s">
        <v>0</v>
      </c>
      <c r="C1486" s="22" t="s">
        <v>150</v>
      </c>
      <c r="D1486" s="22" t="s">
        <v>72</v>
      </c>
      <c r="E1486" s="21" t="s">
        <v>2222</v>
      </c>
      <c r="F1486" s="23" t="s">
        <v>3</v>
      </c>
      <c r="G1486" s="23" t="s">
        <v>4</v>
      </c>
      <c r="H1486" s="21" t="str">
        <f t="shared" si="23"/>
        <v>GW1_N152/BUGW-INFLOW</v>
      </c>
      <c r="I1486" s="24" t="s">
        <v>2308</v>
      </c>
      <c r="J1486" s="10" t="str">
        <f>VLOOKUP(Table1[[#This Row],[UID]],CS3SVComposerConfig!$B$3:$D$1808,3,FALSE)</f>
        <v>CVSWShed_FlowContribution3pcntWBA24_2013Init_2021.dss</v>
      </c>
      <c r="K1486" s="10" t="s">
        <v>2212</v>
      </c>
      <c r="L1486" s="10" t="s">
        <v>2212</v>
      </c>
      <c r="M1486" s="10" t="s">
        <v>2224</v>
      </c>
      <c r="N1486" s="10" t="s">
        <v>2225</v>
      </c>
      <c r="O1486" s="10" t="s">
        <v>2226</v>
      </c>
      <c r="P1486" s="39" t="s">
        <v>2227</v>
      </c>
    </row>
    <row r="1487" spans="2:16" ht="18" customHeight="1" x14ac:dyDescent="0.25">
      <c r="B1487" s="21" t="s">
        <v>0</v>
      </c>
      <c r="C1487" s="22" t="s">
        <v>151</v>
      </c>
      <c r="D1487" s="22" t="s">
        <v>72</v>
      </c>
      <c r="E1487" s="21" t="s">
        <v>2222</v>
      </c>
      <c r="F1487" s="23" t="s">
        <v>3</v>
      </c>
      <c r="G1487" s="23" t="s">
        <v>4</v>
      </c>
      <c r="H1487" s="21" t="str">
        <f t="shared" si="23"/>
        <v>GW1_N163/BUGW-INFLOW</v>
      </c>
      <c r="I1487" s="24" t="s">
        <v>2308</v>
      </c>
      <c r="J1487" s="10" t="str">
        <f>VLOOKUP(Table1[[#This Row],[UID]],CS3SVComposerConfig!$B$3:$D$1808,3,FALSE)</f>
        <v>CVSWShed_FlowContribution3pcntWBA24_2013Init_2021.dss</v>
      </c>
      <c r="K1487" s="10" t="s">
        <v>2212</v>
      </c>
      <c r="L1487" s="10" t="s">
        <v>2212</v>
      </c>
      <c r="M1487" s="10" t="s">
        <v>2224</v>
      </c>
      <c r="N1487" s="10" t="s">
        <v>2225</v>
      </c>
      <c r="O1487" s="10" t="s">
        <v>2226</v>
      </c>
      <c r="P1487" s="39" t="s">
        <v>2227</v>
      </c>
    </row>
    <row r="1488" spans="2:16" ht="18" customHeight="1" x14ac:dyDescent="0.25">
      <c r="B1488" s="21" t="s">
        <v>0</v>
      </c>
      <c r="C1488" s="22" t="s">
        <v>152</v>
      </c>
      <c r="D1488" s="22" t="s">
        <v>72</v>
      </c>
      <c r="E1488" s="21" t="s">
        <v>2222</v>
      </c>
      <c r="F1488" s="23" t="s">
        <v>3</v>
      </c>
      <c r="G1488" s="23" t="s">
        <v>4</v>
      </c>
      <c r="H1488" s="21" t="str">
        <f t="shared" si="23"/>
        <v>GW1_N164/BUGW-INFLOW</v>
      </c>
      <c r="I1488" s="24" t="s">
        <v>2308</v>
      </c>
      <c r="J1488" s="10" t="str">
        <f>VLOOKUP(Table1[[#This Row],[UID]],CS3SVComposerConfig!$B$3:$D$1808,3,FALSE)</f>
        <v>CVSWShed_FlowContribution3pcntWBA24_2013Init_2021.dss</v>
      </c>
      <c r="K1488" s="10" t="s">
        <v>2212</v>
      </c>
      <c r="L1488" s="10" t="s">
        <v>2212</v>
      </c>
      <c r="M1488" s="10" t="s">
        <v>2224</v>
      </c>
      <c r="N1488" s="10" t="s">
        <v>2225</v>
      </c>
      <c r="O1488" s="10" t="s">
        <v>2226</v>
      </c>
      <c r="P1488" s="39" t="s">
        <v>2227</v>
      </c>
    </row>
    <row r="1489" spans="2:16" ht="18" customHeight="1" x14ac:dyDescent="0.25">
      <c r="B1489" s="21" t="s">
        <v>0</v>
      </c>
      <c r="C1489" s="22" t="s">
        <v>153</v>
      </c>
      <c r="D1489" s="22" t="s">
        <v>72</v>
      </c>
      <c r="E1489" s="21" t="s">
        <v>2222</v>
      </c>
      <c r="F1489" s="23" t="s">
        <v>3</v>
      </c>
      <c r="G1489" s="23" t="s">
        <v>4</v>
      </c>
      <c r="H1489" s="21" t="str">
        <f t="shared" si="23"/>
        <v>GW1_N178/BUGW-INFLOW</v>
      </c>
      <c r="I1489" s="24" t="s">
        <v>2308</v>
      </c>
      <c r="J1489" s="10" t="str">
        <f>VLOOKUP(Table1[[#This Row],[UID]],CS3SVComposerConfig!$B$3:$D$1808,3,FALSE)</f>
        <v>CVSWShed_FlowContribution3pcntWBA24_2013Init_2021.dss</v>
      </c>
      <c r="K1489" s="10" t="s">
        <v>2212</v>
      </c>
      <c r="L1489" s="10" t="s">
        <v>2212</v>
      </c>
      <c r="M1489" s="10" t="s">
        <v>2224</v>
      </c>
      <c r="N1489" s="10" t="s">
        <v>2225</v>
      </c>
      <c r="O1489" s="10" t="s">
        <v>2226</v>
      </c>
      <c r="P1489" s="39" t="s">
        <v>2227</v>
      </c>
    </row>
    <row r="1490" spans="2:16" ht="18" customHeight="1" x14ac:dyDescent="0.25">
      <c r="B1490" s="21" t="s">
        <v>0</v>
      </c>
      <c r="C1490" s="22" t="s">
        <v>154</v>
      </c>
      <c r="D1490" s="22" t="s">
        <v>72</v>
      </c>
      <c r="E1490" s="21" t="s">
        <v>2222</v>
      </c>
      <c r="F1490" s="23" t="s">
        <v>3</v>
      </c>
      <c r="G1490" s="23" t="s">
        <v>4</v>
      </c>
      <c r="H1490" s="21" t="str">
        <f t="shared" si="23"/>
        <v>GW1_N18/BUGW-INFLOW</v>
      </c>
      <c r="I1490" s="24" t="s">
        <v>2308</v>
      </c>
      <c r="J1490" s="10" t="str">
        <f>VLOOKUP(Table1[[#This Row],[UID]],CS3SVComposerConfig!$B$3:$D$1808,3,FALSE)</f>
        <v>CVSWShed_FlowContribution3pcntWBA24_2013Init_2021.dss</v>
      </c>
      <c r="K1490" s="10" t="s">
        <v>2212</v>
      </c>
      <c r="L1490" s="10" t="s">
        <v>2212</v>
      </c>
      <c r="M1490" s="10" t="s">
        <v>2224</v>
      </c>
      <c r="N1490" s="10" t="s">
        <v>2225</v>
      </c>
      <c r="O1490" s="10" t="s">
        <v>2226</v>
      </c>
      <c r="P1490" s="39" t="s">
        <v>2227</v>
      </c>
    </row>
    <row r="1491" spans="2:16" ht="18" customHeight="1" x14ac:dyDescent="0.25">
      <c r="B1491" s="21" t="s">
        <v>0</v>
      </c>
      <c r="C1491" s="22" t="s">
        <v>155</v>
      </c>
      <c r="D1491" s="22" t="s">
        <v>72</v>
      </c>
      <c r="E1491" s="21" t="s">
        <v>2222</v>
      </c>
      <c r="F1491" s="23" t="s">
        <v>3</v>
      </c>
      <c r="G1491" s="23" t="s">
        <v>4</v>
      </c>
      <c r="H1491" s="21" t="str">
        <f t="shared" si="23"/>
        <v>GW1_N180/BUGW-INFLOW</v>
      </c>
      <c r="I1491" s="24" t="s">
        <v>2308</v>
      </c>
      <c r="J1491" s="10" t="str">
        <f>VLOOKUP(Table1[[#This Row],[UID]],CS3SVComposerConfig!$B$3:$D$1808,3,FALSE)</f>
        <v>CVSWShed_FlowContribution3pcntWBA24_2013Init_2021.dss</v>
      </c>
      <c r="K1491" s="10" t="s">
        <v>2212</v>
      </c>
      <c r="L1491" s="10" t="s">
        <v>2212</v>
      </c>
      <c r="M1491" s="10" t="s">
        <v>2224</v>
      </c>
      <c r="N1491" s="10" t="s">
        <v>2225</v>
      </c>
      <c r="O1491" s="10" t="s">
        <v>2226</v>
      </c>
      <c r="P1491" s="39" t="s">
        <v>2227</v>
      </c>
    </row>
    <row r="1492" spans="2:16" ht="18" customHeight="1" x14ac:dyDescent="0.25">
      <c r="B1492" s="21" t="s">
        <v>0</v>
      </c>
      <c r="C1492" s="22" t="s">
        <v>156</v>
      </c>
      <c r="D1492" s="22" t="s">
        <v>72</v>
      </c>
      <c r="E1492" s="21" t="s">
        <v>2222</v>
      </c>
      <c r="F1492" s="23" t="s">
        <v>3</v>
      </c>
      <c r="G1492" s="23" t="s">
        <v>4</v>
      </c>
      <c r="H1492" s="21" t="str">
        <f t="shared" si="23"/>
        <v>GW1_N19/BUGW-INFLOW</v>
      </c>
      <c r="I1492" s="24" t="s">
        <v>2308</v>
      </c>
      <c r="J1492" s="10" t="str">
        <f>VLOOKUP(Table1[[#This Row],[UID]],CS3SVComposerConfig!$B$3:$D$1808,3,FALSE)</f>
        <v>CVSWShed_FlowContribution3pcntWBA24_2013Init_2021.dss</v>
      </c>
      <c r="K1492" s="10" t="s">
        <v>2212</v>
      </c>
      <c r="L1492" s="10" t="s">
        <v>2212</v>
      </c>
      <c r="M1492" s="10" t="s">
        <v>2224</v>
      </c>
      <c r="N1492" s="10" t="s">
        <v>2225</v>
      </c>
      <c r="O1492" s="10" t="s">
        <v>2226</v>
      </c>
      <c r="P1492" s="39" t="s">
        <v>2227</v>
      </c>
    </row>
    <row r="1493" spans="2:16" ht="18" customHeight="1" x14ac:dyDescent="0.25">
      <c r="B1493" s="21" t="s">
        <v>0</v>
      </c>
      <c r="C1493" s="22" t="s">
        <v>157</v>
      </c>
      <c r="D1493" s="22" t="s">
        <v>72</v>
      </c>
      <c r="E1493" s="21" t="s">
        <v>2222</v>
      </c>
      <c r="F1493" s="23" t="s">
        <v>3</v>
      </c>
      <c r="G1493" s="23" t="s">
        <v>4</v>
      </c>
      <c r="H1493" s="21" t="str">
        <f t="shared" si="23"/>
        <v>GW1_N194/BUGW-INFLOW</v>
      </c>
      <c r="I1493" s="24" t="s">
        <v>2308</v>
      </c>
      <c r="J1493" s="10" t="str">
        <f>VLOOKUP(Table1[[#This Row],[UID]],CS3SVComposerConfig!$B$3:$D$1808,3,FALSE)</f>
        <v>CVSWShed_FlowContribution3pcntWBA24_2013Init_2021.dss</v>
      </c>
      <c r="K1493" s="10" t="s">
        <v>2212</v>
      </c>
      <c r="L1493" s="10" t="s">
        <v>2212</v>
      </c>
      <c r="M1493" s="10" t="s">
        <v>2224</v>
      </c>
      <c r="N1493" s="10" t="s">
        <v>2225</v>
      </c>
      <c r="O1493" s="10" t="s">
        <v>2226</v>
      </c>
      <c r="P1493" s="39" t="s">
        <v>2227</v>
      </c>
    </row>
    <row r="1494" spans="2:16" ht="18" customHeight="1" x14ac:dyDescent="0.25">
      <c r="B1494" s="21" t="s">
        <v>0</v>
      </c>
      <c r="C1494" s="22" t="s">
        <v>158</v>
      </c>
      <c r="D1494" s="22" t="s">
        <v>72</v>
      </c>
      <c r="E1494" s="21" t="s">
        <v>2222</v>
      </c>
      <c r="F1494" s="23" t="s">
        <v>3</v>
      </c>
      <c r="G1494" s="23" t="s">
        <v>4</v>
      </c>
      <c r="H1494" s="21" t="str">
        <f t="shared" si="23"/>
        <v>GW1_N195/BUGW-INFLOW</v>
      </c>
      <c r="I1494" s="24" t="s">
        <v>2308</v>
      </c>
      <c r="J1494" s="10" t="str">
        <f>VLOOKUP(Table1[[#This Row],[UID]],CS3SVComposerConfig!$B$3:$D$1808,3,FALSE)</f>
        <v>CVSWShed_FlowContribution3pcntWBA24_2013Init_2021.dss</v>
      </c>
      <c r="K1494" s="10" t="s">
        <v>2212</v>
      </c>
      <c r="L1494" s="10" t="s">
        <v>2212</v>
      </c>
      <c r="M1494" s="10" t="s">
        <v>2224</v>
      </c>
      <c r="N1494" s="10" t="s">
        <v>2225</v>
      </c>
      <c r="O1494" s="10" t="s">
        <v>2226</v>
      </c>
      <c r="P1494" s="39" t="s">
        <v>2227</v>
      </c>
    </row>
    <row r="1495" spans="2:16" ht="18" customHeight="1" x14ac:dyDescent="0.25">
      <c r="B1495" s="21" t="s">
        <v>0</v>
      </c>
      <c r="C1495" s="22" t="s">
        <v>159</v>
      </c>
      <c r="D1495" s="22" t="s">
        <v>72</v>
      </c>
      <c r="E1495" s="21" t="s">
        <v>2222</v>
      </c>
      <c r="F1495" s="23" t="s">
        <v>3</v>
      </c>
      <c r="G1495" s="23" t="s">
        <v>4</v>
      </c>
      <c r="H1495" s="21" t="str">
        <f t="shared" si="23"/>
        <v>GW1_N196/BUGW-INFLOW</v>
      </c>
      <c r="I1495" s="24" t="s">
        <v>2308</v>
      </c>
      <c r="J1495" s="10" t="str">
        <f>VLOOKUP(Table1[[#This Row],[UID]],CS3SVComposerConfig!$B$3:$D$1808,3,FALSE)</f>
        <v>CVSWShed_FlowContribution3pcntWBA24_2013Init_2021.dss</v>
      </c>
      <c r="K1495" s="10" t="s">
        <v>2212</v>
      </c>
      <c r="L1495" s="10" t="s">
        <v>2212</v>
      </c>
      <c r="M1495" s="10" t="s">
        <v>2224</v>
      </c>
      <c r="N1495" s="10" t="s">
        <v>2225</v>
      </c>
      <c r="O1495" s="10" t="s">
        <v>2226</v>
      </c>
      <c r="P1495" s="39" t="s">
        <v>2227</v>
      </c>
    </row>
    <row r="1496" spans="2:16" ht="18" customHeight="1" x14ac:dyDescent="0.25">
      <c r="B1496" s="21" t="s">
        <v>0</v>
      </c>
      <c r="C1496" s="22" t="s">
        <v>160</v>
      </c>
      <c r="D1496" s="22" t="s">
        <v>72</v>
      </c>
      <c r="E1496" s="21" t="s">
        <v>2222</v>
      </c>
      <c r="F1496" s="23" t="s">
        <v>3</v>
      </c>
      <c r="G1496" s="23" t="s">
        <v>4</v>
      </c>
      <c r="H1496" s="21" t="str">
        <f t="shared" si="23"/>
        <v>GW1_N197/BUGW-INFLOW</v>
      </c>
      <c r="I1496" s="24" t="s">
        <v>2308</v>
      </c>
      <c r="J1496" s="10" t="str">
        <f>VLOOKUP(Table1[[#This Row],[UID]],CS3SVComposerConfig!$B$3:$D$1808,3,FALSE)</f>
        <v>CVSWShed_FlowContribution3pcntWBA24_2013Init_2021.dss</v>
      </c>
      <c r="K1496" s="10" t="s">
        <v>2212</v>
      </c>
      <c r="L1496" s="10" t="s">
        <v>2212</v>
      </c>
      <c r="M1496" s="10" t="s">
        <v>2224</v>
      </c>
      <c r="N1496" s="10" t="s">
        <v>2225</v>
      </c>
      <c r="O1496" s="10" t="s">
        <v>2226</v>
      </c>
      <c r="P1496" s="39" t="s">
        <v>2227</v>
      </c>
    </row>
    <row r="1497" spans="2:16" ht="18" customHeight="1" x14ac:dyDescent="0.25">
      <c r="B1497" s="21" t="s">
        <v>0</v>
      </c>
      <c r="C1497" s="22" t="s">
        <v>161</v>
      </c>
      <c r="D1497" s="22" t="s">
        <v>72</v>
      </c>
      <c r="E1497" s="21" t="s">
        <v>2222</v>
      </c>
      <c r="F1497" s="23" t="s">
        <v>3</v>
      </c>
      <c r="G1497" s="23" t="s">
        <v>4</v>
      </c>
      <c r="H1497" s="21" t="str">
        <f t="shared" si="23"/>
        <v>GW1_N2/BUGW-INFLOW</v>
      </c>
      <c r="I1497" s="24" t="s">
        <v>2308</v>
      </c>
      <c r="J1497" s="10" t="str">
        <f>VLOOKUP(Table1[[#This Row],[UID]],CS3SVComposerConfig!$B$3:$D$1808,3,FALSE)</f>
        <v>CVSWShed_FlowContribution3pcntWBA24_2013Init_2021.dss</v>
      </c>
      <c r="K1497" s="10" t="s">
        <v>2212</v>
      </c>
      <c r="L1497" s="10" t="s">
        <v>2212</v>
      </c>
      <c r="M1497" s="10" t="s">
        <v>2224</v>
      </c>
      <c r="N1497" s="10" t="s">
        <v>2225</v>
      </c>
      <c r="O1497" s="10" t="s">
        <v>2226</v>
      </c>
      <c r="P1497" s="39" t="s">
        <v>2227</v>
      </c>
    </row>
    <row r="1498" spans="2:16" ht="18" customHeight="1" x14ac:dyDescent="0.25">
      <c r="B1498" s="21" t="s">
        <v>0</v>
      </c>
      <c r="C1498" s="22" t="s">
        <v>162</v>
      </c>
      <c r="D1498" s="22" t="s">
        <v>72</v>
      </c>
      <c r="E1498" s="21" t="s">
        <v>2222</v>
      </c>
      <c r="F1498" s="23" t="s">
        <v>3</v>
      </c>
      <c r="G1498" s="23" t="s">
        <v>4</v>
      </c>
      <c r="H1498" s="21" t="str">
        <f t="shared" si="23"/>
        <v>GW1_N210/BUGW-INFLOW</v>
      </c>
      <c r="I1498" s="24" t="s">
        <v>2308</v>
      </c>
      <c r="J1498" s="10" t="str">
        <f>VLOOKUP(Table1[[#This Row],[UID]],CS3SVComposerConfig!$B$3:$D$1808,3,FALSE)</f>
        <v>CVSWShed_FlowContribution3pcntWBA24_2013Init_2021.dss</v>
      </c>
      <c r="K1498" s="10" t="s">
        <v>2212</v>
      </c>
      <c r="L1498" s="10" t="s">
        <v>2212</v>
      </c>
      <c r="M1498" s="10" t="s">
        <v>2224</v>
      </c>
      <c r="N1498" s="10" t="s">
        <v>2225</v>
      </c>
      <c r="O1498" s="10" t="s">
        <v>2226</v>
      </c>
      <c r="P1498" s="39" t="s">
        <v>2227</v>
      </c>
    </row>
    <row r="1499" spans="2:16" ht="18" customHeight="1" x14ac:dyDescent="0.25">
      <c r="B1499" s="21" t="s">
        <v>0</v>
      </c>
      <c r="C1499" s="22" t="s">
        <v>163</v>
      </c>
      <c r="D1499" s="22" t="s">
        <v>72</v>
      </c>
      <c r="E1499" s="21" t="s">
        <v>2222</v>
      </c>
      <c r="F1499" s="23" t="s">
        <v>3</v>
      </c>
      <c r="G1499" s="23" t="s">
        <v>4</v>
      </c>
      <c r="H1499" s="21" t="str">
        <f t="shared" si="23"/>
        <v>GW1_N215/BUGW-INFLOW</v>
      </c>
      <c r="I1499" s="24" t="s">
        <v>2308</v>
      </c>
      <c r="J1499" s="10" t="str">
        <f>VLOOKUP(Table1[[#This Row],[UID]],CS3SVComposerConfig!$B$3:$D$1808,3,FALSE)</f>
        <v>CVSWShed_FlowContribution3pcntWBA24_2013Init_2021.dss</v>
      </c>
      <c r="K1499" s="10" t="s">
        <v>2212</v>
      </c>
      <c r="L1499" s="10" t="s">
        <v>2212</v>
      </c>
      <c r="M1499" s="10" t="s">
        <v>2224</v>
      </c>
      <c r="N1499" s="10" t="s">
        <v>2225</v>
      </c>
      <c r="O1499" s="10" t="s">
        <v>2226</v>
      </c>
      <c r="P1499" s="39" t="s">
        <v>2227</v>
      </c>
    </row>
    <row r="1500" spans="2:16" ht="18" customHeight="1" x14ac:dyDescent="0.25">
      <c r="B1500" s="21" t="s">
        <v>0</v>
      </c>
      <c r="C1500" s="22" t="s">
        <v>164</v>
      </c>
      <c r="D1500" s="22" t="s">
        <v>72</v>
      </c>
      <c r="E1500" s="21" t="s">
        <v>2222</v>
      </c>
      <c r="F1500" s="23" t="s">
        <v>3</v>
      </c>
      <c r="G1500" s="23" t="s">
        <v>4</v>
      </c>
      <c r="H1500" s="21" t="str">
        <f t="shared" si="23"/>
        <v>GW1_N226/BUGW-INFLOW</v>
      </c>
      <c r="I1500" s="24" t="s">
        <v>2308</v>
      </c>
      <c r="J1500" s="10" t="str">
        <f>VLOOKUP(Table1[[#This Row],[UID]],CS3SVComposerConfig!$B$3:$D$1808,3,FALSE)</f>
        <v>CVSWShed_FlowContribution3pcntWBA24_2013Init_2021.dss</v>
      </c>
      <c r="K1500" s="10" t="s">
        <v>2212</v>
      </c>
      <c r="L1500" s="10" t="s">
        <v>2212</v>
      </c>
      <c r="M1500" s="10" t="s">
        <v>2224</v>
      </c>
      <c r="N1500" s="10" t="s">
        <v>2225</v>
      </c>
      <c r="O1500" s="10" t="s">
        <v>2226</v>
      </c>
      <c r="P1500" s="39" t="s">
        <v>2227</v>
      </c>
    </row>
    <row r="1501" spans="2:16" ht="18" customHeight="1" x14ac:dyDescent="0.25">
      <c r="B1501" s="21" t="s">
        <v>0</v>
      </c>
      <c r="C1501" s="22" t="s">
        <v>165</v>
      </c>
      <c r="D1501" s="22" t="s">
        <v>72</v>
      </c>
      <c r="E1501" s="21" t="s">
        <v>2222</v>
      </c>
      <c r="F1501" s="23" t="s">
        <v>3</v>
      </c>
      <c r="G1501" s="23" t="s">
        <v>4</v>
      </c>
      <c r="H1501" s="21" t="str">
        <f t="shared" si="23"/>
        <v>GW1_N234/BUGW-INFLOW</v>
      </c>
      <c r="I1501" s="24" t="s">
        <v>2308</v>
      </c>
      <c r="J1501" s="10" t="str">
        <f>VLOOKUP(Table1[[#This Row],[UID]],CS3SVComposerConfig!$B$3:$D$1808,3,FALSE)</f>
        <v>CVSWShed_FlowContribution3pcntWBA24_2013Init_2021.dss</v>
      </c>
      <c r="K1501" s="10" t="s">
        <v>2212</v>
      </c>
      <c r="L1501" s="10" t="s">
        <v>2212</v>
      </c>
      <c r="M1501" s="10" t="s">
        <v>2224</v>
      </c>
      <c r="N1501" s="10" t="s">
        <v>2225</v>
      </c>
      <c r="O1501" s="10" t="s">
        <v>2226</v>
      </c>
      <c r="P1501" s="39" t="s">
        <v>2227</v>
      </c>
    </row>
    <row r="1502" spans="2:16" ht="18" customHeight="1" x14ac:dyDescent="0.25">
      <c r="B1502" s="21" t="s">
        <v>0</v>
      </c>
      <c r="C1502" s="22" t="s">
        <v>166</v>
      </c>
      <c r="D1502" s="22" t="s">
        <v>72</v>
      </c>
      <c r="E1502" s="21" t="s">
        <v>2222</v>
      </c>
      <c r="F1502" s="23" t="s">
        <v>3</v>
      </c>
      <c r="G1502" s="23" t="s">
        <v>4</v>
      </c>
      <c r="H1502" s="21" t="str">
        <f t="shared" si="23"/>
        <v>GW1_N235/BUGW-INFLOW</v>
      </c>
      <c r="I1502" s="24" t="s">
        <v>2308</v>
      </c>
      <c r="J1502" s="10" t="str">
        <f>VLOOKUP(Table1[[#This Row],[UID]],CS3SVComposerConfig!$B$3:$D$1808,3,FALSE)</f>
        <v>CVSWShed_FlowContribution3pcntWBA24_2013Init_2021.dss</v>
      </c>
      <c r="K1502" s="10" t="s">
        <v>2212</v>
      </c>
      <c r="L1502" s="10" t="s">
        <v>2212</v>
      </c>
      <c r="M1502" s="10" t="s">
        <v>2224</v>
      </c>
      <c r="N1502" s="10" t="s">
        <v>2225</v>
      </c>
      <c r="O1502" s="10" t="s">
        <v>2226</v>
      </c>
      <c r="P1502" s="39" t="s">
        <v>2227</v>
      </c>
    </row>
    <row r="1503" spans="2:16" ht="18" customHeight="1" x14ac:dyDescent="0.25">
      <c r="B1503" s="21" t="s">
        <v>0</v>
      </c>
      <c r="C1503" s="22" t="s">
        <v>167</v>
      </c>
      <c r="D1503" s="22" t="s">
        <v>72</v>
      </c>
      <c r="E1503" s="21" t="s">
        <v>2222</v>
      </c>
      <c r="F1503" s="23" t="s">
        <v>3</v>
      </c>
      <c r="G1503" s="23" t="s">
        <v>4</v>
      </c>
      <c r="H1503" s="21" t="str">
        <f t="shared" si="23"/>
        <v>GW1_N24/BUGW-INFLOW</v>
      </c>
      <c r="I1503" s="24" t="s">
        <v>2308</v>
      </c>
      <c r="J1503" s="10" t="str">
        <f>VLOOKUP(Table1[[#This Row],[UID]],CS3SVComposerConfig!$B$3:$D$1808,3,FALSE)</f>
        <v>CVSWShed_FlowContribution3pcntWBA24_2013Init_2021.dss</v>
      </c>
      <c r="K1503" s="10" t="s">
        <v>2212</v>
      </c>
      <c r="L1503" s="10" t="s">
        <v>2212</v>
      </c>
      <c r="M1503" s="10" t="s">
        <v>2224</v>
      </c>
      <c r="N1503" s="10" t="s">
        <v>2225</v>
      </c>
      <c r="O1503" s="10" t="s">
        <v>2226</v>
      </c>
      <c r="P1503" s="39" t="s">
        <v>2227</v>
      </c>
    </row>
    <row r="1504" spans="2:16" ht="18" customHeight="1" x14ac:dyDescent="0.25">
      <c r="B1504" s="21" t="s">
        <v>0</v>
      </c>
      <c r="C1504" s="22" t="s">
        <v>168</v>
      </c>
      <c r="D1504" s="22" t="s">
        <v>72</v>
      </c>
      <c r="E1504" s="21" t="s">
        <v>2222</v>
      </c>
      <c r="F1504" s="23" t="s">
        <v>3</v>
      </c>
      <c r="G1504" s="23" t="s">
        <v>4</v>
      </c>
      <c r="H1504" s="21" t="str">
        <f t="shared" si="23"/>
        <v>GW1_N243/BUGW-INFLOW</v>
      </c>
      <c r="I1504" s="24" t="s">
        <v>2308</v>
      </c>
      <c r="J1504" s="10" t="str">
        <f>VLOOKUP(Table1[[#This Row],[UID]],CS3SVComposerConfig!$B$3:$D$1808,3,FALSE)</f>
        <v>CVSWShed_FlowContribution3pcntWBA24_2013Init_2021.dss</v>
      </c>
      <c r="K1504" s="10" t="s">
        <v>2212</v>
      </c>
      <c r="L1504" s="10" t="s">
        <v>2212</v>
      </c>
      <c r="M1504" s="10" t="s">
        <v>2224</v>
      </c>
      <c r="N1504" s="10" t="s">
        <v>2225</v>
      </c>
      <c r="O1504" s="10" t="s">
        <v>2226</v>
      </c>
      <c r="P1504" s="39" t="s">
        <v>2227</v>
      </c>
    </row>
    <row r="1505" spans="2:16" ht="18" customHeight="1" x14ac:dyDescent="0.25">
      <c r="B1505" s="21" t="s">
        <v>0</v>
      </c>
      <c r="C1505" s="22" t="s">
        <v>169</v>
      </c>
      <c r="D1505" s="22" t="s">
        <v>72</v>
      </c>
      <c r="E1505" s="21" t="s">
        <v>2222</v>
      </c>
      <c r="F1505" s="23" t="s">
        <v>3</v>
      </c>
      <c r="G1505" s="23" t="s">
        <v>4</v>
      </c>
      <c r="H1505" s="21" t="str">
        <f t="shared" si="23"/>
        <v>GW1_N244/BUGW-INFLOW</v>
      </c>
      <c r="I1505" s="24" t="s">
        <v>2308</v>
      </c>
      <c r="J1505" s="10" t="str">
        <f>VLOOKUP(Table1[[#This Row],[UID]],CS3SVComposerConfig!$B$3:$D$1808,3,FALSE)</f>
        <v>CVSWShed_FlowContribution3pcntWBA24_2013Init_2021.dss</v>
      </c>
      <c r="K1505" s="10" t="s">
        <v>2212</v>
      </c>
      <c r="L1505" s="10" t="s">
        <v>2212</v>
      </c>
      <c r="M1505" s="10" t="s">
        <v>2224</v>
      </c>
      <c r="N1505" s="10" t="s">
        <v>2225</v>
      </c>
      <c r="O1505" s="10" t="s">
        <v>2226</v>
      </c>
      <c r="P1505" s="39" t="s">
        <v>2227</v>
      </c>
    </row>
    <row r="1506" spans="2:16" ht="18" customHeight="1" x14ac:dyDescent="0.25">
      <c r="B1506" s="21" t="s">
        <v>0</v>
      </c>
      <c r="C1506" s="22" t="s">
        <v>170</v>
      </c>
      <c r="D1506" s="22" t="s">
        <v>72</v>
      </c>
      <c r="E1506" s="21" t="s">
        <v>2222</v>
      </c>
      <c r="F1506" s="23" t="s">
        <v>3</v>
      </c>
      <c r="G1506" s="23" t="s">
        <v>4</v>
      </c>
      <c r="H1506" s="21" t="str">
        <f t="shared" si="23"/>
        <v>GW1_N245/BUGW-INFLOW</v>
      </c>
      <c r="I1506" s="24" t="s">
        <v>2308</v>
      </c>
      <c r="J1506" s="10" t="str">
        <f>VLOOKUP(Table1[[#This Row],[UID]],CS3SVComposerConfig!$B$3:$D$1808,3,FALSE)</f>
        <v>CVSWShed_FlowContribution3pcntWBA24_2013Init_2021.dss</v>
      </c>
      <c r="K1506" s="10" t="s">
        <v>2212</v>
      </c>
      <c r="L1506" s="10" t="s">
        <v>2212</v>
      </c>
      <c r="M1506" s="10" t="s">
        <v>2224</v>
      </c>
      <c r="N1506" s="10" t="s">
        <v>2225</v>
      </c>
      <c r="O1506" s="10" t="s">
        <v>2226</v>
      </c>
      <c r="P1506" s="39" t="s">
        <v>2227</v>
      </c>
    </row>
    <row r="1507" spans="2:16" ht="18" customHeight="1" x14ac:dyDescent="0.25">
      <c r="B1507" s="21" t="s">
        <v>0</v>
      </c>
      <c r="C1507" s="22" t="s">
        <v>171</v>
      </c>
      <c r="D1507" s="22" t="s">
        <v>72</v>
      </c>
      <c r="E1507" s="21" t="s">
        <v>2222</v>
      </c>
      <c r="F1507" s="23" t="s">
        <v>3</v>
      </c>
      <c r="G1507" s="23" t="s">
        <v>4</v>
      </c>
      <c r="H1507" s="21" t="str">
        <f t="shared" si="23"/>
        <v>GW1_N248/BUGW-INFLOW</v>
      </c>
      <c r="I1507" s="24" t="s">
        <v>2308</v>
      </c>
      <c r="J1507" s="10" t="str">
        <f>VLOOKUP(Table1[[#This Row],[UID]],CS3SVComposerConfig!$B$3:$D$1808,3,FALSE)</f>
        <v>CVSWShed_FlowContribution3pcntWBA24_2013Init_2021.dss</v>
      </c>
      <c r="K1507" s="10" t="s">
        <v>2212</v>
      </c>
      <c r="L1507" s="10" t="s">
        <v>2212</v>
      </c>
      <c r="M1507" s="10" t="s">
        <v>2224</v>
      </c>
      <c r="N1507" s="10" t="s">
        <v>2225</v>
      </c>
      <c r="O1507" s="10" t="s">
        <v>2226</v>
      </c>
      <c r="P1507" s="39" t="s">
        <v>2227</v>
      </c>
    </row>
    <row r="1508" spans="2:16" ht="18" customHeight="1" x14ac:dyDescent="0.25">
      <c r="B1508" s="21" t="s">
        <v>0</v>
      </c>
      <c r="C1508" s="22" t="s">
        <v>172</v>
      </c>
      <c r="D1508" s="22" t="s">
        <v>72</v>
      </c>
      <c r="E1508" s="21" t="s">
        <v>2222</v>
      </c>
      <c r="F1508" s="23" t="s">
        <v>3</v>
      </c>
      <c r="G1508" s="23" t="s">
        <v>4</v>
      </c>
      <c r="H1508" s="21" t="str">
        <f t="shared" si="23"/>
        <v>GW1_N249/BUGW-INFLOW</v>
      </c>
      <c r="I1508" s="24" t="s">
        <v>2308</v>
      </c>
      <c r="J1508" s="10" t="str">
        <f>VLOOKUP(Table1[[#This Row],[UID]],CS3SVComposerConfig!$B$3:$D$1808,3,FALSE)</f>
        <v>CVSWShed_FlowContribution3pcntWBA24_2013Init_2021.dss</v>
      </c>
      <c r="K1508" s="10" t="s">
        <v>2212</v>
      </c>
      <c r="L1508" s="10" t="s">
        <v>2212</v>
      </c>
      <c r="M1508" s="10" t="s">
        <v>2224</v>
      </c>
      <c r="N1508" s="10" t="s">
        <v>2225</v>
      </c>
      <c r="O1508" s="10" t="s">
        <v>2226</v>
      </c>
      <c r="P1508" s="39" t="s">
        <v>2227</v>
      </c>
    </row>
    <row r="1509" spans="2:16" ht="18" customHeight="1" x14ac:dyDescent="0.25">
      <c r="B1509" s="21" t="s">
        <v>0</v>
      </c>
      <c r="C1509" s="22" t="s">
        <v>173</v>
      </c>
      <c r="D1509" s="22" t="s">
        <v>72</v>
      </c>
      <c r="E1509" s="21" t="s">
        <v>2222</v>
      </c>
      <c r="F1509" s="23" t="s">
        <v>3</v>
      </c>
      <c r="G1509" s="23" t="s">
        <v>4</v>
      </c>
      <c r="H1509" s="21" t="str">
        <f t="shared" si="23"/>
        <v>GW1_N25/BUGW-INFLOW</v>
      </c>
      <c r="I1509" s="24" t="s">
        <v>2308</v>
      </c>
      <c r="J1509" s="10" t="str">
        <f>VLOOKUP(Table1[[#This Row],[UID]],CS3SVComposerConfig!$B$3:$D$1808,3,FALSE)</f>
        <v>CVSWShed_FlowContribution3pcntWBA24_2013Init_2021.dss</v>
      </c>
      <c r="K1509" s="10" t="s">
        <v>2212</v>
      </c>
      <c r="L1509" s="10" t="s">
        <v>2212</v>
      </c>
      <c r="M1509" s="10" t="s">
        <v>2224</v>
      </c>
      <c r="N1509" s="10" t="s">
        <v>2225</v>
      </c>
      <c r="O1509" s="10" t="s">
        <v>2226</v>
      </c>
      <c r="P1509" s="39" t="s">
        <v>2227</v>
      </c>
    </row>
    <row r="1510" spans="2:16" ht="18" customHeight="1" x14ac:dyDescent="0.25">
      <c r="B1510" s="21" t="s">
        <v>0</v>
      </c>
      <c r="C1510" s="22" t="s">
        <v>174</v>
      </c>
      <c r="D1510" s="22" t="s">
        <v>72</v>
      </c>
      <c r="E1510" s="21" t="s">
        <v>2222</v>
      </c>
      <c r="F1510" s="23" t="s">
        <v>3</v>
      </c>
      <c r="G1510" s="23" t="s">
        <v>4</v>
      </c>
      <c r="H1510" s="21" t="str">
        <f t="shared" si="23"/>
        <v>GW1_N256/BUGW-INFLOW</v>
      </c>
      <c r="I1510" s="24" t="s">
        <v>2308</v>
      </c>
      <c r="J1510" s="10" t="str">
        <f>VLOOKUP(Table1[[#This Row],[UID]],CS3SVComposerConfig!$B$3:$D$1808,3,FALSE)</f>
        <v>CVSWShed_FlowContribution3pcntWBA24_2013Init_2021.dss</v>
      </c>
      <c r="K1510" s="10" t="s">
        <v>2212</v>
      </c>
      <c r="L1510" s="10" t="s">
        <v>2212</v>
      </c>
      <c r="M1510" s="10" t="s">
        <v>2224</v>
      </c>
      <c r="N1510" s="10" t="s">
        <v>2225</v>
      </c>
      <c r="O1510" s="10" t="s">
        <v>2226</v>
      </c>
      <c r="P1510" s="39" t="s">
        <v>2227</v>
      </c>
    </row>
    <row r="1511" spans="2:16" ht="18" customHeight="1" x14ac:dyDescent="0.25">
      <c r="B1511" s="21" t="s">
        <v>0</v>
      </c>
      <c r="C1511" s="22" t="s">
        <v>175</v>
      </c>
      <c r="D1511" s="22" t="s">
        <v>72</v>
      </c>
      <c r="E1511" s="21" t="s">
        <v>2222</v>
      </c>
      <c r="F1511" s="23" t="s">
        <v>3</v>
      </c>
      <c r="G1511" s="23" t="s">
        <v>4</v>
      </c>
      <c r="H1511" s="21" t="str">
        <f t="shared" si="23"/>
        <v>GW1_N257/BUGW-INFLOW</v>
      </c>
      <c r="I1511" s="24" t="s">
        <v>2308</v>
      </c>
      <c r="J1511" s="10" t="str">
        <f>VLOOKUP(Table1[[#This Row],[UID]],CS3SVComposerConfig!$B$3:$D$1808,3,FALSE)</f>
        <v>CVSWShed_FlowContribution3pcntWBA24_2013Init_2021.dss</v>
      </c>
      <c r="K1511" s="10" t="s">
        <v>2212</v>
      </c>
      <c r="L1511" s="10" t="s">
        <v>2212</v>
      </c>
      <c r="M1511" s="10" t="s">
        <v>2224</v>
      </c>
      <c r="N1511" s="10" t="s">
        <v>2225</v>
      </c>
      <c r="O1511" s="10" t="s">
        <v>2226</v>
      </c>
      <c r="P1511" s="39" t="s">
        <v>2227</v>
      </c>
    </row>
    <row r="1512" spans="2:16" ht="18" customHeight="1" x14ac:dyDescent="0.25">
      <c r="B1512" s="21" t="s">
        <v>0</v>
      </c>
      <c r="C1512" s="22" t="s">
        <v>176</v>
      </c>
      <c r="D1512" s="22" t="s">
        <v>72</v>
      </c>
      <c r="E1512" s="21" t="s">
        <v>2222</v>
      </c>
      <c r="F1512" s="23" t="s">
        <v>3</v>
      </c>
      <c r="G1512" s="23" t="s">
        <v>4</v>
      </c>
      <c r="H1512" s="21" t="str">
        <f t="shared" si="23"/>
        <v>GW1_N263/BUGW-INFLOW</v>
      </c>
      <c r="I1512" s="24" t="s">
        <v>2308</v>
      </c>
      <c r="J1512" s="10" t="str">
        <f>VLOOKUP(Table1[[#This Row],[UID]],CS3SVComposerConfig!$B$3:$D$1808,3,FALSE)</f>
        <v>CVSWShed_FlowContribution3pcntWBA24_2013Init_2021.dss</v>
      </c>
      <c r="K1512" s="10" t="s">
        <v>2212</v>
      </c>
      <c r="L1512" s="10" t="s">
        <v>2212</v>
      </c>
      <c r="M1512" s="10" t="s">
        <v>2224</v>
      </c>
      <c r="N1512" s="10" t="s">
        <v>2225</v>
      </c>
      <c r="O1512" s="10" t="s">
        <v>2226</v>
      </c>
      <c r="P1512" s="39" t="s">
        <v>2227</v>
      </c>
    </row>
    <row r="1513" spans="2:16" ht="18" customHeight="1" x14ac:dyDescent="0.25">
      <c r="B1513" s="21" t="s">
        <v>0</v>
      </c>
      <c r="C1513" s="22" t="s">
        <v>177</v>
      </c>
      <c r="D1513" s="22" t="s">
        <v>72</v>
      </c>
      <c r="E1513" s="21" t="s">
        <v>2222</v>
      </c>
      <c r="F1513" s="23" t="s">
        <v>3</v>
      </c>
      <c r="G1513" s="23" t="s">
        <v>4</v>
      </c>
      <c r="H1513" s="21" t="str">
        <f t="shared" si="23"/>
        <v>GW1_N264/BUGW-INFLOW</v>
      </c>
      <c r="I1513" s="24" t="s">
        <v>2308</v>
      </c>
      <c r="J1513" s="10" t="str">
        <f>VLOOKUP(Table1[[#This Row],[UID]],CS3SVComposerConfig!$B$3:$D$1808,3,FALSE)</f>
        <v>CVSWShed_FlowContribution3pcntWBA24_2013Init_2021.dss</v>
      </c>
      <c r="K1513" s="10" t="s">
        <v>2212</v>
      </c>
      <c r="L1513" s="10" t="s">
        <v>2212</v>
      </c>
      <c r="M1513" s="10" t="s">
        <v>2224</v>
      </c>
      <c r="N1513" s="10" t="s">
        <v>2225</v>
      </c>
      <c r="O1513" s="10" t="s">
        <v>2226</v>
      </c>
      <c r="P1513" s="39" t="s">
        <v>2227</v>
      </c>
    </row>
    <row r="1514" spans="2:16" ht="18" customHeight="1" x14ac:dyDescent="0.25">
      <c r="B1514" s="21" t="s">
        <v>0</v>
      </c>
      <c r="C1514" s="22" t="s">
        <v>178</v>
      </c>
      <c r="D1514" s="22" t="s">
        <v>72</v>
      </c>
      <c r="E1514" s="21" t="s">
        <v>2222</v>
      </c>
      <c r="F1514" s="23" t="s">
        <v>3</v>
      </c>
      <c r="G1514" s="23" t="s">
        <v>4</v>
      </c>
      <c r="H1514" s="21" t="str">
        <f t="shared" si="23"/>
        <v>GW1_N270/BUGW-INFLOW</v>
      </c>
      <c r="I1514" s="24" t="s">
        <v>2308</v>
      </c>
      <c r="J1514" s="10" t="str">
        <f>VLOOKUP(Table1[[#This Row],[UID]],CS3SVComposerConfig!$B$3:$D$1808,3,FALSE)</f>
        <v>CVSWShed_FlowContribution3pcntWBA24_2013Init_2021.dss</v>
      </c>
      <c r="K1514" s="10" t="s">
        <v>2212</v>
      </c>
      <c r="L1514" s="10" t="s">
        <v>2212</v>
      </c>
      <c r="M1514" s="10" t="s">
        <v>2224</v>
      </c>
      <c r="N1514" s="10" t="s">
        <v>2225</v>
      </c>
      <c r="O1514" s="10" t="s">
        <v>2226</v>
      </c>
      <c r="P1514" s="39" t="s">
        <v>2227</v>
      </c>
    </row>
    <row r="1515" spans="2:16" ht="18" customHeight="1" x14ac:dyDescent="0.25">
      <c r="B1515" s="21" t="s">
        <v>0</v>
      </c>
      <c r="C1515" s="22" t="s">
        <v>179</v>
      </c>
      <c r="D1515" s="22" t="s">
        <v>72</v>
      </c>
      <c r="E1515" s="21" t="s">
        <v>2222</v>
      </c>
      <c r="F1515" s="23" t="s">
        <v>3</v>
      </c>
      <c r="G1515" s="23" t="s">
        <v>4</v>
      </c>
      <c r="H1515" s="21" t="str">
        <f t="shared" si="23"/>
        <v>GW1_N271/BUGW-INFLOW</v>
      </c>
      <c r="I1515" s="24" t="s">
        <v>2308</v>
      </c>
      <c r="J1515" s="10" t="str">
        <f>VLOOKUP(Table1[[#This Row],[UID]],CS3SVComposerConfig!$B$3:$D$1808,3,FALSE)</f>
        <v>CVSWShed_FlowContribution3pcntWBA24_2013Init_2021.dss</v>
      </c>
      <c r="K1515" s="10" t="s">
        <v>2212</v>
      </c>
      <c r="L1515" s="10" t="s">
        <v>2212</v>
      </c>
      <c r="M1515" s="10" t="s">
        <v>2224</v>
      </c>
      <c r="N1515" s="10" t="s">
        <v>2225</v>
      </c>
      <c r="O1515" s="10" t="s">
        <v>2226</v>
      </c>
      <c r="P1515" s="39" t="s">
        <v>2227</v>
      </c>
    </row>
    <row r="1516" spans="2:16" ht="18" customHeight="1" x14ac:dyDescent="0.25">
      <c r="B1516" s="21" t="s">
        <v>0</v>
      </c>
      <c r="C1516" s="22" t="s">
        <v>180</v>
      </c>
      <c r="D1516" s="22" t="s">
        <v>72</v>
      </c>
      <c r="E1516" s="21" t="s">
        <v>2222</v>
      </c>
      <c r="F1516" s="23" t="s">
        <v>3</v>
      </c>
      <c r="G1516" s="23" t="s">
        <v>4</v>
      </c>
      <c r="H1516" s="21" t="str">
        <f t="shared" si="23"/>
        <v>GW1_N272/BUGW-INFLOW</v>
      </c>
      <c r="I1516" s="24" t="s">
        <v>2308</v>
      </c>
      <c r="J1516" s="10" t="str">
        <f>VLOOKUP(Table1[[#This Row],[UID]],CS3SVComposerConfig!$B$3:$D$1808,3,FALSE)</f>
        <v>CVSWShed_FlowContribution3pcntWBA24_2013Init_2021.dss</v>
      </c>
      <c r="K1516" s="10" t="s">
        <v>2212</v>
      </c>
      <c r="L1516" s="10" t="s">
        <v>2212</v>
      </c>
      <c r="M1516" s="10" t="s">
        <v>2224</v>
      </c>
      <c r="N1516" s="10" t="s">
        <v>2225</v>
      </c>
      <c r="O1516" s="10" t="s">
        <v>2226</v>
      </c>
      <c r="P1516" s="39" t="s">
        <v>2227</v>
      </c>
    </row>
    <row r="1517" spans="2:16" ht="18" customHeight="1" x14ac:dyDescent="0.25">
      <c r="B1517" s="21" t="s">
        <v>0</v>
      </c>
      <c r="C1517" s="22" t="s">
        <v>181</v>
      </c>
      <c r="D1517" s="22" t="s">
        <v>72</v>
      </c>
      <c r="E1517" s="21" t="s">
        <v>2222</v>
      </c>
      <c r="F1517" s="23" t="s">
        <v>3</v>
      </c>
      <c r="G1517" s="23" t="s">
        <v>4</v>
      </c>
      <c r="H1517" s="21" t="str">
        <f t="shared" si="23"/>
        <v>GW1_N286/BUGW-INFLOW</v>
      </c>
      <c r="I1517" s="24" t="s">
        <v>2308</v>
      </c>
      <c r="J1517" s="10" t="str">
        <f>VLOOKUP(Table1[[#This Row],[UID]],CS3SVComposerConfig!$B$3:$D$1808,3,FALSE)</f>
        <v>CVSWShed_FlowContribution3pcntWBA24_2013Init_2021.dss</v>
      </c>
      <c r="K1517" s="10" t="s">
        <v>2212</v>
      </c>
      <c r="L1517" s="10" t="s">
        <v>2212</v>
      </c>
      <c r="M1517" s="10" t="s">
        <v>2224</v>
      </c>
      <c r="N1517" s="10" t="s">
        <v>2225</v>
      </c>
      <c r="O1517" s="10" t="s">
        <v>2226</v>
      </c>
      <c r="P1517" s="39" t="s">
        <v>2227</v>
      </c>
    </row>
    <row r="1518" spans="2:16" ht="18" customHeight="1" x14ac:dyDescent="0.25">
      <c r="B1518" s="21" t="s">
        <v>0</v>
      </c>
      <c r="C1518" s="22" t="s">
        <v>182</v>
      </c>
      <c r="D1518" s="22" t="s">
        <v>72</v>
      </c>
      <c r="E1518" s="21" t="s">
        <v>2222</v>
      </c>
      <c r="F1518" s="23" t="s">
        <v>3</v>
      </c>
      <c r="G1518" s="23" t="s">
        <v>4</v>
      </c>
      <c r="H1518" s="21" t="str">
        <f t="shared" si="23"/>
        <v>GW1_N297/BUGW-INFLOW</v>
      </c>
      <c r="I1518" s="24" t="s">
        <v>2308</v>
      </c>
      <c r="J1518" s="10" t="str">
        <f>VLOOKUP(Table1[[#This Row],[UID]],CS3SVComposerConfig!$B$3:$D$1808,3,FALSE)</f>
        <v>CVSWShed_FlowContribution3pcntWBA24_2013Init_2021.dss</v>
      </c>
      <c r="K1518" s="10" t="s">
        <v>2212</v>
      </c>
      <c r="L1518" s="10" t="s">
        <v>2212</v>
      </c>
      <c r="M1518" s="10" t="s">
        <v>2224</v>
      </c>
      <c r="N1518" s="10" t="s">
        <v>2225</v>
      </c>
      <c r="O1518" s="10" t="s">
        <v>2226</v>
      </c>
      <c r="P1518" s="39" t="s">
        <v>2227</v>
      </c>
    </row>
    <row r="1519" spans="2:16" ht="18" customHeight="1" x14ac:dyDescent="0.25">
      <c r="B1519" s="21" t="s">
        <v>0</v>
      </c>
      <c r="C1519" s="22" t="s">
        <v>183</v>
      </c>
      <c r="D1519" s="22" t="s">
        <v>72</v>
      </c>
      <c r="E1519" s="21" t="s">
        <v>2222</v>
      </c>
      <c r="F1519" s="23" t="s">
        <v>3</v>
      </c>
      <c r="G1519" s="23" t="s">
        <v>4</v>
      </c>
      <c r="H1519" s="21" t="str">
        <f t="shared" si="23"/>
        <v>GW1_N298/BUGW-INFLOW</v>
      </c>
      <c r="I1519" s="24" t="s">
        <v>2308</v>
      </c>
      <c r="J1519" s="10" t="str">
        <f>VLOOKUP(Table1[[#This Row],[UID]],CS3SVComposerConfig!$B$3:$D$1808,3,FALSE)</f>
        <v>CVSWShed_FlowContribution3pcntWBA24_2013Init_2021.dss</v>
      </c>
      <c r="K1519" s="10" t="s">
        <v>2212</v>
      </c>
      <c r="L1519" s="10" t="s">
        <v>2212</v>
      </c>
      <c r="M1519" s="10" t="s">
        <v>2224</v>
      </c>
      <c r="N1519" s="10" t="s">
        <v>2225</v>
      </c>
      <c r="O1519" s="10" t="s">
        <v>2226</v>
      </c>
      <c r="P1519" s="39" t="s">
        <v>2227</v>
      </c>
    </row>
    <row r="1520" spans="2:16" ht="18" customHeight="1" x14ac:dyDescent="0.25">
      <c r="B1520" s="21" t="s">
        <v>0</v>
      </c>
      <c r="C1520" s="22" t="s">
        <v>184</v>
      </c>
      <c r="D1520" s="22" t="s">
        <v>72</v>
      </c>
      <c r="E1520" s="21" t="s">
        <v>2222</v>
      </c>
      <c r="F1520" s="23" t="s">
        <v>3</v>
      </c>
      <c r="G1520" s="23" t="s">
        <v>4</v>
      </c>
      <c r="H1520" s="21" t="str">
        <f t="shared" si="23"/>
        <v>GW1_N299/BUGW-INFLOW</v>
      </c>
      <c r="I1520" s="24" t="s">
        <v>2308</v>
      </c>
      <c r="J1520" s="10" t="str">
        <f>VLOOKUP(Table1[[#This Row],[UID]],CS3SVComposerConfig!$B$3:$D$1808,3,FALSE)</f>
        <v>CVSWShed_FlowContribution3pcntWBA24_2013Init_2021.dss</v>
      </c>
      <c r="K1520" s="10" t="s">
        <v>2212</v>
      </c>
      <c r="L1520" s="10" t="s">
        <v>2212</v>
      </c>
      <c r="M1520" s="10" t="s">
        <v>2224</v>
      </c>
      <c r="N1520" s="10" t="s">
        <v>2225</v>
      </c>
      <c r="O1520" s="10" t="s">
        <v>2226</v>
      </c>
      <c r="P1520" s="39" t="s">
        <v>2227</v>
      </c>
    </row>
    <row r="1521" spans="2:16" ht="18" customHeight="1" x14ac:dyDescent="0.25">
      <c r="B1521" s="21" t="s">
        <v>0</v>
      </c>
      <c r="C1521" s="22" t="s">
        <v>185</v>
      </c>
      <c r="D1521" s="22" t="s">
        <v>72</v>
      </c>
      <c r="E1521" s="21" t="s">
        <v>2222</v>
      </c>
      <c r="F1521" s="23" t="s">
        <v>3</v>
      </c>
      <c r="G1521" s="23" t="s">
        <v>4</v>
      </c>
      <c r="H1521" s="21" t="str">
        <f t="shared" si="23"/>
        <v>GW1_N3/BUGW-INFLOW</v>
      </c>
      <c r="I1521" s="24" t="s">
        <v>2308</v>
      </c>
      <c r="J1521" s="10" t="str">
        <f>VLOOKUP(Table1[[#This Row],[UID]],CS3SVComposerConfig!$B$3:$D$1808,3,FALSE)</f>
        <v>CVSWShed_FlowContribution3pcntWBA24_2013Init_2021.dss</v>
      </c>
      <c r="K1521" s="10" t="s">
        <v>2212</v>
      </c>
      <c r="L1521" s="10" t="s">
        <v>2212</v>
      </c>
      <c r="M1521" s="10" t="s">
        <v>2224</v>
      </c>
      <c r="N1521" s="10" t="s">
        <v>2225</v>
      </c>
      <c r="O1521" s="10" t="s">
        <v>2226</v>
      </c>
      <c r="P1521" s="39" t="s">
        <v>2227</v>
      </c>
    </row>
    <row r="1522" spans="2:16" ht="18" customHeight="1" x14ac:dyDescent="0.25">
      <c r="B1522" s="21" t="s">
        <v>0</v>
      </c>
      <c r="C1522" s="22" t="s">
        <v>186</v>
      </c>
      <c r="D1522" s="22" t="s">
        <v>72</v>
      </c>
      <c r="E1522" s="21" t="s">
        <v>2222</v>
      </c>
      <c r="F1522" s="23" t="s">
        <v>3</v>
      </c>
      <c r="G1522" s="23" t="s">
        <v>4</v>
      </c>
      <c r="H1522" s="21" t="str">
        <f t="shared" si="23"/>
        <v>GW1_N30/BUGW-INFLOW</v>
      </c>
      <c r="I1522" s="24" t="s">
        <v>2308</v>
      </c>
      <c r="J1522" s="10" t="str">
        <f>VLOOKUP(Table1[[#This Row],[UID]],CS3SVComposerConfig!$B$3:$D$1808,3,FALSE)</f>
        <v>CVSWShed_FlowContribution3pcntWBA24_2013Init_2021.dss</v>
      </c>
      <c r="K1522" s="10" t="s">
        <v>2212</v>
      </c>
      <c r="L1522" s="10" t="s">
        <v>2212</v>
      </c>
      <c r="M1522" s="10" t="s">
        <v>2224</v>
      </c>
      <c r="N1522" s="10" t="s">
        <v>2225</v>
      </c>
      <c r="O1522" s="10" t="s">
        <v>2226</v>
      </c>
      <c r="P1522" s="39" t="s">
        <v>2227</v>
      </c>
    </row>
    <row r="1523" spans="2:16" ht="18" customHeight="1" x14ac:dyDescent="0.25">
      <c r="B1523" s="21" t="s">
        <v>0</v>
      </c>
      <c r="C1523" s="22" t="s">
        <v>187</v>
      </c>
      <c r="D1523" s="22" t="s">
        <v>72</v>
      </c>
      <c r="E1523" s="21" t="s">
        <v>2222</v>
      </c>
      <c r="F1523" s="23" t="s">
        <v>3</v>
      </c>
      <c r="G1523" s="23" t="s">
        <v>4</v>
      </c>
      <c r="H1523" s="21" t="str">
        <f t="shared" si="23"/>
        <v>GW1_N31/BUGW-INFLOW</v>
      </c>
      <c r="I1523" s="24" t="s">
        <v>2308</v>
      </c>
      <c r="J1523" s="10" t="str">
        <f>VLOOKUP(Table1[[#This Row],[UID]],CS3SVComposerConfig!$B$3:$D$1808,3,FALSE)</f>
        <v>CVSWShed_FlowContribution3pcntWBA24_2013Init_2021.dss</v>
      </c>
      <c r="K1523" s="10" t="s">
        <v>2212</v>
      </c>
      <c r="L1523" s="10" t="s">
        <v>2212</v>
      </c>
      <c r="M1523" s="10" t="s">
        <v>2224</v>
      </c>
      <c r="N1523" s="10" t="s">
        <v>2225</v>
      </c>
      <c r="O1523" s="10" t="s">
        <v>2226</v>
      </c>
      <c r="P1523" s="39" t="s">
        <v>2227</v>
      </c>
    </row>
    <row r="1524" spans="2:16" ht="18" customHeight="1" x14ac:dyDescent="0.25">
      <c r="B1524" s="21" t="s">
        <v>0</v>
      </c>
      <c r="C1524" s="22" t="s">
        <v>188</v>
      </c>
      <c r="D1524" s="22" t="s">
        <v>72</v>
      </c>
      <c r="E1524" s="21" t="s">
        <v>2222</v>
      </c>
      <c r="F1524" s="23" t="s">
        <v>3</v>
      </c>
      <c r="G1524" s="23" t="s">
        <v>4</v>
      </c>
      <c r="H1524" s="21" t="str">
        <f t="shared" si="23"/>
        <v>GW1_N310/BUGW-INFLOW</v>
      </c>
      <c r="I1524" s="24" t="s">
        <v>2308</v>
      </c>
      <c r="J1524" s="10" t="str">
        <f>VLOOKUP(Table1[[#This Row],[UID]],CS3SVComposerConfig!$B$3:$D$1808,3,FALSE)</f>
        <v>CVSWShed_FlowContribution3pcntWBA24_2013Init_2021.dss</v>
      </c>
      <c r="K1524" s="10" t="s">
        <v>2212</v>
      </c>
      <c r="L1524" s="10" t="s">
        <v>2212</v>
      </c>
      <c r="M1524" s="10" t="s">
        <v>2224</v>
      </c>
      <c r="N1524" s="10" t="s">
        <v>2225</v>
      </c>
      <c r="O1524" s="10" t="s">
        <v>2226</v>
      </c>
      <c r="P1524" s="39" t="s">
        <v>2227</v>
      </c>
    </row>
    <row r="1525" spans="2:16" ht="18" customHeight="1" x14ac:dyDescent="0.25">
      <c r="B1525" s="21" t="s">
        <v>0</v>
      </c>
      <c r="C1525" s="22" t="s">
        <v>189</v>
      </c>
      <c r="D1525" s="22" t="s">
        <v>72</v>
      </c>
      <c r="E1525" s="21" t="s">
        <v>2222</v>
      </c>
      <c r="F1525" s="23" t="s">
        <v>3</v>
      </c>
      <c r="G1525" s="23" t="s">
        <v>4</v>
      </c>
      <c r="H1525" s="21" t="str">
        <f t="shared" si="23"/>
        <v>GW1_N311/BUGW-INFLOW</v>
      </c>
      <c r="I1525" s="24" t="s">
        <v>2308</v>
      </c>
      <c r="J1525" s="10" t="str">
        <f>VLOOKUP(Table1[[#This Row],[UID]],CS3SVComposerConfig!$B$3:$D$1808,3,FALSE)</f>
        <v>CVSWShed_FlowContribution3pcntWBA24_2013Init_2021.dss</v>
      </c>
      <c r="K1525" s="10" t="s">
        <v>2212</v>
      </c>
      <c r="L1525" s="10" t="s">
        <v>2212</v>
      </c>
      <c r="M1525" s="10" t="s">
        <v>2224</v>
      </c>
      <c r="N1525" s="10" t="s">
        <v>2225</v>
      </c>
      <c r="O1525" s="10" t="s">
        <v>2226</v>
      </c>
      <c r="P1525" s="39" t="s">
        <v>2227</v>
      </c>
    </row>
    <row r="1526" spans="2:16" ht="18" customHeight="1" x14ac:dyDescent="0.25">
      <c r="B1526" s="21" t="s">
        <v>0</v>
      </c>
      <c r="C1526" s="22" t="s">
        <v>190</v>
      </c>
      <c r="D1526" s="22" t="s">
        <v>72</v>
      </c>
      <c r="E1526" s="21" t="s">
        <v>2222</v>
      </c>
      <c r="F1526" s="23" t="s">
        <v>3</v>
      </c>
      <c r="G1526" s="23" t="s">
        <v>4</v>
      </c>
      <c r="H1526" s="21" t="str">
        <f t="shared" si="23"/>
        <v>GW1_N321/BUGW-INFLOW</v>
      </c>
      <c r="I1526" s="24" t="s">
        <v>2308</v>
      </c>
      <c r="J1526" s="10" t="str">
        <f>VLOOKUP(Table1[[#This Row],[UID]],CS3SVComposerConfig!$B$3:$D$1808,3,FALSE)</f>
        <v>CVSWShed_FlowContribution3pcntWBA24_2013Init_2021.dss</v>
      </c>
      <c r="K1526" s="10" t="s">
        <v>2212</v>
      </c>
      <c r="L1526" s="10" t="s">
        <v>2212</v>
      </c>
      <c r="M1526" s="10" t="s">
        <v>2224</v>
      </c>
      <c r="N1526" s="10" t="s">
        <v>2225</v>
      </c>
      <c r="O1526" s="10" t="s">
        <v>2226</v>
      </c>
      <c r="P1526" s="39" t="s">
        <v>2227</v>
      </c>
    </row>
    <row r="1527" spans="2:16" ht="18" customHeight="1" x14ac:dyDescent="0.25">
      <c r="B1527" s="21" t="s">
        <v>0</v>
      </c>
      <c r="C1527" s="22" t="s">
        <v>191</v>
      </c>
      <c r="D1527" s="22" t="s">
        <v>72</v>
      </c>
      <c r="E1527" s="21" t="s">
        <v>2222</v>
      </c>
      <c r="F1527" s="23" t="s">
        <v>3</v>
      </c>
      <c r="G1527" s="23" t="s">
        <v>4</v>
      </c>
      <c r="H1527" s="21" t="str">
        <f t="shared" si="23"/>
        <v>GW1_N322/BUGW-INFLOW</v>
      </c>
      <c r="I1527" s="24" t="s">
        <v>2308</v>
      </c>
      <c r="J1527" s="10" t="str">
        <f>VLOOKUP(Table1[[#This Row],[UID]],CS3SVComposerConfig!$B$3:$D$1808,3,FALSE)</f>
        <v>CVSWShed_FlowContribution3pcntWBA24_2013Init_2021.dss</v>
      </c>
      <c r="K1527" s="10" t="s">
        <v>2212</v>
      </c>
      <c r="L1527" s="10" t="s">
        <v>2212</v>
      </c>
      <c r="M1527" s="10" t="s">
        <v>2224</v>
      </c>
      <c r="N1527" s="10" t="s">
        <v>2225</v>
      </c>
      <c r="O1527" s="10" t="s">
        <v>2226</v>
      </c>
      <c r="P1527" s="39" t="s">
        <v>2227</v>
      </c>
    </row>
    <row r="1528" spans="2:16" ht="18" customHeight="1" x14ac:dyDescent="0.25">
      <c r="B1528" s="21" t="s">
        <v>0</v>
      </c>
      <c r="C1528" s="22" t="s">
        <v>192</v>
      </c>
      <c r="D1528" s="22" t="s">
        <v>72</v>
      </c>
      <c r="E1528" s="21" t="s">
        <v>2222</v>
      </c>
      <c r="F1528" s="23" t="s">
        <v>3</v>
      </c>
      <c r="G1528" s="23" t="s">
        <v>4</v>
      </c>
      <c r="H1528" s="21" t="str">
        <f t="shared" si="23"/>
        <v>GW1_N346/BUGW-INFLOW</v>
      </c>
      <c r="I1528" s="24" t="s">
        <v>2308</v>
      </c>
      <c r="J1528" s="10" t="str">
        <f>VLOOKUP(Table1[[#This Row],[UID]],CS3SVComposerConfig!$B$3:$D$1808,3,FALSE)</f>
        <v>CVSWShed_FlowContribution3pcntWBA24_2013Init_2021.dss</v>
      </c>
      <c r="K1528" s="10" t="s">
        <v>2212</v>
      </c>
      <c r="L1528" s="10" t="s">
        <v>2212</v>
      </c>
      <c r="M1528" s="10" t="s">
        <v>2224</v>
      </c>
      <c r="N1528" s="10" t="s">
        <v>2225</v>
      </c>
      <c r="O1528" s="10" t="s">
        <v>2226</v>
      </c>
      <c r="P1528" s="39" t="s">
        <v>2227</v>
      </c>
    </row>
    <row r="1529" spans="2:16" ht="18" customHeight="1" x14ac:dyDescent="0.25">
      <c r="B1529" s="21" t="s">
        <v>0</v>
      </c>
      <c r="C1529" s="22" t="s">
        <v>193</v>
      </c>
      <c r="D1529" s="22" t="s">
        <v>72</v>
      </c>
      <c r="E1529" s="21" t="s">
        <v>2222</v>
      </c>
      <c r="F1529" s="23" t="s">
        <v>3</v>
      </c>
      <c r="G1529" s="23" t="s">
        <v>4</v>
      </c>
      <c r="H1529" s="21" t="str">
        <f t="shared" si="23"/>
        <v>GW1_N357/BUGW-INFLOW</v>
      </c>
      <c r="I1529" s="24" t="s">
        <v>2308</v>
      </c>
      <c r="J1529" s="10" t="str">
        <f>VLOOKUP(Table1[[#This Row],[UID]],CS3SVComposerConfig!$B$3:$D$1808,3,FALSE)</f>
        <v>CVSWShed_FlowContribution3pcntWBA24_2013Init_2021.dss</v>
      </c>
      <c r="K1529" s="10" t="s">
        <v>2212</v>
      </c>
      <c r="L1529" s="10" t="s">
        <v>2212</v>
      </c>
      <c r="M1529" s="10" t="s">
        <v>2224</v>
      </c>
      <c r="N1529" s="10" t="s">
        <v>2225</v>
      </c>
      <c r="O1529" s="10" t="s">
        <v>2226</v>
      </c>
      <c r="P1529" s="39" t="s">
        <v>2227</v>
      </c>
    </row>
    <row r="1530" spans="2:16" ht="18" customHeight="1" x14ac:dyDescent="0.25">
      <c r="B1530" s="21" t="s">
        <v>0</v>
      </c>
      <c r="C1530" s="22" t="s">
        <v>194</v>
      </c>
      <c r="D1530" s="22" t="s">
        <v>72</v>
      </c>
      <c r="E1530" s="21" t="s">
        <v>2222</v>
      </c>
      <c r="F1530" s="23" t="s">
        <v>3</v>
      </c>
      <c r="G1530" s="23" t="s">
        <v>4</v>
      </c>
      <c r="H1530" s="21" t="str">
        <f t="shared" si="23"/>
        <v>GW1_N369/BUGW-INFLOW</v>
      </c>
      <c r="I1530" s="24" t="s">
        <v>2308</v>
      </c>
      <c r="J1530" s="10" t="str">
        <f>VLOOKUP(Table1[[#This Row],[UID]],CS3SVComposerConfig!$B$3:$D$1808,3,FALSE)</f>
        <v>CVSWShed_FlowContribution3pcntWBA24_2013Init_2021.dss</v>
      </c>
      <c r="K1530" s="10" t="s">
        <v>2212</v>
      </c>
      <c r="L1530" s="10" t="s">
        <v>2212</v>
      </c>
      <c r="M1530" s="10" t="s">
        <v>2224</v>
      </c>
      <c r="N1530" s="10" t="s">
        <v>2225</v>
      </c>
      <c r="O1530" s="10" t="s">
        <v>2226</v>
      </c>
      <c r="P1530" s="39" t="s">
        <v>2227</v>
      </c>
    </row>
    <row r="1531" spans="2:16" ht="18" customHeight="1" x14ac:dyDescent="0.25">
      <c r="B1531" s="21" t="s">
        <v>0</v>
      </c>
      <c r="C1531" s="22" t="s">
        <v>195</v>
      </c>
      <c r="D1531" s="22" t="s">
        <v>72</v>
      </c>
      <c r="E1531" s="21" t="s">
        <v>2222</v>
      </c>
      <c r="F1531" s="23" t="s">
        <v>3</v>
      </c>
      <c r="G1531" s="23" t="s">
        <v>4</v>
      </c>
      <c r="H1531" s="21" t="str">
        <f t="shared" si="23"/>
        <v>GW1_N39/BUGW-INFLOW</v>
      </c>
      <c r="I1531" s="24" t="s">
        <v>2308</v>
      </c>
      <c r="J1531" s="10" t="str">
        <f>VLOOKUP(Table1[[#This Row],[UID]],CS3SVComposerConfig!$B$3:$D$1808,3,FALSE)</f>
        <v>CVSWShed_FlowContribution3pcntWBA24_2013Init_2021.dss</v>
      </c>
      <c r="K1531" s="10" t="s">
        <v>2212</v>
      </c>
      <c r="L1531" s="10" t="s">
        <v>2212</v>
      </c>
      <c r="M1531" s="10" t="s">
        <v>2224</v>
      </c>
      <c r="N1531" s="10" t="s">
        <v>2225</v>
      </c>
      <c r="O1531" s="10" t="s">
        <v>2226</v>
      </c>
      <c r="P1531" s="39" t="s">
        <v>2227</v>
      </c>
    </row>
    <row r="1532" spans="2:16" ht="18" customHeight="1" x14ac:dyDescent="0.25">
      <c r="B1532" s="21" t="s">
        <v>0</v>
      </c>
      <c r="C1532" s="22" t="s">
        <v>196</v>
      </c>
      <c r="D1532" s="22" t="s">
        <v>72</v>
      </c>
      <c r="E1532" s="21" t="s">
        <v>2222</v>
      </c>
      <c r="F1532" s="23" t="s">
        <v>3</v>
      </c>
      <c r="G1532" s="23" t="s">
        <v>4</v>
      </c>
      <c r="H1532" s="21" t="str">
        <f t="shared" si="23"/>
        <v>GW1_N390/BUGW-INFLOW</v>
      </c>
      <c r="I1532" s="24" t="s">
        <v>2308</v>
      </c>
      <c r="J1532" s="10" t="str">
        <f>VLOOKUP(Table1[[#This Row],[UID]],CS3SVComposerConfig!$B$3:$D$1808,3,FALSE)</f>
        <v>CVSWShed_FlowContribution3pcntWBA24_2013Init_2021.dss</v>
      </c>
      <c r="K1532" s="10" t="s">
        <v>2212</v>
      </c>
      <c r="L1532" s="10" t="s">
        <v>2212</v>
      </c>
      <c r="M1532" s="10" t="s">
        <v>2224</v>
      </c>
      <c r="N1532" s="10" t="s">
        <v>2225</v>
      </c>
      <c r="O1532" s="10" t="s">
        <v>2226</v>
      </c>
      <c r="P1532" s="39" t="s">
        <v>2227</v>
      </c>
    </row>
    <row r="1533" spans="2:16" ht="18" customHeight="1" x14ac:dyDescent="0.25">
      <c r="B1533" s="21" t="s">
        <v>0</v>
      </c>
      <c r="C1533" s="22" t="s">
        <v>197</v>
      </c>
      <c r="D1533" s="22" t="s">
        <v>72</v>
      </c>
      <c r="E1533" s="21" t="s">
        <v>2222</v>
      </c>
      <c r="F1533" s="23" t="s">
        <v>3</v>
      </c>
      <c r="G1533" s="23" t="s">
        <v>4</v>
      </c>
      <c r="H1533" s="21" t="str">
        <f t="shared" si="23"/>
        <v>GW1_N393/BUGW-INFLOW</v>
      </c>
      <c r="I1533" s="24" t="s">
        <v>2308</v>
      </c>
      <c r="J1533" s="10" t="str">
        <f>VLOOKUP(Table1[[#This Row],[UID]],CS3SVComposerConfig!$B$3:$D$1808,3,FALSE)</f>
        <v>CVSWShed_FlowContribution3pcntWBA24_2013Init_2021.dss</v>
      </c>
      <c r="K1533" s="10" t="s">
        <v>2212</v>
      </c>
      <c r="L1533" s="10" t="s">
        <v>2212</v>
      </c>
      <c r="M1533" s="10" t="s">
        <v>2224</v>
      </c>
      <c r="N1533" s="10" t="s">
        <v>2225</v>
      </c>
      <c r="O1533" s="10" t="s">
        <v>2226</v>
      </c>
      <c r="P1533" s="39" t="s">
        <v>2227</v>
      </c>
    </row>
    <row r="1534" spans="2:16" ht="18" customHeight="1" x14ac:dyDescent="0.25">
      <c r="B1534" s="21" t="s">
        <v>0</v>
      </c>
      <c r="C1534" s="22" t="s">
        <v>198</v>
      </c>
      <c r="D1534" s="22" t="s">
        <v>72</v>
      </c>
      <c r="E1534" s="21" t="s">
        <v>2222</v>
      </c>
      <c r="F1534" s="23" t="s">
        <v>3</v>
      </c>
      <c r="G1534" s="23" t="s">
        <v>4</v>
      </c>
      <c r="H1534" s="21" t="str">
        <f t="shared" si="23"/>
        <v>GW1_N396/BUGW-INFLOW</v>
      </c>
      <c r="I1534" s="24" t="s">
        <v>2308</v>
      </c>
      <c r="J1534" s="10" t="str">
        <f>VLOOKUP(Table1[[#This Row],[UID]],CS3SVComposerConfig!$B$3:$D$1808,3,FALSE)</f>
        <v>CVSWShed_FlowContribution3pcntWBA24_2013Init_2021.dss</v>
      </c>
      <c r="K1534" s="10" t="s">
        <v>2212</v>
      </c>
      <c r="L1534" s="10" t="s">
        <v>2212</v>
      </c>
      <c r="M1534" s="10" t="s">
        <v>2224</v>
      </c>
      <c r="N1534" s="10" t="s">
        <v>2225</v>
      </c>
      <c r="O1534" s="10" t="s">
        <v>2226</v>
      </c>
      <c r="P1534" s="39" t="s">
        <v>2227</v>
      </c>
    </row>
    <row r="1535" spans="2:16" ht="18" customHeight="1" x14ac:dyDescent="0.25">
      <c r="B1535" s="21" t="s">
        <v>0</v>
      </c>
      <c r="C1535" s="22" t="s">
        <v>199</v>
      </c>
      <c r="D1535" s="22" t="s">
        <v>72</v>
      </c>
      <c r="E1535" s="21" t="s">
        <v>2222</v>
      </c>
      <c r="F1535" s="23" t="s">
        <v>3</v>
      </c>
      <c r="G1535" s="23" t="s">
        <v>4</v>
      </c>
      <c r="H1535" s="21" t="str">
        <f t="shared" si="23"/>
        <v>GW1_N402/BUGW-INFLOW</v>
      </c>
      <c r="I1535" s="24" t="s">
        <v>2308</v>
      </c>
      <c r="J1535" s="10" t="str">
        <f>VLOOKUP(Table1[[#This Row],[UID]],CS3SVComposerConfig!$B$3:$D$1808,3,FALSE)</f>
        <v>CVSWShed_FlowContribution3pcntWBA24_2013Init_2021.dss</v>
      </c>
      <c r="K1535" s="10" t="s">
        <v>2212</v>
      </c>
      <c r="L1535" s="10" t="s">
        <v>2212</v>
      </c>
      <c r="M1535" s="10" t="s">
        <v>2224</v>
      </c>
      <c r="N1535" s="10" t="s">
        <v>2225</v>
      </c>
      <c r="O1535" s="10" t="s">
        <v>2226</v>
      </c>
      <c r="P1535" s="39" t="s">
        <v>2227</v>
      </c>
    </row>
    <row r="1536" spans="2:16" ht="18" customHeight="1" x14ac:dyDescent="0.25">
      <c r="B1536" s="21" t="s">
        <v>0</v>
      </c>
      <c r="C1536" s="22" t="s">
        <v>200</v>
      </c>
      <c r="D1536" s="22" t="s">
        <v>72</v>
      </c>
      <c r="E1536" s="21" t="s">
        <v>2222</v>
      </c>
      <c r="F1536" s="23" t="s">
        <v>3</v>
      </c>
      <c r="G1536" s="23" t="s">
        <v>4</v>
      </c>
      <c r="H1536" s="21" t="str">
        <f t="shared" si="23"/>
        <v>GW1_N409/BUGW-INFLOW</v>
      </c>
      <c r="I1536" s="24" t="s">
        <v>2308</v>
      </c>
      <c r="J1536" s="10" t="str">
        <f>VLOOKUP(Table1[[#This Row],[UID]],CS3SVComposerConfig!$B$3:$D$1808,3,FALSE)</f>
        <v>CVSWShed_FlowContribution3pcntWBA24_2013Init_2021.dss</v>
      </c>
      <c r="K1536" s="10" t="s">
        <v>2212</v>
      </c>
      <c r="L1536" s="10" t="s">
        <v>2212</v>
      </c>
      <c r="M1536" s="10" t="s">
        <v>2224</v>
      </c>
      <c r="N1536" s="10" t="s">
        <v>2225</v>
      </c>
      <c r="O1536" s="10" t="s">
        <v>2226</v>
      </c>
      <c r="P1536" s="39" t="s">
        <v>2227</v>
      </c>
    </row>
    <row r="1537" spans="2:16" ht="18" customHeight="1" x14ac:dyDescent="0.25">
      <c r="B1537" s="21" t="s">
        <v>0</v>
      </c>
      <c r="C1537" s="22" t="s">
        <v>201</v>
      </c>
      <c r="D1537" s="22" t="s">
        <v>72</v>
      </c>
      <c r="E1537" s="21" t="s">
        <v>2222</v>
      </c>
      <c r="F1537" s="23" t="s">
        <v>3</v>
      </c>
      <c r="G1537" s="23" t="s">
        <v>4</v>
      </c>
      <c r="H1537" s="21" t="str">
        <f t="shared" si="23"/>
        <v>GW1_N423/BUGW-INFLOW</v>
      </c>
      <c r="I1537" s="24" t="s">
        <v>2308</v>
      </c>
      <c r="J1537" s="10" t="str">
        <f>VLOOKUP(Table1[[#This Row],[UID]],CS3SVComposerConfig!$B$3:$D$1808,3,FALSE)</f>
        <v>CVSWShed_FlowContribution3pcntWBA24_2013Init_2021.dss</v>
      </c>
      <c r="K1537" s="10" t="s">
        <v>2212</v>
      </c>
      <c r="L1537" s="10" t="s">
        <v>2212</v>
      </c>
      <c r="M1537" s="10" t="s">
        <v>2224</v>
      </c>
      <c r="N1537" s="10" t="s">
        <v>2225</v>
      </c>
      <c r="O1537" s="10" t="s">
        <v>2226</v>
      </c>
      <c r="P1537" s="39" t="s">
        <v>2227</v>
      </c>
    </row>
    <row r="1538" spans="2:16" ht="18" customHeight="1" x14ac:dyDescent="0.25">
      <c r="B1538" s="21" t="s">
        <v>0</v>
      </c>
      <c r="C1538" s="22" t="s">
        <v>202</v>
      </c>
      <c r="D1538" s="22" t="s">
        <v>72</v>
      </c>
      <c r="E1538" s="21" t="s">
        <v>2222</v>
      </c>
      <c r="F1538" s="23" t="s">
        <v>3</v>
      </c>
      <c r="G1538" s="23" t="s">
        <v>4</v>
      </c>
      <c r="H1538" s="21" t="str">
        <f t="shared" si="23"/>
        <v>GW1_N427/BUGW-INFLOW</v>
      </c>
      <c r="I1538" s="24" t="s">
        <v>2308</v>
      </c>
      <c r="J1538" s="10" t="str">
        <f>VLOOKUP(Table1[[#This Row],[UID]],CS3SVComposerConfig!$B$3:$D$1808,3,FALSE)</f>
        <v>CVSWShed_FlowContribution3pcntWBA24_2013Init_2021.dss</v>
      </c>
      <c r="K1538" s="10" t="s">
        <v>2212</v>
      </c>
      <c r="L1538" s="10" t="s">
        <v>2212</v>
      </c>
      <c r="M1538" s="10" t="s">
        <v>2224</v>
      </c>
      <c r="N1538" s="10" t="s">
        <v>2225</v>
      </c>
      <c r="O1538" s="10" t="s">
        <v>2226</v>
      </c>
      <c r="P1538" s="39" t="s">
        <v>2227</v>
      </c>
    </row>
    <row r="1539" spans="2:16" ht="18" customHeight="1" x14ac:dyDescent="0.25">
      <c r="B1539" s="21" t="s">
        <v>0</v>
      </c>
      <c r="C1539" s="22" t="s">
        <v>203</v>
      </c>
      <c r="D1539" s="22" t="s">
        <v>72</v>
      </c>
      <c r="E1539" s="21" t="s">
        <v>2222</v>
      </c>
      <c r="F1539" s="23" t="s">
        <v>3</v>
      </c>
      <c r="G1539" s="23" t="s">
        <v>4</v>
      </c>
      <c r="H1539" s="21" t="str">
        <f t="shared" ref="H1539:H1602" si="24">_xlfn.CONCAT(C1539,"/",D1539)</f>
        <v>GW1_N444/BUGW-INFLOW</v>
      </c>
      <c r="I1539" s="24" t="s">
        <v>2308</v>
      </c>
      <c r="J1539" s="10" t="str">
        <f>VLOOKUP(Table1[[#This Row],[UID]],CS3SVComposerConfig!$B$3:$D$1808,3,FALSE)</f>
        <v>CVSWShed_FlowContribution3pcntWBA24_2013Init_2021.dss</v>
      </c>
      <c r="K1539" s="10" t="s">
        <v>2212</v>
      </c>
      <c r="L1539" s="10" t="s">
        <v>2212</v>
      </c>
      <c r="M1539" s="10" t="s">
        <v>2224</v>
      </c>
      <c r="N1539" s="10" t="s">
        <v>2225</v>
      </c>
      <c r="O1539" s="10" t="s">
        <v>2226</v>
      </c>
      <c r="P1539" s="39" t="s">
        <v>2227</v>
      </c>
    </row>
    <row r="1540" spans="2:16" ht="18" customHeight="1" x14ac:dyDescent="0.25">
      <c r="B1540" s="21" t="s">
        <v>0</v>
      </c>
      <c r="C1540" s="22" t="s">
        <v>204</v>
      </c>
      <c r="D1540" s="22" t="s">
        <v>72</v>
      </c>
      <c r="E1540" s="21" t="s">
        <v>2222</v>
      </c>
      <c r="F1540" s="23" t="s">
        <v>3</v>
      </c>
      <c r="G1540" s="23" t="s">
        <v>4</v>
      </c>
      <c r="H1540" s="21" t="str">
        <f t="shared" si="24"/>
        <v>GW1_N456/BUGW-INFLOW</v>
      </c>
      <c r="I1540" s="24" t="s">
        <v>2308</v>
      </c>
      <c r="J1540" s="10" t="str">
        <f>VLOOKUP(Table1[[#This Row],[UID]],CS3SVComposerConfig!$B$3:$D$1808,3,FALSE)</f>
        <v>CVSWShed_FlowContribution3pcntWBA24_2013Init_2021.dss</v>
      </c>
      <c r="K1540" s="10" t="s">
        <v>2212</v>
      </c>
      <c r="L1540" s="10" t="s">
        <v>2212</v>
      </c>
      <c r="M1540" s="10" t="s">
        <v>2224</v>
      </c>
      <c r="N1540" s="10" t="s">
        <v>2225</v>
      </c>
      <c r="O1540" s="10" t="s">
        <v>2226</v>
      </c>
      <c r="P1540" s="39" t="s">
        <v>2227</v>
      </c>
    </row>
    <row r="1541" spans="2:16" ht="18" customHeight="1" x14ac:dyDescent="0.25">
      <c r="B1541" s="21" t="s">
        <v>0</v>
      </c>
      <c r="C1541" s="22" t="s">
        <v>205</v>
      </c>
      <c r="D1541" s="22" t="s">
        <v>72</v>
      </c>
      <c r="E1541" s="21" t="s">
        <v>2222</v>
      </c>
      <c r="F1541" s="23" t="s">
        <v>3</v>
      </c>
      <c r="G1541" s="23" t="s">
        <v>4</v>
      </c>
      <c r="H1541" s="21" t="str">
        <f t="shared" si="24"/>
        <v>GW1_N468/BUGW-INFLOW</v>
      </c>
      <c r="I1541" s="24" t="s">
        <v>2308</v>
      </c>
      <c r="J1541" s="10" t="str">
        <f>VLOOKUP(Table1[[#This Row],[UID]],CS3SVComposerConfig!$B$3:$D$1808,3,FALSE)</f>
        <v>CVSWShed_FlowContribution3pcntWBA24_2013Init_2021.dss</v>
      </c>
      <c r="K1541" s="10" t="s">
        <v>2212</v>
      </c>
      <c r="L1541" s="10" t="s">
        <v>2212</v>
      </c>
      <c r="M1541" s="10" t="s">
        <v>2224</v>
      </c>
      <c r="N1541" s="10" t="s">
        <v>2225</v>
      </c>
      <c r="O1541" s="10" t="s">
        <v>2226</v>
      </c>
      <c r="P1541" s="39" t="s">
        <v>2227</v>
      </c>
    </row>
    <row r="1542" spans="2:16" ht="18" customHeight="1" x14ac:dyDescent="0.25">
      <c r="B1542" s="21" t="s">
        <v>0</v>
      </c>
      <c r="C1542" s="22" t="s">
        <v>206</v>
      </c>
      <c r="D1542" s="22" t="s">
        <v>72</v>
      </c>
      <c r="E1542" s="21" t="s">
        <v>2222</v>
      </c>
      <c r="F1542" s="23" t="s">
        <v>3</v>
      </c>
      <c r="G1542" s="23" t="s">
        <v>4</v>
      </c>
      <c r="H1542" s="21" t="str">
        <f t="shared" si="24"/>
        <v>GW1_N469/BUGW-INFLOW</v>
      </c>
      <c r="I1542" s="24" t="s">
        <v>2308</v>
      </c>
      <c r="J1542" s="10" t="str">
        <f>VLOOKUP(Table1[[#This Row],[UID]],CS3SVComposerConfig!$B$3:$D$1808,3,FALSE)</f>
        <v>CVSWShed_FlowContribution3pcntWBA24_2013Init_2021.dss</v>
      </c>
      <c r="K1542" s="10" t="s">
        <v>2212</v>
      </c>
      <c r="L1542" s="10" t="s">
        <v>2212</v>
      </c>
      <c r="M1542" s="10" t="s">
        <v>2224</v>
      </c>
      <c r="N1542" s="10" t="s">
        <v>2225</v>
      </c>
      <c r="O1542" s="10" t="s">
        <v>2226</v>
      </c>
      <c r="P1542" s="39" t="s">
        <v>2227</v>
      </c>
    </row>
    <row r="1543" spans="2:16" ht="18" customHeight="1" x14ac:dyDescent="0.25">
      <c r="B1543" s="21" t="s">
        <v>0</v>
      </c>
      <c r="C1543" s="22" t="s">
        <v>207</v>
      </c>
      <c r="D1543" s="22" t="s">
        <v>72</v>
      </c>
      <c r="E1543" s="21" t="s">
        <v>2222</v>
      </c>
      <c r="F1543" s="23" t="s">
        <v>3</v>
      </c>
      <c r="G1543" s="23" t="s">
        <v>4</v>
      </c>
      <c r="H1543" s="21" t="str">
        <f t="shared" si="24"/>
        <v>GW1_N48/BUGW-INFLOW</v>
      </c>
      <c r="I1543" s="24" t="s">
        <v>2308</v>
      </c>
      <c r="J1543" s="10" t="str">
        <f>VLOOKUP(Table1[[#This Row],[UID]],CS3SVComposerConfig!$B$3:$D$1808,3,FALSE)</f>
        <v>CVSWShed_FlowContribution3pcntWBA24_2013Init_2021.dss</v>
      </c>
      <c r="K1543" s="10" t="s">
        <v>2212</v>
      </c>
      <c r="L1543" s="10" t="s">
        <v>2212</v>
      </c>
      <c r="M1543" s="10" t="s">
        <v>2224</v>
      </c>
      <c r="N1543" s="10" t="s">
        <v>2225</v>
      </c>
      <c r="O1543" s="10" t="s">
        <v>2226</v>
      </c>
      <c r="P1543" s="39" t="s">
        <v>2227</v>
      </c>
    </row>
    <row r="1544" spans="2:16" ht="18" customHeight="1" x14ac:dyDescent="0.25">
      <c r="B1544" s="21" t="s">
        <v>0</v>
      </c>
      <c r="C1544" s="22" t="s">
        <v>208</v>
      </c>
      <c r="D1544" s="22" t="s">
        <v>72</v>
      </c>
      <c r="E1544" s="21" t="s">
        <v>2222</v>
      </c>
      <c r="F1544" s="23" t="s">
        <v>3</v>
      </c>
      <c r="G1544" s="23" t="s">
        <v>4</v>
      </c>
      <c r="H1544" s="21" t="str">
        <f t="shared" si="24"/>
        <v>GW1_N485/BUGW-INFLOW</v>
      </c>
      <c r="I1544" s="24" t="s">
        <v>2308</v>
      </c>
      <c r="J1544" s="10" t="str">
        <f>VLOOKUP(Table1[[#This Row],[UID]],CS3SVComposerConfig!$B$3:$D$1808,3,FALSE)</f>
        <v>CVSWShed_FlowContribution3pcntWBA24_2013Init_2021.dss</v>
      </c>
      <c r="K1544" s="10" t="s">
        <v>2212</v>
      </c>
      <c r="L1544" s="10" t="s">
        <v>2212</v>
      </c>
      <c r="M1544" s="10" t="s">
        <v>2224</v>
      </c>
      <c r="N1544" s="10" t="s">
        <v>2225</v>
      </c>
      <c r="O1544" s="10" t="s">
        <v>2226</v>
      </c>
      <c r="P1544" s="39" t="s">
        <v>2227</v>
      </c>
    </row>
    <row r="1545" spans="2:16" ht="18" customHeight="1" x14ac:dyDescent="0.25">
      <c r="B1545" s="21" t="s">
        <v>0</v>
      </c>
      <c r="C1545" s="22" t="s">
        <v>209</v>
      </c>
      <c r="D1545" s="22" t="s">
        <v>72</v>
      </c>
      <c r="E1545" s="21" t="s">
        <v>2222</v>
      </c>
      <c r="F1545" s="23" t="s">
        <v>3</v>
      </c>
      <c r="G1545" s="23" t="s">
        <v>4</v>
      </c>
      <c r="H1545" s="21" t="str">
        <f t="shared" si="24"/>
        <v>GW1_N50/BUGW-INFLOW</v>
      </c>
      <c r="I1545" s="24" t="s">
        <v>2308</v>
      </c>
      <c r="J1545" s="10" t="str">
        <f>VLOOKUP(Table1[[#This Row],[UID]],CS3SVComposerConfig!$B$3:$D$1808,3,FALSE)</f>
        <v>CVSWShed_FlowContribution3pcntWBA24_2013Init_2021.dss</v>
      </c>
      <c r="K1545" s="10" t="s">
        <v>2212</v>
      </c>
      <c r="L1545" s="10" t="s">
        <v>2212</v>
      </c>
      <c r="M1545" s="10" t="s">
        <v>2224</v>
      </c>
      <c r="N1545" s="10" t="s">
        <v>2225</v>
      </c>
      <c r="O1545" s="10" t="s">
        <v>2226</v>
      </c>
      <c r="P1545" s="39" t="s">
        <v>2227</v>
      </c>
    </row>
    <row r="1546" spans="2:16" ht="18" customHeight="1" x14ac:dyDescent="0.25">
      <c r="B1546" s="21" t="s">
        <v>0</v>
      </c>
      <c r="C1546" s="22" t="s">
        <v>210</v>
      </c>
      <c r="D1546" s="22" t="s">
        <v>72</v>
      </c>
      <c r="E1546" s="21" t="s">
        <v>2222</v>
      </c>
      <c r="F1546" s="23" t="s">
        <v>3</v>
      </c>
      <c r="G1546" s="23" t="s">
        <v>4</v>
      </c>
      <c r="H1546" s="21" t="str">
        <f t="shared" si="24"/>
        <v>GW1_N501/BUGW-INFLOW</v>
      </c>
      <c r="I1546" s="24" t="s">
        <v>2308</v>
      </c>
      <c r="J1546" s="10" t="str">
        <f>VLOOKUP(Table1[[#This Row],[UID]],CS3SVComposerConfig!$B$3:$D$1808,3,FALSE)</f>
        <v>CVSWShed_FlowContribution3pcntWBA24_2013Init_2021.dss</v>
      </c>
      <c r="K1546" s="10" t="s">
        <v>2212</v>
      </c>
      <c r="L1546" s="10" t="s">
        <v>2212</v>
      </c>
      <c r="M1546" s="10" t="s">
        <v>2224</v>
      </c>
      <c r="N1546" s="10" t="s">
        <v>2225</v>
      </c>
      <c r="O1546" s="10" t="s">
        <v>2226</v>
      </c>
      <c r="P1546" s="39" t="s">
        <v>2227</v>
      </c>
    </row>
    <row r="1547" spans="2:16" ht="18" customHeight="1" x14ac:dyDescent="0.25">
      <c r="B1547" s="21" t="s">
        <v>0</v>
      </c>
      <c r="C1547" s="22" t="s">
        <v>211</v>
      </c>
      <c r="D1547" s="22" t="s">
        <v>72</v>
      </c>
      <c r="E1547" s="21" t="s">
        <v>2222</v>
      </c>
      <c r="F1547" s="23" t="s">
        <v>3</v>
      </c>
      <c r="G1547" s="23" t="s">
        <v>4</v>
      </c>
      <c r="H1547" s="21" t="str">
        <f t="shared" si="24"/>
        <v>GW1_N507/BUGW-INFLOW</v>
      </c>
      <c r="I1547" s="24" t="s">
        <v>2308</v>
      </c>
      <c r="J1547" s="10" t="str">
        <f>VLOOKUP(Table1[[#This Row],[UID]],CS3SVComposerConfig!$B$3:$D$1808,3,FALSE)</f>
        <v>CVSWShed_FlowContribution3pcntWBA24_2013Init_2021.dss</v>
      </c>
      <c r="K1547" s="10" t="s">
        <v>2212</v>
      </c>
      <c r="L1547" s="10" t="s">
        <v>2212</v>
      </c>
      <c r="M1547" s="10" t="s">
        <v>2224</v>
      </c>
      <c r="N1547" s="10" t="s">
        <v>2225</v>
      </c>
      <c r="O1547" s="10" t="s">
        <v>2226</v>
      </c>
      <c r="P1547" s="39" t="s">
        <v>2227</v>
      </c>
    </row>
    <row r="1548" spans="2:16" ht="18" customHeight="1" x14ac:dyDescent="0.25">
      <c r="B1548" s="21" t="s">
        <v>0</v>
      </c>
      <c r="C1548" s="22" t="s">
        <v>212</v>
      </c>
      <c r="D1548" s="22" t="s">
        <v>72</v>
      </c>
      <c r="E1548" s="21" t="s">
        <v>2222</v>
      </c>
      <c r="F1548" s="23" t="s">
        <v>3</v>
      </c>
      <c r="G1548" s="23" t="s">
        <v>4</v>
      </c>
      <c r="H1548" s="21" t="str">
        <f t="shared" si="24"/>
        <v>GW1_N510/BUGW-INFLOW</v>
      </c>
      <c r="I1548" s="24" t="s">
        <v>2308</v>
      </c>
      <c r="J1548" s="10" t="str">
        <f>VLOOKUP(Table1[[#This Row],[UID]],CS3SVComposerConfig!$B$3:$D$1808,3,FALSE)</f>
        <v>CVSWShed_FlowContribution3pcntWBA24_2013Init_2021.dss</v>
      </c>
      <c r="K1548" s="10" t="s">
        <v>2212</v>
      </c>
      <c r="L1548" s="10" t="s">
        <v>2212</v>
      </c>
      <c r="M1548" s="10" t="s">
        <v>2224</v>
      </c>
      <c r="N1548" s="10" t="s">
        <v>2225</v>
      </c>
      <c r="O1548" s="10" t="s">
        <v>2226</v>
      </c>
      <c r="P1548" s="39" t="s">
        <v>2227</v>
      </c>
    </row>
    <row r="1549" spans="2:16" ht="18" customHeight="1" x14ac:dyDescent="0.25">
      <c r="B1549" s="21" t="s">
        <v>0</v>
      </c>
      <c r="C1549" s="22" t="s">
        <v>213</v>
      </c>
      <c r="D1549" s="22" t="s">
        <v>72</v>
      </c>
      <c r="E1549" s="21" t="s">
        <v>2222</v>
      </c>
      <c r="F1549" s="23" t="s">
        <v>3</v>
      </c>
      <c r="G1549" s="23" t="s">
        <v>4</v>
      </c>
      <c r="H1549" s="21" t="str">
        <f t="shared" si="24"/>
        <v>GW1_N518/BUGW-INFLOW</v>
      </c>
      <c r="I1549" s="24" t="s">
        <v>2308</v>
      </c>
      <c r="J1549" s="10" t="str">
        <f>VLOOKUP(Table1[[#This Row],[UID]],CS3SVComposerConfig!$B$3:$D$1808,3,FALSE)</f>
        <v>CVSWShed_FlowContribution3pcntWBA24_2013Init_2021.dss</v>
      </c>
      <c r="K1549" s="10" t="s">
        <v>2212</v>
      </c>
      <c r="L1549" s="10" t="s">
        <v>2212</v>
      </c>
      <c r="M1549" s="10" t="s">
        <v>2224</v>
      </c>
      <c r="N1549" s="10" t="s">
        <v>2225</v>
      </c>
      <c r="O1549" s="10" t="s">
        <v>2226</v>
      </c>
      <c r="P1549" s="39" t="s">
        <v>2227</v>
      </c>
    </row>
    <row r="1550" spans="2:16" ht="18" customHeight="1" x14ac:dyDescent="0.25">
      <c r="B1550" s="21" t="s">
        <v>0</v>
      </c>
      <c r="C1550" s="22" t="s">
        <v>214</v>
      </c>
      <c r="D1550" s="22" t="s">
        <v>72</v>
      </c>
      <c r="E1550" s="21" t="s">
        <v>2222</v>
      </c>
      <c r="F1550" s="23" t="s">
        <v>3</v>
      </c>
      <c r="G1550" s="23" t="s">
        <v>4</v>
      </c>
      <c r="H1550" s="21" t="str">
        <f t="shared" si="24"/>
        <v>GW1_N530/BUGW-INFLOW</v>
      </c>
      <c r="I1550" s="24" t="s">
        <v>2308</v>
      </c>
      <c r="J1550" s="10" t="str">
        <f>VLOOKUP(Table1[[#This Row],[UID]],CS3SVComposerConfig!$B$3:$D$1808,3,FALSE)</f>
        <v>CVSWShed_FlowContribution3pcntWBA24_2013Init_2021.dss</v>
      </c>
      <c r="K1550" s="10" t="s">
        <v>2212</v>
      </c>
      <c r="L1550" s="10" t="s">
        <v>2212</v>
      </c>
      <c r="M1550" s="10" t="s">
        <v>2224</v>
      </c>
      <c r="N1550" s="10" t="s">
        <v>2225</v>
      </c>
      <c r="O1550" s="10" t="s">
        <v>2226</v>
      </c>
      <c r="P1550" s="39" t="s">
        <v>2227</v>
      </c>
    </row>
    <row r="1551" spans="2:16" ht="18" customHeight="1" x14ac:dyDescent="0.25">
      <c r="B1551" s="21" t="s">
        <v>0</v>
      </c>
      <c r="C1551" s="22" t="s">
        <v>215</v>
      </c>
      <c r="D1551" s="22" t="s">
        <v>72</v>
      </c>
      <c r="E1551" s="21" t="s">
        <v>2222</v>
      </c>
      <c r="F1551" s="23" t="s">
        <v>3</v>
      </c>
      <c r="G1551" s="23" t="s">
        <v>4</v>
      </c>
      <c r="H1551" s="21" t="str">
        <f t="shared" si="24"/>
        <v>GW1_N535/BUGW-INFLOW</v>
      </c>
      <c r="I1551" s="24" t="s">
        <v>2308</v>
      </c>
      <c r="J1551" s="10" t="str">
        <f>VLOOKUP(Table1[[#This Row],[UID]],CS3SVComposerConfig!$B$3:$D$1808,3,FALSE)</f>
        <v>CVSWShed_FlowContribution3pcntWBA24_2013Init_2021.dss</v>
      </c>
      <c r="K1551" s="10" t="s">
        <v>2212</v>
      </c>
      <c r="L1551" s="10" t="s">
        <v>2212</v>
      </c>
      <c r="M1551" s="10" t="s">
        <v>2224</v>
      </c>
      <c r="N1551" s="10" t="s">
        <v>2225</v>
      </c>
      <c r="O1551" s="10" t="s">
        <v>2226</v>
      </c>
      <c r="P1551" s="39" t="s">
        <v>2227</v>
      </c>
    </row>
    <row r="1552" spans="2:16" ht="18" customHeight="1" x14ac:dyDescent="0.25">
      <c r="B1552" s="21" t="s">
        <v>0</v>
      </c>
      <c r="C1552" s="22" t="s">
        <v>216</v>
      </c>
      <c r="D1552" s="22" t="s">
        <v>72</v>
      </c>
      <c r="E1552" s="21" t="s">
        <v>2222</v>
      </c>
      <c r="F1552" s="23" t="s">
        <v>3</v>
      </c>
      <c r="G1552" s="23" t="s">
        <v>4</v>
      </c>
      <c r="H1552" s="21" t="str">
        <f t="shared" si="24"/>
        <v>GW1_N536/BUGW-INFLOW</v>
      </c>
      <c r="I1552" s="24" t="s">
        <v>2308</v>
      </c>
      <c r="J1552" s="10" t="str">
        <f>VLOOKUP(Table1[[#This Row],[UID]],CS3SVComposerConfig!$B$3:$D$1808,3,FALSE)</f>
        <v>CVSWShed_FlowContribution3pcntWBA24_2013Init_2021.dss</v>
      </c>
      <c r="K1552" s="10" t="s">
        <v>2212</v>
      </c>
      <c r="L1552" s="10" t="s">
        <v>2212</v>
      </c>
      <c r="M1552" s="10" t="s">
        <v>2224</v>
      </c>
      <c r="N1552" s="10" t="s">
        <v>2225</v>
      </c>
      <c r="O1552" s="10" t="s">
        <v>2226</v>
      </c>
      <c r="P1552" s="39" t="s">
        <v>2227</v>
      </c>
    </row>
    <row r="1553" spans="2:16" ht="18" customHeight="1" x14ac:dyDescent="0.25">
      <c r="B1553" s="21" t="s">
        <v>0</v>
      </c>
      <c r="C1553" s="22" t="s">
        <v>217</v>
      </c>
      <c r="D1553" s="22" t="s">
        <v>72</v>
      </c>
      <c r="E1553" s="21" t="s">
        <v>2222</v>
      </c>
      <c r="F1553" s="23" t="s">
        <v>3</v>
      </c>
      <c r="G1553" s="23" t="s">
        <v>4</v>
      </c>
      <c r="H1553" s="21" t="str">
        <f t="shared" si="24"/>
        <v>GW1_N537/BUGW-INFLOW</v>
      </c>
      <c r="I1553" s="24" t="s">
        <v>2308</v>
      </c>
      <c r="J1553" s="10" t="str">
        <f>VLOOKUP(Table1[[#This Row],[UID]],CS3SVComposerConfig!$B$3:$D$1808,3,FALSE)</f>
        <v>CVSWShed_FlowContribution3pcntWBA24_2013Init_2021.dss</v>
      </c>
      <c r="K1553" s="10" t="s">
        <v>2212</v>
      </c>
      <c r="L1553" s="10" t="s">
        <v>2212</v>
      </c>
      <c r="M1553" s="10" t="s">
        <v>2224</v>
      </c>
      <c r="N1553" s="10" t="s">
        <v>2225</v>
      </c>
      <c r="O1553" s="10" t="s">
        <v>2226</v>
      </c>
      <c r="P1553" s="39" t="s">
        <v>2227</v>
      </c>
    </row>
    <row r="1554" spans="2:16" ht="18" customHeight="1" x14ac:dyDescent="0.25">
      <c r="B1554" s="21" t="s">
        <v>0</v>
      </c>
      <c r="C1554" s="22" t="s">
        <v>218</v>
      </c>
      <c r="D1554" s="22" t="s">
        <v>72</v>
      </c>
      <c r="E1554" s="21" t="s">
        <v>2222</v>
      </c>
      <c r="F1554" s="23" t="s">
        <v>3</v>
      </c>
      <c r="G1554" s="23" t="s">
        <v>4</v>
      </c>
      <c r="H1554" s="21" t="str">
        <f t="shared" si="24"/>
        <v>GW1_N554/BUGW-INFLOW</v>
      </c>
      <c r="I1554" s="24" t="s">
        <v>2308</v>
      </c>
      <c r="J1554" s="10" t="str">
        <f>VLOOKUP(Table1[[#This Row],[UID]],CS3SVComposerConfig!$B$3:$D$1808,3,FALSE)</f>
        <v>CVSWShed_FlowContribution3pcntWBA24_2013Init_2021.dss</v>
      </c>
      <c r="K1554" s="10" t="s">
        <v>2212</v>
      </c>
      <c r="L1554" s="10" t="s">
        <v>2212</v>
      </c>
      <c r="M1554" s="10" t="s">
        <v>2224</v>
      </c>
      <c r="N1554" s="10" t="s">
        <v>2225</v>
      </c>
      <c r="O1554" s="10" t="s">
        <v>2226</v>
      </c>
      <c r="P1554" s="39" t="s">
        <v>2227</v>
      </c>
    </row>
    <row r="1555" spans="2:16" ht="18" customHeight="1" x14ac:dyDescent="0.25">
      <c r="B1555" s="21" t="s">
        <v>0</v>
      </c>
      <c r="C1555" s="22" t="s">
        <v>219</v>
      </c>
      <c r="D1555" s="22" t="s">
        <v>72</v>
      </c>
      <c r="E1555" s="21" t="s">
        <v>2222</v>
      </c>
      <c r="F1555" s="23" t="s">
        <v>3</v>
      </c>
      <c r="G1555" s="23" t="s">
        <v>4</v>
      </c>
      <c r="H1555" s="21" t="str">
        <f t="shared" si="24"/>
        <v>GW1_N57/BUGW-INFLOW</v>
      </c>
      <c r="I1555" s="24" t="s">
        <v>2308</v>
      </c>
      <c r="J1555" s="10" t="str">
        <f>VLOOKUP(Table1[[#This Row],[UID]],CS3SVComposerConfig!$B$3:$D$1808,3,FALSE)</f>
        <v>CVSWShed_FlowContribution3pcntWBA24_2013Init_2021.dss</v>
      </c>
      <c r="K1555" s="10" t="s">
        <v>2212</v>
      </c>
      <c r="L1555" s="10" t="s">
        <v>2212</v>
      </c>
      <c r="M1555" s="10" t="s">
        <v>2224</v>
      </c>
      <c r="N1555" s="10" t="s">
        <v>2225</v>
      </c>
      <c r="O1555" s="10" t="s">
        <v>2226</v>
      </c>
      <c r="P1555" s="39" t="s">
        <v>2227</v>
      </c>
    </row>
    <row r="1556" spans="2:16" ht="18" customHeight="1" x14ac:dyDescent="0.25">
      <c r="B1556" s="21" t="s">
        <v>0</v>
      </c>
      <c r="C1556" s="22" t="s">
        <v>220</v>
      </c>
      <c r="D1556" s="22" t="s">
        <v>72</v>
      </c>
      <c r="E1556" s="21" t="s">
        <v>2222</v>
      </c>
      <c r="F1556" s="23" t="s">
        <v>3</v>
      </c>
      <c r="G1556" s="23" t="s">
        <v>4</v>
      </c>
      <c r="H1556" s="21" t="str">
        <f t="shared" si="24"/>
        <v>GW1_N573/BUGW-INFLOW</v>
      </c>
      <c r="I1556" s="24" t="s">
        <v>2308</v>
      </c>
      <c r="J1556" s="10" t="str">
        <f>VLOOKUP(Table1[[#This Row],[UID]],CS3SVComposerConfig!$B$3:$D$1808,3,FALSE)</f>
        <v>CVSWShed_FlowContribution3pcntWBA24_2013Init_2021.dss</v>
      </c>
      <c r="K1556" s="10" t="s">
        <v>2212</v>
      </c>
      <c r="L1556" s="10" t="s">
        <v>2212</v>
      </c>
      <c r="M1556" s="10" t="s">
        <v>2224</v>
      </c>
      <c r="N1556" s="10" t="s">
        <v>2225</v>
      </c>
      <c r="O1556" s="10" t="s">
        <v>2226</v>
      </c>
      <c r="P1556" s="39" t="s">
        <v>2227</v>
      </c>
    </row>
    <row r="1557" spans="2:16" ht="18" customHeight="1" x14ac:dyDescent="0.25">
      <c r="B1557" s="21" t="s">
        <v>0</v>
      </c>
      <c r="C1557" s="22" t="s">
        <v>221</v>
      </c>
      <c r="D1557" s="22" t="s">
        <v>72</v>
      </c>
      <c r="E1557" s="21" t="s">
        <v>2222</v>
      </c>
      <c r="F1557" s="23" t="s">
        <v>3</v>
      </c>
      <c r="G1557" s="23" t="s">
        <v>4</v>
      </c>
      <c r="H1557" s="21" t="str">
        <f t="shared" si="24"/>
        <v>GW1_N583/BUGW-INFLOW</v>
      </c>
      <c r="I1557" s="24" t="s">
        <v>2308</v>
      </c>
      <c r="J1557" s="10" t="str">
        <f>VLOOKUP(Table1[[#This Row],[UID]],CS3SVComposerConfig!$B$3:$D$1808,3,FALSE)</f>
        <v>CVSWShed_FlowContribution3pcntWBA24_2013Init_2021.dss</v>
      </c>
      <c r="K1557" s="10" t="s">
        <v>2212</v>
      </c>
      <c r="L1557" s="10" t="s">
        <v>2212</v>
      </c>
      <c r="M1557" s="10" t="s">
        <v>2224</v>
      </c>
      <c r="N1557" s="10" t="s">
        <v>2225</v>
      </c>
      <c r="O1557" s="10" t="s">
        <v>2226</v>
      </c>
      <c r="P1557" s="39" t="s">
        <v>2227</v>
      </c>
    </row>
    <row r="1558" spans="2:16" ht="18" customHeight="1" x14ac:dyDescent="0.25">
      <c r="B1558" s="21" t="s">
        <v>0</v>
      </c>
      <c r="C1558" s="22" t="s">
        <v>222</v>
      </c>
      <c r="D1558" s="22" t="s">
        <v>72</v>
      </c>
      <c r="E1558" s="21" t="s">
        <v>2222</v>
      </c>
      <c r="F1558" s="23" t="s">
        <v>3</v>
      </c>
      <c r="G1558" s="23" t="s">
        <v>4</v>
      </c>
      <c r="H1558" s="21" t="str">
        <f t="shared" si="24"/>
        <v>GW1_N588/BUGW-INFLOW</v>
      </c>
      <c r="I1558" s="24" t="s">
        <v>2308</v>
      </c>
      <c r="J1558" s="10" t="str">
        <f>VLOOKUP(Table1[[#This Row],[UID]],CS3SVComposerConfig!$B$3:$D$1808,3,FALSE)</f>
        <v>CVSWShed_FlowContribution3pcntWBA24_2013Init_2021.dss</v>
      </c>
      <c r="K1558" s="10" t="s">
        <v>2212</v>
      </c>
      <c r="L1558" s="10" t="s">
        <v>2212</v>
      </c>
      <c r="M1558" s="10" t="s">
        <v>2224</v>
      </c>
      <c r="N1558" s="10" t="s">
        <v>2225</v>
      </c>
      <c r="O1558" s="10" t="s">
        <v>2226</v>
      </c>
      <c r="P1558" s="39" t="s">
        <v>2227</v>
      </c>
    </row>
    <row r="1559" spans="2:16" ht="18" customHeight="1" x14ac:dyDescent="0.25">
      <c r="B1559" s="21" t="s">
        <v>0</v>
      </c>
      <c r="C1559" s="22" t="s">
        <v>223</v>
      </c>
      <c r="D1559" s="22" t="s">
        <v>72</v>
      </c>
      <c r="E1559" s="21" t="s">
        <v>2222</v>
      </c>
      <c r="F1559" s="23" t="s">
        <v>3</v>
      </c>
      <c r="G1559" s="23" t="s">
        <v>4</v>
      </c>
      <c r="H1559" s="21" t="str">
        <f t="shared" si="24"/>
        <v>GW1_N589/BUGW-INFLOW</v>
      </c>
      <c r="I1559" s="24" t="s">
        <v>2308</v>
      </c>
      <c r="J1559" s="10" t="str">
        <f>VLOOKUP(Table1[[#This Row],[UID]],CS3SVComposerConfig!$B$3:$D$1808,3,FALSE)</f>
        <v>CVSWShed_FlowContribution3pcntWBA24_2013Init_2021.dss</v>
      </c>
      <c r="K1559" s="10" t="s">
        <v>2212</v>
      </c>
      <c r="L1559" s="10" t="s">
        <v>2212</v>
      </c>
      <c r="M1559" s="10" t="s">
        <v>2224</v>
      </c>
      <c r="N1559" s="10" t="s">
        <v>2225</v>
      </c>
      <c r="O1559" s="10" t="s">
        <v>2226</v>
      </c>
      <c r="P1559" s="39" t="s">
        <v>2227</v>
      </c>
    </row>
    <row r="1560" spans="2:16" ht="18" customHeight="1" x14ac:dyDescent="0.25">
      <c r="B1560" s="21" t="s">
        <v>0</v>
      </c>
      <c r="C1560" s="22" t="s">
        <v>224</v>
      </c>
      <c r="D1560" s="22" t="s">
        <v>72</v>
      </c>
      <c r="E1560" s="21" t="s">
        <v>2222</v>
      </c>
      <c r="F1560" s="23" t="s">
        <v>3</v>
      </c>
      <c r="G1560" s="23" t="s">
        <v>4</v>
      </c>
      <c r="H1560" s="21" t="str">
        <f t="shared" si="24"/>
        <v>GW1_N600/BUGW-INFLOW</v>
      </c>
      <c r="I1560" s="24" t="s">
        <v>2308</v>
      </c>
      <c r="J1560" s="10" t="str">
        <f>VLOOKUP(Table1[[#This Row],[UID]],CS3SVComposerConfig!$B$3:$D$1808,3,FALSE)</f>
        <v>CVSWShed_FlowContribution3pcntWBA24_2013Init_2021.dss</v>
      </c>
      <c r="K1560" s="10" t="s">
        <v>2212</v>
      </c>
      <c r="L1560" s="10" t="s">
        <v>2212</v>
      </c>
      <c r="M1560" s="10" t="s">
        <v>2224</v>
      </c>
      <c r="N1560" s="10" t="s">
        <v>2225</v>
      </c>
      <c r="O1560" s="10" t="s">
        <v>2226</v>
      </c>
      <c r="P1560" s="39" t="s">
        <v>2227</v>
      </c>
    </row>
    <row r="1561" spans="2:16" ht="18" customHeight="1" x14ac:dyDescent="0.25">
      <c r="B1561" s="21" t="s">
        <v>0</v>
      </c>
      <c r="C1561" s="22" t="s">
        <v>225</v>
      </c>
      <c r="D1561" s="22" t="s">
        <v>72</v>
      </c>
      <c r="E1561" s="21" t="s">
        <v>2222</v>
      </c>
      <c r="F1561" s="23" t="s">
        <v>3</v>
      </c>
      <c r="G1561" s="23" t="s">
        <v>4</v>
      </c>
      <c r="H1561" s="21" t="str">
        <f t="shared" si="24"/>
        <v>GW1_N601/BUGW-INFLOW</v>
      </c>
      <c r="I1561" s="24" t="s">
        <v>2308</v>
      </c>
      <c r="J1561" s="10" t="str">
        <f>VLOOKUP(Table1[[#This Row],[UID]],CS3SVComposerConfig!$B$3:$D$1808,3,FALSE)</f>
        <v>CVSWShed_FlowContribution3pcntWBA24_2013Init_2021.dss</v>
      </c>
      <c r="K1561" s="10" t="s">
        <v>2212</v>
      </c>
      <c r="L1561" s="10" t="s">
        <v>2212</v>
      </c>
      <c r="M1561" s="10" t="s">
        <v>2224</v>
      </c>
      <c r="N1561" s="10" t="s">
        <v>2225</v>
      </c>
      <c r="O1561" s="10" t="s">
        <v>2226</v>
      </c>
      <c r="P1561" s="39" t="s">
        <v>2227</v>
      </c>
    </row>
    <row r="1562" spans="2:16" ht="18" customHeight="1" x14ac:dyDescent="0.25">
      <c r="B1562" s="21" t="s">
        <v>0</v>
      </c>
      <c r="C1562" s="22" t="s">
        <v>226</v>
      </c>
      <c r="D1562" s="22" t="s">
        <v>72</v>
      </c>
      <c r="E1562" s="21" t="s">
        <v>2222</v>
      </c>
      <c r="F1562" s="23" t="s">
        <v>3</v>
      </c>
      <c r="G1562" s="23" t="s">
        <v>4</v>
      </c>
      <c r="H1562" s="21" t="str">
        <f t="shared" si="24"/>
        <v>GW1_N607/BUGW-INFLOW</v>
      </c>
      <c r="I1562" s="24" t="s">
        <v>2308</v>
      </c>
      <c r="J1562" s="10" t="str">
        <f>VLOOKUP(Table1[[#This Row],[UID]],CS3SVComposerConfig!$B$3:$D$1808,3,FALSE)</f>
        <v>CVSWShed_FlowContribution3pcntWBA24_2013Init_2021.dss</v>
      </c>
      <c r="K1562" s="10" t="s">
        <v>2212</v>
      </c>
      <c r="L1562" s="10" t="s">
        <v>2212</v>
      </c>
      <c r="M1562" s="10" t="s">
        <v>2224</v>
      </c>
      <c r="N1562" s="10" t="s">
        <v>2225</v>
      </c>
      <c r="O1562" s="10" t="s">
        <v>2226</v>
      </c>
      <c r="P1562" s="39" t="s">
        <v>2227</v>
      </c>
    </row>
    <row r="1563" spans="2:16" ht="18" customHeight="1" x14ac:dyDescent="0.25">
      <c r="B1563" s="21" t="s">
        <v>0</v>
      </c>
      <c r="C1563" s="22" t="s">
        <v>227</v>
      </c>
      <c r="D1563" s="22" t="s">
        <v>72</v>
      </c>
      <c r="E1563" s="21" t="s">
        <v>2222</v>
      </c>
      <c r="F1563" s="23" t="s">
        <v>3</v>
      </c>
      <c r="G1563" s="23" t="s">
        <v>4</v>
      </c>
      <c r="H1563" s="21" t="str">
        <f t="shared" si="24"/>
        <v>GW1_N609/BUGW-INFLOW</v>
      </c>
      <c r="I1563" s="24" t="s">
        <v>2308</v>
      </c>
      <c r="J1563" s="10" t="str">
        <f>VLOOKUP(Table1[[#This Row],[UID]],CS3SVComposerConfig!$B$3:$D$1808,3,FALSE)</f>
        <v>CVSWShed_FlowContribution3pcntWBA24_2013Init_2021.dss</v>
      </c>
      <c r="K1563" s="10" t="s">
        <v>2212</v>
      </c>
      <c r="L1563" s="10" t="s">
        <v>2212</v>
      </c>
      <c r="M1563" s="10" t="s">
        <v>2224</v>
      </c>
      <c r="N1563" s="10" t="s">
        <v>2225</v>
      </c>
      <c r="O1563" s="10" t="s">
        <v>2226</v>
      </c>
      <c r="P1563" s="39" t="s">
        <v>2227</v>
      </c>
    </row>
    <row r="1564" spans="2:16" ht="18" customHeight="1" x14ac:dyDescent="0.25">
      <c r="B1564" s="21" t="s">
        <v>0</v>
      </c>
      <c r="C1564" s="22" t="s">
        <v>228</v>
      </c>
      <c r="D1564" s="22" t="s">
        <v>72</v>
      </c>
      <c r="E1564" s="21" t="s">
        <v>2222</v>
      </c>
      <c r="F1564" s="23" t="s">
        <v>3</v>
      </c>
      <c r="G1564" s="23" t="s">
        <v>4</v>
      </c>
      <c r="H1564" s="21" t="str">
        <f t="shared" si="24"/>
        <v>GW1_N611/BUGW-INFLOW</v>
      </c>
      <c r="I1564" s="24" t="s">
        <v>2308</v>
      </c>
      <c r="J1564" s="10" t="str">
        <f>VLOOKUP(Table1[[#This Row],[UID]],CS3SVComposerConfig!$B$3:$D$1808,3,FALSE)</f>
        <v>CVSWShed_FlowContribution3pcntWBA24_2013Init_2021.dss</v>
      </c>
      <c r="K1564" s="10" t="s">
        <v>2212</v>
      </c>
      <c r="L1564" s="10" t="s">
        <v>2212</v>
      </c>
      <c r="M1564" s="10" t="s">
        <v>2224</v>
      </c>
      <c r="N1564" s="10" t="s">
        <v>2225</v>
      </c>
      <c r="O1564" s="10" t="s">
        <v>2226</v>
      </c>
      <c r="P1564" s="39" t="s">
        <v>2227</v>
      </c>
    </row>
    <row r="1565" spans="2:16" ht="18" customHeight="1" x14ac:dyDescent="0.25">
      <c r="B1565" s="21" t="s">
        <v>0</v>
      </c>
      <c r="C1565" s="22" t="s">
        <v>229</v>
      </c>
      <c r="D1565" s="22" t="s">
        <v>72</v>
      </c>
      <c r="E1565" s="21" t="s">
        <v>2222</v>
      </c>
      <c r="F1565" s="23" t="s">
        <v>3</v>
      </c>
      <c r="G1565" s="23" t="s">
        <v>4</v>
      </c>
      <c r="H1565" s="21" t="str">
        <f t="shared" si="24"/>
        <v>GW1_N613/BUGW-INFLOW</v>
      </c>
      <c r="I1565" s="24" t="s">
        <v>2308</v>
      </c>
      <c r="J1565" s="10" t="str">
        <f>VLOOKUP(Table1[[#This Row],[UID]],CS3SVComposerConfig!$B$3:$D$1808,3,FALSE)</f>
        <v>CVSWShed_FlowContribution3pcntWBA24_2013Init_2021.dss</v>
      </c>
      <c r="K1565" s="10" t="s">
        <v>2212</v>
      </c>
      <c r="L1565" s="10" t="s">
        <v>2212</v>
      </c>
      <c r="M1565" s="10" t="s">
        <v>2224</v>
      </c>
      <c r="N1565" s="10" t="s">
        <v>2225</v>
      </c>
      <c r="O1565" s="10" t="s">
        <v>2226</v>
      </c>
      <c r="P1565" s="39" t="s">
        <v>2227</v>
      </c>
    </row>
    <row r="1566" spans="2:16" ht="18" customHeight="1" x14ac:dyDescent="0.25">
      <c r="B1566" s="21" t="s">
        <v>0</v>
      </c>
      <c r="C1566" s="22" t="s">
        <v>230</v>
      </c>
      <c r="D1566" s="22" t="s">
        <v>72</v>
      </c>
      <c r="E1566" s="21" t="s">
        <v>2222</v>
      </c>
      <c r="F1566" s="23" t="s">
        <v>3</v>
      </c>
      <c r="G1566" s="23" t="s">
        <v>4</v>
      </c>
      <c r="H1566" s="21" t="str">
        <f t="shared" si="24"/>
        <v>GW1_N62/BUGW-INFLOW</v>
      </c>
      <c r="I1566" s="24" t="s">
        <v>2308</v>
      </c>
      <c r="J1566" s="10" t="str">
        <f>VLOOKUP(Table1[[#This Row],[UID]],CS3SVComposerConfig!$B$3:$D$1808,3,FALSE)</f>
        <v>CVSWShed_FlowContribution3pcntWBA24_2013Init_2021.dss</v>
      </c>
      <c r="K1566" s="10" t="s">
        <v>2212</v>
      </c>
      <c r="L1566" s="10" t="s">
        <v>2212</v>
      </c>
      <c r="M1566" s="10" t="s">
        <v>2224</v>
      </c>
      <c r="N1566" s="10" t="s">
        <v>2225</v>
      </c>
      <c r="O1566" s="10" t="s">
        <v>2226</v>
      </c>
      <c r="P1566" s="39" t="s">
        <v>2227</v>
      </c>
    </row>
    <row r="1567" spans="2:16" ht="18" customHeight="1" x14ac:dyDescent="0.25">
      <c r="B1567" s="21" t="s">
        <v>0</v>
      </c>
      <c r="C1567" s="22" t="s">
        <v>231</v>
      </c>
      <c r="D1567" s="22" t="s">
        <v>72</v>
      </c>
      <c r="E1567" s="21" t="s">
        <v>2222</v>
      </c>
      <c r="F1567" s="23" t="s">
        <v>3</v>
      </c>
      <c r="G1567" s="23" t="s">
        <v>4</v>
      </c>
      <c r="H1567" s="21" t="str">
        <f t="shared" si="24"/>
        <v>GW1_N630/BUGW-INFLOW</v>
      </c>
      <c r="I1567" s="24" t="s">
        <v>2308</v>
      </c>
      <c r="J1567" s="10" t="str">
        <f>VLOOKUP(Table1[[#This Row],[UID]],CS3SVComposerConfig!$B$3:$D$1808,3,FALSE)</f>
        <v>CVSWShed_FlowContribution3pcntWBA24_2013Init_2021.dss</v>
      </c>
      <c r="K1567" s="10" t="s">
        <v>2212</v>
      </c>
      <c r="L1567" s="10" t="s">
        <v>2212</v>
      </c>
      <c r="M1567" s="10" t="s">
        <v>2224</v>
      </c>
      <c r="N1567" s="10" t="s">
        <v>2225</v>
      </c>
      <c r="O1567" s="10" t="s">
        <v>2226</v>
      </c>
      <c r="P1567" s="39" t="s">
        <v>2227</v>
      </c>
    </row>
    <row r="1568" spans="2:16" ht="18" customHeight="1" x14ac:dyDescent="0.25">
      <c r="B1568" s="21" t="s">
        <v>0</v>
      </c>
      <c r="C1568" s="22" t="s">
        <v>232</v>
      </c>
      <c r="D1568" s="22" t="s">
        <v>72</v>
      </c>
      <c r="E1568" s="21" t="s">
        <v>2222</v>
      </c>
      <c r="F1568" s="23" t="s">
        <v>3</v>
      </c>
      <c r="G1568" s="23" t="s">
        <v>4</v>
      </c>
      <c r="H1568" s="21" t="str">
        <f t="shared" si="24"/>
        <v>GW1_N631/BUGW-INFLOW</v>
      </c>
      <c r="I1568" s="24" t="s">
        <v>2308</v>
      </c>
      <c r="J1568" s="10" t="str">
        <f>VLOOKUP(Table1[[#This Row],[UID]],CS3SVComposerConfig!$B$3:$D$1808,3,FALSE)</f>
        <v>CVSWShed_FlowContribution3pcntWBA24_2013Init_2021.dss</v>
      </c>
      <c r="K1568" s="10" t="s">
        <v>2212</v>
      </c>
      <c r="L1568" s="10" t="s">
        <v>2212</v>
      </c>
      <c r="M1568" s="10" t="s">
        <v>2224</v>
      </c>
      <c r="N1568" s="10" t="s">
        <v>2225</v>
      </c>
      <c r="O1568" s="10" t="s">
        <v>2226</v>
      </c>
      <c r="P1568" s="39" t="s">
        <v>2227</v>
      </c>
    </row>
    <row r="1569" spans="2:16" ht="18" customHeight="1" x14ac:dyDescent="0.25">
      <c r="B1569" s="21" t="s">
        <v>0</v>
      </c>
      <c r="C1569" s="22" t="s">
        <v>233</v>
      </c>
      <c r="D1569" s="22" t="s">
        <v>72</v>
      </c>
      <c r="E1569" s="21" t="s">
        <v>2222</v>
      </c>
      <c r="F1569" s="23" t="s">
        <v>3</v>
      </c>
      <c r="G1569" s="23" t="s">
        <v>4</v>
      </c>
      <c r="H1569" s="21" t="str">
        <f t="shared" si="24"/>
        <v>GW1_N641/BUGW-INFLOW</v>
      </c>
      <c r="I1569" s="24" t="s">
        <v>2308</v>
      </c>
      <c r="J1569" s="10" t="str">
        <f>VLOOKUP(Table1[[#This Row],[UID]],CS3SVComposerConfig!$B$3:$D$1808,3,FALSE)</f>
        <v>CVSWShed_FlowContribution3pcntWBA24_2013Init_2021.dss</v>
      </c>
      <c r="K1569" s="10" t="s">
        <v>2212</v>
      </c>
      <c r="L1569" s="10" t="s">
        <v>2212</v>
      </c>
      <c r="M1569" s="10" t="s">
        <v>2224</v>
      </c>
      <c r="N1569" s="10" t="s">
        <v>2225</v>
      </c>
      <c r="O1569" s="10" t="s">
        <v>2226</v>
      </c>
      <c r="P1569" s="39" t="s">
        <v>2227</v>
      </c>
    </row>
    <row r="1570" spans="2:16" ht="18" customHeight="1" x14ac:dyDescent="0.25">
      <c r="B1570" s="21" t="s">
        <v>0</v>
      </c>
      <c r="C1570" s="22" t="s">
        <v>234</v>
      </c>
      <c r="D1570" s="22" t="s">
        <v>72</v>
      </c>
      <c r="E1570" s="21" t="s">
        <v>2222</v>
      </c>
      <c r="F1570" s="23" t="s">
        <v>3</v>
      </c>
      <c r="G1570" s="23" t="s">
        <v>4</v>
      </c>
      <c r="H1570" s="21" t="str">
        <f t="shared" si="24"/>
        <v>GW1_N646/BUGW-INFLOW</v>
      </c>
      <c r="I1570" s="24" t="s">
        <v>2308</v>
      </c>
      <c r="J1570" s="10" t="str">
        <f>VLOOKUP(Table1[[#This Row],[UID]],CS3SVComposerConfig!$B$3:$D$1808,3,FALSE)</f>
        <v>CVSWShed_FlowContribution3pcntWBA24_2013Init_2021.dss</v>
      </c>
      <c r="K1570" s="10" t="s">
        <v>2212</v>
      </c>
      <c r="L1570" s="10" t="s">
        <v>2212</v>
      </c>
      <c r="M1570" s="10" t="s">
        <v>2224</v>
      </c>
      <c r="N1570" s="10" t="s">
        <v>2225</v>
      </c>
      <c r="O1570" s="10" t="s">
        <v>2226</v>
      </c>
      <c r="P1570" s="39" t="s">
        <v>2227</v>
      </c>
    </row>
    <row r="1571" spans="2:16" ht="18" customHeight="1" x14ac:dyDescent="0.25">
      <c r="B1571" s="21" t="s">
        <v>0</v>
      </c>
      <c r="C1571" s="22" t="s">
        <v>235</v>
      </c>
      <c r="D1571" s="22" t="s">
        <v>72</v>
      </c>
      <c r="E1571" s="21" t="s">
        <v>2222</v>
      </c>
      <c r="F1571" s="23" t="s">
        <v>3</v>
      </c>
      <c r="G1571" s="23" t="s">
        <v>4</v>
      </c>
      <c r="H1571" s="21" t="str">
        <f t="shared" si="24"/>
        <v>GW1_N647/BUGW-INFLOW</v>
      </c>
      <c r="I1571" s="24" t="s">
        <v>2308</v>
      </c>
      <c r="J1571" s="10" t="str">
        <f>VLOOKUP(Table1[[#This Row],[UID]],CS3SVComposerConfig!$B$3:$D$1808,3,FALSE)</f>
        <v>CVSWShed_FlowContribution3pcntWBA24_2013Init_2021.dss</v>
      </c>
      <c r="K1571" s="10" t="s">
        <v>2212</v>
      </c>
      <c r="L1571" s="10" t="s">
        <v>2212</v>
      </c>
      <c r="M1571" s="10" t="s">
        <v>2224</v>
      </c>
      <c r="N1571" s="10" t="s">
        <v>2225</v>
      </c>
      <c r="O1571" s="10" t="s">
        <v>2226</v>
      </c>
      <c r="P1571" s="39" t="s">
        <v>2227</v>
      </c>
    </row>
    <row r="1572" spans="2:16" ht="18" customHeight="1" x14ac:dyDescent="0.25">
      <c r="B1572" s="21" t="s">
        <v>0</v>
      </c>
      <c r="C1572" s="22" t="s">
        <v>236</v>
      </c>
      <c r="D1572" s="22" t="s">
        <v>72</v>
      </c>
      <c r="E1572" s="21" t="s">
        <v>2222</v>
      </c>
      <c r="F1572" s="23" t="s">
        <v>3</v>
      </c>
      <c r="G1572" s="23" t="s">
        <v>4</v>
      </c>
      <c r="H1572" s="21" t="str">
        <f t="shared" si="24"/>
        <v>GW1_N658/BUGW-INFLOW</v>
      </c>
      <c r="I1572" s="24" t="s">
        <v>2308</v>
      </c>
      <c r="J1572" s="10" t="str">
        <f>VLOOKUP(Table1[[#This Row],[UID]],CS3SVComposerConfig!$B$3:$D$1808,3,FALSE)</f>
        <v>CVSWShed_FlowContribution3pcntWBA24_2013Init_2021.dss</v>
      </c>
      <c r="K1572" s="10" t="s">
        <v>2212</v>
      </c>
      <c r="L1572" s="10" t="s">
        <v>2212</v>
      </c>
      <c r="M1572" s="10" t="s">
        <v>2224</v>
      </c>
      <c r="N1572" s="10" t="s">
        <v>2225</v>
      </c>
      <c r="O1572" s="10" t="s">
        <v>2226</v>
      </c>
      <c r="P1572" s="39" t="s">
        <v>2227</v>
      </c>
    </row>
    <row r="1573" spans="2:16" ht="18" customHeight="1" x14ac:dyDescent="0.25">
      <c r="B1573" s="21" t="s">
        <v>0</v>
      </c>
      <c r="C1573" s="22" t="s">
        <v>237</v>
      </c>
      <c r="D1573" s="22" t="s">
        <v>72</v>
      </c>
      <c r="E1573" s="21" t="s">
        <v>2222</v>
      </c>
      <c r="F1573" s="23" t="s">
        <v>3</v>
      </c>
      <c r="G1573" s="23" t="s">
        <v>4</v>
      </c>
      <c r="H1573" s="21" t="str">
        <f t="shared" si="24"/>
        <v>GW1_N669/BUGW-INFLOW</v>
      </c>
      <c r="I1573" s="24" t="s">
        <v>2308</v>
      </c>
      <c r="J1573" s="10" t="str">
        <f>VLOOKUP(Table1[[#This Row],[UID]],CS3SVComposerConfig!$B$3:$D$1808,3,FALSE)</f>
        <v>CVSWShed_FlowContribution3pcntWBA24_2013Init_2021.dss</v>
      </c>
      <c r="K1573" s="10" t="s">
        <v>2212</v>
      </c>
      <c r="L1573" s="10" t="s">
        <v>2212</v>
      </c>
      <c r="M1573" s="10" t="s">
        <v>2224</v>
      </c>
      <c r="N1573" s="10" t="s">
        <v>2225</v>
      </c>
      <c r="O1573" s="10" t="s">
        <v>2226</v>
      </c>
      <c r="P1573" s="39" t="s">
        <v>2227</v>
      </c>
    </row>
    <row r="1574" spans="2:16" ht="18" customHeight="1" x14ac:dyDescent="0.25">
      <c r="B1574" s="21" t="s">
        <v>0</v>
      </c>
      <c r="C1574" s="22" t="s">
        <v>238</v>
      </c>
      <c r="D1574" s="22" t="s">
        <v>72</v>
      </c>
      <c r="E1574" s="21" t="s">
        <v>2222</v>
      </c>
      <c r="F1574" s="23" t="s">
        <v>3</v>
      </c>
      <c r="G1574" s="23" t="s">
        <v>4</v>
      </c>
      <c r="H1574" s="21" t="str">
        <f t="shared" si="24"/>
        <v>GW1_N679/BUGW-INFLOW</v>
      </c>
      <c r="I1574" s="24" t="s">
        <v>2308</v>
      </c>
      <c r="J1574" s="10" t="str">
        <f>VLOOKUP(Table1[[#This Row],[UID]],CS3SVComposerConfig!$B$3:$D$1808,3,FALSE)</f>
        <v>CVSWShed_FlowContribution3pcntWBA24_2013Init_2021.dss</v>
      </c>
      <c r="K1574" s="10" t="s">
        <v>2212</v>
      </c>
      <c r="L1574" s="10" t="s">
        <v>2212</v>
      </c>
      <c r="M1574" s="10" t="s">
        <v>2224</v>
      </c>
      <c r="N1574" s="10" t="s">
        <v>2225</v>
      </c>
      <c r="O1574" s="10" t="s">
        <v>2226</v>
      </c>
      <c r="P1574" s="39" t="s">
        <v>2227</v>
      </c>
    </row>
    <row r="1575" spans="2:16" ht="18" customHeight="1" x14ac:dyDescent="0.25">
      <c r="B1575" s="21" t="s">
        <v>0</v>
      </c>
      <c r="C1575" s="22" t="s">
        <v>239</v>
      </c>
      <c r="D1575" s="22" t="s">
        <v>72</v>
      </c>
      <c r="E1575" s="21" t="s">
        <v>2222</v>
      </c>
      <c r="F1575" s="23" t="s">
        <v>3</v>
      </c>
      <c r="G1575" s="23" t="s">
        <v>4</v>
      </c>
      <c r="H1575" s="21" t="str">
        <f t="shared" si="24"/>
        <v>GW1_N680/BUGW-INFLOW</v>
      </c>
      <c r="I1575" s="24" t="s">
        <v>2308</v>
      </c>
      <c r="J1575" s="10" t="str">
        <f>VLOOKUP(Table1[[#This Row],[UID]],CS3SVComposerConfig!$B$3:$D$1808,3,FALSE)</f>
        <v>CVSWShed_FlowContribution3pcntWBA24_2013Init_2021.dss</v>
      </c>
      <c r="K1575" s="10" t="s">
        <v>2212</v>
      </c>
      <c r="L1575" s="10" t="s">
        <v>2212</v>
      </c>
      <c r="M1575" s="10" t="s">
        <v>2224</v>
      </c>
      <c r="N1575" s="10" t="s">
        <v>2225</v>
      </c>
      <c r="O1575" s="10" t="s">
        <v>2226</v>
      </c>
      <c r="P1575" s="39" t="s">
        <v>2227</v>
      </c>
    </row>
    <row r="1576" spans="2:16" ht="18" customHeight="1" x14ac:dyDescent="0.25">
      <c r="B1576" s="21" t="s">
        <v>0</v>
      </c>
      <c r="C1576" s="22" t="s">
        <v>240</v>
      </c>
      <c r="D1576" s="22" t="s">
        <v>72</v>
      </c>
      <c r="E1576" s="21" t="s">
        <v>2222</v>
      </c>
      <c r="F1576" s="23" t="s">
        <v>3</v>
      </c>
      <c r="G1576" s="23" t="s">
        <v>4</v>
      </c>
      <c r="H1576" s="21" t="str">
        <f t="shared" si="24"/>
        <v>GW1_N691/BUGW-INFLOW</v>
      </c>
      <c r="I1576" s="24" t="s">
        <v>2308</v>
      </c>
      <c r="J1576" s="10" t="str">
        <f>VLOOKUP(Table1[[#This Row],[UID]],CS3SVComposerConfig!$B$3:$D$1808,3,FALSE)</f>
        <v>CVSWShed_FlowContribution3pcntWBA24_2013Init_2021.dss</v>
      </c>
      <c r="K1576" s="10" t="s">
        <v>2212</v>
      </c>
      <c r="L1576" s="10" t="s">
        <v>2212</v>
      </c>
      <c r="M1576" s="10" t="s">
        <v>2224</v>
      </c>
      <c r="N1576" s="10" t="s">
        <v>2225</v>
      </c>
      <c r="O1576" s="10" t="s">
        <v>2226</v>
      </c>
      <c r="P1576" s="39" t="s">
        <v>2227</v>
      </c>
    </row>
    <row r="1577" spans="2:16" ht="18" customHeight="1" x14ac:dyDescent="0.25">
      <c r="B1577" s="21" t="s">
        <v>0</v>
      </c>
      <c r="C1577" s="22" t="s">
        <v>241</v>
      </c>
      <c r="D1577" s="22" t="s">
        <v>72</v>
      </c>
      <c r="E1577" s="21" t="s">
        <v>2222</v>
      </c>
      <c r="F1577" s="23" t="s">
        <v>3</v>
      </c>
      <c r="G1577" s="23" t="s">
        <v>4</v>
      </c>
      <c r="H1577" s="21" t="str">
        <f t="shared" si="24"/>
        <v>GW1_N710/BUGW-INFLOW</v>
      </c>
      <c r="I1577" s="24" t="s">
        <v>2308</v>
      </c>
      <c r="J1577" s="10" t="str">
        <f>VLOOKUP(Table1[[#This Row],[UID]],CS3SVComposerConfig!$B$3:$D$1808,3,FALSE)</f>
        <v>CVSWShed_FlowContribution3pcntWBA24_2013Init_2021.dss</v>
      </c>
      <c r="K1577" s="10" t="s">
        <v>2212</v>
      </c>
      <c r="L1577" s="10" t="s">
        <v>2212</v>
      </c>
      <c r="M1577" s="10" t="s">
        <v>2224</v>
      </c>
      <c r="N1577" s="10" t="s">
        <v>2225</v>
      </c>
      <c r="O1577" s="10" t="s">
        <v>2226</v>
      </c>
      <c r="P1577" s="39" t="s">
        <v>2227</v>
      </c>
    </row>
    <row r="1578" spans="2:16" ht="18" customHeight="1" x14ac:dyDescent="0.25">
      <c r="B1578" s="21" t="s">
        <v>0</v>
      </c>
      <c r="C1578" s="22" t="s">
        <v>242</v>
      </c>
      <c r="D1578" s="22" t="s">
        <v>72</v>
      </c>
      <c r="E1578" s="21" t="s">
        <v>2222</v>
      </c>
      <c r="F1578" s="23" t="s">
        <v>3</v>
      </c>
      <c r="G1578" s="23" t="s">
        <v>4</v>
      </c>
      <c r="H1578" s="21" t="str">
        <f t="shared" si="24"/>
        <v>GW1_N711/BUGW-INFLOW</v>
      </c>
      <c r="I1578" s="24" t="s">
        <v>2308</v>
      </c>
      <c r="J1578" s="10" t="str">
        <f>VLOOKUP(Table1[[#This Row],[UID]],CS3SVComposerConfig!$B$3:$D$1808,3,FALSE)</f>
        <v>CVSWShed_FlowContribution3pcntWBA24_2013Init_2021.dss</v>
      </c>
      <c r="K1578" s="10" t="s">
        <v>2212</v>
      </c>
      <c r="L1578" s="10" t="s">
        <v>2212</v>
      </c>
      <c r="M1578" s="10" t="s">
        <v>2224</v>
      </c>
      <c r="N1578" s="10" t="s">
        <v>2225</v>
      </c>
      <c r="O1578" s="10" t="s">
        <v>2226</v>
      </c>
      <c r="P1578" s="39" t="s">
        <v>2227</v>
      </c>
    </row>
    <row r="1579" spans="2:16" ht="18" customHeight="1" x14ac:dyDescent="0.25">
      <c r="B1579" s="21" t="s">
        <v>0</v>
      </c>
      <c r="C1579" s="22" t="s">
        <v>243</v>
      </c>
      <c r="D1579" s="22" t="s">
        <v>72</v>
      </c>
      <c r="E1579" s="21" t="s">
        <v>2222</v>
      </c>
      <c r="F1579" s="23" t="s">
        <v>3</v>
      </c>
      <c r="G1579" s="23" t="s">
        <v>4</v>
      </c>
      <c r="H1579" s="21" t="str">
        <f t="shared" si="24"/>
        <v>GW1_N722/BUGW-INFLOW</v>
      </c>
      <c r="I1579" s="24" t="s">
        <v>2308</v>
      </c>
      <c r="J1579" s="10" t="str">
        <f>VLOOKUP(Table1[[#This Row],[UID]],CS3SVComposerConfig!$B$3:$D$1808,3,FALSE)</f>
        <v>CVSWShed_FlowContribution3pcntWBA24_2013Init_2021.dss</v>
      </c>
      <c r="K1579" s="10" t="s">
        <v>2212</v>
      </c>
      <c r="L1579" s="10" t="s">
        <v>2212</v>
      </c>
      <c r="M1579" s="10" t="s">
        <v>2224</v>
      </c>
      <c r="N1579" s="10" t="s">
        <v>2225</v>
      </c>
      <c r="O1579" s="10" t="s">
        <v>2226</v>
      </c>
      <c r="P1579" s="39" t="s">
        <v>2227</v>
      </c>
    </row>
    <row r="1580" spans="2:16" ht="18" customHeight="1" x14ac:dyDescent="0.25">
      <c r="B1580" s="21" t="s">
        <v>0</v>
      </c>
      <c r="C1580" s="22" t="s">
        <v>244</v>
      </c>
      <c r="D1580" s="22" t="s">
        <v>72</v>
      </c>
      <c r="E1580" s="21" t="s">
        <v>2222</v>
      </c>
      <c r="F1580" s="23" t="s">
        <v>3</v>
      </c>
      <c r="G1580" s="23" t="s">
        <v>4</v>
      </c>
      <c r="H1580" s="21" t="str">
        <f t="shared" si="24"/>
        <v>GW1_N723/BUGW-INFLOW</v>
      </c>
      <c r="I1580" s="24" t="s">
        <v>2308</v>
      </c>
      <c r="J1580" s="10" t="str">
        <f>VLOOKUP(Table1[[#This Row],[UID]],CS3SVComposerConfig!$B$3:$D$1808,3,FALSE)</f>
        <v>CVSWShed_FlowContribution3pcntWBA24_2013Init_2021.dss</v>
      </c>
      <c r="K1580" s="10" t="s">
        <v>2212</v>
      </c>
      <c r="L1580" s="10" t="s">
        <v>2212</v>
      </c>
      <c r="M1580" s="10" t="s">
        <v>2224</v>
      </c>
      <c r="N1580" s="10" t="s">
        <v>2225</v>
      </c>
      <c r="O1580" s="10" t="s">
        <v>2226</v>
      </c>
      <c r="P1580" s="39" t="s">
        <v>2227</v>
      </c>
    </row>
    <row r="1581" spans="2:16" ht="18" customHeight="1" x14ac:dyDescent="0.25">
      <c r="B1581" s="21" t="s">
        <v>0</v>
      </c>
      <c r="C1581" s="22" t="s">
        <v>245</v>
      </c>
      <c r="D1581" s="22" t="s">
        <v>72</v>
      </c>
      <c r="E1581" s="21" t="s">
        <v>2222</v>
      </c>
      <c r="F1581" s="23" t="s">
        <v>3</v>
      </c>
      <c r="G1581" s="23" t="s">
        <v>4</v>
      </c>
      <c r="H1581" s="21" t="str">
        <f t="shared" si="24"/>
        <v>GW1_N735/BUGW-INFLOW</v>
      </c>
      <c r="I1581" s="24" t="s">
        <v>2308</v>
      </c>
      <c r="J1581" s="10" t="str">
        <f>VLOOKUP(Table1[[#This Row],[UID]],CS3SVComposerConfig!$B$3:$D$1808,3,FALSE)</f>
        <v>CVSWShed_FlowContribution3pcntWBA24_2013Init_2021.dss</v>
      </c>
      <c r="K1581" s="10" t="s">
        <v>2212</v>
      </c>
      <c r="L1581" s="10" t="s">
        <v>2212</v>
      </c>
      <c r="M1581" s="10" t="s">
        <v>2224</v>
      </c>
      <c r="N1581" s="10" t="s">
        <v>2225</v>
      </c>
      <c r="O1581" s="10" t="s">
        <v>2226</v>
      </c>
      <c r="P1581" s="39" t="s">
        <v>2227</v>
      </c>
    </row>
    <row r="1582" spans="2:16" ht="18" customHeight="1" x14ac:dyDescent="0.25">
      <c r="B1582" s="21" t="s">
        <v>0</v>
      </c>
      <c r="C1582" s="22" t="s">
        <v>246</v>
      </c>
      <c r="D1582" s="22" t="s">
        <v>72</v>
      </c>
      <c r="E1582" s="21" t="s">
        <v>2222</v>
      </c>
      <c r="F1582" s="23" t="s">
        <v>3</v>
      </c>
      <c r="G1582" s="23" t="s">
        <v>4</v>
      </c>
      <c r="H1582" s="21" t="str">
        <f t="shared" si="24"/>
        <v>GW1_N74/BUGW-INFLOW</v>
      </c>
      <c r="I1582" s="24" t="s">
        <v>2308</v>
      </c>
      <c r="J1582" s="10" t="str">
        <f>VLOOKUP(Table1[[#This Row],[UID]],CS3SVComposerConfig!$B$3:$D$1808,3,FALSE)</f>
        <v>CVSWShed_FlowContribution3pcntWBA24_2013Init_2021.dss</v>
      </c>
      <c r="K1582" s="10" t="s">
        <v>2212</v>
      </c>
      <c r="L1582" s="10" t="s">
        <v>2212</v>
      </c>
      <c r="M1582" s="10" t="s">
        <v>2224</v>
      </c>
      <c r="N1582" s="10" t="s">
        <v>2225</v>
      </c>
      <c r="O1582" s="10" t="s">
        <v>2226</v>
      </c>
      <c r="P1582" s="39" t="s">
        <v>2227</v>
      </c>
    </row>
    <row r="1583" spans="2:16" ht="18" customHeight="1" x14ac:dyDescent="0.25">
      <c r="B1583" s="21" t="s">
        <v>0</v>
      </c>
      <c r="C1583" s="22" t="s">
        <v>247</v>
      </c>
      <c r="D1583" s="22" t="s">
        <v>72</v>
      </c>
      <c r="E1583" s="21" t="s">
        <v>2222</v>
      </c>
      <c r="F1583" s="23" t="s">
        <v>3</v>
      </c>
      <c r="G1583" s="23" t="s">
        <v>4</v>
      </c>
      <c r="H1583" s="21" t="str">
        <f t="shared" si="24"/>
        <v>GW1_N748/BUGW-INFLOW</v>
      </c>
      <c r="I1583" s="24" t="s">
        <v>2308</v>
      </c>
      <c r="J1583" s="10" t="str">
        <f>VLOOKUP(Table1[[#This Row],[UID]],CS3SVComposerConfig!$B$3:$D$1808,3,FALSE)</f>
        <v>CVSWShed_FlowContribution3pcntWBA24_2013Init_2021.dss</v>
      </c>
      <c r="K1583" s="10" t="s">
        <v>2212</v>
      </c>
      <c r="L1583" s="10" t="s">
        <v>2212</v>
      </c>
      <c r="M1583" s="10" t="s">
        <v>2224</v>
      </c>
      <c r="N1583" s="10" t="s">
        <v>2225</v>
      </c>
      <c r="O1583" s="10" t="s">
        <v>2226</v>
      </c>
      <c r="P1583" s="39" t="s">
        <v>2227</v>
      </c>
    </row>
    <row r="1584" spans="2:16" ht="18" customHeight="1" x14ac:dyDescent="0.25">
      <c r="B1584" s="21" t="s">
        <v>0</v>
      </c>
      <c r="C1584" s="22" t="s">
        <v>248</v>
      </c>
      <c r="D1584" s="22" t="s">
        <v>72</v>
      </c>
      <c r="E1584" s="21" t="s">
        <v>2222</v>
      </c>
      <c r="F1584" s="23" t="s">
        <v>3</v>
      </c>
      <c r="G1584" s="23" t="s">
        <v>4</v>
      </c>
      <c r="H1584" s="21" t="str">
        <f t="shared" si="24"/>
        <v>GW1_N758/BUGW-INFLOW</v>
      </c>
      <c r="I1584" s="24" t="s">
        <v>2308</v>
      </c>
      <c r="J1584" s="10" t="str">
        <f>VLOOKUP(Table1[[#This Row],[UID]],CS3SVComposerConfig!$B$3:$D$1808,3,FALSE)</f>
        <v>CVSWShed_FlowContribution3pcntWBA24_2013Init_2021.dss</v>
      </c>
      <c r="K1584" s="10" t="s">
        <v>2212</v>
      </c>
      <c r="L1584" s="10" t="s">
        <v>2212</v>
      </c>
      <c r="M1584" s="10" t="s">
        <v>2224</v>
      </c>
      <c r="N1584" s="10" t="s">
        <v>2225</v>
      </c>
      <c r="O1584" s="10" t="s">
        <v>2226</v>
      </c>
      <c r="P1584" s="39" t="s">
        <v>2227</v>
      </c>
    </row>
    <row r="1585" spans="2:16" ht="18" customHeight="1" x14ac:dyDescent="0.25">
      <c r="B1585" s="21" t="s">
        <v>0</v>
      </c>
      <c r="C1585" s="22" t="s">
        <v>249</v>
      </c>
      <c r="D1585" s="22" t="s">
        <v>72</v>
      </c>
      <c r="E1585" s="21" t="s">
        <v>2222</v>
      </c>
      <c r="F1585" s="23" t="s">
        <v>3</v>
      </c>
      <c r="G1585" s="23" t="s">
        <v>4</v>
      </c>
      <c r="H1585" s="21" t="str">
        <f t="shared" si="24"/>
        <v>GW1_N763/BUGW-INFLOW</v>
      </c>
      <c r="I1585" s="24" t="s">
        <v>2308</v>
      </c>
      <c r="J1585" s="10" t="str">
        <f>VLOOKUP(Table1[[#This Row],[UID]],CS3SVComposerConfig!$B$3:$D$1808,3,FALSE)</f>
        <v>CVSWShed_FlowContribution3pcntWBA24_2013Init_2021.dss</v>
      </c>
      <c r="K1585" s="10" t="s">
        <v>2212</v>
      </c>
      <c r="L1585" s="10" t="s">
        <v>2212</v>
      </c>
      <c r="M1585" s="10" t="s">
        <v>2224</v>
      </c>
      <c r="N1585" s="10" t="s">
        <v>2225</v>
      </c>
      <c r="O1585" s="10" t="s">
        <v>2226</v>
      </c>
      <c r="P1585" s="39" t="s">
        <v>2227</v>
      </c>
    </row>
    <row r="1586" spans="2:16" ht="18" customHeight="1" x14ac:dyDescent="0.25">
      <c r="B1586" s="21" t="s">
        <v>0</v>
      </c>
      <c r="C1586" s="22" t="s">
        <v>250</v>
      </c>
      <c r="D1586" s="22" t="s">
        <v>72</v>
      </c>
      <c r="E1586" s="21" t="s">
        <v>2222</v>
      </c>
      <c r="F1586" s="23" t="s">
        <v>3</v>
      </c>
      <c r="G1586" s="23" t="s">
        <v>4</v>
      </c>
      <c r="H1586" s="21" t="str">
        <f t="shared" si="24"/>
        <v>GW1_N764/BUGW-INFLOW</v>
      </c>
      <c r="I1586" s="24" t="s">
        <v>2308</v>
      </c>
      <c r="J1586" s="10" t="str">
        <f>VLOOKUP(Table1[[#This Row],[UID]],CS3SVComposerConfig!$B$3:$D$1808,3,FALSE)</f>
        <v>CVSWShed_FlowContribution3pcntWBA24_2013Init_2021.dss</v>
      </c>
      <c r="K1586" s="10" t="s">
        <v>2212</v>
      </c>
      <c r="L1586" s="10" t="s">
        <v>2212</v>
      </c>
      <c r="M1586" s="10" t="s">
        <v>2224</v>
      </c>
      <c r="N1586" s="10" t="s">
        <v>2225</v>
      </c>
      <c r="O1586" s="10" t="s">
        <v>2226</v>
      </c>
      <c r="P1586" s="39" t="s">
        <v>2227</v>
      </c>
    </row>
    <row r="1587" spans="2:16" ht="18" customHeight="1" x14ac:dyDescent="0.25">
      <c r="B1587" s="21" t="s">
        <v>0</v>
      </c>
      <c r="C1587" s="22" t="s">
        <v>251</v>
      </c>
      <c r="D1587" s="22" t="s">
        <v>72</v>
      </c>
      <c r="E1587" s="21" t="s">
        <v>2222</v>
      </c>
      <c r="F1587" s="23" t="s">
        <v>3</v>
      </c>
      <c r="G1587" s="23" t="s">
        <v>4</v>
      </c>
      <c r="H1587" s="21" t="str">
        <f t="shared" si="24"/>
        <v>GW1_N779/BUGW-INFLOW</v>
      </c>
      <c r="I1587" s="24" t="s">
        <v>2308</v>
      </c>
      <c r="J1587" s="10" t="str">
        <f>VLOOKUP(Table1[[#This Row],[UID]],CS3SVComposerConfig!$B$3:$D$1808,3,FALSE)</f>
        <v>CVSWShed_FlowContribution3pcntWBA24_2013Init_2021.dss</v>
      </c>
      <c r="K1587" s="10" t="s">
        <v>2212</v>
      </c>
      <c r="L1587" s="10" t="s">
        <v>2212</v>
      </c>
      <c r="M1587" s="10" t="s">
        <v>2224</v>
      </c>
      <c r="N1587" s="10" t="s">
        <v>2225</v>
      </c>
      <c r="O1587" s="10" t="s">
        <v>2226</v>
      </c>
      <c r="P1587" s="39" t="s">
        <v>2227</v>
      </c>
    </row>
    <row r="1588" spans="2:16" ht="18" customHeight="1" x14ac:dyDescent="0.25">
      <c r="B1588" s="21" t="s">
        <v>0</v>
      </c>
      <c r="C1588" s="22" t="s">
        <v>252</v>
      </c>
      <c r="D1588" s="22" t="s">
        <v>72</v>
      </c>
      <c r="E1588" s="21" t="s">
        <v>2222</v>
      </c>
      <c r="F1588" s="23" t="s">
        <v>3</v>
      </c>
      <c r="G1588" s="23" t="s">
        <v>4</v>
      </c>
      <c r="H1588" s="21" t="str">
        <f t="shared" si="24"/>
        <v>GW1_N780/BUGW-INFLOW</v>
      </c>
      <c r="I1588" s="24" t="s">
        <v>2308</v>
      </c>
      <c r="J1588" s="10" t="str">
        <f>VLOOKUP(Table1[[#This Row],[UID]],CS3SVComposerConfig!$B$3:$D$1808,3,FALSE)</f>
        <v>CVSWShed_FlowContribution3pcntWBA24_2013Init_2021.dss</v>
      </c>
      <c r="K1588" s="10" t="s">
        <v>2212</v>
      </c>
      <c r="L1588" s="10" t="s">
        <v>2212</v>
      </c>
      <c r="M1588" s="10" t="s">
        <v>2224</v>
      </c>
      <c r="N1588" s="10" t="s">
        <v>2225</v>
      </c>
      <c r="O1588" s="10" t="s">
        <v>2226</v>
      </c>
      <c r="P1588" s="39" t="s">
        <v>2227</v>
      </c>
    </row>
    <row r="1589" spans="2:16" ht="18" customHeight="1" x14ac:dyDescent="0.25">
      <c r="B1589" s="21" t="s">
        <v>0</v>
      </c>
      <c r="C1589" s="22" t="s">
        <v>253</v>
      </c>
      <c r="D1589" s="22" t="s">
        <v>72</v>
      </c>
      <c r="E1589" s="21" t="s">
        <v>2222</v>
      </c>
      <c r="F1589" s="23" t="s">
        <v>3</v>
      </c>
      <c r="G1589" s="23" t="s">
        <v>4</v>
      </c>
      <c r="H1589" s="21" t="str">
        <f t="shared" si="24"/>
        <v>GW1_N793/BUGW-INFLOW</v>
      </c>
      <c r="I1589" s="24" t="s">
        <v>2308</v>
      </c>
      <c r="J1589" s="10" t="str">
        <f>VLOOKUP(Table1[[#This Row],[UID]],CS3SVComposerConfig!$B$3:$D$1808,3,FALSE)</f>
        <v>CVSWShed_FlowContribution3pcntWBA24_2013Init_2021.dss</v>
      </c>
      <c r="K1589" s="10" t="s">
        <v>2212</v>
      </c>
      <c r="L1589" s="10" t="s">
        <v>2212</v>
      </c>
      <c r="M1589" s="10" t="s">
        <v>2224</v>
      </c>
      <c r="N1589" s="10" t="s">
        <v>2225</v>
      </c>
      <c r="O1589" s="10" t="s">
        <v>2226</v>
      </c>
      <c r="P1589" s="39" t="s">
        <v>2227</v>
      </c>
    </row>
    <row r="1590" spans="2:16" ht="18" customHeight="1" x14ac:dyDescent="0.25">
      <c r="B1590" s="21" t="s">
        <v>0</v>
      </c>
      <c r="C1590" s="22" t="s">
        <v>254</v>
      </c>
      <c r="D1590" s="22" t="s">
        <v>72</v>
      </c>
      <c r="E1590" s="21" t="s">
        <v>2222</v>
      </c>
      <c r="F1590" s="23" t="s">
        <v>3</v>
      </c>
      <c r="G1590" s="23" t="s">
        <v>4</v>
      </c>
      <c r="H1590" s="21" t="str">
        <f t="shared" si="24"/>
        <v>GW1_N8/BUGW-INFLOW</v>
      </c>
      <c r="I1590" s="24" t="s">
        <v>2308</v>
      </c>
      <c r="J1590" s="10" t="str">
        <f>VLOOKUP(Table1[[#This Row],[UID]],CS3SVComposerConfig!$B$3:$D$1808,3,FALSE)</f>
        <v>CVSWShed_FlowContribution3pcntWBA24_2013Init_2021.dss</v>
      </c>
      <c r="K1590" s="10" t="s">
        <v>2212</v>
      </c>
      <c r="L1590" s="10" t="s">
        <v>2212</v>
      </c>
      <c r="M1590" s="10" t="s">
        <v>2224</v>
      </c>
      <c r="N1590" s="10" t="s">
        <v>2225</v>
      </c>
      <c r="O1590" s="10" t="s">
        <v>2226</v>
      </c>
      <c r="P1590" s="39" t="s">
        <v>2227</v>
      </c>
    </row>
    <row r="1591" spans="2:16" ht="18" customHeight="1" x14ac:dyDescent="0.25">
      <c r="B1591" s="21" t="s">
        <v>0</v>
      </c>
      <c r="C1591" s="22" t="s">
        <v>255</v>
      </c>
      <c r="D1591" s="22" t="s">
        <v>72</v>
      </c>
      <c r="E1591" s="21" t="s">
        <v>2222</v>
      </c>
      <c r="F1591" s="23" t="s">
        <v>3</v>
      </c>
      <c r="G1591" s="23" t="s">
        <v>4</v>
      </c>
      <c r="H1591" s="21" t="str">
        <f t="shared" si="24"/>
        <v>GW1_N80/BUGW-INFLOW</v>
      </c>
      <c r="I1591" s="24" t="s">
        <v>2308</v>
      </c>
      <c r="J1591" s="10" t="str">
        <f>VLOOKUP(Table1[[#This Row],[UID]],CS3SVComposerConfig!$B$3:$D$1808,3,FALSE)</f>
        <v>CVSWShed_FlowContribution3pcntWBA24_2013Init_2021.dss</v>
      </c>
      <c r="K1591" s="10" t="s">
        <v>2212</v>
      </c>
      <c r="L1591" s="10" t="s">
        <v>2212</v>
      </c>
      <c r="M1591" s="10" t="s">
        <v>2224</v>
      </c>
      <c r="N1591" s="10" t="s">
        <v>2225</v>
      </c>
      <c r="O1591" s="10" t="s">
        <v>2226</v>
      </c>
      <c r="P1591" s="39" t="s">
        <v>2227</v>
      </c>
    </row>
    <row r="1592" spans="2:16" ht="18" customHeight="1" x14ac:dyDescent="0.25">
      <c r="B1592" s="21" t="s">
        <v>0</v>
      </c>
      <c r="C1592" s="22" t="s">
        <v>256</v>
      </c>
      <c r="D1592" s="22" t="s">
        <v>72</v>
      </c>
      <c r="E1592" s="21" t="s">
        <v>2222</v>
      </c>
      <c r="F1592" s="23" t="s">
        <v>3</v>
      </c>
      <c r="G1592" s="23" t="s">
        <v>4</v>
      </c>
      <c r="H1592" s="21" t="str">
        <f t="shared" si="24"/>
        <v>GW1_N806/BUGW-INFLOW</v>
      </c>
      <c r="I1592" s="24" t="s">
        <v>2308</v>
      </c>
      <c r="J1592" s="10" t="str">
        <f>VLOOKUP(Table1[[#This Row],[UID]],CS3SVComposerConfig!$B$3:$D$1808,3,FALSE)</f>
        <v>CVSWShed_FlowContribution3pcntWBA24_2013Init_2021.dss</v>
      </c>
      <c r="K1592" s="10" t="s">
        <v>2212</v>
      </c>
      <c r="L1592" s="10" t="s">
        <v>2212</v>
      </c>
      <c r="M1592" s="10" t="s">
        <v>2224</v>
      </c>
      <c r="N1592" s="10" t="s">
        <v>2225</v>
      </c>
      <c r="O1592" s="10" t="s">
        <v>2226</v>
      </c>
      <c r="P1592" s="39" t="s">
        <v>2227</v>
      </c>
    </row>
    <row r="1593" spans="2:16" ht="18" customHeight="1" x14ac:dyDescent="0.25">
      <c r="B1593" s="21" t="s">
        <v>0</v>
      </c>
      <c r="C1593" s="22" t="s">
        <v>257</v>
      </c>
      <c r="D1593" s="22" t="s">
        <v>72</v>
      </c>
      <c r="E1593" s="21" t="s">
        <v>2222</v>
      </c>
      <c r="F1593" s="23" t="s">
        <v>3</v>
      </c>
      <c r="G1593" s="23" t="s">
        <v>4</v>
      </c>
      <c r="H1593" s="21" t="str">
        <f t="shared" si="24"/>
        <v>GW1_N813/BUGW-INFLOW</v>
      </c>
      <c r="I1593" s="24" t="s">
        <v>2308</v>
      </c>
      <c r="J1593" s="10" t="str">
        <f>VLOOKUP(Table1[[#This Row],[UID]],CS3SVComposerConfig!$B$3:$D$1808,3,FALSE)</f>
        <v>CVSWShed_FlowContribution3pcntWBA24_2013Init_2021.dss</v>
      </c>
      <c r="K1593" s="10" t="s">
        <v>2212</v>
      </c>
      <c r="L1593" s="10" t="s">
        <v>2212</v>
      </c>
      <c r="M1593" s="10" t="s">
        <v>2224</v>
      </c>
      <c r="N1593" s="10" t="s">
        <v>2225</v>
      </c>
      <c r="O1593" s="10" t="s">
        <v>2226</v>
      </c>
      <c r="P1593" s="39" t="s">
        <v>2227</v>
      </c>
    </row>
    <row r="1594" spans="2:16" ht="18" customHeight="1" x14ac:dyDescent="0.25">
      <c r="B1594" s="21" t="s">
        <v>0</v>
      </c>
      <c r="C1594" s="22" t="s">
        <v>258</v>
      </c>
      <c r="D1594" s="22" t="s">
        <v>72</v>
      </c>
      <c r="E1594" s="21" t="s">
        <v>2222</v>
      </c>
      <c r="F1594" s="23" t="s">
        <v>3</v>
      </c>
      <c r="G1594" s="23" t="s">
        <v>4</v>
      </c>
      <c r="H1594" s="21" t="str">
        <f t="shared" si="24"/>
        <v>GW1_N814/BUGW-INFLOW</v>
      </c>
      <c r="I1594" s="24" t="s">
        <v>2308</v>
      </c>
      <c r="J1594" s="10" t="str">
        <f>VLOOKUP(Table1[[#This Row],[UID]],CS3SVComposerConfig!$B$3:$D$1808,3,FALSE)</f>
        <v>CVSWShed_FlowContribution3pcntWBA24_2013Init_2021.dss</v>
      </c>
      <c r="K1594" s="10" t="s">
        <v>2212</v>
      </c>
      <c r="L1594" s="10" t="s">
        <v>2212</v>
      </c>
      <c r="M1594" s="10" t="s">
        <v>2224</v>
      </c>
      <c r="N1594" s="10" t="s">
        <v>2225</v>
      </c>
      <c r="O1594" s="10" t="s">
        <v>2226</v>
      </c>
      <c r="P1594" s="39" t="s">
        <v>2227</v>
      </c>
    </row>
    <row r="1595" spans="2:16" ht="18" customHeight="1" x14ac:dyDescent="0.25">
      <c r="B1595" s="21" t="s">
        <v>0</v>
      </c>
      <c r="C1595" s="22" t="s">
        <v>259</v>
      </c>
      <c r="D1595" s="22" t="s">
        <v>72</v>
      </c>
      <c r="E1595" s="21" t="s">
        <v>2222</v>
      </c>
      <c r="F1595" s="23" t="s">
        <v>3</v>
      </c>
      <c r="G1595" s="23" t="s">
        <v>4</v>
      </c>
      <c r="H1595" s="21" t="str">
        <f t="shared" si="24"/>
        <v>GW1_N837/BUGW-INFLOW</v>
      </c>
      <c r="I1595" s="24" t="s">
        <v>2308</v>
      </c>
      <c r="J1595" s="10" t="str">
        <f>VLOOKUP(Table1[[#This Row],[UID]],CS3SVComposerConfig!$B$3:$D$1808,3,FALSE)</f>
        <v>CVSWShed_FlowContribution3pcntWBA24_2013Init_2021.dss</v>
      </c>
      <c r="K1595" s="10" t="s">
        <v>2212</v>
      </c>
      <c r="L1595" s="10" t="s">
        <v>2212</v>
      </c>
      <c r="M1595" s="10" t="s">
        <v>2224</v>
      </c>
      <c r="N1595" s="10" t="s">
        <v>2225</v>
      </c>
      <c r="O1595" s="10" t="s">
        <v>2226</v>
      </c>
      <c r="P1595" s="39" t="s">
        <v>2227</v>
      </c>
    </row>
    <row r="1596" spans="2:16" ht="18" customHeight="1" x14ac:dyDescent="0.25">
      <c r="B1596" s="21" t="s">
        <v>0</v>
      </c>
      <c r="C1596" s="22" t="s">
        <v>260</v>
      </c>
      <c r="D1596" s="22" t="s">
        <v>72</v>
      </c>
      <c r="E1596" s="21" t="s">
        <v>2222</v>
      </c>
      <c r="F1596" s="23" t="s">
        <v>3</v>
      </c>
      <c r="G1596" s="23" t="s">
        <v>4</v>
      </c>
      <c r="H1596" s="21" t="str">
        <f t="shared" si="24"/>
        <v>GW1_N838/BUGW-INFLOW</v>
      </c>
      <c r="I1596" s="24" t="s">
        <v>2308</v>
      </c>
      <c r="J1596" s="10" t="str">
        <f>VLOOKUP(Table1[[#This Row],[UID]],CS3SVComposerConfig!$B$3:$D$1808,3,FALSE)</f>
        <v>CVSWShed_FlowContribution3pcntWBA24_2013Init_2021.dss</v>
      </c>
      <c r="K1596" s="10" t="s">
        <v>2212</v>
      </c>
      <c r="L1596" s="10" t="s">
        <v>2212</v>
      </c>
      <c r="M1596" s="10" t="s">
        <v>2224</v>
      </c>
      <c r="N1596" s="10" t="s">
        <v>2225</v>
      </c>
      <c r="O1596" s="10" t="s">
        <v>2226</v>
      </c>
      <c r="P1596" s="39" t="s">
        <v>2227</v>
      </c>
    </row>
    <row r="1597" spans="2:16" ht="18" customHeight="1" x14ac:dyDescent="0.25">
      <c r="B1597" s="21" t="s">
        <v>0</v>
      </c>
      <c r="C1597" s="22" t="s">
        <v>261</v>
      </c>
      <c r="D1597" s="22" t="s">
        <v>72</v>
      </c>
      <c r="E1597" s="21" t="s">
        <v>2222</v>
      </c>
      <c r="F1597" s="23" t="s">
        <v>3</v>
      </c>
      <c r="G1597" s="23" t="s">
        <v>4</v>
      </c>
      <c r="H1597" s="21" t="str">
        <f t="shared" si="24"/>
        <v>GW1_N839/BUGW-INFLOW</v>
      </c>
      <c r="I1597" s="24" t="s">
        <v>2308</v>
      </c>
      <c r="J1597" s="10" t="str">
        <f>VLOOKUP(Table1[[#This Row],[UID]],CS3SVComposerConfig!$B$3:$D$1808,3,FALSE)</f>
        <v>CVSWShed_FlowContribution3pcntWBA24_2013Init_2021.dss</v>
      </c>
      <c r="K1597" s="10" t="s">
        <v>2212</v>
      </c>
      <c r="L1597" s="10" t="s">
        <v>2212</v>
      </c>
      <c r="M1597" s="10" t="s">
        <v>2224</v>
      </c>
      <c r="N1597" s="10" t="s">
        <v>2225</v>
      </c>
      <c r="O1597" s="10" t="s">
        <v>2226</v>
      </c>
      <c r="P1597" s="39" t="s">
        <v>2227</v>
      </c>
    </row>
    <row r="1598" spans="2:16" ht="18" customHeight="1" x14ac:dyDescent="0.25">
      <c r="B1598" s="21" t="s">
        <v>0</v>
      </c>
      <c r="C1598" s="22" t="s">
        <v>262</v>
      </c>
      <c r="D1598" s="22" t="s">
        <v>72</v>
      </c>
      <c r="E1598" s="21" t="s">
        <v>2222</v>
      </c>
      <c r="F1598" s="23" t="s">
        <v>3</v>
      </c>
      <c r="G1598" s="23" t="s">
        <v>4</v>
      </c>
      <c r="H1598" s="21" t="str">
        <f t="shared" si="24"/>
        <v>GW1_N851/BUGW-INFLOW</v>
      </c>
      <c r="I1598" s="24" t="s">
        <v>2308</v>
      </c>
      <c r="J1598" s="10" t="str">
        <f>VLOOKUP(Table1[[#This Row],[UID]],CS3SVComposerConfig!$B$3:$D$1808,3,FALSE)</f>
        <v>CVSWShed_FlowContribution3pcntWBA24_2013Init_2021.dss</v>
      </c>
      <c r="K1598" s="10" t="s">
        <v>2212</v>
      </c>
      <c r="L1598" s="10" t="s">
        <v>2212</v>
      </c>
      <c r="M1598" s="10" t="s">
        <v>2224</v>
      </c>
      <c r="N1598" s="10" t="s">
        <v>2225</v>
      </c>
      <c r="O1598" s="10" t="s">
        <v>2226</v>
      </c>
      <c r="P1598" s="39" t="s">
        <v>2227</v>
      </c>
    </row>
    <row r="1599" spans="2:16" ht="18" customHeight="1" x14ac:dyDescent="0.25">
      <c r="B1599" s="21" t="s">
        <v>0</v>
      </c>
      <c r="C1599" s="22" t="s">
        <v>263</v>
      </c>
      <c r="D1599" s="22" t="s">
        <v>72</v>
      </c>
      <c r="E1599" s="21" t="s">
        <v>2222</v>
      </c>
      <c r="F1599" s="23" t="s">
        <v>3</v>
      </c>
      <c r="G1599" s="23" t="s">
        <v>4</v>
      </c>
      <c r="H1599" s="21" t="str">
        <f t="shared" si="24"/>
        <v>GW1_N852/BUGW-INFLOW</v>
      </c>
      <c r="I1599" s="24" t="s">
        <v>2308</v>
      </c>
      <c r="J1599" s="10" t="str">
        <f>VLOOKUP(Table1[[#This Row],[UID]],CS3SVComposerConfig!$B$3:$D$1808,3,FALSE)</f>
        <v>CVSWShed_FlowContribution3pcntWBA24_2013Init_2021.dss</v>
      </c>
      <c r="K1599" s="10" t="s">
        <v>2212</v>
      </c>
      <c r="L1599" s="10" t="s">
        <v>2212</v>
      </c>
      <c r="M1599" s="10" t="s">
        <v>2224</v>
      </c>
      <c r="N1599" s="10" t="s">
        <v>2225</v>
      </c>
      <c r="O1599" s="10" t="s">
        <v>2226</v>
      </c>
      <c r="P1599" s="39" t="s">
        <v>2227</v>
      </c>
    </row>
    <row r="1600" spans="2:16" ht="18" customHeight="1" x14ac:dyDescent="0.25">
      <c r="B1600" s="21" t="s">
        <v>0</v>
      </c>
      <c r="C1600" s="22" t="s">
        <v>264</v>
      </c>
      <c r="D1600" s="22" t="s">
        <v>72</v>
      </c>
      <c r="E1600" s="21" t="s">
        <v>2222</v>
      </c>
      <c r="F1600" s="23" t="s">
        <v>3</v>
      </c>
      <c r="G1600" s="23" t="s">
        <v>4</v>
      </c>
      <c r="H1600" s="21" t="str">
        <f t="shared" si="24"/>
        <v>GW1_N853/BUGW-INFLOW</v>
      </c>
      <c r="I1600" s="24" t="s">
        <v>2308</v>
      </c>
      <c r="J1600" s="10" t="str">
        <f>VLOOKUP(Table1[[#This Row],[UID]],CS3SVComposerConfig!$B$3:$D$1808,3,FALSE)</f>
        <v>CVSWShed_FlowContribution3pcntWBA24_2013Init_2021.dss</v>
      </c>
      <c r="K1600" s="10" t="s">
        <v>2212</v>
      </c>
      <c r="L1600" s="10" t="s">
        <v>2212</v>
      </c>
      <c r="M1600" s="10" t="s">
        <v>2224</v>
      </c>
      <c r="N1600" s="10" t="s">
        <v>2225</v>
      </c>
      <c r="O1600" s="10" t="s">
        <v>2226</v>
      </c>
      <c r="P1600" s="39" t="s">
        <v>2227</v>
      </c>
    </row>
    <row r="1601" spans="2:16" ht="18" customHeight="1" x14ac:dyDescent="0.25">
      <c r="B1601" s="21" t="s">
        <v>0</v>
      </c>
      <c r="C1601" s="22" t="s">
        <v>265</v>
      </c>
      <c r="D1601" s="22" t="s">
        <v>72</v>
      </c>
      <c r="E1601" s="21" t="s">
        <v>2222</v>
      </c>
      <c r="F1601" s="23" t="s">
        <v>3</v>
      </c>
      <c r="G1601" s="23" t="s">
        <v>4</v>
      </c>
      <c r="H1601" s="21" t="str">
        <f t="shared" si="24"/>
        <v>GW1_N861/BUGW-INFLOW</v>
      </c>
      <c r="I1601" s="24" t="s">
        <v>2308</v>
      </c>
      <c r="J1601" s="10" t="str">
        <f>VLOOKUP(Table1[[#This Row],[UID]],CS3SVComposerConfig!$B$3:$D$1808,3,FALSE)</f>
        <v>CVSWShed_FlowContribution3pcntWBA24_2013Init_2021.dss</v>
      </c>
      <c r="K1601" s="10" t="s">
        <v>2212</v>
      </c>
      <c r="L1601" s="10" t="s">
        <v>2212</v>
      </c>
      <c r="M1601" s="10" t="s">
        <v>2224</v>
      </c>
      <c r="N1601" s="10" t="s">
        <v>2225</v>
      </c>
      <c r="O1601" s="10" t="s">
        <v>2226</v>
      </c>
      <c r="P1601" s="39" t="s">
        <v>2227</v>
      </c>
    </row>
    <row r="1602" spans="2:16" ht="18" customHeight="1" x14ac:dyDescent="0.25">
      <c r="B1602" s="21" t="s">
        <v>0</v>
      </c>
      <c r="C1602" s="22" t="s">
        <v>266</v>
      </c>
      <c r="D1602" s="22" t="s">
        <v>72</v>
      </c>
      <c r="E1602" s="21" t="s">
        <v>2222</v>
      </c>
      <c r="F1602" s="23" t="s">
        <v>3</v>
      </c>
      <c r="G1602" s="23" t="s">
        <v>4</v>
      </c>
      <c r="H1602" s="21" t="str">
        <f t="shared" si="24"/>
        <v>GW1_N864/BUGW-INFLOW</v>
      </c>
      <c r="I1602" s="24" t="s">
        <v>2308</v>
      </c>
      <c r="J1602" s="10" t="str">
        <f>VLOOKUP(Table1[[#This Row],[UID]],CS3SVComposerConfig!$B$3:$D$1808,3,FALSE)</f>
        <v>CVSWShed_FlowContribution3pcntWBA24_2013Init_2021.dss</v>
      </c>
      <c r="K1602" s="10" t="s">
        <v>2212</v>
      </c>
      <c r="L1602" s="10" t="s">
        <v>2212</v>
      </c>
      <c r="M1602" s="10" t="s">
        <v>2224</v>
      </c>
      <c r="N1602" s="10" t="s">
        <v>2225</v>
      </c>
      <c r="O1602" s="10" t="s">
        <v>2226</v>
      </c>
      <c r="P1602" s="39" t="s">
        <v>2227</v>
      </c>
    </row>
    <row r="1603" spans="2:16" ht="18" customHeight="1" x14ac:dyDescent="0.25">
      <c r="B1603" s="21" t="s">
        <v>0</v>
      </c>
      <c r="C1603" s="22" t="s">
        <v>267</v>
      </c>
      <c r="D1603" s="22" t="s">
        <v>72</v>
      </c>
      <c r="E1603" s="21" t="s">
        <v>2222</v>
      </c>
      <c r="F1603" s="23" t="s">
        <v>3</v>
      </c>
      <c r="G1603" s="23" t="s">
        <v>4</v>
      </c>
      <c r="H1603" s="21" t="str">
        <f t="shared" ref="H1603:H1666" si="25">_xlfn.CONCAT(C1603,"/",D1603)</f>
        <v>GW1_N881/BUGW-INFLOW</v>
      </c>
      <c r="I1603" s="24" t="s">
        <v>2308</v>
      </c>
      <c r="J1603" s="10" t="str">
        <f>VLOOKUP(Table1[[#This Row],[UID]],CS3SVComposerConfig!$B$3:$D$1808,3,FALSE)</f>
        <v>CVSWShed_FlowContribution3pcntWBA24_2013Init_2021.dss</v>
      </c>
      <c r="K1603" s="10" t="s">
        <v>2212</v>
      </c>
      <c r="L1603" s="10" t="s">
        <v>2212</v>
      </c>
      <c r="M1603" s="10" t="s">
        <v>2224</v>
      </c>
      <c r="N1603" s="10" t="s">
        <v>2225</v>
      </c>
      <c r="O1603" s="10" t="s">
        <v>2226</v>
      </c>
      <c r="P1603" s="39" t="s">
        <v>2227</v>
      </c>
    </row>
    <row r="1604" spans="2:16" ht="18" customHeight="1" x14ac:dyDescent="0.25">
      <c r="B1604" s="21" t="s">
        <v>0</v>
      </c>
      <c r="C1604" s="22" t="s">
        <v>268</v>
      </c>
      <c r="D1604" s="22" t="s">
        <v>72</v>
      </c>
      <c r="E1604" s="21" t="s">
        <v>2222</v>
      </c>
      <c r="F1604" s="23" t="s">
        <v>3</v>
      </c>
      <c r="G1604" s="23" t="s">
        <v>4</v>
      </c>
      <c r="H1604" s="21" t="str">
        <f t="shared" si="25"/>
        <v>GW1_N887/BUGW-INFLOW</v>
      </c>
      <c r="I1604" s="24" t="s">
        <v>2308</v>
      </c>
      <c r="J1604" s="10" t="str">
        <f>VLOOKUP(Table1[[#This Row],[UID]],CS3SVComposerConfig!$B$3:$D$1808,3,FALSE)</f>
        <v>CVSWShed_FlowContribution3pcntWBA24_2013Init_2021.dss</v>
      </c>
      <c r="K1604" s="10" t="s">
        <v>2212</v>
      </c>
      <c r="L1604" s="10" t="s">
        <v>2212</v>
      </c>
      <c r="M1604" s="10" t="s">
        <v>2224</v>
      </c>
      <c r="N1604" s="10" t="s">
        <v>2225</v>
      </c>
      <c r="O1604" s="10" t="s">
        <v>2226</v>
      </c>
      <c r="P1604" s="39" t="s">
        <v>2227</v>
      </c>
    </row>
    <row r="1605" spans="2:16" ht="18" customHeight="1" x14ac:dyDescent="0.25">
      <c r="B1605" s="21" t="s">
        <v>0</v>
      </c>
      <c r="C1605" s="22" t="s">
        <v>269</v>
      </c>
      <c r="D1605" s="22" t="s">
        <v>72</v>
      </c>
      <c r="E1605" s="21" t="s">
        <v>2222</v>
      </c>
      <c r="F1605" s="23" t="s">
        <v>3</v>
      </c>
      <c r="G1605" s="23" t="s">
        <v>4</v>
      </c>
      <c r="H1605" s="21" t="str">
        <f t="shared" si="25"/>
        <v>GW1_N89/BUGW-INFLOW</v>
      </c>
      <c r="I1605" s="24" t="s">
        <v>2308</v>
      </c>
      <c r="J1605" s="10" t="str">
        <f>VLOOKUP(Table1[[#This Row],[UID]],CS3SVComposerConfig!$B$3:$D$1808,3,FALSE)</f>
        <v>CVSWShed_FlowContribution3pcntWBA24_2013Init_2021.dss</v>
      </c>
      <c r="K1605" s="10" t="s">
        <v>2212</v>
      </c>
      <c r="L1605" s="10" t="s">
        <v>2212</v>
      </c>
      <c r="M1605" s="10" t="s">
        <v>2224</v>
      </c>
      <c r="N1605" s="10" t="s">
        <v>2225</v>
      </c>
      <c r="O1605" s="10" t="s">
        <v>2226</v>
      </c>
      <c r="P1605" s="39" t="s">
        <v>2227</v>
      </c>
    </row>
    <row r="1606" spans="2:16" ht="18" customHeight="1" x14ac:dyDescent="0.25">
      <c r="B1606" s="21" t="s">
        <v>0</v>
      </c>
      <c r="C1606" s="22" t="s">
        <v>270</v>
      </c>
      <c r="D1606" s="22" t="s">
        <v>72</v>
      </c>
      <c r="E1606" s="21" t="s">
        <v>2222</v>
      </c>
      <c r="F1606" s="23" t="s">
        <v>3</v>
      </c>
      <c r="G1606" s="23" t="s">
        <v>4</v>
      </c>
      <c r="H1606" s="21" t="str">
        <f t="shared" si="25"/>
        <v>GW1_N901/BUGW-INFLOW</v>
      </c>
      <c r="I1606" s="24" t="s">
        <v>2308</v>
      </c>
      <c r="J1606" s="10" t="str">
        <f>VLOOKUP(Table1[[#This Row],[UID]],CS3SVComposerConfig!$B$3:$D$1808,3,FALSE)</f>
        <v>CVSWShed_FlowContribution3pcntWBA24_2013Init_2021.dss</v>
      </c>
      <c r="K1606" s="10" t="s">
        <v>2212</v>
      </c>
      <c r="L1606" s="10" t="s">
        <v>2212</v>
      </c>
      <c r="M1606" s="10" t="s">
        <v>2224</v>
      </c>
      <c r="N1606" s="10" t="s">
        <v>2225</v>
      </c>
      <c r="O1606" s="10" t="s">
        <v>2226</v>
      </c>
      <c r="P1606" s="39" t="s">
        <v>2227</v>
      </c>
    </row>
    <row r="1607" spans="2:16" ht="18" customHeight="1" x14ac:dyDescent="0.25">
      <c r="B1607" s="21" t="s">
        <v>0</v>
      </c>
      <c r="C1607" s="22" t="s">
        <v>271</v>
      </c>
      <c r="D1607" s="22" t="s">
        <v>72</v>
      </c>
      <c r="E1607" s="21" t="s">
        <v>2222</v>
      </c>
      <c r="F1607" s="23" t="s">
        <v>3</v>
      </c>
      <c r="G1607" s="23" t="s">
        <v>4</v>
      </c>
      <c r="H1607" s="21" t="str">
        <f t="shared" si="25"/>
        <v>GW1_N902/BUGW-INFLOW</v>
      </c>
      <c r="I1607" s="24" t="s">
        <v>2308</v>
      </c>
      <c r="J1607" s="10" t="str">
        <f>VLOOKUP(Table1[[#This Row],[UID]],CS3SVComposerConfig!$B$3:$D$1808,3,FALSE)</f>
        <v>CVSWShed_FlowContribution3pcntWBA24_2013Init_2021.dss</v>
      </c>
      <c r="K1607" s="10" t="s">
        <v>2212</v>
      </c>
      <c r="L1607" s="10" t="s">
        <v>2212</v>
      </c>
      <c r="M1607" s="10" t="s">
        <v>2224</v>
      </c>
      <c r="N1607" s="10" t="s">
        <v>2225</v>
      </c>
      <c r="O1607" s="10" t="s">
        <v>2226</v>
      </c>
      <c r="P1607" s="39" t="s">
        <v>2227</v>
      </c>
    </row>
    <row r="1608" spans="2:16" ht="18" customHeight="1" x14ac:dyDescent="0.25">
      <c r="B1608" s="21" t="s">
        <v>0</v>
      </c>
      <c r="C1608" s="22" t="s">
        <v>272</v>
      </c>
      <c r="D1608" s="22" t="s">
        <v>72</v>
      </c>
      <c r="E1608" s="21" t="s">
        <v>2222</v>
      </c>
      <c r="F1608" s="23" t="s">
        <v>3</v>
      </c>
      <c r="G1608" s="23" t="s">
        <v>4</v>
      </c>
      <c r="H1608" s="21" t="str">
        <f t="shared" si="25"/>
        <v>GW1_N917/BUGW-INFLOW</v>
      </c>
      <c r="I1608" s="24" t="s">
        <v>2308</v>
      </c>
      <c r="J1608" s="10" t="str">
        <f>VLOOKUP(Table1[[#This Row],[UID]],CS3SVComposerConfig!$B$3:$D$1808,3,FALSE)</f>
        <v>CVSWShed_FlowContribution3pcntWBA24_2013Init_2021.dss</v>
      </c>
      <c r="K1608" s="10" t="s">
        <v>2212</v>
      </c>
      <c r="L1608" s="10" t="s">
        <v>2212</v>
      </c>
      <c r="M1608" s="10" t="s">
        <v>2224</v>
      </c>
      <c r="N1608" s="10" t="s">
        <v>2225</v>
      </c>
      <c r="O1608" s="10" t="s">
        <v>2226</v>
      </c>
      <c r="P1608" s="39" t="s">
        <v>2227</v>
      </c>
    </row>
    <row r="1609" spans="2:16" ht="18" customHeight="1" x14ac:dyDescent="0.25">
      <c r="B1609" s="21" t="s">
        <v>0</v>
      </c>
      <c r="C1609" s="22" t="s">
        <v>273</v>
      </c>
      <c r="D1609" s="22" t="s">
        <v>72</v>
      </c>
      <c r="E1609" s="21" t="s">
        <v>2222</v>
      </c>
      <c r="F1609" s="23" t="s">
        <v>3</v>
      </c>
      <c r="G1609" s="23" t="s">
        <v>4</v>
      </c>
      <c r="H1609" s="21" t="str">
        <f t="shared" si="25"/>
        <v>GW1_N918/BUGW-INFLOW</v>
      </c>
      <c r="I1609" s="24" t="s">
        <v>2308</v>
      </c>
      <c r="J1609" s="10" t="str">
        <f>VLOOKUP(Table1[[#This Row],[UID]],CS3SVComposerConfig!$B$3:$D$1808,3,FALSE)</f>
        <v>CVSWShed_FlowContribution3pcntWBA24_2013Init_2021.dss</v>
      </c>
      <c r="K1609" s="10" t="s">
        <v>2212</v>
      </c>
      <c r="L1609" s="10" t="s">
        <v>2212</v>
      </c>
      <c r="M1609" s="10" t="s">
        <v>2224</v>
      </c>
      <c r="N1609" s="10" t="s">
        <v>2225</v>
      </c>
      <c r="O1609" s="10" t="s">
        <v>2226</v>
      </c>
      <c r="P1609" s="39" t="s">
        <v>2227</v>
      </c>
    </row>
    <row r="1610" spans="2:16" ht="18" customHeight="1" x14ac:dyDescent="0.25">
      <c r="B1610" s="21" t="s">
        <v>0</v>
      </c>
      <c r="C1610" s="22" t="s">
        <v>274</v>
      </c>
      <c r="D1610" s="22" t="s">
        <v>72</v>
      </c>
      <c r="E1610" s="21" t="s">
        <v>2222</v>
      </c>
      <c r="F1610" s="23" t="s">
        <v>3</v>
      </c>
      <c r="G1610" s="23" t="s">
        <v>4</v>
      </c>
      <c r="H1610" s="21" t="str">
        <f t="shared" si="25"/>
        <v>GW1_N935/BUGW-INFLOW</v>
      </c>
      <c r="I1610" s="24" t="s">
        <v>2308</v>
      </c>
      <c r="J1610" s="10" t="str">
        <f>VLOOKUP(Table1[[#This Row],[UID]],CS3SVComposerConfig!$B$3:$D$1808,3,FALSE)</f>
        <v>CVSWShed_FlowContribution3pcntWBA24_2013Init_2021.dss</v>
      </c>
      <c r="K1610" s="10" t="s">
        <v>2212</v>
      </c>
      <c r="L1610" s="10" t="s">
        <v>2212</v>
      </c>
      <c r="M1610" s="10" t="s">
        <v>2224</v>
      </c>
      <c r="N1610" s="10" t="s">
        <v>2225</v>
      </c>
      <c r="O1610" s="10" t="s">
        <v>2226</v>
      </c>
      <c r="P1610" s="39" t="s">
        <v>2227</v>
      </c>
    </row>
    <row r="1611" spans="2:16" ht="18" customHeight="1" x14ac:dyDescent="0.25">
      <c r="B1611" s="21" t="s">
        <v>0</v>
      </c>
      <c r="C1611" s="22" t="s">
        <v>275</v>
      </c>
      <c r="D1611" s="22" t="s">
        <v>72</v>
      </c>
      <c r="E1611" s="21" t="s">
        <v>2222</v>
      </c>
      <c r="F1611" s="23" t="s">
        <v>3</v>
      </c>
      <c r="G1611" s="23" t="s">
        <v>4</v>
      </c>
      <c r="H1611" s="21" t="str">
        <f t="shared" si="25"/>
        <v>GW1_N936/BUGW-INFLOW</v>
      </c>
      <c r="I1611" s="24" t="s">
        <v>2308</v>
      </c>
      <c r="J1611" s="10" t="str">
        <f>VLOOKUP(Table1[[#This Row],[UID]],CS3SVComposerConfig!$B$3:$D$1808,3,FALSE)</f>
        <v>CVSWShed_FlowContribution3pcntWBA24_2013Init_2021.dss</v>
      </c>
      <c r="K1611" s="10" t="s">
        <v>2212</v>
      </c>
      <c r="L1611" s="10" t="s">
        <v>2212</v>
      </c>
      <c r="M1611" s="10" t="s">
        <v>2224</v>
      </c>
      <c r="N1611" s="10" t="s">
        <v>2225</v>
      </c>
      <c r="O1611" s="10" t="s">
        <v>2226</v>
      </c>
      <c r="P1611" s="39" t="s">
        <v>2227</v>
      </c>
    </row>
    <row r="1612" spans="2:16" ht="18" customHeight="1" x14ac:dyDescent="0.25">
      <c r="B1612" s="21" t="s">
        <v>0</v>
      </c>
      <c r="C1612" s="22" t="s">
        <v>276</v>
      </c>
      <c r="D1612" s="22" t="s">
        <v>72</v>
      </c>
      <c r="E1612" s="21" t="s">
        <v>2222</v>
      </c>
      <c r="F1612" s="23" t="s">
        <v>3</v>
      </c>
      <c r="G1612" s="23" t="s">
        <v>4</v>
      </c>
      <c r="H1612" s="21" t="str">
        <f t="shared" si="25"/>
        <v>GW1_N944/BUGW-INFLOW</v>
      </c>
      <c r="I1612" s="24" t="s">
        <v>2308</v>
      </c>
      <c r="J1612" s="10" t="str">
        <f>VLOOKUP(Table1[[#This Row],[UID]],CS3SVComposerConfig!$B$3:$D$1808,3,FALSE)</f>
        <v>CVSWShed_FlowContribution3pcntWBA24_2013Init_2021.dss</v>
      </c>
      <c r="K1612" s="10" t="s">
        <v>2212</v>
      </c>
      <c r="L1612" s="10" t="s">
        <v>2212</v>
      </c>
      <c r="M1612" s="10" t="s">
        <v>2224</v>
      </c>
      <c r="N1612" s="10" t="s">
        <v>2225</v>
      </c>
      <c r="O1612" s="10" t="s">
        <v>2226</v>
      </c>
      <c r="P1612" s="39" t="s">
        <v>2227</v>
      </c>
    </row>
    <row r="1613" spans="2:16" ht="18" customHeight="1" x14ac:dyDescent="0.25">
      <c r="B1613" s="21" t="s">
        <v>0</v>
      </c>
      <c r="C1613" s="22" t="s">
        <v>277</v>
      </c>
      <c r="D1613" s="22" t="s">
        <v>72</v>
      </c>
      <c r="E1613" s="21" t="s">
        <v>2222</v>
      </c>
      <c r="F1613" s="23" t="s">
        <v>3</v>
      </c>
      <c r="G1613" s="23" t="s">
        <v>4</v>
      </c>
      <c r="H1613" s="21" t="str">
        <f t="shared" si="25"/>
        <v>GW1_N952/BUGW-INFLOW</v>
      </c>
      <c r="I1613" s="24" t="s">
        <v>2308</v>
      </c>
      <c r="J1613" s="10" t="str">
        <f>VLOOKUP(Table1[[#This Row],[UID]],CS3SVComposerConfig!$B$3:$D$1808,3,FALSE)</f>
        <v>CVSWShed_FlowContribution3pcntWBA24_2013Init_2021.dss</v>
      </c>
      <c r="K1613" s="10" t="s">
        <v>2212</v>
      </c>
      <c r="L1613" s="10" t="s">
        <v>2212</v>
      </c>
      <c r="M1613" s="10" t="s">
        <v>2224</v>
      </c>
      <c r="N1613" s="10" t="s">
        <v>2225</v>
      </c>
      <c r="O1613" s="10" t="s">
        <v>2226</v>
      </c>
      <c r="P1613" s="39" t="s">
        <v>2227</v>
      </c>
    </row>
    <row r="1614" spans="2:16" ht="18" customHeight="1" x14ac:dyDescent="0.25">
      <c r="B1614" s="21" t="s">
        <v>0</v>
      </c>
      <c r="C1614" s="22" t="s">
        <v>278</v>
      </c>
      <c r="D1614" s="22" t="s">
        <v>72</v>
      </c>
      <c r="E1614" s="21" t="s">
        <v>2222</v>
      </c>
      <c r="F1614" s="23" t="s">
        <v>3</v>
      </c>
      <c r="G1614" s="23" t="s">
        <v>4</v>
      </c>
      <c r="H1614" s="21" t="str">
        <f t="shared" si="25"/>
        <v>GW1_N960/BUGW-INFLOW</v>
      </c>
      <c r="I1614" s="24" t="s">
        <v>2308</v>
      </c>
      <c r="J1614" s="10" t="str">
        <f>VLOOKUP(Table1[[#This Row],[UID]],CS3SVComposerConfig!$B$3:$D$1808,3,FALSE)</f>
        <v>CVSWShed_FlowContribution3pcntWBA24_2013Init_2021.dss</v>
      </c>
      <c r="K1614" s="10" t="s">
        <v>2212</v>
      </c>
      <c r="L1614" s="10" t="s">
        <v>2212</v>
      </c>
      <c r="M1614" s="10" t="s">
        <v>2224</v>
      </c>
      <c r="N1614" s="10" t="s">
        <v>2225</v>
      </c>
      <c r="O1614" s="10" t="s">
        <v>2226</v>
      </c>
      <c r="P1614" s="39" t="s">
        <v>2227</v>
      </c>
    </row>
    <row r="1615" spans="2:16" ht="18" customHeight="1" x14ac:dyDescent="0.25">
      <c r="B1615" s="21" t="s">
        <v>0</v>
      </c>
      <c r="C1615" s="22" t="s">
        <v>279</v>
      </c>
      <c r="D1615" s="22" t="s">
        <v>72</v>
      </c>
      <c r="E1615" s="21" t="s">
        <v>2222</v>
      </c>
      <c r="F1615" s="23" t="s">
        <v>3</v>
      </c>
      <c r="G1615" s="23" t="s">
        <v>4</v>
      </c>
      <c r="H1615" s="21" t="str">
        <f t="shared" si="25"/>
        <v>GW1_N975/BUGW-INFLOW</v>
      </c>
      <c r="I1615" s="24" t="s">
        <v>2308</v>
      </c>
      <c r="J1615" s="10" t="str">
        <f>VLOOKUP(Table1[[#This Row],[UID]],CS3SVComposerConfig!$B$3:$D$1808,3,FALSE)</f>
        <v>CVSWShed_FlowContribution3pcntWBA24_2013Init_2021.dss</v>
      </c>
      <c r="K1615" s="10" t="s">
        <v>2212</v>
      </c>
      <c r="L1615" s="10" t="s">
        <v>2212</v>
      </c>
      <c r="M1615" s="10" t="s">
        <v>2224</v>
      </c>
      <c r="N1615" s="10" t="s">
        <v>2225</v>
      </c>
      <c r="O1615" s="10" t="s">
        <v>2226</v>
      </c>
      <c r="P1615" s="39" t="s">
        <v>2227</v>
      </c>
    </row>
    <row r="1616" spans="2:16" ht="18" customHeight="1" x14ac:dyDescent="0.25">
      <c r="B1616" s="21" t="s">
        <v>0</v>
      </c>
      <c r="C1616" s="22" t="s">
        <v>280</v>
      </c>
      <c r="D1616" s="22" t="s">
        <v>72</v>
      </c>
      <c r="E1616" s="21" t="s">
        <v>2222</v>
      </c>
      <c r="F1616" s="23" t="s">
        <v>3</v>
      </c>
      <c r="G1616" s="23" t="s">
        <v>4</v>
      </c>
      <c r="H1616" s="21" t="str">
        <f t="shared" si="25"/>
        <v>GW1_N976/BUGW-INFLOW</v>
      </c>
      <c r="I1616" s="24" t="s">
        <v>2308</v>
      </c>
      <c r="J1616" s="10" t="str">
        <f>VLOOKUP(Table1[[#This Row],[UID]],CS3SVComposerConfig!$B$3:$D$1808,3,FALSE)</f>
        <v>CVSWShed_FlowContribution3pcntWBA24_2013Init_2021.dss</v>
      </c>
      <c r="K1616" s="10" t="s">
        <v>2212</v>
      </c>
      <c r="L1616" s="10" t="s">
        <v>2212</v>
      </c>
      <c r="M1616" s="10" t="s">
        <v>2224</v>
      </c>
      <c r="N1616" s="10" t="s">
        <v>2225</v>
      </c>
      <c r="O1616" s="10" t="s">
        <v>2226</v>
      </c>
      <c r="P1616" s="39" t="s">
        <v>2227</v>
      </c>
    </row>
    <row r="1617" spans="2:16" ht="18" customHeight="1" x14ac:dyDescent="0.25">
      <c r="B1617" s="21" t="s">
        <v>0</v>
      </c>
      <c r="C1617" s="22" t="s">
        <v>281</v>
      </c>
      <c r="D1617" s="22" t="s">
        <v>72</v>
      </c>
      <c r="E1617" s="21" t="s">
        <v>2222</v>
      </c>
      <c r="F1617" s="23" t="s">
        <v>3</v>
      </c>
      <c r="G1617" s="23" t="s">
        <v>4</v>
      </c>
      <c r="H1617" s="21" t="str">
        <f t="shared" si="25"/>
        <v>GW1_N988/BUGW-INFLOW</v>
      </c>
      <c r="I1617" s="24" t="s">
        <v>2308</v>
      </c>
      <c r="J1617" s="10" t="str">
        <f>VLOOKUP(Table1[[#This Row],[UID]],CS3SVComposerConfig!$B$3:$D$1808,3,FALSE)</f>
        <v>CVSWShed_FlowContribution3pcntWBA24_2013Init_2021.dss</v>
      </c>
      <c r="K1617" s="10" t="s">
        <v>2212</v>
      </c>
      <c r="L1617" s="10" t="s">
        <v>2212</v>
      </c>
      <c r="M1617" s="10" t="s">
        <v>2224</v>
      </c>
      <c r="N1617" s="10" t="s">
        <v>2225</v>
      </c>
      <c r="O1617" s="10" t="s">
        <v>2226</v>
      </c>
      <c r="P1617" s="39" t="s">
        <v>2227</v>
      </c>
    </row>
    <row r="1618" spans="2:16" ht="18" customHeight="1" x14ac:dyDescent="0.25">
      <c r="B1618" s="21" t="s">
        <v>0</v>
      </c>
      <c r="C1618" s="22" t="s">
        <v>50</v>
      </c>
      <c r="D1618" s="22" t="s">
        <v>51</v>
      </c>
      <c r="E1618" s="21" t="s">
        <v>2222</v>
      </c>
      <c r="F1618" s="23" t="s">
        <v>3</v>
      </c>
      <c r="G1618" s="23" t="s">
        <v>4</v>
      </c>
      <c r="H1618" s="21" t="str">
        <f t="shared" si="25"/>
        <v>DP_GWR15/DEEP-PERCOLATION</v>
      </c>
      <c r="I1618" s="24" t="s">
        <v>2309</v>
      </c>
      <c r="J1618" s="10" t="str">
        <f>VLOOKUP(Table1[[#This Row],[UID]],CS3SVComposerConfig!$B$3:$D$1808,3,FALSE)</f>
        <v>DCR2023_SV_Danube_Hist_v3.dss</v>
      </c>
      <c r="K1618" s="10" t="s">
        <v>2212</v>
      </c>
      <c r="L1618" s="10" t="s">
        <v>2212</v>
      </c>
      <c r="M1618" s="10" t="s">
        <v>2224</v>
      </c>
      <c r="N1618" s="10" t="s">
        <v>2258</v>
      </c>
      <c r="O1618" s="10" t="s">
        <v>2282</v>
      </c>
      <c r="P1618" s="39">
        <v>0</v>
      </c>
    </row>
    <row r="1619" spans="2:16" ht="18" customHeight="1" x14ac:dyDescent="0.25">
      <c r="B1619" s="21" t="s">
        <v>0</v>
      </c>
      <c r="C1619" s="22" t="s">
        <v>55</v>
      </c>
      <c r="D1619" s="22" t="s">
        <v>51</v>
      </c>
      <c r="E1619" s="21" t="s">
        <v>2222</v>
      </c>
      <c r="F1619" s="23" t="s">
        <v>3</v>
      </c>
      <c r="G1619" s="23" t="s">
        <v>4</v>
      </c>
      <c r="H1619" s="21" t="str">
        <f t="shared" si="25"/>
        <v>DP_GWR16/DEEP-PERCOLATION</v>
      </c>
      <c r="I1619" s="24" t="s">
        <v>2309</v>
      </c>
      <c r="J1619" s="10" t="str">
        <f>VLOOKUP(Table1[[#This Row],[UID]],CS3SVComposerConfig!$B$3:$D$1808,3,FALSE)</f>
        <v>DCR2023_SV_Danube_Hist_v3.dss</v>
      </c>
      <c r="K1619" s="10" t="s">
        <v>2212</v>
      </c>
      <c r="L1619" s="10" t="s">
        <v>2212</v>
      </c>
      <c r="M1619" s="10" t="s">
        <v>2224</v>
      </c>
      <c r="N1619" s="10" t="s">
        <v>2258</v>
      </c>
      <c r="O1619" s="10" t="s">
        <v>2282</v>
      </c>
      <c r="P1619" s="39">
        <v>0</v>
      </c>
    </row>
    <row r="1620" spans="2:16" ht="18" customHeight="1" x14ac:dyDescent="0.25">
      <c r="B1620" s="21" t="s">
        <v>0</v>
      </c>
      <c r="C1620" s="22" t="s">
        <v>56</v>
      </c>
      <c r="D1620" s="22" t="s">
        <v>51</v>
      </c>
      <c r="E1620" s="21" t="s">
        <v>2222</v>
      </c>
      <c r="F1620" s="23" t="s">
        <v>3</v>
      </c>
      <c r="G1620" s="23" t="s">
        <v>4</v>
      </c>
      <c r="H1620" s="21" t="str">
        <f t="shared" si="25"/>
        <v>DP_GWR17/DEEP-PERCOLATION</v>
      </c>
      <c r="I1620" s="24" t="s">
        <v>2309</v>
      </c>
      <c r="J1620" s="10" t="str">
        <f>VLOOKUP(Table1[[#This Row],[UID]],CS3SVComposerConfig!$B$3:$D$1808,3,FALSE)</f>
        <v>DCR2023_SV_Danube_Hist_v3.dss</v>
      </c>
      <c r="K1620" s="10" t="s">
        <v>2212</v>
      </c>
      <c r="L1620" s="10" t="s">
        <v>2212</v>
      </c>
      <c r="M1620" s="10" t="s">
        <v>2224</v>
      </c>
      <c r="N1620" s="10" t="s">
        <v>2258</v>
      </c>
      <c r="O1620" s="10" t="s">
        <v>2282</v>
      </c>
      <c r="P1620" s="39">
        <v>0</v>
      </c>
    </row>
    <row r="1621" spans="2:16" ht="18" customHeight="1" x14ac:dyDescent="0.25">
      <c r="B1621" s="21" t="s">
        <v>0</v>
      </c>
      <c r="C1621" s="22" t="s">
        <v>57</v>
      </c>
      <c r="D1621" s="22" t="s">
        <v>51</v>
      </c>
      <c r="E1621" s="21" t="s">
        <v>2222</v>
      </c>
      <c r="F1621" s="23" t="s">
        <v>3</v>
      </c>
      <c r="G1621" s="23" t="s">
        <v>4</v>
      </c>
      <c r="H1621" s="21" t="str">
        <f t="shared" si="25"/>
        <v>DP_GWR18/DEEP-PERCOLATION</v>
      </c>
      <c r="I1621" s="24" t="s">
        <v>2309</v>
      </c>
      <c r="J1621" s="10" t="str">
        <f>VLOOKUP(Table1[[#This Row],[UID]],CS3SVComposerConfig!$B$3:$D$1808,3,FALSE)</f>
        <v>DCR2023_SV_Danube_Hist_v3.dss</v>
      </c>
      <c r="K1621" s="10" t="s">
        <v>2212</v>
      </c>
      <c r="L1621" s="10" t="s">
        <v>2212</v>
      </c>
      <c r="M1621" s="10" t="s">
        <v>2224</v>
      </c>
      <c r="N1621" s="10" t="s">
        <v>2258</v>
      </c>
      <c r="O1621" s="10" t="s">
        <v>2282</v>
      </c>
      <c r="P1621" s="39">
        <v>0</v>
      </c>
    </row>
    <row r="1622" spans="2:16" ht="18" customHeight="1" x14ac:dyDescent="0.25">
      <c r="B1622" s="21" t="s">
        <v>0</v>
      </c>
      <c r="C1622" s="22" t="s">
        <v>58</v>
      </c>
      <c r="D1622" s="22" t="s">
        <v>51</v>
      </c>
      <c r="E1622" s="21" t="s">
        <v>2222</v>
      </c>
      <c r="F1622" s="23" t="s">
        <v>3</v>
      </c>
      <c r="G1622" s="23" t="s">
        <v>4</v>
      </c>
      <c r="H1622" s="21" t="str">
        <f t="shared" si="25"/>
        <v>DP_GWR19/DEEP-PERCOLATION</v>
      </c>
      <c r="I1622" s="24" t="s">
        <v>2309</v>
      </c>
      <c r="J1622" s="10" t="str">
        <f>VLOOKUP(Table1[[#This Row],[UID]],CS3SVComposerConfig!$B$3:$D$1808,3,FALSE)</f>
        <v>DCR2023_SV_Danube_Hist_v3.dss</v>
      </c>
      <c r="K1622" s="10" t="s">
        <v>2212</v>
      </c>
      <c r="L1622" s="10" t="s">
        <v>2212</v>
      </c>
      <c r="M1622" s="10" t="s">
        <v>2224</v>
      </c>
      <c r="N1622" s="10" t="s">
        <v>2258</v>
      </c>
      <c r="O1622" s="10" t="s">
        <v>2282</v>
      </c>
      <c r="P1622" s="39">
        <v>0</v>
      </c>
    </row>
    <row r="1623" spans="2:16" ht="18" customHeight="1" x14ac:dyDescent="0.25">
      <c r="B1623" s="21" t="s">
        <v>0</v>
      </c>
      <c r="C1623" s="22" t="s">
        <v>59</v>
      </c>
      <c r="D1623" s="22" t="s">
        <v>51</v>
      </c>
      <c r="E1623" s="21" t="s">
        <v>2222</v>
      </c>
      <c r="F1623" s="23" t="s">
        <v>3</v>
      </c>
      <c r="G1623" s="23" t="s">
        <v>4</v>
      </c>
      <c r="H1623" s="21" t="str">
        <f t="shared" si="25"/>
        <v>DP_GWR20/DEEP-PERCOLATION</v>
      </c>
      <c r="I1623" s="24" t="s">
        <v>2309</v>
      </c>
      <c r="J1623" s="10" t="str">
        <f>VLOOKUP(Table1[[#This Row],[UID]],CS3SVComposerConfig!$B$3:$D$1808,3,FALSE)</f>
        <v>DCR2023_SV_Danube_Hist_v3.dss</v>
      </c>
      <c r="K1623" s="10" t="s">
        <v>2212</v>
      </c>
      <c r="L1623" s="10" t="s">
        <v>2212</v>
      </c>
      <c r="M1623" s="10" t="s">
        <v>2224</v>
      </c>
      <c r="N1623" s="10" t="s">
        <v>2258</v>
      </c>
      <c r="O1623" s="10" t="s">
        <v>2282</v>
      </c>
      <c r="P1623" s="39">
        <v>0</v>
      </c>
    </row>
    <row r="1624" spans="2:16" ht="18" customHeight="1" x14ac:dyDescent="0.25">
      <c r="B1624" s="21" t="s">
        <v>0</v>
      </c>
      <c r="C1624" s="22" t="s">
        <v>60</v>
      </c>
      <c r="D1624" s="22" t="s">
        <v>51</v>
      </c>
      <c r="E1624" s="21" t="s">
        <v>2222</v>
      </c>
      <c r="F1624" s="23" t="s">
        <v>3</v>
      </c>
      <c r="G1624" s="23" t="s">
        <v>4</v>
      </c>
      <c r="H1624" s="21" t="str">
        <f t="shared" si="25"/>
        <v>DP_GWR21/DEEP-PERCOLATION</v>
      </c>
      <c r="I1624" s="24" t="s">
        <v>2309</v>
      </c>
      <c r="J1624" s="10" t="str">
        <f>VLOOKUP(Table1[[#This Row],[UID]],CS3SVComposerConfig!$B$3:$D$1808,3,FALSE)</f>
        <v>DCR2023_SV_Danube_Hist_v3.dss</v>
      </c>
      <c r="K1624" s="10" t="s">
        <v>2212</v>
      </c>
      <c r="L1624" s="10" t="s">
        <v>2212</v>
      </c>
      <c r="M1624" s="10" t="s">
        <v>2224</v>
      </c>
      <c r="N1624" s="10" t="s">
        <v>2258</v>
      </c>
      <c r="O1624" s="10" t="s">
        <v>2282</v>
      </c>
      <c r="P1624" s="39">
        <v>0</v>
      </c>
    </row>
    <row r="1625" spans="2:16" ht="18" customHeight="1" x14ac:dyDescent="0.25">
      <c r="B1625" s="21" t="s">
        <v>0</v>
      </c>
      <c r="C1625" s="22" t="s">
        <v>63</v>
      </c>
      <c r="D1625" s="22" t="s">
        <v>64</v>
      </c>
      <c r="E1625" s="21" t="s">
        <v>2222</v>
      </c>
      <c r="F1625" s="23" t="s">
        <v>3</v>
      </c>
      <c r="G1625" s="23" t="s">
        <v>4</v>
      </c>
      <c r="H1625" s="21" t="str">
        <f t="shared" si="25"/>
        <v>GP_GWR15/PUMPING</v>
      </c>
      <c r="I1625" s="24" t="s">
        <v>2309</v>
      </c>
      <c r="J1625" s="10" t="str">
        <f>VLOOKUP(Table1[[#This Row],[UID]],CS3SVComposerConfig!$B$3:$D$1808,3,FALSE)</f>
        <v>DCR2023_SV_Danube_Hist_v3.dss</v>
      </c>
      <c r="K1625" s="10" t="s">
        <v>2212</v>
      </c>
      <c r="L1625" s="10" t="s">
        <v>2212</v>
      </c>
      <c r="M1625" s="10" t="s">
        <v>2224</v>
      </c>
      <c r="N1625" s="10" t="s">
        <v>2258</v>
      </c>
      <c r="O1625" s="10" t="s">
        <v>2282</v>
      </c>
      <c r="P1625" s="39">
        <v>0</v>
      </c>
    </row>
    <row r="1626" spans="2:16" ht="18" customHeight="1" x14ac:dyDescent="0.25">
      <c r="B1626" s="21" t="s">
        <v>0</v>
      </c>
      <c r="C1626" s="22" t="s">
        <v>65</v>
      </c>
      <c r="D1626" s="22" t="s">
        <v>64</v>
      </c>
      <c r="E1626" s="21" t="s">
        <v>2222</v>
      </c>
      <c r="F1626" s="23" t="s">
        <v>3</v>
      </c>
      <c r="G1626" s="23" t="s">
        <v>4</v>
      </c>
      <c r="H1626" s="21" t="str">
        <f t="shared" si="25"/>
        <v>GP_GWR16/PUMPING</v>
      </c>
      <c r="I1626" s="24" t="s">
        <v>2309</v>
      </c>
      <c r="J1626" s="10" t="str">
        <f>VLOOKUP(Table1[[#This Row],[UID]],CS3SVComposerConfig!$B$3:$D$1808,3,FALSE)</f>
        <v>DCR2023_SV_Danube_Hist_v3.dss</v>
      </c>
      <c r="K1626" s="10" t="s">
        <v>2212</v>
      </c>
      <c r="L1626" s="10" t="s">
        <v>2212</v>
      </c>
      <c r="M1626" s="10" t="s">
        <v>2224</v>
      </c>
      <c r="N1626" s="10" t="s">
        <v>2258</v>
      </c>
      <c r="O1626" s="10" t="s">
        <v>2282</v>
      </c>
      <c r="P1626" s="39">
        <v>0</v>
      </c>
    </row>
    <row r="1627" spans="2:16" ht="18" customHeight="1" x14ac:dyDescent="0.25">
      <c r="B1627" s="21" t="s">
        <v>0</v>
      </c>
      <c r="C1627" s="22" t="s">
        <v>66</v>
      </c>
      <c r="D1627" s="22" t="s">
        <v>64</v>
      </c>
      <c r="E1627" s="21" t="s">
        <v>2222</v>
      </c>
      <c r="F1627" s="23" t="s">
        <v>3</v>
      </c>
      <c r="G1627" s="23" t="s">
        <v>4</v>
      </c>
      <c r="H1627" s="21" t="str">
        <f t="shared" si="25"/>
        <v>GP_GWR17/PUMPING</v>
      </c>
      <c r="I1627" s="24" t="s">
        <v>2309</v>
      </c>
      <c r="J1627" s="10" t="str">
        <f>VLOOKUP(Table1[[#This Row],[UID]],CS3SVComposerConfig!$B$3:$D$1808,3,FALSE)</f>
        <v>DCR2023_SV_Danube_Hist_v3.dss</v>
      </c>
      <c r="K1627" s="10" t="s">
        <v>2212</v>
      </c>
      <c r="L1627" s="10" t="s">
        <v>2212</v>
      </c>
      <c r="M1627" s="10" t="s">
        <v>2224</v>
      </c>
      <c r="N1627" s="10" t="s">
        <v>2258</v>
      </c>
      <c r="O1627" s="10" t="s">
        <v>2282</v>
      </c>
      <c r="P1627" s="39">
        <v>0</v>
      </c>
    </row>
    <row r="1628" spans="2:16" ht="18" customHeight="1" x14ac:dyDescent="0.25">
      <c r="B1628" s="21" t="s">
        <v>0</v>
      </c>
      <c r="C1628" s="22" t="s">
        <v>67</v>
      </c>
      <c r="D1628" s="22" t="s">
        <v>64</v>
      </c>
      <c r="E1628" s="21" t="s">
        <v>2222</v>
      </c>
      <c r="F1628" s="23" t="s">
        <v>3</v>
      </c>
      <c r="G1628" s="23" t="s">
        <v>4</v>
      </c>
      <c r="H1628" s="21" t="str">
        <f t="shared" si="25"/>
        <v>GP_GWR18/PUMPING</v>
      </c>
      <c r="I1628" s="24" t="s">
        <v>2309</v>
      </c>
      <c r="J1628" s="10" t="str">
        <f>VLOOKUP(Table1[[#This Row],[UID]],CS3SVComposerConfig!$B$3:$D$1808,3,FALSE)</f>
        <v>DCR2023_SV_Danube_Hist_v3.dss</v>
      </c>
      <c r="K1628" s="10" t="s">
        <v>2212</v>
      </c>
      <c r="L1628" s="10" t="s">
        <v>2212</v>
      </c>
      <c r="M1628" s="10" t="s">
        <v>2224</v>
      </c>
      <c r="N1628" s="10" t="s">
        <v>2258</v>
      </c>
      <c r="O1628" s="10" t="s">
        <v>2282</v>
      </c>
      <c r="P1628" s="39">
        <v>0</v>
      </c>
    </row>
    <row r="1629" spans="2:16" ht="18" customHeight="1" x14ac:dyDescent="0.25">
      <c r="B1629" s="21" t="s">
        <v>0</v>
      </c>
      <c r="C1629" s="22" t="s">
        <v>68</v>
      </c>
      <c r="D1629" s="22" t="s">
        <v>64</v>
      </c>
      <c r="E1629" s="21" t="s">
        <v>2222</v>
      </c>
      <c r="F1629" s="23" t="s">
        <v>3</v>
      </c>
      <c r="G1629" s="23" t="s">
        <v>4</v>
      </c>
      <c r="H1629" s="21" t="str">
        <f t="shared" si="25"/>
        <v>GP_GWR19/PUMPING</v>
      </c>
      <c r="I1629" s="24" t="s">
        <v>2309</v>
      </c>
      <c r="J1629" s="10" t="str">
        <f>VLOOKUP(Table1[[#This Row],[UID]],CS3SVComposerConfig!$B$3:$D$1808,3,FALSE)</f>
        <v>DCR2023_SV_Danube_Hist_v3.dss</v>
      </c>
      <c r="K1629" s="10" t="s">
        <v>2212</v>
      </c>
      <c r="L1629" s="10" t="s">
        <v>2212</v>
      </c>
      <c r="M1629" s="10" t="s">
        <v>2224</v>
      </c>
      <c r="N1629" s="10" t="s">
        <v>2258</v>
      </c>
      <c r="O1629" s="10" t="s">
        <v>2282</v>
      </c>
      <c r="P1629" s="39">
        <v>0</v>
      </c>
    </row>
    <row r="1630" spans="2:16" ht="18" customHeight="1" x14ac:dyDescent="0.25">
      <c r="B1630" s="21" t="s">
        <v>0</v>
      </c>
      <c r="C1630" s="22" t="s">
        <v>69</v>
      </c>
      <c r="D1630" s="22" t="s">
        <v>64</v>
      </c>
      <c r="E1630" s="21" t="s">
        <v>2222</v>
      </c>
      <c r="F1630" s="23" t="s">
        <v>3</v>
      </c>
      <c r="G1630" s="23" t="s">
        <v>4</v>
      </c>
      <c r="H1630" s="21" t="str">
        <f t="shared" si="25"/>
        <v>GP_GWR20/PUMPING</v>
      </c>
      <c r="I1630" s="24" t="s">
        <v>2309</v>
      </c>
      <c r="J1630" s="10" t="str">
        <f>VLOOKUP(Table1[[#This Row],[UID]],CS3SVComposerConfig!$B$3:$D$1808,3,FALSE)</f>
        <v>DCR2023_SV_Danube_Hist_v3.dss</v>
      </c>
      <c r="K1630" s="10" t="s">
        <v>2212</v>
      </c>
      <c r="L1630" s="10" t="s">
        <v>2212</v>
      </c>
      <c r="M1630" s="10" t="s">
        <v>2224</v>
      </c>
      <c r="N1630" s="10" t="s">
        <v>2258</v>
      </c>
      <c r="O1630" s="10" t="s">
        <v>2282</v>
      </c>
      <c r="P1630" s="39">
        <v>0</v>
      </c>
    </row>
    <row r="1631" spans="2:16" ht="18" customHeight="1" x14ac:dyDescent="0.25">
      <c r="B1631" s="21" t="s">
        <v>0</v>
      </c>
      <c r="C1631" s="22" t="s">
        <v>70</v>
      </c>
      <c r="D1631" s="22" t="s">
        <v>64</v>
      </c>
      <c r="E1631" s="21" t="s">
        <v>2222</v>
      </c>
      <c r="F1631" s="23" t="s">
        <v>3</v>
      </c>
      <c r="G1631" s="23" t="s">
        <v>4</v>
      </c>
      <c r="H1631" s="21" t="str">
        <f t="shared" si="25"/>
        <v>GP_GWR21/PUMPING</v>
      </c>
      <c r="I1631" s="24" t="s">
        <v>2309</v>
      </c>
      <c r="J1631" s="10" t="str">
        <f>VLOOKUP(Table1[[#This Row],[UID]],CS3SVComposerConfig!$B$3:$D$1808,3,FALSE)</f>
        <v>DCR2023_SV_Danube_Hist_v3.dss</v>
      </c>
      <c r="K1631" s="10" t="s">
        <v>2212</v>
      </c>
      <c r="L1631" s="10" t="s">
        <v>2212</v>
      </c>
      <c r="M1631" s="10" t="s">
        <v>2224</v>
      </c>
      <c r="N1631" s="10" t="s">
        <v>2258</v>
      </c>
      <c r="O1631" s="10" t="s">
        <v>2282</v>
      </c>
      <c r="P1631" s="39">
        <v>0</v>
      </c>
    </row>
    <row r="1632" spans="2:16" ht="18" customHeight="1" x14ac:dyDescent="0.25">
      <c r="B1632" s="21" t="s">
        <v>0</v>
      </c>
      <c r="C1632" s="22" t="s">
        <v>2126</v>
      </c>
      <c r="D1632" s="22" t="s">
        <v>2043</v>
      </c>
      <c r="E1632" s="21" t="s">
        <v>2222</v>
      </c>
      <c r="F1632" s="23" t="s">
        <v>3</v>
      </c>
      <c r="G1632" s="23" t="s">
        <v>4</v>
      </c>
      <c r="H1632" s="21" t="str">
        <f t="shared" si="25"/>
        <v>C_BRR050_NID_SV/CHANNEL</v>
      </c>
      <c r="I1632" s="24" t="s">
        <v>2310</v>
      </c>
      <c r="J1632" s="10" t="str">
        <f>VLOOKUP(Table1[[#This Row],[UID]],CS3SVComposerConfig!$B$3:$D$1808,3,FALSE)</f>
        <v>DCR2023_SV_Danube_Hist_v3.dss</v>
      </c>
      <c r="K1632" s="10" t="s">
        <v>2212</v>
      </c>
      <c r="L1632" s="10" t="s">
        <v>2212</v>
      </c>
      <c r="M1632" s="10" t="s">
        <v>2212</v>
      </c>
      <c r="N1632" s="10" t="s">
        <v>2227</v>
      </c>
      <c r="O1632" s="10" t="s">
        <v>2227</v>
      </c>
      <c r="P1632" s="39" t="s">
        <v>2227</v>
      </c>
    </row>
    <row r="1633" spans="2:16" ht="18" customHeight="1" x14ac:dyDescent="0.25">
      <c r="B1633" s="21" t="s">
        <v>0</v>
      </c>
      <c r="C1633" s="22" t="s">
        <v>2128</v>
      </c>
      <c r="D1633" s="22" t="s">
        <v>2043</v>
      </c>
      <c r="E1633" s="21" t="s">
        <v>2222</v>
      </c>
      <c r="F1633" s="23" t="s">
        <v>3</v>
      </c>
      <c r="G1633" s="23" t="s">
        <v>4</v>
      </c>
      <c r="H1633" s="21" t="str">
        <f t="shared" si="25"/>
        <v>C_BRR050_PGE_SV/CHANNEL</v>
      </c>
      <c r="I1633" s="24" t="s">
        <v>2310</v>
      </c>
      <c r="J1633" s="10" t="str">
        <f>VLOOKUP(Table1[[#This Row],[UID]],CS3SVComposerConfig!$B$3:$D$1808,3,FALSE)</f>
        <v>DCR2023_SV_Danube_Hist_v3.dss</v>
      </c>
      <c r="K1633" s="10" t="s">
        <v>2212</v>
      </c>
      <c r="L1633" s="10" t="s">
        <v>2212</v>
      </c>
      <c r="M1633" s="10" t="s">
        <v>2212</v>
      </c>
      <c r="N1633" s="10" t="s">
        <v>2227</v>
      </c>
      <c r="O1633" s="10" t="s">
        <v>2227</v>
      </c>
      <c r="P1633" s="39" t="s">
        <v>2227</v>
      </c>
    </row>
    <row r="1634" spans="2:16" ht="18" customHeight="1" x14ac:dyDescent="0.25">
      <c r="B1634" s="21" t="s">
        <v>0</v>
      </c>
      <c r="C1634" s="22" t="s">
        <v>2129</v>
      </c>
      <c r="D1634" s="22" t="s">
        <v>2043</v>
      </c>
      <c r="E1634" s="21" t="s">
        <v>2222</v>
      </c>
      <c r="F1634" s="23" t="s">
        <v>3</v>
      </c>
      <c r="G1634" s="23" t="s">
        <v>4</v>
      </c>
      <c r="H1634" s="21" t="str">
        <f t="shared" si="25"/>
        <v>C_BRR050_SV/CHANNEL</v>
      </c>
      <c r="I1634" s="24" t="s">
        <v>2310</v>
      </c>
      <c r="J1634" s="10" t="str">
        <f>VLOOKUP(Table1[[#This Row],[UID]],CS3SVComposerConfig!$B$3:$D$1808,3,FALSE)</f>
        <v>DCR2023_SV_Danube_Hist_v3.dss</v>
      </c>
      <c r="K1634" s="10" t="s">
        <v>2212</v>
      </c>
      <c r="L1634" s="10" t="s">
        <v>2212</v>
      </c>
      <c r="M1634" s="10" t="s">
        <v>2212</v>
      </c>
      <c r="N1634" s="10" t="s">
        <v>2227</v>
      </c>
      <c r="O1634" s="10" t="s">
        <v>2227</v>
      </c>
      <c r="P1634" s="39" t="s">
        <v>2227</v>
      </c>
    </row>
    <row r="1635" spans="2:16" ht="18" customHeight="1" x14ac:dyDescent="0.25">
      <c r="B1635" s="21" t="s">
        <v>0</v>
      </c>
      <c r="C1635" s="22" t="s">
        <v>2130</v>
      </c>
      <c r="D1635" s="22" t="s">
        <v>2043</v>
      </c>
      <c r="E1635" s="21" t="s">
        <v>2222</v>
      </c>
      <c r="F1635" s="23" t="s">
        <v>3</v>
      </c>
      <c r="G1635" s="23" t="s">
        <v>4</v>
      </c>
      <c r="H1635" s="21" t="str">
        <f t="shared" si="25"/>
        <v>C_CBC000_SV/CHANNEL</v>
      </c>
      <c r="I1635" s="24" t="s">
        <v>2310</v>
      </c>
      <c r="J1635" s="10" t="str">
        <f>VLOOKUP(Table1[[#This Row],[UID]],CS3SVComposerConfig!$B$3:$D$1808,3,FALSE)</f>
        <v>DCR2023_SV_Danube_Hist_v3.dss</v>
      </c>
      <c r="K1635" s="10" t="s">
        <v>2212</v>
      </c>
      <c r="L1635" s="10" t="s">
        <v>2212</v>
      </c>
      <c r="M1635" s="10" t="s">
        <v>2212</v>
      </c>
      <c r="N1635" s="10" t="s">
        <v>2227</v>
      </c>
      <c r="O1635" s="10" t="s">
        <v>2227</v>
      </c>
      <c r="P1635" s="39" t="s">
        <v>2227</v>
      </c>
    </row>
    <row r="1636" spans="2:16" ht="18" customHeight="1" x14ac:dyDescent="0.25">
      <c r="B1636" s="21" t="s">
        <v>0</v>
      </c>
      <c r="C1636" s="22" t="s">
        <v>2131</v>
      </c>
      <c r="D1636" s="22" t="s">
        <v>2043</v>
      </c>
      <c r="E1636" s="21" t="s">
        <v>2222</v>
      </c>
      <c r="F1636" s="23" t="s">
        <v>3</v>
      </c>
      <c r="G1636" s="23" t="s">
        <v>4</v>
      </c>
      <c r="H1636" s="21" t="str">
        <f t="shared" si="25"/>
        <v>C_CMBIE_SV/CHANNEL</v>
      </c>
      <c r="I1636" s="24" t="s">
        <v>2310</v>
      </c>
      <c r="J1636" s="10" t="str">
        <f>VLOOKUP(Table1[[#This Row],[UID]],CS3SVComposerConfig!$B$3:$D$1808,3,FALSE)</f>
        <v>DCR2023_SV_Danube_Hist_v3.dss</v>
      </c>
      <c r="K1636" s="10" t="s">
        <v>2212</v>
      </c>
      <c r="L1636" s="10" t="s">
        <v>2212</v>
      </c>
      <c r="M1636" s="10" t="s">
        <v>2212</v>
      </c>
      <c r="N1636" s="10" t="s">
        <v>2227</v>
      </c>
      <c r="O1636" s="10" t="s">
        <v>2227</v>
      </c>
      <c r="P1636" s="39" t="s">
        <v>2227</v>
      </c>
    </row>
    <row r="1637" spans="2:16" ht="18" customHeight="1" x14ac:dyDescent="0.25">
      <c r="B1637" s="21" t="s">
        <v>0</v>
      </c>
      <c r="C1637" s="22" t="s">
        <v>2059</v>
      </c>
      <c r="D1637" s="22" t="s">
        <v>2043</v>
      </c>
      <c r="E1637" s="21" t="s">
        <v>2222</v>
      </c>
      <c r="F1637" s="23" t="s">
        <v>3</v>
      </c>
      <c r="G1637" s="23" t="s">
        <v>4</v>
      </c>
      <c r="H1637" s="21" t="str">
        <f t="shared" si="25"/>
        <v>C_CMP014_SV/CHANNEL</v>
      </c>
      <c r="I1637" s="24" t="s">
        <v>2310</v>
      </c>
      <c r="J1637" s="10" t="str">
        <f>VLOOKUP(Table1[[#This Row],[UID]],CS3SVComposerConfig!$B$3:$D$1808,3,FALSE)</f>
        <v>DCR2023_SV_Danube_Hist_v3.dss</v>
      </c>
      <c r="K1637" s="10" t="s">
        <v>2212</v>
      </c>
      <c r="L1637" s="10" t="s">
        <v>2212</v>
      </c>
      <c r="M1637" s="10" t="s">
        <v>2212</v>
      </c>
      <c r="N1637" s="10" t="s">
        <v>2227</v>
      </c>
      <c r="O1637" s="10" t="s">
        <v>2227</v>
      </c>
      <c r="P1637" s="39" t="s">
        <v>2227</v>
      </c>
    </row>
    <row r="1638" spans="2:16" ht="18" customHeight="1" x14ac:dyDescent="0.25">
      <c r="B1638" s="21" t="s">
        <v>0</v>
      </c>
      <c r="C1638" s="22" t="s">
        <v>2042</v>
      </c>
      <c r="D1638" s="22" t="s">
        <v>2043</v>
      </c>
      <c r="E1638" s="21" t="s">
        <v>2222</v>
      </c>
      <c r="F1638" s="23" t="s">
        <v>3</v>
      </c>
      <c r="G1638" s="23" t="s">
        <v>4</v>
      </c>
      <c r="H1638" s="21" t="str">
        <f t="shared" si="25"/>
        <v>C_DER001_SV/CHANNEL</v>
      </c>
      <c r="I1638" s="24" t="s">
        <v>2310</v>
      </c>
      <c r="J1638" s="10" t="str">
        <f>VLOOKUP(Table1[[#This Row],[UID]],CS3SVComposerConfig!$B$3:$D$1808,3,FALSE)</f>
        <v>DCR2023_SV_Danube_Hist_v3.dss</v>
      </c>
      <c r="K1638" s="10" t="s">
        <v>2212</v>
      </c>
      <c r="L1638" s="10" t="s">
        <v>2212</v>
      </c>
      <c r="M1638" s="10" t="s">
        <v>2224</v>
      </c>
      <c r="N1638" s="10" t="s">
        <v>2258</v>
      </c>
      <c r="O1638" s="10" t="s">
        <v>2259</v>
      </c>
      <c r="P1638" s="39">
        <v>0.89</v>
      </c>
    </row>
    <row r="1639" spans="2:16" ht="18" customHeight="1" x14ac:dyDescent="0.25">
      <c r="B1639" s="21" t="s">
        <v>0</v>
      </c>
      <c r="C1639" s="22" t="s">
        <v>2097</v>
      </c>
      <c r="D1639" s="22" t="s">
        <v>2043</v>
      </c>
      <c r="E1639" s="21" t="s">
        <v>2222</v>
      </c>
      <c r="F1639" s="23" t="s">
        <v>3</v>
      </c>
      <c r="G1639" s="23" t="s">
        <v>4</v>
      </c>
      <c r="H1639" s="21" t="str">
        <f t="shared" si="25"/>
        <v>C_FTR074_SV/CHANNEL</v>
      </c>
      <c r="I1639" s="24" t="s">
        <v>2310</v>
      </c>
      <c r="J1639" s="10" t="str">
        <f>VLOOKUP(Table1[[#This Row],[UID]],CS3SVComposerConfig!$B$3:$D$1808,3,FALSE)</f>
        <v>DCR2023_SV_Danube_Hist_v3.dss</v>
      </c>
      <c r="K1639" s="10" t="s">
        <v>2212</v>
      </c>
      <c r="L1639" s="10" t="s">
        <v>2212</v>
      </c>
      <c r="M1639" s="10" t="s">
        <v>2212</v>
      </c>
      <c r="N1639" s="10" t="s">
        <v>2227</v>
      </c>
      <c r="O1639" s="10" t="s">
        <v>2227</v>
      </c>
      <c r="P1639" s="39" t="s">
        <v>2227</v>
      </c>
    </row>
    <row r="1640" spans="2:16" ht="18" customHeight="1" x14ac:dyDescent="0.25">
      <c r="B1640" s="21" t="s">
        <v>0</v>
      </c>
      <c r="C1640" s="22" t="s">
        <v>2061</v>
      </c>
      <c r="D1640" s="22" t="s">
        <v>2043</v>
      </c>
      <c r="E1640" s="21" t="s">
        <v>2222</v>
      </c>
      <c r="F1640" s="23" t="s">
        <v>3</v>
      </c>
      <c r="G1640" s="23" t="s">
        <v>4</v>
      </c>
      <c r="H1640" s="21" t="str">
        <f t="shared" si="25"/>
        <v>C_JNKSN_SV/CHANNEL</v>
      </c>
      <c r="I1640" s="24" t="s">
        <v>2310</v>
      </c>
      <c r="J1640" s="10" t="str">
        <f>VLOOKUP(Table1[[#This Row],[UID]],CS3SVComposerConfig!$B$3:$D$1808,3,FALSE)</f>
        <v>DCR2023_SV_Danube_Hist_v3.dss</v>
      </c>
      <c r="K1640" s="10" t="s">
        <v>2212</v>
      </c>
      <c r="L1640" s="10" t="s">
        <v>2212</v>
      </c>
      <c r="M1640" s="10" t="s">
        <v>2212</v>
      </c>
      <c r="N1640" s="10" t="s">
        <v>2227</v>
      </c>
      <c r="O1640" s="10" t="s">
        <v>2227</v>
      </c>
      <c r="P1640" s="39" t="s">
        <v>2227</v>
      </c>
    </row>
    <row r="1641" spans="2:16" ht="18" customHeight="1" x14ac:dyDescent="0.25">
      <c r="B1641" s="21" t="s">
        <v>0</v>
      </c>
      <c r="C1641" s="22" t="s">
        <v>2099</v>
      </c>
      <c r="D1641" s="22" t="s">
        <v>2043</v>
      </c>
      <c r="E1641" s="21" t="s">
        <v>2222</v>
      </c>
      <c r="F1641" s="23" t="s">
        <v>3</v>
      </c>
      <c r="G1641" s="23" t="s">
        <v>4</v>
      </c>
      <c r="H1641" s="21" t="str">
        <f t="shared" si="25"/>
        <v>C_KRT000_SV/CHANNEL</v>
      </c>
      <c r="I1641" s="24" t="s">
        <v>2310</v>
      </c>
      <c r="J1641" s="10" t="str">
        <f>VLOOKUP(Table1[[#This Row],[UID]],CS3SVComposerConfig!$B$3:$D$1808,3,FALSE)</f>
        <v>DCR2023_SV_Danube_Hist_v3.dss</v>
      </c>
      <c r="K1641" s="10" t="s">
        <v>2212</v>
      </c>
      <c r="L1641" s="10" t="s">
        <v>2212</v>
      </c>
      <c r="M1641" s="10" t="s">
        <v>2212</v>
      </c>
      <c r="N1641" s="10" t="s">
        <v>2227</v>
      </c>
      <c r="O1641" s="10" t="s">
        <v>2227</v>
      </c>
      <c r="P1641" s="39" t="s">
        <v>2227</v>
      </c>
    </row>
    <row r="1642" spans="2:16" ht="18" customHeight="1" x14ac:dyDescent="0.25">
      <c r="B1642" s="21" t="s">
        <v>0</v>
      </c>
      <c r="C1642" s="22" t="s">
        <v>2132</v>
      </c>
      <c r="D1642" s="22" t="s">
        <v>2043</v>
      </c>
      <c r="E1642" s="21" t="s">
        <v>2222</v>
      </c>
      <c r="F1642" s="23" t="s">
        <v>3</v>
      </c>
      <c r="G1642" s="23" t="s">
        <v>4</v>
      </c>
      <c r="H1642" s="21" t="str">
        <f t="shared" si="25"/>
        <v>C_LBC010_SV/CHANNEL</v>
      </c>
      <c r="I1642" s="24" t="s">
        <v>2310</v>
      </c>
      <c r="J1642" s="10" t="str">
        <f>VLOOKUP(Table1[[#This Row],[UID]],CS3SVComposerConfig!$B$3:$D$1808,3,FALSE)</f>
        <v>DCR2023_SV_Danube_Hist_v3.dss</v>
      </c>
      <c r="K1642" s="10" t="s">
        <v>2212</v>
      </c>
      <c r="L1642" s="10" t="s">
        <v>2212</v>
      </c>
      <c r="M1642" s="10" t="s">
        <v>2212</v>
      </c>
      <c r="N1642" s="10" t="s">
        <v>2227</v>
      </c>
      <c r="O1642" s="10" t="s">
        <v>2227</v>
      </c>
      <c r="P1642" s="39" t="s">
        <v>2227</v>
      </c>
    </row>
    <row r="1643" spans="2:16" ht="18" customHeight="1" x14ac:dyDescent="0.25">
      <c r="B1643" s="21" t="s">
        <v>0</v>
      </c>
      <c r="C1643" s="22" t="s">
        <v>2045</v>
      </c>
      <c r="D1643" s="22" t="s">
        <v>2043</v>
      </c>
      <c r="E1643" s="21" t="s">
        <v>2222</v>
      </c>
      <c r="F1643" s="23" t="s">
        <v>3</v>
      </c>
      <c r="G1643" s="23" t="s">
        <v>4</v>
      </c>
      <c r="H1643" s="21" t="str">
        <f t="shared" si="25"/>
        <v>C_MERLC_SV/CHANNEL</v>
      </c>
      <c r="I1643" s="24" t="s">
        <v>2310</v>
      </c>
      <c r="J1643" s="10" t="str">
        <f>VLOOKUP(Table1[[#This Row],[UID]],CS3SVComposerConfig!$B$3:$D$1808,3,FALSE)</f>
        <v>DCR2023_SV_Danube_Hist_v3.dss</v>
      </c>
      <c r="K1643" s="10" t="s">
        <v>2212</v>
      </c>
      <c r="L1643" s="10" t="s">
        <v>2212</v>
      </c>
      <c r="M1643" s="10" t="s">
        <v>2212</v>
      </c>
      <c r="N1643" s="10" t="s">
        <v>2227</v>
      </c>
      <c r="O1643" s="10" t="s">
        <v>2227</v>
      </c>
      <c r="P1643" s="39" t="s">
        <v>2227</v>
      </c>
    </row>
    <row r="1644" spans="2:16" ht="18" customHeight="1" x14ac:dyDescent="0.25">
      <c r="B1644" s="21" t="s">
        <v>0</v>
      </c>
      <c r="C1644" s="22" t="s">
        <v>2133</v>
      </c>
      <c r="D1644" s="22" t="s">
        <v>2043</v>
      </c>
      <c r="E1644" s="21" t="s">
        <v>2222</v>
      </c>
      <c r="F1644" s="23" t="s">
        <v>3</v>
      </c>
      <c r="G1644" s="23" t="s">
        <v>4</v>
      </c>
      <c r="H1644" s="21" t="str">
        <f t="shared" si="25"/>
        <v>C_MFY044_SV/CHANNEL</v>
      </c>
      <c r="I1644" s="24" t="s">
        <v>2310</v>
      </c>
      <c r="J1644" s="10" t="str">
        <f>VLOOKUP(Table1[[#This Row],[UID]],CS3SVComposerConfig!$B$3:$D$1808,3,FALSE)</f>
        <v>DCR2023_SV_Danube_Hist_v3.dss</v>
      </c>
      <c r="K1644" s="10" t="s">
        <v>2212</v>
      </c>
      <c r="L1644" s="10" t="s">
        <v>2212</v>
      </c>
      <c r="M1644" s="10" t="s">
        <v>2224</v>
      </c>
      <c r="N1644" s="10" t="s">
        <v>2258</v>
      </c>
      <c r="O1644" s="10" t="s">
        <v>2276</v>
      </c>
      <c r="P1644" s="39">
        <v>0.67</v>
      </c>
    </row>
    <row r="1645" spans="2:16" ht="18" customHeight="1" x14ac:dyDescent="0.25">
      <c r="B1645" s="21" t="s">
        <v>0</v>
      </c>
      <c r="C1645" s="22" t="s">
        <v>2114</v>
      </c>
      <c r="D1645" s="22" t="s">
        <v>2043</v>
      </c>
      <c r="E1645" s="21" t="s">
        <v>2222</v>
      </c>
      <c r="F1645" s="23" t="s">
        <v>3</v>
      </c>
      <c r="G1645" s="23" t="s">
        <v>4</v>
      </c>
      <c r="H1645" s="21" t="str">
        <f t="shared" si="25"/>
        <v>C_MOK079_SV/CHANNEL</v>
      </c>
      <c r="I1645" s="24" t="s">
        <v>2310</v>
      </c>
      <c r="J1645" s="10" t="str">
        <f>VLOOKUP(Table1[[#This Row],[UID]],CS3SVComposerConfig!$B$3:$D$1808,3,FALSE)</f>
        <v>DCR2023_SV_Danube_Hist_v3.dss</v>
      </c>
      <c r="K1645" s="10" t="s">
        <v>2212</v>
      </c>
      <c r="L1645" s="10" t="s">
        <v>2212</v>
      </c>
      <c r="M1645" s="10" t="s">
        <v>2212</v>
      </c>
      <c r="N1645" s="10" t="s">
        <v>2227</v>
      </c>
      <c r="O1645" s="10" t="s">
        <v>2227</v>
      </c>
      <c r="P1645" s="39" t="s">
        <v>2227</v>
      </c>
    </row>
    <row r="1646" spans="2:16" ht="18" customHeight="1" x14ac:dyDescent="0.25">
      <c r="B1646" s="21" t="s">
        <v>0</v>
      </c>
      <c r="C1646" s="22" t="s">
        <v>2076</v>
      </c>
      <c r="D1646" s="22" t="s">
        <v>2043</v>
      </c>
      <c r="E1646" s="21" t="s">
        <v>2222</v>
      </c>
      <c r="F1646" s="23" t="s">
        <v>3</v>
      </c>
      <c r="G1646" s="23" t="s">
        <v>4</v>
      </c>
      <c r="H1646" s="21" t="str">
        <f t="shared" si="25"/>
        <v>C_MRM001_SV/CHANNEL</v>
      </c>
      <c r="I1646" s="24" t="s">
        <v>2310</v>
      </c>
      <c r="J1646" s="10" t="str">
        <f>VLOOKUP(Table1[[#This Row],[UID]],CS3SVComposerConfig!$B$3:$D$1808,3,FALSE)</f>
        <v>DCR2023_SV_Danube_Hist_v3.dss</v>
      </c>
      <c r="K1646" s="10" t="s">
        <v>2212</v>
      </c>
      <c r="L1646" s="10" t="s">
        <v>2224</v>
      </c>
      <c r="M1646" s="10" t="s">
        <v>2224</v>
      </c>
      <c r="N1646" s="10" t="s">
        <v>2270</v>
      </c>
      <c r="O1646" s="10" t="s">
        <v>2270</v>
      </c>
      <c r="P1646" s="39" t="s">
        <v>2227</v>
      </c>
    </row>
    <row r="1647" spans="2:16" ht="18" customHeight="1" x14ac:dyDescent="0.25">
      <c r="B1647" s="21" t="s">
        <v>0</v>
      </c>
      <c r="C1647" s="22" t="s">
        <v>2062</v>
      </c>
      <c r="D1647" s="22" t="s">
        <v>2043</v>
      </c>
      <c r="E1647" s="21" t="s">
        <v>2222</v>
      </c>
      <c r="F1647" s="23" t="s">
        <v>3</v>
      </c>
      <c r="G1647" s="23" t="s">
        <v>4</v>
      </c>
      <c r="H1647" s="21" t="str">
        <f t="shared" si="25"/>
        <v>C_NFA016_SV/CHANNEL</v>
      </c>
      <c r="I1647" s="24" t="s">
        <v>2310</v>
      </c>
      <c r="J1647" s="10" t="str">
        <f>VLOOKUP(Table1[[#This Row],[UID]],CS3SVComposerConfig!$B$3:$D$1808,3,FALSE)</f>
        <v>DCR2023_SV_Danube_Hist_v3.dss</v>
      </c>
      <c r="K1647" s="10" t="s">
        <v>2212</v>
      </c>
      <c r="L1647" s="10" t="s">
        <v>2212</v>
      </c>
      <c r="M1647" s="10" t="s">
        <v>2212</v>
      </c>
      <c r="N1647" s="10" t="s">
        <v>2227</v>
      </c>
      <c r="O1647" s="10" t="s">
        <v>2227</v>
      </c>
      <c r="P1647" s="39" t="s">
        <v>2227</v>
      </c>
    </row>
    <row r="1648" spans="2:16" ht="18" customHeight="1" x14ac:dyDescent="0.25">
      <c r="B1648" s="21" t="s">
        <v>0</v>
      </c>
      <c r="C1648" s="22" t="s">
        <v>2078</v>
      </c>
      <c r="D1648" s="22" t="s">
        <v>2043</v>
      </c>
      <c r="E1648" s="21" t="s">
        <v>2222</v>
      </c>
      <c r="F1648" s="23" t="s">
        <v>3</v>
      </c>
      <c r="G1648" s="23" t="s">
        <v>4</v>
      </c>
      <c r="H1648" s="21" t="str">
        <f t="shared" si="25"/>
        <v>C_NFA048_SV/CHANNEL</v>
      </c>
      <c r="I1648" s="24" t="s">
        <v>2310</v>
      </c>
      <c r="J1648" s="10" t="str">
        <f>VLOOKUP(Table1[[#This Row],[UID]],CS3SVComposerConfig!$B$3:$D$1808,3,FALSE)</f>
        <v>DCR2023_SV_Danube_Hist_v3.dss</v>
      </c>
      <c r="K1648" s="10" t="s">
        <v>2212</v>
      </c>
      <c r="L1648" s="10" t="s">
        <v>2212</v>
      </c>
      <c r="M1648" s="10" t="s">
        <v>2224</v>
      </c>
      <c r="N1648" s="10" t="s">
        <v>2258</v>
      </c>
      <c r="O1648" s="10" t="s">
        <v>2259</v>
      </c>
      <c r="P1648" s="39">
        <v>0.91</v>
      </c>
    </row>
    <row r="1649" spans="2:16" ht="18" customHeight="1" x14ac:dyDescent="0.25">
      <c r="B1649" s="21" t="s">
        <v>0</v>
      </c>
      <c r="C1649" s="22" t="s">
        <v>2063</v>
      </c>
      <c r="D1649" s="22" t="s">
        <v>2043</v>
      </c>
      <c r="E1649" s="21" t="s">
        <v>2222</v>
      </c>
      <c r="F1649" s="23" t="s">
        <v>3</v>
      </c>
      <c r="G1649" s="23" t="s">
        <v>4</v>
      </c>
      <c r="H1649" s="21" t="str">
        <f t="shared" si="25"/>
        <v>C_SFA011_SV/CHANNEL</v>
      </c>
      <c r="I1649" s="24" t="s">
        <v>2310</v>
      </c>
      <c r="J1649" s="10" t="str">
        <f>VLOOKUP(Table1[[#This Row],[UID]],CS3SVComposerConfig!$B$3:$D$1808,3,FALSE)</f>
        <v>DCR2023_SV_Danube_Hist_v3.dss</v>
      </c>
      <c r="K1649" s="10" t="s">
        <v>2212</v>
      </c>
      <c r="L1649" s="10" t="s">
        <v>2212</v>
      </c>
      <c r="M1649" s="10" t="s">
        <v>2212</v>
      </c>
      <c r="N1649" s="10" t="s">
        <v>2227</v>
      </c>
      <c r="O1649" s="10" t="s">
        <v>2227</v>
      </c>
      <c r="P1649" s="39" t="s">
        <v>2227</v>
      </c>
    </row>
    <row r="1650" spans="2:16" ht="18" customHeight="1" x14ac:dyDescent="0.25">
      <c r="B1650" s="21" t="s">
        <v>0</v>
      </c>
      <c r="C1650" s="22" t="s">
        <v>2134</v>
      </c>
      <c r="D1650" s="22" t="s">
        <v>2043</v>
      </c>
      <c r="E1650" s="21" t="s">
        <v>2222</v>
      </c>
      <c r="F1650" s="23" t="s">
        <v>3</v>
      </c>
      <c r="G1650" s="23" t="s">
        <v>4</v>
      </c>
      <c r="H1650" s="21" t="str">
        <f t="shared" si="25"/>
        <v>C_SFY007_SV/CHANNEL</v>
      </c>
      <c r="I1650" s="24" t="s">
        <v>2310</v>
      </c>
      <c r="J1650" s="10" t="str">
        <f>VLOOKUP(Table1[[#This Row],[UID]],CS3SVComposerConfig!$B$3:$D$1808,3,FALSE)</f>
        <v>DCR2023_SV_Danube_Hist_v3.dss</v>
      </c>
      <c r="K1650" s="10" t="s">
        <v>2212</v>
      </c>
      <c r="L1650" s="10" t="s">
        <v>2212</v>
      </c>
      <c r="M1650" s="10" t="s">
        <v>2224</v>
      </c>
      <c r="N1650" s="10" t="s">
        <v>2258</v>
      </c>
      <c r="O1650" s="10" t="s">
        <v>2259</v>
      </c>
      <c r="P1650" s="39">
        <v>0.79</v>
      </c>
    </row>
    <row r="1651" spans="2:16" ht="18" customHeight="1" x14ac:dyDescent="0.25">
      <c r="B1651" s="21" t="s">
        <v>0</v>
      </c>
      <c r="C1651" s="22" t="s">
        <v>2135</v>
      </c>
      <c r="D1651" s="22" t="s">
        <v>2043</v>
      </c>
      <c r="E1651" s="21" t="s">
        <v>2222</v>
      </c>
      <c r="F1651" s="23" t="s">
        <v>3</v>
      </c>
      <c r="G1651" s="23" t="s">
        <v>4</v>
      </c>
      <c r="H1651" s="21" t="str">
        <f t="shared" si="25"/>
        <v>C_STH007_SV/CHANNEL</v>
      </c>
      <c r="I1651" s="24" t="s">
        <v>2310</v>
      </c>
      <c r="J1651" s="10" t="str">
        <f>VLOOKUP(Table1[[#This Row],[UID]],CS3SVComposerConfig!$B$3:$D$1808,3,FALSE)</f>
        <v>DCR2023_SV_Danube_Hist_v3.dss</v>
      </c>
      <c r="K1651" s="10" t="s">
        <v>2212</v>
      </c>
      <c r="L1651" s="10" t="s">
        <v>2212</v>
      </c>
      <c r="M1651" s="10" t="s">
        <v>2224</v>
      </c>
      <c r="N1651" s="10" t="s">
        <v>2258</v>
      </c>
      <c r="O1651" s="10" t="s">
        <v>2282</v>
      </c>
      <c r="P1651" s="39">
        <v>0.88</v>
      </c>
    </row>
    <row r="1652" spans="2:16" ht="18" customHeight="1" x14ac:dyDescent="0.25">
      <c r="B1652" s="21" t="s">
        <v>0</v>
      </c>
      <c r="C1652" s="22" t="s">
        <v>2120</v>
      </c>
      <c r="D1652" s="22" t="s">
        <v>2043</v>
      </c>
      <c r="E1652" s="21" t="s">
        <v>2222</v>
      </c>
      <c r="F1652" s="23" t="s">
        <v>3</v>
      </c>
      <c r="G1652" s="23" t="s">
        <v>4</v>
      </c>
      <c r="H1652" s="21" t="str">
        <f t="shared" si="25"/>
        <v>C_STS072_SV/CHANNEL</v>
      </c>
      <c r="I1652" s="24" t="s">
        <v>2310</v>
      </c>
      <c r="J1652" s="10" t="str">
        <f>VLOOKUP(Table1[[#This Row],[UID]],CS3SVComposerConfig!$B$3:$D$1808,3,FALSE)</f>
        <v>DCR2023_SV_Danube_Hist_v3.dss</v>
      </c>
      <c r="K1652" s="10" t="s">
        <v>2212</v>
      </c>
      <c r="L1652" s="10" t="s">
        <v>2212</v>
      </c>
      <c r="M1652" s="10" t="s">
        <v>2212</v>
      </c>
      <c r="N1652" s="10" t="s">
        <v>2227</v>
      </c>
      <c r="O1652" s="10" t="s">
        <v>2227</v>
      </c>
      <c r="P1652" s="39" t="s">
        <v>2227</v>
      </c>
    </row>
    <row r="1653" spans="2:16" ht="18" customHeight="1" x14ac:dyDescent="0.25">
      <c r="B1653" s="21" t="s">
        <v>0</v>
      </c>
      <c r="C1653" s="22" t="s">
        <v>2100</v>
      </c>
      <c r="D1653" s="22" t="s">
        <v>2043</v>
      </c>
      <c r="E1653" s="21" t="s">
        <v>2222</v>
      </c>
      <c r="F1653" s="23" t="s">
        <v>3</v>
      </c>
      <c r="G1653" s="23" t="s">
        <v>4</v>
      </c>
      <c r="H1653" s="21" t="str">
        <f t="shared" si="25"/>
        <v>C_TTC002_SV/CHANNEL</v>
      </c>
      <c r="I1653" s="24" t="s">
        <v>2310</v>
      </c>
      <c r="J1653" s="10" t="str">
        <f>VLOOKUP(Table1[[#This Row],[UID]],CS3SVComposerConfig!$B$3:$D$1808,3,FALSE)</f>
        <v>DCR2023_SV_Danube_Hist_v3.dss</v>
      </c>
      <c r="K1653" s="10" t="s">
        <v>2212</v>
      </c>
      <c r="L1653" s="10" t="s">
        <v>2212</v>
      </c>
      <c r="M1653" s="10" t="s">
        <v>2212</v>
      </c>
      <c r="N1653" s="10" t="s">
        <v>2227</v>
      </c>
      <c r="O1653" s="10" t="s">
        <v>2227</v>
      </c>
      <c r="P1653" s="39" t="s">
        <v>2227</v>
      </c>
    </row>
    <row r="1654" spans="2:16" ht="18" customHeight="1" x14ac:dyDescent="0.25">
      <c r="B1654" s="21" t="s">
        <v>0</v>
      </c>
      <c r="C1654" s="22" t="s">
        <v>2122</v>
      </c>
      <c r="D1654" s="22" t="s">
        <v>2043</v>
      </c>
      <c r="E1654" s="21" t="s">
        <v>2222</v>
      </c>
      <c r="F1654" s="23" t="s">
        <v>3</v>
      </c>
      <c r="G1654" s="23" t="s">
        <v>4</v>
      </c>
      <c r="H1654" s="21" t="str">
        <f t="shared" si="25"/>
        <v>C_TUO073_SV/CHANNEL</v>
      </c>
      <c r="I1654" s="24" t="s">
        <v>2310</v>
      </c>
      <c r="J1654" s="10" t="str">
        <f>VLOOKUP(Table1[[#This Row],[UID]],CS3SVComposerConfig!$B$3:$D$1808,3,FALSE)</f>
        <v>DCR2023_SV_Danube_Hist_v3.dss</v>
      </c>
      <c r="K1654" s="10" t="s">
        <v>2212</v>
      </c>
      <c r="L1654" s="10" t="s">
        <v>2212</v>
      </c>
      <c r="M1654" s="10" t="s">
        <v>2212</v>
      </c>
      <c r="N1654" s="10" t="s">
        <v>2227</v>
      </c>
      <c r="O1654" s="10" t="s">
        <v>2227</v>
      </c>
      <c r="P1654" s="39" t="s">
        <v>2227</v>
      </c>
    </row>
    <row r="1655" spans="2:16" ht="18" customHeight="1" x14ac:dyDescent="0.25">
      <c r="B1655" s="21" t="s">
        <v>0</v>
      </c>
      <c r="C1655" s="22" t="s">
        <v>2136</v>
      </c>
      <c r="D1655" s="22" t="s">
        <v>2043</v>
      </c>
      <c r="E1655" s="21" t="s">
        <v>2222</v>
      </c>
      <c r="F1655" s="23" t="s">
        <v>3</v>
      </c>
      <c r="G1655" s="23" t="s">
        <v>4</v>
      </c>
      <c r="H1655" s="21" t="str">
        <f t="shared" si="25"/>
        <v>C_WLF013_SV/CHANNEL</v>
      </c>
      <c r="I1655" s="24" t="s">
        <v>2310</v>
      </c>
      <c r="J1655" s="10" t="str">
        <f>VLOOKUP(Table1[[#This Row],[UID]],CS3SVComposerConfig!$B$3:$D$1808,3,FALSE)</f>
        <v>DCR2023_SV_Danube_Hist_v3.dss</v>
      </c>
      <c r="K1655" s="10" t="s">
        <v>2212</v>
      </c>
      <c r="L1655" s="10" t="s">
        <v>2212</v>
      </c>
      <c r="M1655" s="10" t="s">
        <v>2212</v>
      </c>
      <c r="N1655" s="10" t="s">
        <v>2227</v>
      </c>
      <c r="O1655" s="10" t="s">
        <v>2227</v>
      </c>
      <c r="P1655" s="39" t="s">
        <v>2227</v>
      </c>
    </row>
    <row r="1656" spans="2:16" ht="18" customHeight="1" x14ac:dyDescent="0.25">
      <c r="B1656" s="21" t="s">
        <v>0</v>
      </c>
      <c r="C1656" s="22" t="s">
        <v>2137</v>
      </c>
      <c r="D1656" s="22" t="s">
        <v>2043</v>
      </c>
      <c r="E1656" s="21" t="s">
        <v>2222</v>
      </c>
      <c r="F1656" s="23" t="s">
        <v>3</v>
      </c>
      <c r="G1656" s="23" t="s">
        <v>4</v>
      </c>
      <c r="H1656" s="21" t="str">
        <f t="shared" si="25"/>
        <v>C_YUB003_SV/CHANNEL</v>
      </c>
      <c r="I1656" s="24" t="s">
        <v>2310</v>
      </c>
      <c r="J1656" s="10" t="str">
        <f>VLOOKUP(Table1[[#This Row],[UID]],CS3SVComposerConfig!$B$3:$D$1808,3,FALSE)</f>
        <v>DCR2023_SV_Danube_Hist_v3.dss</v>
      </c>
      <c r="K1656" s="10" t="s">
        <v>2212</v>
      </c>
      <c r="L1656" s="10" t="s">
        <v>2212</v>
      </c>
      <c r="M1656" s="10" t="s">
        <v>2212</v>
      </c>
      <c r="N1656" s="10" t="s">
        <v>2227</v>
      </c>
      <c r="O1656" s="10" t="s">
        <v>2227</v>
      </c>
      <c r="P1656" s="39" t="s">
        <v>2227</v>
      </c>
    </row>
    <row r="1657" spans="2:16" ht="18" customHeight="1" x14ac:dyDescent="0.25">
      <c r="B1657" s="21" t="s">
        <v>0</v>
      </c>
      <c r="C1657" s="22" t="s">
        <v>2138</v>
      </c>
      <c r="D1657" s="22" t="s">
        <v>2043</v>
      </c>
      <c r="E1657" s="21" t="s">
        <v>2222</v>
      </c>
      <c r="F1657" s="23" t="s">
        <v>3</v>
      </c>
      <c r="G1657" s="23" t="s">
        <v>4</v>
      </c>
      <c r="H1657" s="21" t="str">
        <f t="shared" si="25"/>
        <v>C_YUB006_SV/CHANNEL</v>
      </c>
      <c r="I1657" s="24" t="s">
        <v>2310</v>
      </c>
      <c r="J1657" s="10" t="str">
        <f>VLOOKUP(Table1[[#This Row],[UID]],CS3SVComposerConfig!$B$3:$D$1808,3,FALSE)</f>
        <v>DCR2023_SV_Danube_Hist_v3.dss</v>
      </c>
      <c r="K1657" s="10" t="s">
        <v>2212</v>
      </c>
      <c r="L1657" s="10" t="s">
        <v>2212</v>
      </c>
      <c r="M1657" s="10" t="s">
        <v>2212</v>
      </c>
      <c r="N1657" s="10" t="s">
        <v>2227</v>
      </c>
      <c r="O1657" s="10" t="s">
        <v>2227</v>
      </c>
      <c r="P1657" s="39" t="s">
        <v>2227</v>
      </c>
    </row>
    <row r="1658" spans="2:16" ht="18" customHeight="1" x14ac:dyDescent="0.25">
      <c r="B1658" s="21" t="s">
        <v>0</v>
      </c>
      <c r="C1658" s="22" t="s">
        <v>2139</v>
      </c>
      <c r="D1658" s="22" t="s">
        <v>2043</v>
      </c>
      <c r="E1658" s="21" t="s">
        <v>2222</v>
      </c>
      <c r="F1658" s="23" t="s">
        <v>3</v>
      </c>
      <c r="G1658" s="23" t="s">
        <v>4</v>
      </c>
      <c r="H1658" s="21" t="str">
        <f t="shared" si="25"/>
        <v>C_YUB011_SV/CHANNEL</v>
      </c>
      <c r="I1658" s="24" t="s">
        <v>2310</v>
      </c>
      <c r="J1658" s="10" t="str">
        <f>VLOOKUP(Table1[[#This Row],[UID]],CS3SVComposerConfig!$B$3:$D$1808,3,FALSE)</f>
        <v>DCR2023_SV_Danube_Hist_v3.dss</v>
      </c>
      <c r="K1658" s="10" t="s">
        <v>2212</v>
      </c>
      <c r="L1658" s="10" t="s">
        <v>2212</v>
      </c>
      <c r="M1658" s="10" t="s">
        <v>2212</v>
      </c>
      <c r="N1658" s="10" t="s">
        <v>2227</v>
      </c>
      <c r="O1658" s="10" t="s">
        <v>2227</v>
      </c>
      <c r="P1658" s="39" t="s">
        <v>2227</v>
      </c>
    </row>
    <row r="1659" spans="2:16" ht="18" customHeight="1" x14ac:dyDescent="0.25">
      <c r="B1659" s="21" t="s">
        <v>0</v>
      </c>
      <c r="C1659" s="22" t="s">
        <v>2140</v>
      </c>
      <c r="D1659" s="22" t="s">
        <v>2043</v>
      </c>
      <c r="E1659" s="21" t="s">
        <v>2222</v>
      </c>
      <c r="F1659" s="23" t="s">
        <v>3</v>
      </c>
      <c r="G1659" s="23" t="s">
        <v>4</v>
      </c>
      <c r="H1659" s="21" t="str">
        <f t="shared" si="25"/>
        <v>C_YUB013_SV/CHANNEL</v>
      </c>
      <c r="I1659" s="24" t="s">
        <v>2310</v>
      </c>
      <c r="J1659" s="10" t="str">
        <f>VLOOKUP(Table1[[#This Row],[UID]],CS3SVComposerConfig!$B$3:$D$1808,3,FALSE)</f>
        <v>DCR2023_SV_Danube_Hist_v3.dss</v>
      </c>
      <c r="K1659" s="10" t="s">
        <v>2212</v>
      </c>
      <c r="L1659" s="10" t="s">
        <v>2212</v>
      </c>
      <c r="M1659" s="10" t="s">
        <v>2212</v>
      </c>
      <c r="N1659" s="10" t="s">
        <v>2227</v>
      </c>
      <c r="O1659" s="10" t="s">
        <v>2227</v>
      </c>
      <c r="P1659" s="39" t="s">
        <v>2227</v>
      </c>
    </row>
    <row r="1660" spans="2:16" ht="18" customHeight="1" x14ac:dyDescent="0.25">
      <c r="B1660" s="21" t="s">
        <v>0</v>
      </c>
      <c r="C1660" s="22" t="s">
        <v>2046</v>
      </c>
      <c r="D1660" s="22" t="s">
        <v>2043</v>
      </c>
      <c r="E1660" s="21" t="s">
        <v>2222</v>
      </c>
      <c r="F1660" s="23" t="s">
        <v>3</v>
      </c>
      <c r="G1660" s="23" t="s">
        <v>4</v>
      </c>
      <c r="H1660" s="21" t="str">
        <f t="shared" si="25"/>
        <v>C_YUB022_SV/CHANNEL</v>
      </c>
      <c r="I1660" s="24" t="s">
        <v>2310</v>
      </c>
      <c r="J1660" s="10" t="str">
        <f>VLOOKUP(Table1[[#This Row],[UID]],CS3SVComposerConfig!$B$3:$D$1808,3,FALSE)</f>
        <v>DCR2023_SV_Danube_Hist_v3.dss</v>
      </c>
      <c r="K1660" s="10" t="s">
        <v>2212</v>
      </c>
      <c r="L1660" s="10" t="s">
        <v>2212</v>
      </c>
      <c r="M1660" s="10" t="s">
        <v>2212</v>
      </c>
      <c r="N1660" s="10" t="s">
        <v>2227</v>
      </c>
      <c r="O1660" s="10" t="s">
        <v>2227</v>
      </c>
      <c r="P1660" s="39" t="s">
        <v>2227</v>
      </c>
    </row>
    <row r="1661" spans="2:16" ht="18" customHeight="1" x14ac:dyDescent="0.25">
      <c r="B1661" s="21" t="s">
        <v>0</v>
      </c>
      <c r="C1661" s="22" t="s">
        <v>2141</v>
      </c>
      <c r="D1661" s="22" t="s">
        <v>2039</v>
      </c>
      <c r="E1661" s="21" t="s">
        <v>2222</v>
      </c>
      <c r="F1661" s="23" t="s">
        <v>3</v>
      </c>
      <c r="G1661" s="23" t="s">
        <v>4</v>
      </c>
      <c r="H1661" s="21" t="str">
        <f t="shared" si="25"/>
        <v>D_BRR050_BEC000_NID_SV/DIVERSION</v>
      </c>
      <c r="I1661" s="24" t="s">
        <v>2310</v>
      </c>
      <c r="J1661" s="10" t="str">
        <f>VLOOKUP(Table1[[#This Row],[UID]],CS3SVComposerConfig!$B$3:$D$1808,3,FALSE)</f>
        <v>DCR2023_SV_Danube_Hist_v3.dss</v>
      </c>
      <c r="K1661" s="10" t="s">
        <v>2212</v>
      </c>
      <c r="L1661" s="10" t="s">
        <v>2212</v>
      </c>
      <c r="M1661" s="10" t="s">
        <v>2212</v>
      </c>
      <c r="N1661" s="10" t="s">
        <v>2227</v>
      </c>
      <c r="O1661" s="10" t="s">
        <v>2227</v>
      </c>
      <c r="P1661" s="39" t="s">
        <v>2227</v>
      </c>
    </row>
    <row r="1662" spans="2:16" ht="18" customHeight="1" x14ac:dyDescent="0.25">
      <c r="B1662" s="21" t="s">
        <v>0</v>
      </c>
      <c r="C1662" s="22" t="s">
        <v>2142</v>
      </c>
      <c r="D1662" s="22" t="s">
        <v>2039</v>
      </c>
      <c r="E1662" s="21" t="s">
        <v>2222</v>
      </c>
      <c r="F1662" s="23" t="s">
        <v>3</v>
      </c>
      <c r="G1662" s="23" t="s">
        <v>4</v>
      </c>
      <c r="H1662" s="21" t="str">
        <f t="shared" si="25"/>
        <v>D_BRR050_BEC000_PGE_SV/DIVERSION</v>
      </c>
      <c r="I1662" s="24" t="s">
        <v>2310</v>
      </c>
      <c r="J1662" s="10" t="str">
        <f>VLOOKUP(Table1[[#This Row],[UID]],CS3SVComposerConfig!$B$3:$D$1808,3,FALSE)</f>
        <v>DCR2023_SV_Danube_Hist_v3.dss</v>
      </c>
      <c r="K1662" s="10" t="s">
        <v>2212</v>
      </c>
      <c r="L1662" s="10" t="s">
        <v>2212</v>
      </c>
      <c r="M1662" s="10" t="s">
        <v>2212</v>
      </c>
      <c r="N1662" s="10" t="s">
        <v>2227</v>
      </c>
      <c r="O1662" s="10" t="s">
        <v>2227</v>
      </c>
      <c r="P1662" s="39" t="s">
        <v>2227</v>
      </c>
    </row>
    <row r="1663" spans="2:16" ht="18" customHeight="1" x14ac:dyDescent="0.25">
      <c r="B1663" s="21" t="s">
        <v>0</v>
      </c>
      <c r="C1663" s="22" t="s">
        <v>2143</v>
      </c>
      <c r="D1663" s="22" t="s">
        <v>2039</v>
      </c>
      <c r="E1663" s="21" t="s">
        <v>2222</v>
      </c>
      <c r="F1663" s="23" t="s">
        <v>3</v>
      </c>
      <c r="G1663" s="23" t="s">
        <v>4</v>
      </c>
      <c r="H1663" s="21" t="str">
        <f t="shared" si="25"/>
        <v>D_BRR050_BEC000_SV/DIVERSION</v>
      </c>
      <c r="I1663" s="24" t="s">
        <v>2310</v>
      </c>
      <c r="J1663" s="10" t="str">
        <f>VLOOKUP(Table1[[#This Row],[UID]],CS3SVComposerConfig!$B$3:$D$1808,3,FALSE)</f>
        <v>DCR2023_SV_Danube_Hist_v3.dss</v>
      </c>
      <c r="K1663" s="10" t="s">
        <v>2212</v>
      </c>
      <c r="L1663" s="10" t="s">
        <v>2212</v>
      </c>
      <c r="M1663" s="10" t="s">
        <v>2212</v>
      </c>
      <c r="N1663" s="10" t="s">
        <v>2227</v>
      </c>
      <c r="O1663" s="10" t="s">
        <v>2227</v>
      </c>
      <c r="P1663" s="39" t="s">
        <v>2227</v>
      </c>
    </row>
    <row r="1664" spans="2:16" ht="18" customHeight="1" x14ac:dyDescent="0.25">
      <c r="B1664" s="21" t="s">
        <v>0</v>
      </c>
      <c r="C1664" s="22" t="s">
        <v>2144</v>
      </c>
      <c r="D1664" s="22" t="s">
        <v>2039</v>
      </c>
      <c r="E1664" s="21" t="s">
        <v>2222</v>
      </c>
      <c r="F1664" s="23" t="s">
        <v>3</v>
      </c>
      <c r="G1664" s="23" t="s">
        <v>4</v>
      </c>
      <c r="H1664" s="21" t="str">
        <f t="shared" si="25"/>
        <v>D_CMBIE_CBC000_SV/DIVERSION</v>
      </c>
      <c r="I1664" s="24" t="s">
        <v>2310</v>
      </c>
      <c r="J1664" s="10" t="str">
        <f>VLOOKUP(Table1[[#This Row],[UID]],CS3SVComposerConfig!$B$3:$D$1808,3,FALSE)</f>
        <v>DCR2023_SV_Danube_Hist_v3.dss</v>
      </c>
      <c r="K1664" s="10" t="s">
        <v>2212</v>
      </c>
      <c r="L1664" s="10" t="s">
        <v>2212</v>
      </c>
      <c r="M1664" s="10" t="s">
        <v>2212</v>
      </c>
      <c r="N1664" s="10" t="s">
        <v>2227</v>
      </c>
      <c r="O1664" s="10" t="s">
        <v>2227</v>
      </c>
      <c r="P1664" s="39" t="s">
        <v>2227</v>
      </c>
    </row>
    <row r="1665" spans="2:16" ht="18" customHeight="1" x14ac:dyDescent="0.25">
      <c r="B1665" s="21" t="s">
        <v>0</v>
      </c>
      <c r="C1665" s="22" t="s">
        <v>2145</v>
      </c>
      <c r="D1665" s="22" t="s">
        <v>2039</v>
      </c>
      <c r="E1665" s="21" t="s">
        <v>2222</v>
      </c>
      <c r="F1665" s="23" t="s">
        <v>3</v>
      </c>
      <c r="G1665" s="23" t="s">
        <v>4</v>
      </c>
      <c r="H1665" s="21" t="str">
        <f t="shared" si="25"/>
        <v>D_CYN009_LBC001_SV/DIVERSION</v>
      </c>
      <c r="I1665" s="24" t="s">
        <v>2310</v>
      </c>
      <c r="J1665" s="10" t="str">
        <f>VLOOKUP(Table1[[#This Row],[UID]],CS3SVComposerConfig!$B$3:$D$1808,3,FALSE)</f>
        <v>DCR2023_SV_Danube_Hist_v3.dss</v>
      </c>
      <c r="K1665" s="10" t="s">
        <v>2212</v>
      </c>
      <c r="L1665" s="10" t="s">
        <v>2212</v>
      </c>
      <c r="M1665" s="10" t="s">
        <v>2212</v>
      </c>
      <c r="N1665" s="10" t="s">
        <v>2227</v>
      </c>
      <c r="O1665" s="10" t="s">
        <v>2227</v>
      </c>
      <c r="P1665" s="39" t="s">
        <v>2227</v>
      </c>
    </row>
    <row r="1666" spans="2:16" ht="18" customHeight="1" x14ac:dyDescent="0.25">
      <c r="B1666" s="21" t="s">
        <v>0</v>
      </c>
      <c r="C1666" s="22" t="s">
        <v>2038</v>
      </c>
      <c r="D1666" s="22" t="s">
        <v>2039</v>
      </c>
      <c r="E1666" s="21" t="s">
        <v>2222</v>
      </c>
      <c r="F1666" s="23" t="s">
        <v>3</v>
      </c>
      <c r="G1666" s="23" t="s">
        <v>4</v>
      </c>
      <c r="H1666" s="21" t="str">
        <f t="shared" si="25"/>
        <v>D_EPARK_SCKWD_SV/DIVERSION</v>
      </c>
      <c r="I1666" s="24" t="s">
        <v>2310</v>
      </c>
      <c r="J1666" s="10" t="str">
        <f>VLOOKUP(Table1[[#This Row],[UID]],CS3SVComposerConfig!$B$3:$D$1808,3,FALSE)</f>
        <v>DCR2023_SV_Danube_Hist_v3.dss</v>
      </c>
      <c r="K1666" s="10" t="s">
        <v>2212</v>
      </c>
      <c r="L1666" s="10" t="s">
        <v>2212</v>
      </c>
      <c r="M1666" s="10" t="s">
        <v>2212</v>
      </c>
      <c r="N1666" s="10" t="s">
        <v>2227</v>
      </c>
      <c r="O1666" s="10" t="s">
        <v>2227</v>
      </c>
      <c r="P1666" s="39" t="s">
        <v>2227</v>
      </c>
    </row>
    <row r="1667" spans="2:16" ht="18" customHeight="1" x14ac:dyDescent="0.25">
      <c r="B1667" s="21" t="s">
        <v>0</v>
      </c>
      <c r="C1667" s="22" t="s">
        <v>2047</v>
      </c>
      <c r="D1667" s="22" t="s">
        <v>2039</v>
      </c>
      <c r="E1667" s="21" t="s">
        <v>2222</v>
      </c>
      <c r="F1667" s="23" t="s">
        <v>3</v>
      </c>
      <c r="G1667" s="23" t="s">
        <v>4</v>
      </c>
      <c r="H1667" s="21" t="str">
        <f t="shared" ref="H1667:H1735" si="26">_xlfn.CONCAT(C1667,"/",D1667)</f>
        <v>D_FDC006_14_NA_SV/DIVERSION</v>
      </c>
      <c r="I1667" s="24" t="s">
        <v>2310</v>
      </c>
      <c r="J1667" s="10" t="str">
        <f>VLOOKUP(Table1[[#This Row],[UID]],CS3SVComposerConfig!$B$3:$D$1808,3,FALSE)</f>
        <v>DCR2023_SV_Danube_Hist_v3.dss</v>
      </c>
      <c r="K1667" s="10" t="s">
        <v>2212</v>
      </c>
      <c r="L1667" s="10" t="s">
        <v>2212</v>
      </c>
      <c r="M1667" s="10" t="s">
        <v>2212</v>
      </c>
      <c r="N1667" s="10" t="s">
        <v>2227</v>
      </c>
      <c r="O1667" s="10" t="s">
        <v>2227</v>
      </c>
      <c r="P1667" s="39" t="s">
        <v>2227</v>
      </c>
    </row>
    <row r="1668" spans="2:16" ht="18" customHeight="1" x14ac:dyDescent="0.25">
      <c r="B1668" s="21" t="s">
        <v>0</v>
      </c>
      <c r="C1668" s="22" t="s">
        <v>2079</v>
      </c>
      <c r="D1668" s="22" t="s">
        <v>2039</v>
      </c>
      <c r="E1668" s="21" t="s">
        <v>2222</v>
      </c>
      <c r="F1668" s="23" t="s">
        <v>3</v>
      </c>
      <c r="G1668" s="23" t="s">
        <v>4</v>
      </c>
      <c r="H1668" s="21" t="str">
        <f t="shared" si="26"/>
        <v>D_FOLSM_EDCOCA_CVP_SV/DIVERSION</v>
      </c>
      <c r="I1668" s="24" t="s">
        <v>2310</v>
      </c>
      <c r="J1668" s="10" t="str">
        <f>VLOOKUP(Table1[[#This Row],[UID]],CS3SVComposerConfig!$B$3:$D$1808,3,FALSE)</f>
        <v>DCR2023_SV_Danube_Hist_v3.dss</v>
      </c>
      <c r="K1668" s="10" t="s">
        <v>2212</v>
      </c>
      <c r="L1668" s="10" t="s">
        <v>2212</v>
      </c>
      <c r="M1668" s="10" t="s">
        <v>2212</v>
      </c>
      <c r="N1668" s="10" t="s">
        <v>2227</v>
      </c>
      <c r="O1668" s="10" t="s">
        <v>2227</v>
      </c>
      <c r="P1668" s="39" t="s">
        <v>2227</v>
      </c>
    </row>
    <row r="1669" spans="2:16" ht="18" customHeight="1" x14ac:dyDescent="0.25">
      <c r="B1669" s="21" t="s">
        <v>0</v>
      </c>
      <c r="C1669" s="22" t="s">
        <v>2064</v>
      </c>
      <c r="D1669" s="22" t="s">
        <v>2039</v>
      </c>
      <c r="E1669" s="21" t="s">
        <v>2222</v>
      </c>
      <c r="F1669" s="23" t="s">
        <v>3</v>
      </c>
      <c r="G1669" s="23" t="s">
        <v>4</v>
      </c>
      <c r="H1669" s="21" t="str">
        <f t="shared" si="26"/>
        <v>D_FOLSM_EDCOCA_NA1_SV/DIVERSION</v>
      </c>
      <c r="I1669" s="24" t="s">
        <v>2310</v>
      </c>
      <c r="J1669" s="10" t="str">
        <f>VLOOKUP(Table1[[#This Row],[UID]],CS3SVComposerConfig!$B$3:$D$1808,3,FALSE)</f>
        <v>DCR2023_SV_Danube_Hist_v3.dss</v>
      </c>
      <c r="K1669" s="10" t="s">
        <v>2212</v>
      </c>
      <c r="L1669" s="10" t="s">
        <v>2212</v>
      </c>
      <c r="M1669" s="10" t="s">
        <v>2212</v>
      </c>
      <c r="N1669" s="10" t="s">
        <v>2227</v>
      </c>
      <c r="O1669" s="10" t="s">
        <v>2227</v>
      </c>
      <c r="P1669" s="39" t="s">
        <v>2227</v>
      </c>
    </row>
    <row r="1670" spans="2:16" ht="18" customHeight="1" x14ac:dyDescent="0.25">
      <c r="B1670" s="21" t="s">
        <v>0</v>
      </c>
      <c r="C1670" s="22" t="s">
        <v>2080</v>
      </c>
      <c r="D1670" s="22" t="s">
        <v>2039</v>
      </c>
      <c r="E1670" s="21" t="s">
        <v>2222</v>
      </c>
      <c r="F1670" s="23" t="s">
        <v>3</v>
      </c>
      <c r="G1670" s="23" t="s">
        <v>4</v>
      </c>
      <c r="H1670" s="21" t="str">
        <f t="shared" si="26"/>
        <v>D_FOLSM_EDCOCA_NA2_SV/DIVERSION</v>
      </c>
      <c r="I1670" s="24" t="s">
        <v>2310</v>
      </c>
      <c r="J1670" s="10" t="str">
        <f>VLOOKUP(Table1[[#This Row],[UID]],CS3SVComposerConfig!$B$3:$D$1808,3,FALSE)</f>
        <v>DCR2023_SV_Danube_Hist_v3.dss</v>
      </c>
      <c r="K1670" s="10" t="s">
        <v>2212</v>
      </c>
      <c r="L1670" s="10" t="s">
        <v>2212</v>
      </c>
      <c r="M1670" s="10" t="s">
        <v>2212</v>
      </c>
      <c r="N1670" s="10" t="s">
        <v>2227</v>
      </c>
      <c r="O1670" s="10" t="s">
        <v>2227</v>
      </c>
      <c r="P1670" s="39" t="s">
        <v>2227</v>
      </c>
    </row>
    <row r="1671" spans="2:16" ht="18" customHeight="1" x14ac:dyDescent="0.25">
      <c r="B1671" s="21" t="s">
        <v>0</v>
      </c>
      <c r="C1671" s="22" t="s">
        <v>2065</v>
      </c>
      <c r="D1671" s="22" t="s">
        <v>2039</v>
      </c>
      <c r="E1671" s="21" t="s">
        <v>2222</v>
      </c>
      <c r="F1671" s="23" t="s">
        <v>3</v>
      </c>
      <c r="G1671" s="23" t="s">
        <v>4</v>
      </c>
      <c r="H1671" s="21" t="str">
        <f t="shared" si="26"/>
        <v>D_FOLSM_EDCOCA_NU1_SV/DIVERSION</v>
      </c>
      <c r="I1671" s="24" t="s">
        <v>2310</v>
      </c>
      <c r="J1671" s="10" t="str">
        <f>VLOOKUP(Table1[[#This Row],[UID]],CS3SVComposerConfig!$B$3:$D$1808,3,FALSE)</f>
        <v>DCR2023_SV_Danube_Hist_v3.dss</v>
      </c>
      <c r="K1671" s="10" t="s">
        <v>2212</v>
      </c>
      <c r="L1671" s="10" t="s">
        <v>2212</v>
      </c>
      <c r="M1671" s="10" t="s">
        <v>2212</v>
      </c>
      <c r="N1671" s="10" t="s">
        <v>2227</v>
      </c>
      <c r="O1671" s="10" t="s">
        <v>2227</v>
      </c>
      <c r="P1671" s="39" t="s">
        <v>2227</v>
      </c>
    </row>
    <row r="1672" spans="2:16" ht="18" customHeight="1" x14ac:dyDescent="0.25">
      <c r="B1672" s="21" t="s">
        <v>0</v>
      </c>
      <c r="C1672" s="22" t="s">
        <v>2081</v>
      </c>
      <c r="D1672" s="22" t="s">
        <v>2039</v>
      </c>
      <c r="E1672" s="21" t="s">
        <v>2222</v>
      </c>
      <c r="F1672" s="23" t="s">
        <v>3</v>
      </c>
      <c r="G1672" s="23" t="s">
        <v>4</v>
      </c>
      <c r="H1672" s="21" t="str">
        <f t="shared" si="26"/>
        <v>D_FOLSM_EDCOCA_NU2_SV/DIVERSION</v>
      </c>
      <c r="I1672" s="24" t="s">
        <v>2310</v>
      </c>
      <c r="J1672" s="10" t="str">
        <f>VLOOKUP(Table1[[#This Row],[UID]],CS3SVComposerConfig!$B$3:$D$1808,3,FALSE)</f>
        <v>DCR2023_SV_Danube_Hist_v3.dss</v>
      </c>
      <c r="K1672" s="10" t="s">
        <v>2212</v>
      </c>
      <c r="L1672" s="10" t="s">
        <v>2212</v>
      </c>
      <c r="M1672" s="10" t="s">
        <v>2212</v>
      </c>
      <c r="N1672" s="10" t="s">
        <v>2227</v>
      </c>
      <c r="O1672" s="10" t="s">
        <v>2227</v>
      </c>
      <c r="P1672" s="39" t="s">
        <v>2227</v>
      </c>
    </row>
    <row r="1673" spans="2:16" ht="18" customHeight="1" x14ac:dyDescent="0.25">
      <c r="B1673" s="21" t="s">
        <v>0</v>
      </c>
      <c r="C1673" s="22" t="s">
        <v>2082</v>
      </c>
      <c r="D1673" s="22" t="s">
        <v>2039</v>
      </c>
      <c r="E1673" s="21" t="s">
        <v>2222</v>
      </c>
      <c r="F1673" s="23" t="s">
        <v>3</v>
      </c>
      <c r="G1673" s="23" t="s">
        <v>4</v>
      </c>
      <c r="H1673" s="21" t="str">
        <f t="shared" si="26"/>
        <v>D_FOLSM_EDCOCA_SV/DIVERSION</v>
      </c>
      <c r="I1673" s="24" t="s">
        <v>2310</v>
      </c>
      <c r="J1673" s="10" t="str">
        <f>VLOOKUP(Table1[[#This Row],[UID]],CS3SVComposerConfig!$B$3:$D$1808,3,FALSE)</f>
        <v>DCR2023_SV_Danube_Hist_v3.dss</v>
      </c>
      <c r="K1673" s="10" t="s">
        <v>2212</v>
      </c>
      <c r="L1673" s="10" t="s">
        <v>2212</v>
      </c>
      <c r="M1673" s="10" t="s">
        <v>2212</v>
      </c>
      <c r="N1673" s="10" t="s">
        <v>2227</v>
      </c>
      <c r="O1673" s="10" t="s">
        <v>2227</v>
      </c>
      <c r="P1673" s="39" t="s">
        <v>2227</v>
      </c>
    </row>
    <row r="1674" spans="2:16" ht="18" customHeight="1" x14ac:dyDescent="0.25">
      <c r="B1674" s="21" t="s">
        <v>0</v>
      </c>
      <c r="C1674" s="22" t="s">
        <v>2066</v>
      </c>
      <c r="D1674" s="22" t="s">
        <v>2039</v>
      </c>
      <c r="E1674" s="21" t="s">
        <v>2222</v>
      </c>
      <c r="F1674" s="23" t="s">
        <v>3</v>
      </c>
      <c r="G1674" s="23" t="s">
        <v>4</v>
      </c>
      <c r="H1674" s="21" t="str">
        <f t="shared" si="26"/>
        <v>D_FOLSM_WTPEDH_WR_SV/DIVERSION</v>
      </c>
      <c r="I1674" s="24" t="s">
        <v>2310</v>
      </c>
      <c r="J1674" s="10" t="str">
        <f>VLOOKUP(Table1[[#This Row],[UID]],CS3SVComposerConfig!$B$3:$D$1808,3,FALSE)</f>
        <v>DCR2023_SV_Danube_Hist_v3.dss</v>
      </c>
      <c r="K1674" s="10" t="s">
        <v>2212</v>
      </c>
      <c r="L1674" s="10" t="s">
        <v>2212</v>
      </c>
      <c r="M1674" s="10" t="s">
        <v>2212</v>
      </c>
      <c r="N1674" s="10" t="s">
        <v>2227</v>
      </c>
      <c r="O1674" s="10" t="s">
        <v>2227</v>
      </c>
      <c r="P1674" s="39" t="s">
        <v>2227</v>
      </c>
    </row>
    <row r="1675" spans="2:16" ht="18" customHeight="1" x14ac:dyDescent="0.25">
      <c r="B1675" s="21" t="s">
        <v>0</v>
      </c>
      <c r="C1675" s="22" t="s">
        <v>2095</v>
      </c>
      <c r="D1675" s="22" t="s">
        <v>1893</v>
      </c>
      <c r="E1675" s="21" t="s">
        <v>2222</v>
      </c>
      <c r="F1675" s="23" t="s">
        <v>3</v>
      </c>
      <c r="G1675" s="23" t="s">
        <v>4</v>
      </c>
      <c r="H1675" s="21" t="str">
        <f t="shared" si="26"/>
        <v>D_HHOLE_MFT003_MIT_SV/FLOW</v>
      </c>
      <c r="I1675" s="24" t="s">
        <v>2310</v>
      </c>
      <c r="J1675" s="10" t="str">
        <f>VLOOKUP(Table1[[#This Row],[UID]],CS3SVComposerConfig!$B$3:$D$1808,3,FALSE)</f>
        <v>DCR2023_SV_Danube_Hist_v3.dss</v>
      </c>
      <c r="K1675" s="10" t="s">
        <v>2212</v>
      </c>
      <c r="L1675" s="10" t="s">
        <v>2212</v>
      </c>
      <c r="M1675" s="10" t="s">
        <v>2212</v>
      </c>
      <c r="N1675" s="10" t="s">
        <v>2227</v>
      </c>
      <c r="O1675" s="10" t="s">
        <v>2227</v>
      </c>
      <c r="P1675" s="39" t="s">
        <v>2227</v>
      </c>
    </row>
    <row r="1676" spans="2:16" ht="18" customHeight="1" x14ac:dyDescent="0.25">
      <c r="B1676" s="21" t="s">
        <v>0</v>
      </c>
      <c r="C1676" s="22" t="s">
        <v>2146</v>
      </c>
      <c r="D1676" s="22" t="s">
        <v>2039</v>
      </c>
      <c r="E1676" s="21" t="s">
        <v>2222</v>
      </c>
      <c r="F1676" s="23" t="s">
        <v>3</v>
      </c>
      <c r="G1676" s="23" t="s">
        <v>4</v>
      </c>
      <c r="H1676" s="21" t="str">
        <f t="shared" si="26"/>
        <v>D_LBR002_LBC001_SV/DIVERSION</v>
      </c>
      <c r="I1676" s="24" t="s">
        <v>2310</v>
      </c>
      <c r="J1676" s="10" t="str">
        <f>VLOOKUP(Table1[[#This Row],[UID]],CS3SVComposerConfig!$B$3:$D$1808,3,FALSE)</f>
        <v>DCR2023_SV_Danube_Hist_v3.dss</v>
      </c>
      <c r="K1676" s="10" t="s">
        <v>2212</v>
      </c>
      <c r="L1676" s="10" t="s">
        <v>2212</v>
      </c>
      <c r="M1676" s="10" t="s">
        <v>2212</v>
      </c>
      <c r="N1676" s="10" t="s">
        <v>2227</v>
      </c>
      <c r="O1676" s="10" t="s">
        <v>2227</v>
      </c>
      <c r="P1676" s="39" t="s">
        <v>2227</v>
      </c>
    </row>
    <row r="1677" spans="2:16" ht="18" customHeight="1" x14ac:dyDescent="0.25">
      <c r="B1677" s="21" t="s">
        <v>0</v>
      </c>
      <c r="C1677" s="22" t="s">
        <v>2101</v>
      </c>
      <c r="D1677" s="22" t="s">
        <v>2039</v>
      </c>
      <c r="E1677" s="21" t="s">
        <v>2222</v>
      </c>
      <c r="F1677" s="23" t="s">
        <v>3</v>
      </c>
      <c r="G1677" s="23" t="s">
        <v>4</v>
      </c>
      <c r="H1677" s="21" t="str">
        <f t="shared" si="26"/>
        <v>D_MIO023_10_NA_SV/DIVERSION</v>
      </c>
      <c r="I1677" s="24" t="s">
        <v>2310</v>
      </c>
      <c r="J1677" s="10" t="str">
        <f>VLOOKUP(Table1[[#This Row],[UID]],CS3SVComposerConfig!$B$3:$D$1808,3,FALSE)</f>
        <v>DCR2023_SV_Danube_Hist_v3.dss</v>
      </c>
      <c r="K1677" s="10" t="s">
        <v>2212</v>
      </c>
      <c r="L1677" s="10" t="s">
        <v>2212</v>
      </c>
      <c r="M1677" s="10" t="s">
        <v>2212</v>
      </c>
      <c r="N1677" s="10" t="s">
        <v>2227</v>
      </c>
      <c r="O1677" s="10" t="s">
        <v>2227</v>
      </c>
      <c r="P1677" s="39" t="s">
        <v>2227</v>
      </c>
    </row>
    <row r="1678" spans="2:16" ht="18" customHeight="1" x14ac:dyDescent="0.25">
      <c r="B1678" s="21" t="s">
        <v>0</v>
      </c>
      <c r="C1678" s="22" t="s">
        <v>2102</v>
      </c>
      <c r="D1678" s="22" t="s">
        <v>2039</v>
      </c>
      <c r="E1678" s="21" t="s">
        <v>2222</v>
      </c>
      <c r="F1678" s="23" t="s">
        <v>3</v>
      </c>
      <c r="G1678" s="23" t="s">
        <v>4</v>
      </c>
      <c r="H1678" s="21" t="str">
        <f t="shared" si="26"/>
        <v>D_MIO023_12_NU1_SV/DIVERSION</v>
      </c>
      <c r="I1678" s="24" t="s">
        <v>2310</v>
      </c>
      <c r="J1678" s="10" t="str">
        <f>VLOOKUP(Table1[[#This Row],[UID]],CS3SVComposerConfig!$B$3:$D$1808,3,FALSE)</f>
        <v>DCR2023_SV_Danube_Hist_v3.dss</v>
      </c>
      <c r="K1678" s="10" t="s">
        <v>2212</v>
      </c>
      <c r="L1678" s="10" t="s">
        <v>2212</v>
      </c>
      <c r="M1678" s="10" t="s">
        <v>2212</v>
      </c>
      <c r="N1678" s="10" t="s">
        <v>2227</v>
      </c>
      <c r="O1678" s="10" t="s">
        <v>2227</v>
      </c>
      <c r="P1678" s="39" t="s">
        <v>2227</v>
      </c>
    </row>
    <row r="1679" spans="2:16" ht="18" customHeight="1" x14ac:dyDescent="0.25">
      <c r="B1679" s="21" t="s">
        <v>0</v>
      </c>
      <c r="C1679" s="22" t="s">
        <v>2103</v>
      </c>
      <c r="D1679" s="22" t="s">
        <v>2039</v>
      </c>
      <c r="E1679" s="21" t="s">
        <v>2222</v>
      </c>
      <c r="F1679" s="23" t="s">
        <v>3</v>
      </c>
      <c r="G1679" s="23" t="s">
        <v>4</v>
      </c>
      <c r="H1679" s="21" t="str">
        <f t="shared" si="26"/>
        <v>D_MNRRH_13_NA_SV/DIVERSION</v>
      </c>
      <c r="I1679" s="24" t="s">
        <v>2310</v>
      </c>
      <c r="J1679" s="10" t="str">
        <f>VLOOKUP(Table1[[#This Row],[UID]],CS3SVComposerConfig!$B$3:$D$1808,3,FALSE)</f>
        <v>DCR2023_SV_Danube_Hist_v3.dss</v>
      </c>
      <c r="K1679" s="10" t="s">
        <v>2212</v>
      </c>
      <c r="L1679" s="10" t="s">
        <v>2212</v>
      </c>
      <c r="M1679" s="10" t="s">
        <v>2212</v>
      </c>
      <c r="N1679" s="10" t="s">
        <v>2227</v>
      </c>
      <c r="O1679" s="10" t="s">
        <v>2227</v>
      </c>
      <c r="P1679" s="39" t="s">
        <v>2227</v>
      </c>
    </row>
    <row r="1680" spans="2:16" ht="18" customHeight="1" x14ac:dyDescent="0.25">
      <c r="B1680" s="21" t="s">
        <v>0</v>
      </c>
      <c r="C1680" s="22" t="s">
        <v>2104</v>
      </c>
      <c r="D1680" s="22" t="s">
        <v>2039</v>
      </c>
      <c r="E1680" s="21" t="s">
        <v>2222</v>
      </c>
      <c r="F1680" s="23" t="s">
        <v>3</v>
      </c>
      <c r="G1680" s="23" t="s">
        <v>4</v>
      </c>
      <c r="H1680" s="21" t="str">
        <f t="shared" si="26"/>
        <v>D_MNRRH_13_NU2_SV/DIVERSION</v>
      </c>
      <c r="I1680" s="24" t="s">
        <v>2310</v>
      </c>
      <c r="J1680" s="10" t="str">
        <f>VLOOKUP(Table1[[#This Row],[UID]],CS3SVComposerConfig!$B$3:$D$1808,3,FALSE)</f>
        <v>DCR2023_SV_Danube_Hist_v3.dss</v>
      </c>
      <c r="K1680" s="10" t="s">
        <v>2212</v>
      </c>
      <c r="L1680" s="10" t="s">
        <v>2212</v>
      </c>
      <c r="M1680" s="10" t="s">
        <v>2212</v>
      </c>
      <c r="N1680" s="10" t="s">
        <v>2227</v>
      </c>
      <c r="O1680" s="10" t="s">
        <v>2227</v>
      </c>
      <c r="P1680" s="39" t="s">
        <v>2227</v>
      </c>
    </row>
    <row r="1681" spans="2:16" ht="18" customHeight="1" x14ac:dyDescent="0.25">
      <c r="B1681" s="21" t="s">
        <v>0</v>
      </c>
      <c r="C1681" s="22" t="s">
        <v>2067</v>
      </c>
      <c r="D1681" s="22" t="s">
        <v>2039</v>
      </c>
      <c r="E1681" s="21" t="s">
        <v>2222</v>
      </c>
      <c r="F1681" s="23" t="s">
        <v>3</v>
      </c>
      <c r="G1681" s="23" t="s">
        <v>4</v>
      </c>
      <c r="H1681" s="21" t="str">
        <f t="shared" si="26"/>
        <v>D_NFA016_ABT002_SV/DIVERSION</v>
      </c>
      <c r="I1681" s="24" t="s">
        <v>2310</v>
      </c>
      <c r="J1681" s="10" t="str">
        <f>VLOOKUP(Table1[[#This Row],[UID]],CS3SVComposerConfig!$B$3:$D$1808,3,FALSE)</f>
        <v>DCR2023_SV_Danube_Hist_v3.dss</v>
      </c>
      <c r="K1681" s="10" t="s">
        <v>2212</v>
      </c>
      <c r="L1681" s="10" t="s">
        <v>2212</v>
      </c>
      <c r="M1681" s="10" t="s">
        <v>2224</v>
      </c>
      <c r="N1681" s="10" t="s">
        <v>2258</v>
      </c>
      <c r="O1681" s="10" t="s">
        <v>2282</v>
      </c>
      <c r="P1681" s="39">
        <v>0.98</v>
      </c>
    </row>
    <row r="1682" spans="2:16" ht="18" customHeight="1" x14ac:dyDescent="0.25">
      <c r="B1682" s="21" t="s">
        <v>0</v>
      </c>
      <c r="C1682" s="22" t="s">
        <v>2083</v>
      </c>
      <c r="D1682" s="22" t="s">
        <v>2039</v>
      </c>
      <c r="E1682" s="21" t="s">
        <v>2222</v>
      </c>
      <c r="F1682" s="23" t="s">
        <v>3</v>
      </c>
      <c r="G1682" s="23" t="s">
        <v>4</v>
      </c>
      <c r="H1682" s="21" t="str">
        <f t="shared" si="26"/>
        <v>D_NNA013_LVC001_SV/DIVERSION</v>
      </c>
      <c r="I1682" s="24" t="s">
        <v>2310</v>
      </c>
      <c r="J1682" s="10" t="str">
        <f>VLOOKUP(Table1[[#This Row],[UID]],CS3SVComposerConfig!$B$3:$D$1808,3,FALSE)</f>
        <v>DCR2023_SV_Danube_Hist_v3.dss</v>
      </c>
      <c r="K1682" s="10" t="s">
        <v>2212</v>
      </c>
      <c r="L1682" s="10" t="s">
        <v>2212</v>
      </c>
      <c r="M1682" s="10" t="s">
        <v>2212</v>
      </c>
      <c r="N1682" s="10" t="s">
        <v>2227</v>
      </c>
      <c r="O1682" s="10" t="s">
        <v>2227</v>
      </c>
      <c r="P1682" s="39" t="s">
        <v>2227</v>
      </c>
    </row>
    <row r="1683" spans="2:16" ht="18" customHeight="1" x14ac:dyDescent="0.25">
      <c r="B1683" s="21" t="s">
        <v>0</v>
      </c>
      <c r="C1683" s="22" t="s">
        <v>2105</v>
      </c>
      <c r="D1683" s="22" t="s">
        <v>2039</v>
      </c>
      <c r="E1683" s="21" t="s">
        <v>2222</v>
      </c>
      <c r="F1683" s="23" t="s">
        <v>3</v>
      </c>
      <c r="G1683" s="23" t="s">
        <v>4</v>
      </c>
      <c r="H1683" s="21" t="str">
        <f t="shared" si="26"/>
        <v>D_OWC000_13_NA_SV/DIVERSION</v>
      </c>
      <c r="I1683" s="24" t="s">
        <v>2310</v>
      </c>
      <c r="J1683" s="10" t="str">
        <f>VLOOKUP(Table1[[#This Row],[UID]],CS3SVComposerConfig!$B$3:$D$1808,3,FALSE)</f>
        <v>DCR2023_SV_Danube_Hist_v3.dss</v>
      </c>
      <c r="K1683" s="10" t="s">
        <v>2212</v>
      </c>
      <c r="L1683" s="10" t="s">
        <v>2212</v>
      </c>
      <c r="M1683" s="10" t="s">
        <v>2212</v>
      </c>
      <c r="N1683" s="10" t="s">
        <v>2227</v>
      </c>
      <c r="O1683" s="10" t="s">
        <v>2227</v>
      </c>
      <c r="P1683" s="39" t="s">
        <v>2227</v>
      </c>
    </row>
    <row r="1684" spans="2:16" ht="18" customHeight="1" x14ac:dyDescent="0.25">
      <c r="B1684" s="21" t="s">
        <v>0</v>
      </c>
      <c r="C1684" s="22" t="s">
        <v>2106</v>
      </c>
      <c r="D1684" s="22" t="s">
        <v>2039</v>
      </c>
      <c r="E1684" s="21" t="s">
        <v>2222</v>
      </c>
      <c r="F1684" s="23" t="s">
        <v>3</v>
      </c>
      <c r="G1684" s="23" t="s">
        <v>4</v>
      </c>
      <c r="H1684" s="21" t="str">
        <f t="shared" si="26"/>
        <v>D_SFF011_MNRRH_SV/DIVERSION</v>
      </c>
      <c r="I1684" s="24" t="s">
        <v>2310</v>
      </c>
      <c r="J1684" s="10" t="str">
        <f>VLOOKUP(Table1[[#This Row],[UID]],CS3SVComposerConfig!$B$3:$D$1808,3,FALSE)</f>
        <v>DCR2023_SV_Danube_Hist_v3.dss</v>
      </c>
      <c r="K1684" s="10" t="s">
        <v>2212</v>
      </c>
      <c r="L1684" s="10" t="s">
        <v>2212</v>
      </c>
      <c r="M1684" s="10" t="s">
        <v>2212</v>
      </c>
      <c r="N1684" s="10" t="s">
        <v>2227</v>
      </c>
      <c r="O1684" s="10" t="s">
        <v>2227</v>
      </c>
      <c r="P1684" s="39" t="s">
        <v>2227</v>
      </c>
    </row>
    <row r="1685" spans="2:16" ht="18" customHeight="1" x14ac:dyDescent="0.25">
      <c r="B1685" s="21" t="s">
        <v>0</v>
      </c>
      <c r="C1685" s="22" t="s">
        <v>2107</v>
      </c>
      <c r="D1685" s="22" t="s">
        <v>2039</v>
      </c>
      <c r="E1685" s="21" t="s">
        <v>2222</v>
      </c>
      <c r="F1685" s="23" t="s">
        <v>3</v>
      </c>
      <c r="G1685" s="23" t="s">
        <v>4</v>
      </c>
      <c r="H1685" s="21" t="str">
        <f t="shared" si="26"/>
        <v>D_SLT009_SCT000_SV/DIVERSION</v>
      </c>
      <c r="I1685" s="24" t="s">
        <v>2310</v>
      </c>
      <c r="J1685" s="10" t="str">
        <f>VLOOKUP(Table1[[#This Row],[UID]],CS3SVComposerConfig!$B$3:$D$1808,3,FALSE)</f>
        <v>DCR2023_SV_Danube_Hist_v3.dss</v>
      </c>
      <c r="K1685" s="10" t="s">
        <v>2212</v>
      </c>
      <c r="L1685" s="10" t="s">
        <v>2212</v>
      </c>
      <c r="M1685" s="10" t="s">
        <v>2224</v>
      </c>
      <c r="N1685" s="10" t="s">
        <v>2258</v>
      </c>
      <c r="O1685" s="10" t="s">
        <v>2282</v>
      </c>
      <c r="P1685" s="39">
        <v>0.88</v>
      </c>
    </row>
    <row r="1686" spans="2:16" ht="18" customHeight="1" x14ac:dyDescent="0.25">
      <c r="B1686" s="21" t="s">
        <v>0</v>
      </c>
      <c r="C1686" s="22" t="s">
        <v>2147</v>
      </c>
      <c r="D1686" s="22" t="s">
        <v>2039</v>
      </c>
      <c r="E1686" s="21" t="s">
        <v>2222</v>
      </c>
      <c r="F1686" s="23" t="s">
        <v>3</v>
      </c>
      <c r="G1686" s="23" t="s">
        <v>4</v>
      </c>
      <c r="H1686" s="21" t="str">
        <f t="shared" si="26"/>
        <v>D_SPLDG_DRM000_SV/DIVERSION</v>
      </c>
      <c r="I1686" s="24" t="s">
        <v>2310</v>
      </c>
      <c r="J1686" s="10" t="str">
        <f>VLOOKUP(Table1[[#This Row],[UID]],CS3SVComposerConfig!$B$3:$D$1808,3,FALSE)</f>
        <v>DCR2023_SV_Danube_Hist_v3.dss</v>
      </c>
      <c r="K1686" s="10" t="s">
        <v>2212</v>
      </c>
      <c r="L1686" s="10" t="s">
        <v>2212</v>
      </c>
      <c r="M1686" s="10" t="s">
        <v>2212</v>
      </c>
      <c r="N1686" s="10" t="s">
        <v>2227</v>
      </c>
      <c r="O1686" s="10" t="s">
        <v>2227</v>
      </c>
      <c r="P1686" s="39" t="s">
        <v>2227</v>
      </c>
    </row>
    <row r="1687" spans="2:16" ht="18" customHeight="1" x14ac:dyDescent="0.25">
      <c r="B1687" s="21" t="s">
        <v>0</v>
      </c>
      <c r="C1687" s="22" t="s">
        <v>2148</v>
      </c>
      <c r="D1687" s="22" t="s">
        <v>2039</v>
      </c>
      <c r="E1687" s="21" t="s">
        <v>2222</v>
      </c>
      <c r="F1687" s="23" t="s">
        <v>3</v>
      </c>
      <c r="G1687" s="23" t="s">
        <v>4</v>
      </c>
      <c r="H1687" s="21" t="str">
        <f t="shared" si="26"/>
        <v>D_STH000_ABN027_NID_SV/DIVERSION</v>
      </c>
      <c r="I1687" s="24" t="s">
        <v>2310</v>
      </c>
      <c r="J1687" s="10" t="str">
        <f>VLOOKUP(Table1[[#This Row],[UID]],CS3SVComposerConfig!$B$3:$D$1808,3,FALSE)</f>
        <v>DCR2023_SV_Danube_Hist_v3.dss</v>
      </c>
      <c r="K1687" s="10" t="s">
        <v>2212</v>
      </c>
      <c r="L1687" s="10" t="s">
        <v>2212</v>
      </c>
      <c r="M1687" s="10" t="s">
        <v>2212</v>
      </c>
      <c r="N1687" s="10" t="s">
        <v>2227</v>
      </c>
      <c r="O1687" s="10" t="s">
        <v>2227</v>
      </c>
      <c r="P1687" s="39" t="s">
        <v>2227</v>
      </c>
    </row>
    <row r="1688" spans="2:16" ht="18" customHeight="1" x14ac:dyDescent="0.25">
      <c r="B1688" s="21" t="s">
        <v>0</v>
      </c>
      <c r="C1688" s="22" t="s">
        <v>2149</v>
      </c>
      <c r="D1688" s="22" t="s">
        <v>2039</v>
      </c>
      <c r="E1688" s="21" t="s">
        <v>2222</v>
      </c>
      <c r="F1688" s="23" t="s">
        <v>3</v>
      </c>
      <c r="G1688" s="23" t="s">
        <v>4</v>
      </c>
      <c r="H1688" s="21" t="str">
        <f t="shared" si="26"/>
        <v>D_STH000_ABN027_PCWA_SV/DIVERSION</v>
      </c>
      <c r="I1688" s="24" t="s">
        <v>2310</v>
      </c>
      <c r="J1688" s="10" t="str">
        <f>VLOOKUP(Table1[[#This Row],[UID]],CS3SVComposerConfig!$B$3:$D$1808,3,FALSE)</f>
        <v>DCR2023_SV_Danube_Hist_v3.dss</v>
      </c>
      <c r="K1688" s="10" t="s">
        <v>2212</v>
      </c>
      <c r="L1688" s="10" t="s">
        <v>2212</v>
      </c>
      <c r="M1688" s="10" t="s">
        <v>2212</v>
      </c>
      <c r="N1688" s="10" t="s">
        <v>2227</v>
      </c>
      <c r="O1688" s="10" t="s">
        <v>2227</v>
      </c>
      <c r="P1688" s="39" t="s">
        <v>2227</v>
      </c>
    </row>
    <row r="1689" spans="2:16" ht="18" customHeight="1" x14ac:dyDescent="0.25">
      <c r="B1689" s="21" t="s">
        <v>0</v>
      </c>
      <c r="C1689" s="22" t="s">
        <v>2150</v>
      </c>
      <c r="D1689" s="22" t="s">
        <v>2039</v>
      </c>
      <c r="E1689" s="21" t="s">
        <v>2222</v>
      </c>
      <c r="F1689" s="23" t="s">
        <v>3</v>
      </c>
      <c r="G1689" s="23" t="s">
        <v>4</v>
      </c>
      <c r="H1689" s="21" t="str">
        <f t="shared" si="26"/>
        <v>D_SYC002_BRR074_SV/DIVERSION</v>
      </c>
      <c r="I1689" s="24" t="s">
        <v>2310</v>
      </c>
      <c r="J1689" s="10" t="str">
        <f>VLOOKUP(Table1[[#This Row],[UID]],CS3SVComposerConfig!$B$3:$D$1808,3,FALSE)</f>
        <v>DCR2023_SV_Danube_Hist_v3.dss</v>
      </c>
      <c r="K1689" s="10" t="s">
        <v>2212</v>
      </c>
      <c r="L1689" s="10" t="s">
        <v>2212</v>
      </c>
      <c r="M1689" s="10" t="s">
        <v>2212</v>
      </c>
      <c r="N1689" s="10" t="s">
        <v>2227</v>
      </c>
      <c r="O1689" s="10" t="s">
        <v>2227</v>
      </c>
      <c r="P1689" s="39" t="s">
        <v>2227</v>
      </c>
    </row>
    <row r="1690" spans="2:16" ht="18" customHeight="1" x14ac:dyDescent="0.25">
      <c r="B1690" s="21" t="s">
        <v>0</v>
      </c>
      <c r="C1690" s="22" t="s">
        <v>2108</v>
      </c>
      <c r="D1690" s="22" t="s">
        <v>2039</v>
      </c>
      <c r="E1690" s="21" t="s">
        <v>2222</v>
      </c>
      <c r="F1690" s="23" t="s">
        <v>3</v>
      </c>
      <c r="G1690" s="23" t="s">
        <v>4</v>
      </c>
      <c r="H1690" s="21" t="str">
        <f t="shared" si="26"/>
        <v>D_WBF030_HKC002_SV/DIVERSION</v>
      </c>
      <c r="I1690" s="24" t="s">
        <v>2310</v>
      </c>
      <c r="J1690" s="10" t="str">
        <f>VLOOKUP(Table1[[#This Row],[UID]],CS3SVComposerConfig!$B$3:$D$1808,3,FALSE)</f>
        <v>DCR2023_SV_Danube_Hist_v3.dss</v>
      </c>
      <c r="K1690" s="10" t="s">
        <v>2212</v>
      </c>
      <c r="L1690" s="10" t="s">
        <v>2212</v>
      </c>
      <c r="M1690" s="10" t="s">
        <v>2212</v>
      </c>
      <c r="N1690" s="10" t="s">
        <v>2227</v>
      </c>
      <c r="O1690" s="10" t="s">
        <v>2227</v>
      </c>
      <c r="P1690" s="39" t="s">
        <v>2227</v>
      </c>
    </row>
    <row r="1691" spans="2:16" ht="18" customHeight="1" x14ac:dyDescent="0.25">
      <c r="B1691" s="21" t="s">
        <v>0</v>
      </c>
      <c r="C1691" s="22" t="s">
        <v>2109</v>
      </c>
      <c r="D1691" s="22" t="s">
        <v>2039</v>
      </c>
      <c r="E1691" s="21" t="s">
        <v>2222</v>
      </c>
      <c r="F1691" s="23" t="s">
        <v>3</v>
      </c>
      <c r="G1691" s="23" t="s">
        <v>4</v>
      </c>
      <c r="H1691" s="21" t="str">
        <f t="shared" si="26"/>
        <v>D_WTPMNR_13_NU1_SV/DIVERSION</v>
      </c>
      <c r="I1691" s="24" t="s">
        <v>2310</v>
      </c>
      <c r="J1691" s="10" t="str">
        <f>VLOOKUP(Table1[[#This Row],[UID]],CS3SVComposerConfig!$B$3:$D$1808,3,FALSE)</f>
        <v>DCR2023_SV_Danube_Hist_v3.dss</v>
      </c>
      <c r="K1691" s="10" t="s">
        <v>2212</v>
      </c>
      <c r="L1691" s="10" t="s">
        <v>2212</v>
      </c>
      <c r="M1691" s="10" t="s">
        <v>2212</v>
      </c>
      <c r="N1691" s="10" t="s">
        <v>2227</v>
      </c>
      <c r="O1691" s="10" t="s">
        <v>2227</v>
      </c>
      <c r="P1691" s="39" t="s">
        <v>2227</v>
      </c>
    </row>
    <row r="1692" spans="2:16" ht="18" customHeight="1" x14ac:dyDescent="0.25">
      <c r="B1692" s="21" t="s">
        <v>0</v>
      </c>
      <c r="C1692" s="22" t="s">
        <v>2084</v>
      </c>
      <c r="D1692" s="22" t="s">
        <v>2039</v>
      </c>
      <c r="E1692" s="21" t="s">
        <v>2222</v>
      </c>
      <c r="F1692" s="23" t="s">
        <v>3</v>
      </c>
      <c r="G1692" s="23" t="s">
        <v>4</v>
      </c>
      <c r="H1692" s="21" t="str">
        <f t="shared" si="26"/>
        <v>D_WTPRS1_ELDID_NU3_SV/DIVERSION</v>
      </c>
      <c r="I1692" s="24" t="s">
        <v>2310</v>
      </c>
      <c r="J1692" s="10" t="str">
        <f>VLOOKUP(Table1[[#This Row],[UID]],CS3SVComposerConfig!$B$3:$D$1808,3,FALSE)</f>
        <v>DCR2023_SV_Danube_Hist_v3.dss</v>
      </c>
      <c r="K1692" s="10" t="s">
        <v>2212</v>
      </c>
      <c r="L1692" s="10" t="s">
        <v>2212</v>
      </c>
      <c r="M1692" s="10" t="s">
        <v>2212</v>
      </c>
      <c r="N1692" s="10" t="s">
        <v>2227</v>
      </c>
      <c r="O1692" s="10" t="s">
        <v>2227</v>
      </c>
      <c r="P1692" s="39" t="s">
        <v>2227</v>
      </c>
    </row>
    <row r="1693" spans="2:16" ht="18" customHeight="1" x14ac:dyDescent="0.25">
      <c r="B1693" s="21" t="s">
        <v>0</v>
      </c>
      <c r="C1693" s="22" t="s">
        <v>2085</v>
      </c>
      <c r="D1693" s="22" t="s">
        <v>2039</v>
      </c>
      <c r="E1693" s="21" t="s">
        <v>2222</v>
      </c>
      <c r="F1693" s="23" t="s">
        <v>3</v>
      </c>
      <c r="G1693" s="23" t="s">
        <v>4</v>
      </c>
      <c r="H1693" s="21" t="str">
        <f t="shared" si="26"/>
        <v>D_WTPRSA_ELDID_NU3_SV/DIVERSION</v>
      </c>
      <c r="I1693" s="24" t="s">
        <v>2310</v>
      </c>
      <c r="J1693" s="10" t="str">
        <f>VLOOKUP(Table1[[#This Row],[UID]],CS3SVComposerConfig!$B$3:$D$1808,3,FALSE)</f>
        <v>DCR2023_SV_Danube_Hist_v3.dss</v>
      </c>
      <c r="K1693" s="10" t="s">
        <v>2212</v>
      </c>
      <c r="L1693" s="10" t="s">
        <v>2212</v>
      </c>
      <c r="M1693" s="10" t="s">
        <v>2212</v>
      </c>
      <c r="N1693" s="10" t="s">
        <v>2227</v>
      </c>
      <c r="O1693" s="10" t="s">
        <v>2227</v>
      </c>
      <c r="P1693" s="39" t="s">
        <v>2227</v>
      </c>
    </row>
    <row r="1694" spans="2:16" ht="18" customHeight="1" x14ac:dyDescent="0.25">
      <c r="B1694" s="21" t="s">
        <v>0</v>
      </c>
      <c r="C1694" s="22" t="s">
        <v>2048</v>
      </c>
      <c r="D1694" s="22" t="s">
        <v>2039</v>
      </c>
      <c r="E1694" s="21" t="s">
        <v>2222</v>
      </c>
      <c r="F1694" s="23" t="s">
        <v>3</v>
      </c>
      <c r="G1694" s="23" t="s">
        <v>4</v>
      </c>
      <c r="H1694" s="21" t="str">
        <f t="shared" si="26"/>
        <v>D_YUB003_15N_NU_SV/DIVERSION</v>
      </c>
      <c r="I1694" s="24" t="s">
        <v>2310</v>
      </c>
      <c r="J1694" s="10" t="str">
        <f>VLOOKUP(Table1[[#This Row],[UID]],CS3SVComposerConfig!$B$3:$D$1808,3,FALSE)</f>
        <v>DCR2023_SV_Danube_Hist_v3.dss</v>
      </c>
      <c r="K1694" s="10" t="s">
        <v>2212</v>
      </c>
      <c r="L1694" s="10" t="s">
        <v>2212</v>
      </c>
      <c r="M1694" s="10" t="s">
        <v>2212</v>
      </c>
      <c r="N1694" s="10" t="s">
        <v>2227</v>
      </c>
      <c r="O1694" s="10" t="s">
        <v>2227</v>
      </c>
      <c r="P1694" s="39" t="s">
        <v>2227</v>
      </c>
    </row>
    <row r="1695" spans="2:16" ht="18" customHeight="1" x14ac:dyDescent="0.25">
      <c r="B1695" s="21" t="s">
        <v>0</v>
      </c>
      <c r="C1695" s="22" t="s">
        <v>2049</v>
      </c>
      <c r="D1695" s="22" t="s">
        <v>2039</v>
      </c>
      <c r="E1695" s="21" t="s">
        <v>2222</v>
      </c>
      <c r="F1695" s="23" t="s">
        <v>3</v>
      </c>
      <c r="G1695" s="23" t="s">
        <v>4</v>
      </c>
      <c r="H1695" s="21" t="str">
        <f t="shared" si="26"/>
        <v>D_YUB011_15N_NA2_SV/DIVERSION</v>
      </c>
      <c r="I1695" s="24" t="s">
        <v>2310</v>
      </c>
      <c r="J1695" s="10" t="str">
        <f>VLOOKUP(Table1[[#This Row],[UID]],CS3SVComposerConfig!$B$3:$D$1808,3,FALSE)</f>
        <v>DCR2023_SV_Danube_Hist_v3.dss</v>
      </c>
      <c r="K1695" s="10" t="s">
        <v>2212</v>
      </c>
      <c r="L1695" s="10" t="s">
        <v>2212</v>
      </c>
      <c r="M1695" s="10" t="s">
        <v>2212</v>
      </c>
      <c r="N1695" s="10" t="s">
        <v>2227</v>
      </c>
      <c r="O1695" s="10" t="s">
        <v>2227</v>
      </c>
      <c r="P1695" s="39" t="s">
        <v>2227</v>
      </c>
    </row>
    <row r="1696" spans="2:16" ht="18" customHeight="1" x14ac:dyDescent="0.25">
      <c r="B1696" s="21" t="s">
        <v>0</v>
      </c>
      <c r="C1696" s="22" t="s">
        <v>2050</v>
      </c>
      <c r="D1696" s="22" t="s">
        <v>2039</v>
      </c>
      <c r="E1696" s="21" t="s">
        <v>2222</v>
      </c>
      <c r="F1696" s="23" t="s">
        <v>3</v>
      </c>
      <c r="G1696" s="23" t="s">
        <v>4</v>
      </c>
      <c r="H1696" s="21" t="str">
        <f t="shared" si="26"/>
        <v>D_YUB011_15S_NA2_SV/DIVERSION</v>
      </c>
      <c r="I1696" s="24" t="s">
        <v>2310</v>
      </c>
      <c r="J1696" s="10" t="str">
        <f>VLOOKUP(Table1[[#This Row],[UID]],CS3SVComposerConfig!$B$3:$D$1808,3,FALSE)</f>
        <v>DCR2023_SV_Danube_Hist_v3.dss</v>
      </c>
      <c r="K1696" s="10" t="s">
        <v>2212</v>
      </c>
      <c r="L1696" s="10" t="s">
        <v>2212</v>
      </c>
      <c r="M1696" s="10" t="s">
        <v>2212</v>
      </c>
      <c r="N1696" s="10" t="s">
        <v>2227</v>
      </c>
      <c r="O1696" s="10" t="s">
        <v>2227</v>
      </c>
      <c r="P1696" s="39" t="s">
        <v>2227</v>
      </c>
    </row>
    <row r="1697" spans="2:16" ht="18" customHeight="1" x14ac:dyDescent="0.25">
      <c r="B1697" s="21" t="s">
        <v>0</v>
      </c>
      <c r="C1697" s="22" t="s">
        <v>2051</v>
      </c>
      <c r="D1697" s="22" t="s">
        <v>2039</v>
      </c>
      <c r="E1697" s="21" t="s">
        <v>2222</v>
      </c>
      <c r="F1697" s="23" t="s">
        <v>3</v>
      </c>
      <c r="G1697" s="23" t="s">
        <v>4</v>
      </c>
      <c r="H1697" s="21" t="str">
        <f t="shared" si="26"/>
        <v>D_YUB013_14_NA_SV/DIVERSION</v>
      </c>
      <c r="I1697" s="24" t="s">
        <v>2310</v>
      </c>
      <c r="J1697" s="10" t="str">
        <f>VLOOKUP(Table1[[#This Row],[UID]],CS3SVComposerConfig!$B$3:$D$1808,3,FALSE)</f>
        <v>DCR2023_SV_Danube_Hist_v3.dss</v>
      </c>
      <c r="K1697" s="10" t="s">
        <v>2212</v>
      </c>
      <c r="L1697" s="10" t="s">
        <v>2212</v>
      </c>
      <c r="M1697" s="10" t="s">
        <v>2212</v>
      </c>
      <c r="N1697" s="10" t="s">
        <v>2227</v>
      </c>
      <c r="O1697" s="10" t="s">
        <v>2227</v>
      </c>
      <c r="P1697" s="39" t="s">
        <v>2227</v>
      </c>
    </row>
    <row r="1698" spans="2:16" ht="18" customHeight="1" x14ac:dyDescent="0.25">
      <c r="B1698" s="21" t="s">
        <v>0</v>
      </c>
      <c r="C1698" s="22" t="s">
        <v>2116</v>
      </c>
      <c r="D1698" s="22" t="s">
        <v>1374</v>
      </c>
      <c r="E1698" s="21" t="s">
        <v>2222</v>
      </c>
      <c r="F1698" s="23" t="s">
        <v>3</v>
      </c>
      <c r="G1698" s="23" t="s">
        <v>4</v>
      </c>
      <c r="H1698" s="21" t="str">
        <f t="shared" si="26"/>
        <v>E_LBEAR_SV/EVAPORATION</v>
      </c>
      <c r="I1698" s="24" t="s">
        <v>2310</v>
      </c>
      <c r="J1698" s="10" t="str">
        <f>VLOOKUP(Table1[[#This Row],[UID]],CS3SVComposerConfig!$B$3:$D$1808,3,FALSE)</f>
        <v>DCR2023_SV_Danube_Hist_v3.dss</v>
      </c>
      <c r="K1698" s="10" t="s">
        <v>2212</v>
      </c>
      <c r="L1698" s="10" t="s">
        <v>2212</v>
      </c>
      <c r="M1698" s="10" t="s">
        <v>2212</v>
      </c>
      <c r="N1698" s="10" t="s">
        <v>2227</v>
      </c>
      <c r="O1698" s="10" t="s">
        <v>2227</v>
      </c>
      <c r="P1698" s="39" t="s">
        <v>2227</v>
      </c>
    </row>
    <row r="1699" spans="2:16" ht="18" customHeight="1" x14ac:dyDescent="0.25">
      <c r="B1699" s="21" t="s">
        <v>0</v>
      </c>
      <c r="C1699" s="22" t="s">
        <v>1373</v>
      </c>
      <c r="D1699" s="22" t="s">
        <v>1374</v>
      </c>
      <c r="E1699" s="21" t="s">
        <v>2222</v>
      </c>
      <c r="F1699" s="23" t="s">
        <v>3</v>
      </c>
      <c r="G1699" s="23" t="s">
        <v>4</v>
      </c>
      <c r="H1699" s="21" t="str">
        <f t="shared" si="26"/>
        <v>E_PEDRO_SV/EVAPORATION</v>
      </c>
      <c r="I1699" s="24" t="s">
        <v>2310</v>
      </c>
      <c r="J1699" s="10" t="str">
        <f>VLOOKUP(Table1[[#This Row],[UID]],CS3SVComposerConfig!$B$3:$D$1808,3,FALSE)</f>
        <v>DCR2023_SV_Danube_Hist_v3.dss</v>
      </c>
      <c r="K1699" s="10" t="s">
        <v>2212</v>
      </c>
      <c r="L1699" s="10" t="s">
        <v>2212</v>
      </c>
      <c r="M1699" s="10" t="s">
        <v>2224</v>
      </c>
      <c r="N1699" s="26" t="s">
        <v>5378</v>
      </c>
      <c r="O1699" s="26" t="s">
        <v>5377</v>
      </c>
      <c r="P1699" s="39">
        <v>0</v>
      </c>
    </row>
    <row r="1700" spans="2:16" ht="18" customHeight="1" x14ac:dyDescent="0.25">
      <c r="B1700" s="21" t="s">
        <v>0</v>
      </c>
      <c r="C1700" s="22" t="s">
        <v>2117</v>
      </c>
      <c r="D1700" s="22" t="s">
        <v>1374</v>
      </c>
      <c r="E1700" s="21" t="s">
        <v>2222</v>
      </c>
      <c r="F1700" s="23" t="s">
        <v>3</v>
      </c>
      <c r="G1700" s="23" t="s">
        <v>4</v>
      </c>
      <c r="H1700" s="21" t="str">
        <f t="shared" si="26"/>
        <v>E_SLTSP_SV/EVAPORATION</v>
      </c>
      <c r="I1700" s="24" t="s">
        <v>2310</v>
      </c>
      <c r="J1700" s="10" t="str">
        <f>VLOOKUP(Table1[[#This Row],[UID]],CS3SVComposerConfig!$B$3:$D$1808,3,FALSE)</f>
        <v>DCR2023_SV_Danube_Hist_v3.dss</v>
      </c>
      <c r="K1700" s="10" t="s">
        <v>2212</v>
      </c>
      <c r="L1700" s="10" t="s">
        <v>2212</v>
      </c>
      <c r="M1700" s="10" t="s">
        <v>2212</v>
      </c>
      <c r="N1700" s="10" t="s">
        <v>2227</v>
      </c>
      <c r="O1700" s="10" t="s">
        <v>2227</v>
      </c>
      <c r="P1700" s="39" t="s">
        <v>2227</v>
      </c>
    </row>
    <row r="1701" spans="2:16" ht="18" customHeight="1" x14ac:dyDescent="0.25">
      <c r="B1701" s="21" t="s">
        <v>0</v>
      </c>
      <c r="C1701" s="22" t="s">
        <v>2110</v>
      </c>
      <c r="D1701" s="22" t="s">
        <v>1374</v>
      </c>
      <c r="E1701" s="21" t="s">
        <v>2222</v>
      </c>
      <c r="F1701" s="23" t="s">
        <v>3</v>
      </c>
      <c r="G1701" s="23" t="s">
        <v>4</v>
      </c>
      <c r="H1701" s="21" t="str">
        <f t="shared" si="26"/>
        <v>E_UPPERFEATHER_SV/EVAPORATION</v>
      </c>
      <c r="I1701" s="24" t="s">
        <v>2310</v>
      </c>
      <c r="J1701" s="10" t="str">
        <f>VLOOKUP(Table1[[#This Row],[UID]],CS3SVComposerConfig!$B$3:$D$1808,3,FALSE)</f>
        <v>DCR2023_SV_Danube_Hist_v3.dss</v>
      </c>
      <c r="K1701" s="10" t="s">
        <v>2212</v>
      </c>
      <c r="L1701" s="10" t="s">
        <v>2212</v>
      </c>
      <c r="M1701" s="10" t="s">
        <v>2212</v>
      </c>
      <c r="N1701" s="10" t="s">
        <v>2227</v>
      </c>
      <c r="O1701" s="10" t="s">
        <v>2227</v>
      </c>
      <c r="P1701" s="39" t="s">
        <v>2227</v>
      </c>
    </row>
    <row r="1702" spans="2:16" ht="18" customHeight="1" x14ac:dyDescent="0.25">
      <c r="B1702" s="21" t="s">
        <v>0</v>
      </c>
      <c r="C1702" s="22" t="s">
        <v>2088</v>
      </c>
      <c r="D1702" s="22" t="s">
        <v>2087</v>
      </c>
      <c r="E1702" s="21" t="s">
        <v>2222</v>
      </c>
      <c r="F1702" s="23" t="s">
        <v>3</v>
      </c>
      <c r="G1702" s="23" t="s">
        <v>4</v>
      </c>
      <c r="H1702" s="21" t="str">
        <f t="shared" si="26"/>
        <v>FOLSOMINFLOWEST_SV/INFLOW-FORECAST</v>
      </c>
      <c r="I1702" s="24" t="s">
        <v>2310</v>
      </c>
      <c r="J1702" s="10" t="str">
        <f>VLOOKUP(Table1[[#This Row],[UID]],CS3SVComposerConfig!$B$3:$D$1808,3,FALSE)</f>
        <v>DCR2023_SV_Danube_Hist_v3.dss</v>
      </c>
      <c r="K1702" s="10" t="s">
        <v>2212</v>
      </c>
      <c r="L1702" s="10" t="s">
        <v>2212</v>
      </c>
      <c r="M1702" s="10" t="s">
        <v>2212</v>
      </c>
      <c r="N1702" s="10" t="s">
        <v>2227</v>
      </c>
      <c r="O1702" s="10" t="s">
        <v>2227</v>
      </c>
      <c r="P1702" s="39" t="s">
        <v>2227</v>
      </c>
    </row>
    <row r="1703" spans="2:16" ht="18" customHeight="1" x14ac:dyDescent="0.25">
      <c r="B1703" s="21" t="s">
        <v>0</v>
      </c>
      <c r="C1703" s="22" t="s">
        <v>2086</v>
      </c>
      <c r="D1703" s="22" t="s">
        <v>2087</v>
      </c>
      <c r="E1703" s="21" t="s">
        <v>2222</v>
      </c>
      <c r="F1703" s="23" t="s">
        <v>3</v>
      </c>
      <c r="G1703" s="23" t="s">
        <v>4</v>
      </c>
      <c r="H1703" s="21" t="str">
        <f t="shared" si="26"/>
        <v>FOLSOMINFLOWESTSUM_SV/INFLOW-FORECAST</v>
      </c>
      <c r="I1703" s="24" t="s">
        <v>2310</v>
      </c>
      <c r="J1703" s="10" t="str">
        <f>VLOOKUP(Table1[[#This Row],[UID]],CS3SVComposerConfig!$B$3:$D$1808,3,FALSE)</f>
        <v>DCR2023_SV_Danube_Hist_v3.dss</v>
      </c>
      <c r="K1703" s="10" t="s">
        <v>2212</v>
      </c>
      <c r="L1703" s="10" t="s">
        <v>2212</v>
      </c>
      <c r="M1703" s="10" t="s">
        <v>2212</v>
      </c>
      <c r="N1703" s="10" t="s">
        <v>2227</v>
      </c>
      <c r="O1703" s="10" t="s">
        <v>2227</v>
      </c>
      <c r="P1703" s="39" t="s">
        <v>2227</v>
      </c>
    </row>
    <row r="1704" spans="2:16" ht="18" customHeight="1" x14ac:dyDescent="0.25">
      <c r="B1704" s="21" t="s">
        <v>0</v>
      </c>
      <c r="C1704" s="22" t="s">
        <v>2054</v>
      </c>
      <c r="D1704" s="22" t="s">
        <v>2053</v>
      </c>
      <c r="E1704" s="21" t="s">
        <v>2222</v>
      </c>
      <c r="F1704" s="23" t="s">
        <v>3</v>
      </c>
      <c r="G1704" s="23" t="s">
        <v>4</v>
      </c>
      <c r="H1704" s="21" t="str">
        <f t="shared" si="26"/>
        <v>MF_YUB006_SV/FLOW-MIN-INSTREAM</v>
      </c>
      <c r="I1704" s="24" t="s">
        <v>2310</v>
      </c>
      <c r="J1704" s="10" t="str">
        <f>VLOOKUP(Table1[[#This Row],[UID]],CS3SVComposerConfig!$B$3:$D$1808,3,FALSE)</f>
        <v>DCR2023_SV_Danube_Hist_v3.dss</v>
      </c>
      <c r="K1704" s="10" t="s">
        <v>2212</v>
      </c>
      <c r="L1704" s="10" t="s">
        <v>2212</v>
      </c>
      <c r="M1704" s="10" t="s">
        <v>2212</v>
      </c>
      <c r="N1704" s="10" t="s">
        <v>2227</v>
      </c>
      <c r="O1704" s="10" t="s">
        <v>2227</v>
      </c>
      <c r="P1704" s="39" t="s">
        <v>2227</v>
      </c>
    </row>
    <row r="1705" spans="2:16" ht="18" customHeight="1" x14ac:dyDescent="0.25">
      <c r="B1705" s="21" t="s">
        <v>0</v>
      </c>
      <c r="C1705" s="22" t="s">
        <v>2052</v>
      </c>
      <c r="D1705" s="22" t="s">
        <v>2053</v>
      </c>
      <c r="E1705" s="21" t="s">
        <v>2222</v>
      </c>
      <c r="F1705" s="23" t="s">
        <v>3</v>
      </c>
      <c r="G1705" s="23" t="s">
        <v>4</v>
      </c>
      <c r="H1705" s="21" t="str">
        <f t="shared" si="26"/>
        <v>MF_YUB006DV_SV/FLOW-MIN-INSTREAM</v>
      </c>
      <c r="I1705" s="24" t="s">
        <v>2310</v>
      </c>
      <c r="J1705" s="10" t="str">
        <f>VLOOKUP(Table1[[#This Row],[UID]],CS3SVComposerConfig!$B$3:$D$1808,3,FALSE)</f>
        <v>DCR2023_SV_Danube_Hist_v3.dss</v>
      </c>
      <c r="K1705" s="10" t="s">
        <v>2212</v>
      </c>
      <c r="L1705" s="10" t="s">
        <v>2212</v>
      </c>
      <c r="M1705" s="10" t="s">
        <v>2212</v>
      </c>
      <c r="N1705" s="10" t="s">
        <v>2227</v>
      </c>
      <c r="O1705" s="10" t="s">
        <v>2227</v>
      </c>
      <c r="P1705" s="39" t="s">
        <v>2227</v>
      </c>
    </row>
    <row r="1706" spans="2:16" ht="18" customHeight="1" x14ac:dyDescent="0.25">
      <c r="B1706" s="21" t="s">
        <v>0</v>
      </c>
      <c r="C1706" s="22" t="s">
        <v>2068</v>
      </c>
      <c r="D1706" s="22" t="s">
        <v>1903</v>
      </c>
      <c r="E1706" s="21" t="s">
        <v>2222</v>
      </c>
      <c r="F1706" s="23" t="s">
        <v>3</v>
      </c>
      <c r="G1706" s="23" t="s">
        <v>4</v>
      </c>
      <c r="H1706" s="21" t="str">
        <f t="shared" si="26"/>
        <v>MFPFORECASTRELEASE/STORAGE-FORECAST</v>
      </c>
      <c r="I1706" s="24" t="s">
        <v>2310</v>
      </c>
      <c r="J1706" s="10" t="str">
        <f>VLOOKUP(Table1[[#This Row],[UID]],CS3SVComposerConfig!$B$3:$D$1808,3,FALSE)</f>
        <v>DCR2023_SV_Danube_Hist_v3.dss</v>
      </c>
      <c r="K1706" s="10" t="s">
        <v>2212</v>
      </c>
      <c r="L1706" s="10" t="s">
        <v>2212</v>
      </c>
      <c r="M1706" s="10" t="s">
        <v>2224</v>
      </c>
      <c r="N1706" s="10" t="s">
        <v>2258</v>
      </c>
      <c r="O1706" s="10" t="s">
        <v>2282</v>
      </c>
      <c r="P1706" s="39">
        <v>0.74</v>
      </c>
    </row>
    <row r="1707" spans="2:16" ht="18" customHeight="1" x14ac:dyDescent="0.25">
      <c r="B1707" s="21" t="s">
        <v>0</v>
      </c>
      <c r="C1707" s="22" t="s">
        <v>2028</v>
      </c>
      <c r="D1707" s="22" t="s">
        <v>2029</v>
      </c>
      <c r="E1707" s="21" t="s">
        <v>2222</v>
      </c>
      <c r="F1707" s="23" t="s">
        <v>3</v>
      </c>
      <c r="G1707" s="23" t="s">
        <v>4</v>
      </c>
      <c r="H1707" s="21" t="str">
        <f t="shared" si="26"/>
        <v>MONTH_DAYS/DAY</v>
      </c>
      <c r="I1707" s="24" t="s">
        <v>2310</v>
      </c>
      <c r="J1707" s="10" t="str">
        <f>VLOOKUP(Table1[[#This Row],[UID]],CS3SVComposerConfig!$B$3:$D$1808,3,FALSE)</f>
        <v>DCR2023_SV_Danube_Hist_v3.dss</v>
      </c>
      <c r="K1707" s="10" t="s">
        <v>2212</v>
      </c>
      <c r="L1707" s="10" t="s">
        <v>2224</v>
      </c>
      <c r="M1707" s="10" t="s">
        <v>2224</v>
      </c>
      <c r="N1707" s="10" t="s">
        <v>2270</v>
      </c>
      <c r="O1707" s="10" t="s">
        <v>2270</v>
      </c>
      <c r="P1707" s="39" t="s">
        <v>2227</v>
      </c>
    </row>
    <row r="1708" spans="2:16" ht="18" customHeight="1" x14ac:dyDescent="0.25">
      <c r="B1708" s="21" t="s">
        <v>0</v>
      </c>
      <c r="C1708" s="22" t="s">
        <v>2055</v>
      </c>
      <c r="D1708" s="22" t="s">
        <v>2056</v>
      </c>
      <c r="E1708" s="21" t="s">
        <v>2222</v>
      </c>
      <c r="F1708" s="23" t="s">
        <v>3</v>
      </c>
      <c r="G1708" s="23" t="s">
        <v>4</v>
      </c>
      <c r="H1708" s="21" t="str">
        <f t="shared" si="26"/>
        <v>OROVILLEFNF_WY_SV/FNFWY</v>
      </c>
      <c r="I1708" s="24" t="s">
        <v>2310</v>
      </c>
      <c r="J1708" s="10" t="str">
        <f>VLOOKUP(Table1[[#This Row],[UID]],CS3SVComposerConfig!$B$3:$D$1808,3,FALSE)</f>
        <v>DCR2023_SV_Danube_Hist_v3.dss</v>
      </c>
      <c r="K1708" s="10" t="s">
        <v>2212</v>
      </c>
      <c r="L1708" s="10" t="s">
        <v>2212</v>
      </c>
      <c r="M1708" s="10" t="s">
        <v>2212</v>
      </c>
      <c r="N1708" s="10" t="s">
        <v>2227</v>
      </c>
      <c r="O1708" s="10" t="s">
        <v>2227</v>
      </c>
      <c r="P1708" s="39" t="s">
        <v>2227</v>
      </c>
    </row>
    <row r="1709" spans="2:16" ht="18" customHeight="1" x14ac:dyDescent="0.25">
      <c r="B1709" s="21" t="s">
        <v>0</v>
      </c>
      <c r="C1709" s="22" t="s">
        <v>2070</v>
      </c>
      <c r="D1709" s="22" t="s">
        <v>1903</v>
      </c>
      <c r="E1709" s="21" t="s">
        <v>2222</v>
      </c>
      <c r="F1709" s="23" t="s">
        <v>3</v>
      </c>
      <c r="G1709" s="23" t="s">
        <v>4</v>
      </c>
      <c r="H1709" s="21" t="str">
        <f t="shared" si="26"/>
        <v>P184FORECASTRELEASE/STORAGE-FORECAST</v>
      </c>
      <c r="I1709" s="24" t="s">
        <v>2310</v>
      </c>
      <c r="J1709" s="10" t="str">
        <f>VLOOKUP(Table1[[#This Row],[UID]],CS3SVComposerConfig!$B$3:$D$1808,3,FALSE)</f>
        <v>DCR2023_SV_Danube_Hist_v3.dss</v>
      </c>
      <c r="K1709" s="10" t="s">
        <v>2212</v>
      </c>
      <c r="L1709" s="10" t="s">
        <v>2212</v>
      </c>
      <c r="M1709" s="10" t="s">
        <v>2224</v>
      </c>
      <c r="N1709" s="10" t="s">
        <v>2258</v>
      </c>
      <c r="O1709" s="10" t="s">
        <v>2282</v>
      </c>
      <c r="P1709" s="39">
        <v>0.79</v>
      </c>
    </row>
    <row r="1710" spans="2:16" ht="18" customHeight="1" x14ac:dyDescent="0.25">
      <c r="B1710" s="21" t="s">
        <v>0</v>
      </c>
      <c r="C1710" s="22" t="s">
        <v>2072</v>
      </c>
      <c r="D1710" s="22" t="s">
        <v>2073</v>
      </c>
      <c r="E1710" s="21" t="s">
        <v>2222</v>
      </c>
      <c r="F1710" s="23" t="s">
        <v>3</v>
      </c>
      <c r="G1710" s="23" t="s">
        <v>4</v>
      </c>
      <c r="H1710" s="21" t="str">
        <f t="shared" si="26"/>
        <v>PERDV_CVPMI_SYS_SV/PERCENT-DELIVERY</v>
      </c>
      <c r="I1710" s="24" t="s">
        <v>2310</v>
      </c>
      <c r="J1710" s="10" t="str">
        <f>VLOOKUP(Table1[[#This Row],[UID]],CS3SVComposerConfig!$B$3:$D$1808,3,FALSE)</f>
        <v>DCR2023_SV_Danube_Hist_v3.dss</v>
      </c>
      <c r="K1710" s="10" t="s">
        <v>2212</v>
      </c>
      <c r="L1710" s="10" t="s">
        <v>2224</v>
      </c>
      <c r="M1710" s="10" t="s">
        <v>2212</v>
      </c>
      <c r="N1710" s="10" t="s">
        <v>2227</v>
      </c>
      <c r="O1710" s="10" t="s">
        <v>2227</v>
      </c>
      <c r="P1710" s="39" t="s">
        <v>2227</v>
      </c>
    </row>
    <row r="1711" spans="2:16" ht="18" customHeight="1" x14ac:dyDescent="0.25">
      <c r="B1711" s="21" t="s">
        <v>0</v>
      </c>
      <c r="C1711" s="22" t="s">
        <v>2151</v>
      </c>
      <c r="D1711" s="22" t="s">
        <v>2152</v>
      </c>
      <c r="E1711" s="21" t="s">
        <v>2222</v>
      </c>
      <c r="F1711" s="23" t="s">
        <v>3</v>
      </c>
      <c r="G1711" s="23" t="s">
        <v>4</v>
      </c>
      <c r="H1711" s="21" t="str">
        <f t="shared" si="26"/>
        <v>PGE_WY_ALLOCATION_SV/RATIO</v>
      </c>
      <c r="I1711" s="24" t="s">
        <v>2310</v>
      </c>
      <c r="J1711" s="10" t="str">
        <f>VLOOKUP(Table1[[#This Row],[UID]],CS3SVComposerConfig!$B$3:$D$1808,3,FALSE)</f>
        <v>DCR2023_SV_Danube_Hist_v3.dss</v>
      </c>
      <c r="K1711" s="10" t="s">
        <v>2212</v>
      </c>
      <c r="L1711" s="10" t="s">
        <v>2212</v>
      </c>
      <c r="M1711" s="10" t="s">
        <v>2224</v>
      </c>
      <c r="N1711" s="10" t="s">
        <v>2258</v>
      </c>
      <c r="O1711" s="10" t="s">
        <v>5377</v>
      </c>
      <c r="P1711" s="39">
        <v>0.9</v>
      </c>
    </row>
    <row r="1712" spans="2:16" ht="18" customHeight="1" x14ac:dyDescent="0.25">
      <c r="B1712" s="21" t="s">
        <v>0</v>
      </c>
      <c r="C1712" s="22" t="s">
        <v>2074</v>
      </c>
      <c r="D1712" s="22" t="s">
        <v>690</v>
      </c>
      <c r="E1712" s="21" t="s">
        <v>2222</v>
      </c>
      <c r="F1712" s="23" t="s">
        <v>3</v>
      </c>
      <c r="G1712" s="23" t="s">
        <v>4</v>
      </c>
      <c r="H1712" s="21" t="str">
        <f t="shared" si="26"/>
        <v>R_GDPUD_NA_NFA011_SV/RETURN-FLOW</v>
      </c>
      <c r="I1712" s="24" t="s">
        <v>2310</v>
      </c>
      <c r="J1712" s="10" t="str">
        <f>VLOOKUP(Table1[[#This Row],[UID]],CS3SVComposerConfig!$B$3:$D$1808,3,FALSE)</f>
        <v>DCR2023_SV_Danube_Hist_v3.dss</v>
      </c>
      <c r="K1712" s="10" t="s">
        <v>2212</v>
      </c>
      <c r="L1712" s="10" t="s">
        <v>2212</v>
      </c>
      <c r="M1712" s="10" t="s">
        <v>2212</v>
      </c>
      <c r="N1712" s="10" t="s">
        <v>2227</v>
      </c>
      <c r="O1712" s="10" t="s">
        <v>2227</v>
      </c>
      <c r="P1712" s="39" t="s">
        <v>2227</v>
      </c>
    </row>
    <row r="1713" spans="2:16" ht="18" customHeight="1" x14ac:dyDescent="0.25">
      <c r="B1713" s="21" t="s">
        <v>0</v>
      </c>
      <c r="C1713" s="22" t="s">
        <v>2154</v>
      </c>
      <c r="D1713" s="22" t="s">
        <v>1118</v>
      </c>
      <c r="E1713" s="21" t="s">
        <v>2222</v>
      </c>
      <c r="F1713" s="23" t="s">
        <v>3</v>
      </c>
      <c r="G1713" s="23" t="s">
        <v>4</v>
      </c>
      <c r="H1713" s="21" t="str">
        <f t="shared" si="26"/>
        <v>S_CMBIE_SV/STORAGE</v>
      </c>
      <c r="I1713" s="24" t="s">
        <v>2310</v>
      </c>
      <c r="J1713" s="10" t="str">
        <f>VLOOKUP(Table1[[#This Row],[UID]],CS3SVComposerConfig!$B$3:$D$1808,3,FALSE)</f>
        <v>DCR2023_SV_Danube_Hist_v3.dss</v>
      </c>
      <c r="K1713" s="10" t="s">
        <v>2212</v>
      </c>
      <c r="L1713" s="10" t="s">
        <v>2212</v>
      </c>
      <c r="M1713" s="10" t="s">
        <v>2212</v>
      </c>
      <c r="N1713" s="10" t="s">
        <v>2227</v>
      </c>
      <c r="O1713" s="10" t="s">
        <v>2227</v>
      </c>
      <c r="P1713" s="39" t="s">
        <v>2227</v>
      </c>
    </row>
    <row r="1714" spans="2:16" ht="18" customHeight="1" x14ac:dyDescent="0.25">
      <c r="B1714" s="21" t="s">
        <v>0</v>
      </c>
      <c r="C1714" s="22" t="s">
        <v>2089</v>
      </c>
      <c r="D1714" s="22" t="s">
        <v>1942</v>
      </c>
      <c r="E1714" s="21" t="s">
        <v>2222</v>
      </c>
      <c r="F1714" s="23" t="s">
        <v>3</v>
      </c>
      <c r="G1714" s="23" t="s">
        <v>4</v>
      </c>
      <c r="H1714" s="21" t="str">
        <f t="shared" si="26"/>
        <v>S_FOLSMLEVEL3ADJ_SV/STORAGE-LEVEL</v>
      </c>
      <c r="I1714" s="24" t="s">
        <v>2310</v>
      </c>
      <c r="J1714" s="10" t="str">
        <f>VLOOKUP(Table1[[#This Row],[UID]],CS3SVComposerConfig!$B$3:$D$1808,3,FALSE)</f>
        <v>DCR2023_SV_Danube_Hist_v3.dss</v>
      </c>
      <c r="K1714" s="10" t="s">
        <v>2212</v>
      </c>
      <c r="L1714" s="10" t="s">
        <v>2212</v>
      </c>
      <c r="M1714" s="10" t="s">
        <v>2212</v>
      </c>
      <c r="N1714" s="10" t="s">
        <v>2227</v>
      </c>
      <c r="O1714" s="10" t="s">
        <v>2227</v>
      </c>
      <c r="P1714" s="39" t="s">
        <v>2227</v>
      </c>
    </row>
    <row r="1715" spans="2:16" ht="18" customHeight="1" x14ac:dyDescent="0.25">
      <c r="B1715" s="21" t="s">
        <v>0</v>
      </c>
      <c r="C1715" s="22" t="s">
        <v>2075</v>
      </c>
      <c r="D1715" s="22" t="s">
        <v>1118</v>
      </c>
      <c r="E1715" s="21" t="s">
        <v>2222</v>
      </c>
      <c r="F1715" s="23" t="s">
        <v>3</v>
      </c>
      <c r="G1715" s="23" t="s">
        <v>4</v>
      </c>
      <c r="H1715" s="21" t="str">
        <f t="shared" si="26"/>
        <v>S_FRMDW_SV/STORAGE</v>
      </c>
      <c r="I1715" s="24" t="s">
        <v>2310</v>
      </c>
      <c r="J1715" s="10" t="str">
        <f>VLOOKUP(Table1[[#This Row],[UID]],CS3SVComposerConfig!$B$3:$D$1808,3,FALSE)</f>
        <v>DCR2023_SV_Danube_Hist_v3.dss</v>
      </c>
      <c r="K1715" s="10" t="s">
        <v>2212</v>
      </c>
      <c r="L1715" s="10" t="s">
        <v>2212</v>
      </c>
      <c r="M1715" s="10" t="s">
        <v>2212</v>
      </c>
      <c r="N1715" s="10" t="s">
        <v>2227</v>
      </c>
      <c r="O1715" s="10" t="s">
        <v>2227</v>
      </c>
      <c r="P1715" s="39" t="s">
        <v>2227</v>
      </c>
    </row>
    <row r="1716" spans="2:16" ht="18" customHeight="1" x14ac:dyDescent="0.25">
      <c r="B1716" s="21" t="s">
        <v>0</v>
      </c>
      <c r="C1716" s="22" t="s">
        <v>2090</v>
      </c>
      <c r="D1716" s="22" t="s">
        <v>1118</v>
      </c>
      <c r="E1716" s="21" t="s">
        <v>2222</v>
      </c>
      <c r="F1716" s="23" t="s">
        <v>3</v>
      </c>
      <c r="G1716" s="23" t="s">
        <v>4</v>
      </c>
      <c r="H1716" s="21" t="str">
        <f t="shared" si="26"/>
        <v>S_HHOLE_SV/STORAGE</v>
      </c>
      <c r="I1716" s="24" t="s">
        <v>2310</v>
      </c>
      <c r="J1716" s="10" t="str">
        <f>VLOOKUP(Table1[[#This Row],[UID]],CS3SVComposerConfig!$B$3:$D$1808,3,FALSE)</f>
        <v>DCR2023_SV_Danube_Hist_v3.dss</v>
      </c>
      <c r="K1716" s="10" t="s">
        <v>2212</v>
      </c>
      <c r="L1716" s="10" t="s">
        <v>2212</v>
      </c>
      <c r="M1716" s="10" t="s">
        <v>2212</v>
      </c>
      <c r="N1716" s="10" t="s">
        <v>2227</v>
      </c>
      <c r="O1716" s="10" t="s">
        <v>2227</v>
      </c>
      <c r="P1716" s="39" t="s">
        <v>2227</v>
      </c>
    </row>
    <row r="1717" spans="2:16" ht="18" customHeight="1" x14ac:dyDescent="0.25">
      <c r="B1717" s="21" t="s">
        <v>0</v>
      </c>
      <c r="C1717" s="22" t="s">
        <v>2091</v>
      </c>
      <c r="D1717" s="22" t="s">
        <v>1118</v>
      </c>
      <c r="E1717" s="21" t="s">
        <v>2222</v>
      </c>
      <c r="F1717" s="23" t="s">
        <v>3</v>
      </c>
      <c r="G1717" s="23" t="s">
        <v>4</v>
      </c>
      <c r="H1717" s="21" t="str">
        <f t="shared" si="26"/>
        <v>S_ICEHS_SV/STORAGE</v>
      </c>
      <c r="I1717" s="24" t="s">
        <v>2310</v>
      </c>
      <c r="J1717" s="10" t="str">
        <f>VLOOKUP(Table1[[#This Row],[UID]],CS3SVComposerConfig!$B$3:$D$1808,3,FALSE)</f>
        <v>DCR2023_SV_Danube_Hist_v3.dss</v>
      </c>
      <c r="K1717" s="10" t="s">
        <v>2212</v>
      </c>
      <c r="L1717" s="10" t="s">
        <v>2212</v>
      </c>
      <c r="M1717" s="10" t="s">
        <v>2212</v>
      </c>
      <c r="N1717" s="10" t="s">
        <v>2227</v>
      </c>
      <c r="O1717" s="10" t="s">
        <v>2227</v>
      </c>
      <c r="P1717" s="39" t="s">
        <v>2227</v>
      </c>
    </row>
    <row r="1718" spans="2:16" ht="18" customHeight="1" x14ac:dyDescent="0.25">
      <c r="B1718" s="21" t="s">
        <v>0</v>
      </c>
      <c r="C1718" s="22" t="s">
        <v>2118</v>
      </c>
      <c r="D1718" s="22" t="s">
        <v>1118</v>
      </c>
      <c r="E1718" s="21" t="s">
        <v>2222</v>
      </c>
      <c r="F1718" s="23" t="s">
        <v>3</v>
      </c>
      <c r="G1718" s="23" t="s">
        <v>4</v>
      </c>
      <c r="H1718" s="21" t="str">
        <f t="shared" si="26"/>
        <v>S_LBEAR_SV/STORAGE</v>
      </c>
      <c r="I1718" s="24" t="s">
        <v>2310</v>
      </c>
      <c r="J1718" s="10" t="str">
        <f>VLOOKUP(Table1[[#This Row],[UID]],CS3SVComposerConfig!$B$3:$D$1808,3,FALSE)</f>
        <v>DCR2023_SV_Danube_Hist_v3.dss</v>
      </c>
      <c r="K1718" s="10" t="s">
        <v>2212</v>
      </c>
      <c r="L1718" s="10" t="s">
        <v>2212</v>
      </c>
      <c r="M1718" s="10" t="s">
        <v>2212</v>
      </c>
      <c r="N1718" s="10" t="s">
        <v>2227</v>
      </c>
      <c r="O1718" s="10" t="s">
        <v>2227</v>
      </c>
      <c r="P1718" s="39" t="s">
        <v>2227</v>
      </c>
    </row>
    <row r="1719" spans="2:16" ht="18" customHeight="1" x14ac:dyDescent="0.25">
      <c r="B1719" s="21" t="s">
        <v>0</v>
      </c>
      <c r="C1719" s="22" t="s">
        <v>2111</v>
      </c>
      <c r="D1719" s="22" t="s">
        <v>1118</v>
      </c>
      <c r="E1719" s="21" t="s">
        <v>2222</v>
      </c>
      <c r="F1719" s="23" t="s">
        <v>3</v>
      </c>
      <c r="G1719" s="23" t="s">
        <v>4</v>
      </c>
      <c r="H1719" s="21" t="str">
        <f t="shared" si="26"/>
        <v>S_LGRSV_SV/STORAGE</v>
      </c>
      <c r="I1719" s="24" t="s">
        <v>2310</v>
      </c>
      <c r="J1719" s="10" t="str">
        <f>VLOOKUP(Table1[[#This Row],[UID]],CS3SVComposerConfig!$B$3:$D$1808,3,FALSE)</f>
        <v>DCR2023_SV_Danube_Hist_v3.dss</v>
      </c>
      <c r="K1719" s="10" t="s">
        <v>2212</v>
      </c>
      <c r="L1719" s="10" t="s">
        <v>2212</v>
      </c>
      <c r="M1719" s="10" t="s">
        <v>2212</v>
      </c>
      <c r="N1719" s="10" t="s">
        <v>2227</v>
      </c>
      <c r="O1719" s="10" t="s">
        <v>2227</v>
      </c>
      <c r="P1719" s="39" t="s">
        <v>2227</v>
      </c>
    </row>
    <row r="1720" spans="2:16" ht="18" customHeight="1" x14ac:dyDescent="0.25">
      <c r="B1720" s="21" t="s">
        <v>0</v>
      </c>
      <c r="C1720" s="22" t="s">
        <v>2155</v>
      </c>
      <c r="D1720" s="22" t="s">
        <v>1118</v>
      </c>
      <c r="E1720" s="21" t="s">
        <v>2222</v>
      </c>
      <c r="F1720" s="23" t="s">
        <v>3</v>
      </c>
      <c r="G1720" s="23" t="s">
        <v>4</v>
      </c>
      <c r="H1720" s="21" t="str">
        <f t="shared" si="26"/>
        <v>S_LKVLY_SV/STORAGE</v>
      </c>
      <c r="I1720" s="24" t="s">
        <v>2310</v>
      </c>
      <c r="J1720" s="10" t="str">
        <f>VLOOKUP(Table1[[#This Row],[UID]],CS3SVComposerConfig!$B$3:$D$1808,3,FALSE)</f>
        <v>DCR2023_SV_Danube_Hist_v3.dss</v>
      </c>
      <c r="K1720" s="10" t="s">
        <v>2212</v>
      </c>
      <c r="L1720" s="10" t="s">
        <v>2212</v>
      </c>
      <c r="M1720" s="10" t="s">
        <v>2212</v>
      </c>
      <c r="N1720" s="10" t="s">
        <v>2227</v>
      </c>
      <c r="O1720" s="10" t="s">
        <v>2227</v>
      </c>
      <c r="P1720" s="39" t="s">
        <v>2227</v>
      </c>
    </row>
    <row r="1721" spans="2:16" ht="18" customHeight="1" x14ac:dyDescent="0.25">
      <c r="B1721" s="21" t="s">
        <v>0</v>
      </c>
      <c r="C1721" s="22" t="s">
        <v>2092</v>
      </c>
      <c r="D1721" s="22" t="s">
        <v>1118</v>
      </c>
      <c r="E1721" s="21" t="s">
        <v>2222</v>
      </c>
      <c r="F1721" s="23" t="s">
        <v>3</v>
      </c>
      <c r="G1721" s="23" t="s">
        <v>4</v>
      </c>
      <c r="H1721" s="21" t="str">
        <f t="shared" si="26"/>
        <v>S_LOONL_SV/STORAGE</v>
      </c>
      <c r="I1721" s="24" t="s">
        <v>2310</v>
      </c>
      <c r="J1721" s="10" t="str">
        <f>VLOOKUP(Table1[[#This Row],[UID]],CS3SVComposerConfig!$B$3:$D$1808,3,FALSE)</f>
        <v>DCR2023_SV_Danube_Hist_v3.dss</v>
      </c>
      <c r="K1721" s="10" t="s">
        <v>2212</v>
      </c>
      <c r="L1721" s="10" t="s">
        <v>2212</v>
      </c>
      <c r="M1721" s="10" t="s">
        <v>2212</v>
      </c>
      <c r="N1721" s="10" t="s">
        <v>2227</v>
      </c>
      <c r="O1721" s="10" t="s">
        <v>2227</v>
      </c>
      <c r="P1721" s="39" t="s">
        <v>2227</v>
      </c>
    </row>
    <row r="1722" spans="2:16" ht="18" customHeight="1" x14ac:dyDescent="0.25">
      <c r="B1722" s="21" t="s">
        <v>0</v>
      </c>
      <c r="C1722" s="22" t="s">
        <v>2124</v>
      </c>
      <c r="D1722" s="22" t="s">
        <v>1118</v>
      </c>
      <c r="E1722" s="21" t="s">
        <v>2222</v>
      </c>
      <c r="F1722" s="23" t="s">
        <v>3</v>
      </c>
      <c r="G1722" s="23" t="s">
        <v>4</v>
      </c>
      <c r="H1722" s="21" t="str">
        <f t="shared" si="26"/>
        <v>S_PEDRO_SV/STORAGE</v>
      </c>
      <c r="I1722" s="24" t="s">
        <v>2310</v>
      </c>
      <c r="J1722" s="10" t="str">
        <f>VLOOKUP(Table1[[#This Row],[UID]],CS3SVComposerConfig!$B$3:$D$1808,3,FALSE)</f>
        <v>DCR2023_SV_Danube_Hist_v3.dss</v>
      </c>
      <c r="K1722" s="10" t="s">
        <v>2212</v>
      </c>
      <c r="L1722" s="10" t="s">
        <v>2212</v>
      </c>
      <c r="M1722" s="10" t="s">
        <v>2224</v>
      </c>
      <c r="N1722" s="10" t="s">
        <v>2258</v>
      </c>
      <c r="O1722" s="10" t="s">
        <v>2282</v>
      </c>
      <c r="P1722" s="39">
        <v>0.54</v>
      </c>
    </row>
    <row r="1723" spans="2:16" ht="18" customHeight="1" x14ac:dyDescent="0.25">
      <c r="B1723" s="21" t="s">
        <v>0</v>
      </c>
      <c r="C1723" s="22" t="s">
        <v>2156</v>
      </c>
      <c r="D1723" s="22" t="s">
        <v>1118</v>
      </c>
      <c r="E1723" s="21" t="s">
        <v>2222</v>
      </c>
      <c r="F1723" s="23" t="s">
        <v>3</v>
      </c>
      <c r="G1723" s="23" t="s">
        <v>4</v>
      </c>
      <c r="H1723" s="21" t="str">
        <f t="shared" si="26"/>
        <v>S_RLLNS_NID_SV/STORAGE</v>
      </c>
      <c r="I1723" s="24" t="s">
        <v>2310</v>
      </c>
      <c r="J1723" s="10" t="str">
        <f>VLOOKUP(Table1[[#This Row],[UID]],CS3SVComposerConfig!$B$3:$D$1808,3,FALSE)</f>
        <v>DCR2023_SV_Danube_Hist_v3.dss</v>
      </c>
      <c r="K1723" s="10" t="s">
        <v>2212</v>
      </c>
      <c r="L1723" s="10" t="s">
        <v>2212</v>
      </c>
      <c r="M1723" s="10" t="s">
        <v>2212</v>
      </c>
      <c r="N1723" s="10" t="s">
        <v>2227</v>
      </c>
      <c r="O1723" s="10" t="s">
        <v>2227</v>
      </c>
      <c r="P1723" s="39" t="s">
        <v>2227</v>
      </c>
    </row>
    <row r="1724" spans="2:16" ht="18" customHeight="1" x14ac:dyDescent="0.25">
      <c r="B1724" s="21" t="s">
        <v>0</v>
      </c>
      <c r="C1724" s="22" t="s">
        <v>2157</v>
      </c>
      <c r="D1724" s="22" t="s">
        <v>1118</v>
      </c>
      <c r="E1724" s="21" t="s">
        <v>2222</v>
      </c>
      <c r="F1724" s="23" t="s">
        <v>3</v>
      </c>
      <c r="G1724" s="23" t="s">
        <v>4</v>
      </c>
      <c r="H1724" s="21" t="str">
        <f t="shared" si="26"/>
        <v>S_RLLNS_PGE_SV/STORAGE</v>
      </c>
      <c r="I1724" s="24" t="s">
        <v>2310</v>
      </c>
      <c r="J1724" s="10" t="str">
        <f>VLOOKUP(Table1[[#This Row],[UID]],CS3SVComposerConfig!$B$3:$D$1808,3,FALSE)</f>
        <v>DCR2023_SV_Danube_Hist_v3.dss</v>
      </c>
      <c r="K1724" s="10" t="s">
        <v>2212</v>
      </c>
      <c r="L1724" s="10" t="s">
        <v>2212</v>
      </c>
      <c r="M1724" s="10" t="s">
        <v>2212</v>
      </c>
      <c r="N1724" s="10" t="s">
        <v>2227</v>
      </c>
      <c r="O1724" s="10" t="s">
        <v>2227</v>
      </c>
      <c r="P1724" s="39" t="s">
        <v>2227</v>
      </c>
    </row>
    <row r="1725" spans="2:16" ht="18" customHeight="1" x14ac:dyDescent="0.25">
      <c r="B1725" s="21" t="s">
        <v>0</v>
      </c>
      <c r="C1725" s="22" t="s">
        <v>2158</v>
      </c>
      <c r="D1725" s="22" t="s">
        <v>1118</v>
      </c>
      <c r="E1725" s="21" t="s">
        <v>2222</v>
      </c>
      <c r="F1725" s="23" t="s">
        <v>3</v>
      </c>
      <c r="G1725" s="23" t="s">
        <v>4</v>
      </c>
      <c r="H1725" s="21" t="str">
        <f t="shared" si="26"/>
        <v>S_RLLNS_SV/STORAGE</v>
      </c>
      <c r="I1725" s="24" t="s">
        <v>2310</v>
      </c>
      <c r="J1725" s="10" t="str">
        <f>VLOOKUP(Table1[[#This Row],[UID]],CS3SVComposerConfig!$B$3:$D$1808,3,FALSE)</f>
        <v>DCR2023_SV_Danube_Hist_v3.dss</v>
      </c>
      <c r="K1725" s="10" t="s">
        <v>2212</v>
      </c>
      <c r="L1725" s="10" t="s">
        <v>2212</v>
      </c>
      <c r="M1725" s="10" t="s">
        <v>2212</v>
      </c>
      <c r="N1725" s="10" t="s">
        <v>2227</v>
      </c>
      <c r="O1725" s="10" t="s">
        <v>2227</v>
      </c>
      <c r="P1725" s="39" t="s">
        <v>2227</v>
      </c>
    </row>
    <row r="1726" spans="2:16" ht="18" customHeight="1" x14ac:dyDescent="0.25">
      <c r="B1726" s="21" t="s">
        <v>0</v>
      </c>
      <c r="C1726" s="22" t="s">
        <v>2119</v>
      </c>
      <c r="D1726" s="22" t="s">
        <v>1118</v>
      </c>
      <c r="E1726" s="21" t="s">
        <v>2222</v>
      </c>
      <c r="F1726" s="23" t="s">
        <v>3</v>
      </c>
      <c r="G1726" s="23" t="s">
        <v>4</v>
      </c>
      <c r="H1726" s="21" t="str">
        <f t="shared" si="26"/>
        <v>S_SLTSP_SV/STORAGE</v>
      </c>
      <c r="I1726" s="24" t="s">
        <v>2310</v>
      </c>
      <c r="J1726" s="10" t="str">
        <f>VLOOKUP(Table1[[#This Row],[UID]],CS3SVComposerConfig!$B$3:$D$1808,3,FALSE)</f>
        <v>DCR2023_SV_Danube_Hist_v3.dss</v>
      </c>
      <c r="K1726" s="10" t="s">
        <v>2212</v>
      </c>
      <c r="L1726" s="10" t="s">
        <v>2212</v>
      </c>
      <c r="M1726" s="10" t="s">
        <v>2212</v>
      </c>
      <c r="N1726" s="10" t="s">
        <v>2227</v>
      </c>
      <c r="O1726" s="10" t="s">
        <v>2227</v>
      </c>
      <c r="P1726" s="39" t="s">
        <v>2227</v>
      </c>
    </row>
    <row r="1727" spans="2:16" ht="18" customHeight="1" x14ac:dyDescent="0.25">
      <c r="B1727" s="21" t="s">
        <v>0</v>
      </c>
      <c r="C1727" s="22" t="s">
        <v>2112</v>
      </c>
      <c r="D1727" s="22" t="s">
        <v>1118</v>
      </c>
      <c r="E1727" s="21" t="s">
        <v>2222</v>
      </c>
      <c r="F1727" s="23" t="s">
        <v>3</v>
      </c>
      <c r="G1727" s="23" t="s">
        <v>4</v>
      </c>
      <c r="H1727" s="21" t="str">
        <f t="shared" si="26"/>
        <v>S_SLYCK_SV/STORAGE</v>
      </c>
      <c r="I1727" s="24" t="s">
        <v>2310</v>
      </c>
      <c r="J1727" s="10" t="str">
        <f>VLOOKUP(Table1[[#This Row],[UID]],CS3SVComposerConfig!$B$3:$D$1808,3,FALSE)</f>
        <v>DCR2023_SV_Danube_Hist_v3.dss</v>
      </c>
      <c r="K1727" s="10" t="s">
        <v>2212</v>
      </c>
      <c r="L1727" s="10" t="s">
        <v>2212</v>
      </c>
      <c r="M1727" s="10" t="s">
        <v>2212</v>
      </c>
      <c r="N1727" s="10" t="s">
        <v>2227</v>
      </c>
      <c r="O1727" s="10" t="s">
        <v>2227</v>
      </c>
      <c r="P1727" s="39" t="s">
        <v>2227</v>
      </c>
    </row>
    <row r="1728" spans="2:16" ht="18" customHeight="1" x14ac:dyDescent="0.25">
      <c r="B1728" s="21" t="s">
        <v>0</v>
      </c>
      <c r="C1728" s="22" t="s">
        <v>2093</v>
      </c>
      <c r="D1728" s="22" t="s">
        <v>1118</v>
      </c>
      <c r="E1728" s="21" t="s">
        <v>2222</v>
      </c>
      <c r="F1728" s="23" t="s">
        <v>3</v>
      </c>
      <c r="G1728" s="23" t="s">
        <v>4</v>
      </c>
      <c r="H1728" s="21" t="str">
        <f t="shared" si="26"/>
        <v>S_UNVLY_SV/STORAGE</v>
      </c>
      <c r="I1728" s="24" t="s">
        <v>2310</v>
      </c>
      <c r="J1728" s="10" t="str">
        <f>VLOOKUP(Table1[[#This Row],[UID]],CS3SVComposerConfig!$B$3:$D$1808,3,FALSE)</f>
        <v>DCR2023_SV_Danube_Hist_v3.dss</v>
      </c>
      <c r="K1728" s="10" t="s">
        <v>2212</v>
      </c>
      <c r="L1728" s="10" t="s">
        <v>2212</v>
      </c>
      <c r="M1728" s="10" t="s">
        <v>2212</v>
      </c>
      <c r="N1728" s="10" t="s">
        <v>2227</v>
      </c>
      <c r="O1728" s="10" t="s">
        <v>2227</v>
      </c>
      <c r="P1728" s="39" t="s">
        <v>2227</v>
      </c>
    </row>
    <row r="1729" spans="2:16" ht="18" customHeight="1" x14ac:dyDescent="0.25">
      <c r="B1729" s="21" t="s">
        <v>0</v>
      </c>
      <c r="C1729" s="22" t="s">
        <v>2113</v>
      </c>
      <c r="D1729" s="22" t="s">
        <v>1118</v>
      </c>
      <c r="E1729" s="21" t="s">
        <v>2222</v>
      </c>
      <c r="F1729" s="23" t="s">
        <v>3</v>
      </c>
      <c r="G1729" s="23" t="s">
        <v>4</v>
      </c>
      <c r="H1729" s="21" t="str">
        <f t="shared" si="26"/>
        <v>S_UPPERFEATHER_SV/STORAGE</v>
      </c>
      <c r="I1729" s="24" t="s">
        <v>2310</v>
      </c>
      <c r="J1729" s="10" t="str">
        <f>VLOOKUP(Table1[[#This Row],[UID]],CS3SVComposerConfig!$B$3:$D$1808,3,FALSE)</f>
        <v>DCR2023_SV_Danube_Hist_v3.dss</v>
      </c>
      <c r="K1729" s="10" t="s">
        <v>2212</v>
      </c>
      <c r="L1729" s="10" t="s">
        <v>2212</v>
      </c>
      <c r="M1729" s="10" t="s">
        <v>2212</v>
      </c>
      <c r="N1729" s="10" t="s">
        <v>2227</v>
      </c>
      <c r="O1729" s="10" t="s">
        <v>2227</v>
      </c>
      <c r="P1729" s="39" t="s">
        <v>2227</v>
      </c>
    </row>
    <row r="1730" spans="2:16" ht="18" customHeight="1" x14ac:dyDescent="0.25">
      <c r="B1730" s="21" t="s">
        <v>0</v>
      </c>
      <c r="C1730" s="22" t="s">
        <v>2153</v>
      </c>
      <c r="D1730" s="22" t="s">
        <v>1380</v>
      </c>
      <c r="E1730" s="21" t="s">
        <v>2222</v>
      </c>
      <c r="F1730" s="23" t="s">
        <v>3</v>
      </c>
      <c r="G1730" s="23" t="s">
        <v>4</v>
      </c>
      <c r="H1730" s="21" t="str">
        <f t="shared" si="26"/>
        <v>SPAULDING_ACCUMULATED_INFLOW_SV/INFLOW</v>
      </c>
      <c r="I1730" s="24" t="s">
        <v>2310</v>
      </c>
      <c r="J1730" s="10" t="str">
        <f>VLOOKUP(Table1[[#This Row],[UID]],CS3SVComposerConfig!$B$3:$D$1808,3,FALSE)</f>
        <v>DCR2023_SV_Danube_Hist_v3.dss</v>
      </c>
      <c r="K1730" s="10" t="s">
        <v>2212</v>
      </c>
      <c r="L1730" s="10" t="s">
        <v>2212</v>
      </c>
      <c r="M1730" s="10" t="s">
        <v>2212</v>
      </c>
      <c r="N1730" s="10" t="s">
        <v>2227</v>
      </c>
      <c r="O1730" s="10" t="s">
        <v>2227</v>
      </c>
      <c r="P1730" s="39" t="s">
        <v>2227</v>
      </c>
    </row>
    <row r="1731" spans="2:16" ht="18" customHeight="1" x14ac:dyDescent="0.25">
      <c r="B1731" s="21" t="s">
        <v>0</v>
      </c>
      <c r="C1731" s="22" t="s">
        <v>1902</v>
      </c>
      <c r="D1731" s="22" t="s">
        <v>1903</v>
      </c>
      <c r="E1731" s="21" t="s">
        <v>2222</v>
      </c>
      <c r="F1731" s="23" t="s">
        <v>3</v>
      </c>
      <c r="G1731" s="23" t="s">
        <v>4</v>
      </c>
      <c r="H1731" s="21" t="str">
        <f t="shared" si="26"/>
        <v>UARPFORECASTRELEASE/STORAGE-FORECAST</v>
      </c>
      <c r="I1731" s="24" t="s">
        <v>2310</v>
      </c>
      <c r="J1731" s="10" t="str">
        <f>VLOOKUP(Table1[[#This Row],[UID]],CS3SVComposerConfig!$B$3:$D$1808,3,FALSE)</f>
        <v>DCR2023_SV_Danube_Hist_v3.dss</v>
      </c>
      <c r="K1731" s="10" t="s">
        <v>2212</v>
      </c>
      <c r="L1731" s="10" t="s">
        <v>2212</v>
      </c>
      <c r="M1731" s="10" t="s">
        <v>2224</v>
      </c>
      <c r="N1731" s="10" t="s">
        <v>2258</v>
      </c>
      <c r="O1731" s="10" t="s">
        <v>2282</v>
      </c>
      <c r="P1731" s="39">
        <v>0.78</v>
      </c>
    </row>
    <row r="1732" spans="2:16" ht="18" customHeight="1" x14ac:dyDescent="0.25">
      <c r="B1732" s="21" t="s">
        <v>0</v>
      </c>
      <c r="C1732" s="22" t="s">
        <v>2159</v>
      </c>
      <c r="D1732" s="22" t="s">
        <v>2152</v>
      </c>
      <c r="E1732" s="21" t="s">
        <v>2222</v>
      </c>
      <c r="F1732" s="23" t="s">
        <v>3</v>
      </c>
      <c r="G1732" s="23" t="s">
        <v>4</v>
      </c>
      <c r="H1732" s="21" t="str">
        <f t="shared" si="26"/>
        <v>USAGE_REDUCTION_NID_SV/RATIO</v>
      </c>
      <c r="I1732" s="24" t="s">
        <v>2310</v>
      </c>
      <c r="J1732" s="10" t="str">
        <f>VLOOKUP(Table1[[#This Row],[UID]],CS3SVComposerConfig!$B$3:$D$1808,3,FALSE)</f>
        <v>DCR2023_SV_Danube_Hist_v3.dss</v>
      </c>
      <c r="K1732" s="10" t="s">
        <v>2212</v>
      </c>
      <c r="L1732" s="10" t="s">
        <v>2212</v>
      </c>
      <c r="M1732" s="10" t="s">
        <v>2212</v>
      </c>
      <c r="N1732" s="10" t="s">
        <v>2227</v>
      </c>
      <c r="O1732" s="10" t="s">
        <v>2227</v>
      </c>
      <c r="P1732" s="39" t="s">
        <v>2227</v>
      </c>
    </row>
    <row r="1733" spans="2:16" ht="18" customHeight="1" x14ac:dyDescent="0.25">
      <c r="B1733" s="21" t="s">
        <v>0</v>
      </c>
      <c r="C1733" s="22" t="s">
        <v>2160</v>
      </c>
      <c r="D1733" s="22" t="s">
        <v>2161</v>
      </c>
      <c r="E1733" s="21" t="s">
        <v>2222</v>
      </c>
      <c r="F1733" s="23" t="s">
        <v>3</v>
      </c>
      <c r="G1733" s="23" t="s">
        <v>4</v>
      </c>
      <c r="H1733" s="21" t="str">
        <f t="shared" si="26"/>
        <v>WATERYEARCONDITIONS_NID_PGE_SV/WY-TYPE</v>
      </c>
      <c r="I1733" s="24" t="s">
        <v>2310</v>
      </c>
      <c r="J1733" s="10" t="str">
        <f>VLOOKUP(Table1[[#This Row],[UID]],CS3SVComposerConfig!$B$3:$D$1808,3,FALSE)</f>
        <v>DCR2023_SV_Danube_Hist_v3.dss</v>
      </c>
      <c r="K1733" s="10" t="s">
        <v>2212</v>
      </c>
      <c r="L1733" s="10" t="s">
        <v>2212</v>
      </c>
      <c r="M1733" s="10" t="s">
        <v>2212</v>
      </c>
      <c r="N1733" s="10" t="s">
        <v>2227</v>
      </c>
      <c r="O1733" s="10" t="s">
        <v>2227</v>
      </c>
      <c r="P1733" s="39" t="s">
        <v>2227</v>
      </c>
    </row>
    <row r="1734" spans="2:16" ht="18" customHeight="1" x14ac:dyDescent="0.25">
      <c r="B1734" s="21" t="s">
        <v>0</v>
      </c>
      <c r="C1734" s="22" t="s">
        <v>2094</v>
      </c>
      <c r="D1734" s="22" t="s">
        <v>1893</v>
      </c>
      <c r="E1734" s="21" t="s">
        <v>2222</v>
      </c>
      <c r="F1734" s="23" t="s">
        <v>3</v>
      </c>
      <c r="G1734" s="23" t="s">
        <v>4</v>
      </c>
      <c r="H1734" s="21" t="str">
        <f t="shared" si="26"/>
        <v>WFMITREL_SV/FLOW</v>
      </c>
      <c r="I1734" s="24" t="s">
        <v>2310</v>
      </c>
      <c r="J1734" s="10" t="str">
        <f>VLOOKUP(Table1[[#This Row],[UID]],CS3SVComposerConfig!$B$3:$D$1808,3,FALSE)</f>
        <v>DCR2023_SV_Danube_Hist_v3.dss</v>
      </c>
      <c r="K1734" s="10" t="s">
        <v>2212</v>
      </c>
      <c r="L1734" s="10" t="s">
        <v>2212</v>
      </c>
      <c r="M1734" s="10" t="s">
        <v>2212</v>
      </c>
      <c r="N1734" s="10" t="s">
        <v>2227</v>
      </c>
      <c r="O1734" s="10" t="s">
        <v>2227</v>
      </c>
      <c r="P1734" s="39" t="s">
        <v>2227</v>
      </c>
    </row>
    <row r="1735" spans="2:16" ht="18" customHeight="1" x14ac:dyDescent="0.25">
      <c r="B1735" s="21" t="s">
        <v>0</v>
      </c>
      <c r="C1735" s="22" t="s">
        <v>2057</v>
      </c>
      <c r="D1735" s="22" t="s">
        <v>2058</v>
      </c>
      <c r="E1735" s="21" t="s">
        <v>2222</v>
      </c>
      <c r="F1735" s="23" t="s">
        <v>3</v>
      </c>
      <c r="G1735" s="23" t="s">
        <v>4</v>
      </c>
      <c r="H1735" s="21" t="str">
        <f t="shared" si="26"/>
        <v>YCWA_ALLOC_SV/FRACTION</v>
      </c>
      <c r="I1735" s="24" t="s">
        <v>2310</v>
      </c>
      <c r="J1735" s="10" t="str">
        <f>VLOOKUP(Table1[[#This Row],[UID]],CS3SVComposerConfig!$B$3:$D$1808,3,FALSE)</f>
        <v>DCR2023_SV_Danube_Hist_v3.dss</v>
      </c>
      <c r="K1735" s="10" t="s">
        <v>2212</v>
      </c>
      <c r="L1735" s="10" t="s">
        <v>2212</v>
      </c>
      <c r="M1735" s="10" t="s">
        <v>2212</v>
      </c>
      <c r="N1735" s="10" t="s">
        <v>2227</v>
      </c>
      <c r="O1735" s="10" t="s">
        <v>2227</v>
      </c>
      <c r="P1735" s="39" t="s">
        <v>2227</v>
      </c>
    </row>
    <row r="1736" spans="2:16" ht="18" customHeight="1" x14ac:dyDescent="0.25">
      <c r="F1736" s="1"/>
      <c r="G1736" s="1"/>
    </row>
  </sheetData>
  <dataConsolidate function="max">
    <dataRefs count="2">
      <dataRef ref="B1:G19063" sheet="MASTER" r:id="rId1"/>
      <dataRef ref="E1:E19063" sheet="MASTER" r:id="rId2"/>
    </dataRefs>
  </dataConsolidate>
  <conditionalFormatting sqref="K3:L1735">
    <cfRule type="cellIs" dxfId="7" priority="34" operator="equal">
      <formula>"T"</formula>
    </cfRule>
  </conditionalFormatting>
  <conditionalFormatting sqref="M1:M1735">
    <cfRule type="cellIs" dxfId="6" priority="37" operator="equal">
      <formula>"F"</formula>
    </cfRule>
  </conditionalFormatting>
  <conditionalFormatting sqref="N3:P1735">
    <cfRule type="cellIs" dxfId="5" priority="32" operator="equal">
      <formula>"N/A"</formula>
    </cfRule>
  </conditionalFormatting>
  <conditionalFormatting sqref="P3:P1735">
    <cfRule type="colorScale" priority="31">
      <colorScale>
        <cfvo type="min"/>
        <cfvo type="percentile" val="80"/>
        <cfvo type="max"/>
        <color rgb="FFF8696B"/>
        <color rgb="FFFCFCFF"/>
        <color rgb="FF63BE7B"/>
      </colorScale>
    </cfRule>
  </conditionalFormatting>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787F6-B5AB-4C9D-87A3-76091DCB3F1E}">
  <sheetPr codeName="Sheet3"/>
  <dimension ref="B2:Q29"/>
  <sheetViews>
    <sheetView showGridLines="0" zoomScale="130" zoomScaleNormal="130" workbookViewId="0">
      <selection activeCell="K17" sqref="K17"/>
    </sheetView>
  </sheetViews>
  <sheetFormatPr defaultColWidth="9.28515625" defaultRowHeight="15" x14ac:dyDescent="0.25"/>
  <cols>
    <col min="1" max="2" width="9.28515625" style="3"/>
    <col min="3" max="3" width="31.28515625" style="3" customWidth="1"/>
    <col min="4" max="4" width="13.28515625" style="3" customWidth="1"/>
    <col min="5" max="5" width="9.5703125" style="3" customWidth="1"/>
    <col min="6" max="7" width="13.28515625" style="3" customWidth="1"/>
    <col min="8" max="8" width="9.28515625" style="3"/>
    <col min="9" max="9" width="6.28515625" style="17" customWidth="1"/>
    <col min="10" max="13" width="9.28515625" style="3"/>
    <col min="14" max="14" width="22.28515625" style="3" customWidth="1"/>
    <col min="15" max="16384" width="9.28515625" style="3"/>
  </cols>
  <sheetData>
    <row r="2" spans="2:17" x14ac:dyDescent="0.25">
      <c r="D2" s="35">
        <f>SUM(D4:D18)</f>
        <v>1375</v>
      </c>
      <c r="E2" s="35">
        <f t="shared" ref="E2:H2" si="0">SUM(E4:E18)</f>
        <v>32</v>
      </c>
      <c r="F2" s="35">
        <f t="shared" si="0"/>
        <v>220</v>
      </c>
      <c r="G2" s="35">
        <f t="shared" si="0"/>
        <v>106</v>
      </c>
      <c r="H2" s="35">
        <f t="shared" si="0"/>
        <v>1733</v>
      </c>
      <c r="I2" s="36">
        <f>SUM(I4:I18)</f>
        <v>1</v>
      </c>
    </row>
    <row r="3" spans="2:17" s="11" customFormat="1" ht="45" x14ac:dyDescent="0.25">
      <c r="B3" s="32" t="s">
        <v>2311</v>
      </c>
      <c r="C3" s="32" t="s">
        <v>2312</v>
      </c>
      <c r="D3" s="33" t="s">
        <v>2313</v>
      </c>
      <c r="E3" s="33" t="s">
        <v>2314</v>
      </c>
      <c r="F3" s="33" t="s">
        <v>2315</v>
      </c>
      <c r="G3" s="33" t="s">
        <v>2316</v>
      </c>
      <c r="H3" s="33" t="s">
        <v>2317</v>
      </c>
      <c r="I3" s="34" t="s">
        <v>2318</v>
      </c>
    </row>
    <row r="4" spans="2:17" x14ac:dyDescent="0.25">
      <c r="B4" s="3" t="s">
        <v>2319</v>
      </c>
      <c r="C4" t="str" cm="1">
        <f t="array" ref="C4:C18">_xlfn._xlws.SORT(_xlfn.UNIQUE(Table1[Input_Category]))</f>
        <v>CalSimHydro</v>
      </c>
      <c r="D4" s="13">
        <f t="shared" ref="D4:D18" si="1">H4-SUM(E4:G4)</f>
        <v>655</v>
      </c>
      <c r="E4">
        <f>COUNTIFS(Table1[Input_Category],"="&amp;C4, Table1[Missing],"="&amp;"T")</f>
        <v>0</v>
      </c>
      <c r="F4">
        <f>COUNTIFS(Table1[Input_Category],"="&amp;C4, Table1[Constant/Rept],"="&amp;"T")</f>
        <v>91</v>
      </c>
      <c r="G4">
        <f>COUNTIFS(Table1[Input_Category],"="&amp;C4, Table1[Used in DCR],"="&amp;"F")</f>
        <v>0</v>
      </c>
      <c r="H4">
        <f>COUNTIFS(Table1[Input_Category],"="&amp;C4)</f>
        <v>746</v>
      </c>
      <c r="I4" s="27">
        <f t="shared" ref="I4:I18" si="2">H4/SUM($H$4:$H$21)</f>
        <v>0.43046739757645702</v>
      </c>
      <c r="J4" s="3">
        <f>SUM(E4:G4)</f>
        <v>91</v>
      </c>
    </row>
    <row r="5" spans="2:17" x14ac:dyDescent="0.25">
      <c r="B5" s="3" t="s">
        <v>2319</v>
      </c>
      <c r="C5" t="str">
        <v>CalSimHydroEE</v>
      </c>
      <c r="D5" s="13">
        <f t="shared" si="1"/>
        <v>17</v>
      </c>
      <c r="E5">
        <f>COUNTIFS(Table1[Input_Category],"="&amp;C5, Table1[Missing],"="&amp;"T")</f>
        <v>0</v>
      </c>
      <c r="F5">
        <f>COUNTIFS(Table1[Input_Category],"="&amp;C5, Table1[Constant/Rept],"="&amp;"T")</f>
        <v>0</v>
      </c>
      <c r="G5">
        <f>COUNTIFS(Table1[Input_Category],"="&amp;C5, Table1[Used in DCR],"="&amp;"F")</f>
        <v>0</v>
      </c>
      <c r="H5">
        <f>COUNTIFS(Table1[Input_Category],"="&amp;C5)</f>
        <v>17</v>
      </c>
      <c r="I5" s="27">
        <f t="shared" si="2"/>
        <v>9.8095787651471429E-3</v>
      </c>
      <c r="J5" s="3">
        <f t="shared" ref="J5:J18" si="3">SUM(E5:G5)</f>
        <v>0</v>
      </c>
    </row>
    <row r="6" spans="2:17" x14ac:dyDescent="0.25">
      <c r="B6" s="3" t="s">
        <v>2319</v>
      </c>
      <c r="C6" t="str">
        <v>Climate</v>
      </c>
      <c r="D6" s="13">
        <f t="shared" si="1"/>
        <v>56</v>
      </c>
      <c r="E6">
        <f>COUNTIFS(Table1[Input_Category],"="&amp;C6, Table1[Missing],"="&amp;"T")</f>
        <v>0</v>
      </c>
      <c r="F6">
        <f>COUNTIFS(Table1[Input_Category],"="&amp;C6, Table1[Constant/Rept],"="&amp;"T")</f>
        <v>0</v>
      </c>
      <c r="G6">
        <f>COUNTIFS(Table1[Input_Category],"="&amp;C6, Table1[Used in DCR],"="&amp;"F")</f>
        <v>1</v>
      </c>
      <c r="H6">
        <f>COUNTIFS(Table1[Input_Category],"="&amp;C6)</f>
        <v>57</v>
      </c>
      <c r="I6" s="27">
        <f t="shared" si="2"/>
        <v>3.2890940565493361E-2</v>
      </c>
      <c r="J6" s="3">
        <f t="shared" si="3"/>
        <v>1</v>
      </c>
    </row>
    <row r="7" spans="2:17" x14ac:dyDescent="0.25">
      <c r="B7" s="3" t="s">
        <v>2319</v>
      </c>
      <c r="C7" t="str">
        <v>Closure Terms</v>
      </c>
      <c r="D7" s="13">
        <f t="shared" si="1"/>
        <v>13</v>
      </c>
      <c r="E7">
        <f>COUNTIFS(Table1[Input_Category],"="&amp;C7, Table1[Missing],"="&amp;"T")</f>
        <v>5</v>
      </c>
      <c r="F7">
        <f>COUNTIFS(Table1[Input_Category],"="&amp;C7, Table1[Constant/Rept],"="&amp;"T")</f>
        <v>8</v>
      </c>
      <c r="G7">
        <f>COUNTIFS(Table1[Input_Category],"="&amp;C7, Table1[Used in DCR],"="&amp;"F")</f>
        <v>0</v>
      </c>
      <c r="H7">
        <f>COUNTIFS(Table1[Input_Category],"="&amp;C7)</f>
        <v>26</v>
      </c>
      <c r="I7" s="27">
        <f t="shared" si="2"/>
        <v>1.5002885170225043E-2</v>
      </c>
      <c r="J7" s="3">
        <f t="shared" si="3"/>
        <v>13</v>
      </c>
    </row>
    <row r="8" spans="2:17" x14ac:dyDescent="0.25">
      <c r="B8" s="3" t="s">
        <v>2319</v>
      </c>
      <c r="C8" t="str">
        <v>Day-Volume Fraction</v>
      </c>
      <c r="D8" s="13">
        <f t="shared" si="1"/>
        <v>31</v>
      </c>
      <c r="E8">
        <f>COUNTIFS(Table1[Input_Category],"="&amp;C8, Table1[Missing],"="&amp;"T")</f>
        <v>0</v>
      </c>
      <c r="F8">
        <f>COUNTIFS(Table1[Input_Category],"="&amp;C8, Table1[Constant/Rept],"="&amp;"T")</f>
        <v>0</v>
      </c>
      <c r="G8">
        <f>COUNTIFS(Table1[Input_Category],"="&amp;C8, Table1[Used in DCR],"="&amp;"F")</f>
        <v>0</v>
      </c>
      <c r="H8">
        <f>COUNTIFS(Table1[Input_Category],"="&amp;C8)</f>
        <v>31</v>
      </c>
      <c r="I8" s="27">
        <f t="shared" si="2"/>
        <v>1.7888055395268321E-2</v>
      </c>
      <c r="J8" s="3">
        <f t="shared" si="3"/>
        <v>0</v>
      </c>
    </row>
    <row r="9" spans="2:17" x14ac:dyDescent="0.25">
      <c r="B9" s="3" t="s">
        <v>2319</v>
      </c>
      <c r="C9" t="str">
        <v>Delta Channel Depletion</v>
      </c>
      <c r="D9" s="13">
        <f t="shared" si="1"/>
        <v>28</v>
      </c>
      <c r="E9">
        <f>COUNTIFS(Table1[Input_Category],"="&amp;C9, Table1[Missing],"="&amp;"T")</f>
        <v>0</v>
      </c>
      <c r="F9">
        <f>COUNTIFS(Table1[Input_Category],"="&amp;C9, Table1[Constant/Rept],"="&amp;"T")</f>
        <v>0</v>
      </c>
      <c r="G9">
        <f>COUNTIFS(Table1[Input_Category],"="&amp;C9, Table1[Used in DCR],"="&amp;"F")</f>
        <v>0</v>
      </c>
      <c r="H9">
        <f>COUNTIFS(Table1[Input_Category],"="&amp;C9)</f>
        <v>28</v>
      </c>
      <c r="I9" s="27">
        <f t="shared" si="2"/>
        <v>1.6156953260242354E-2</v>
      </c>
      <c r="J9" s="3">
        <f t="shared" si="3"/>
        <v>0</v>
      </c>
    </row>
    <row r="10" spans="2:17" x14ac:dyDescent="0.25">
      <c r="B10" s="3" t="s">
        <v>2319</v>
      </c>
      <c r="C10" t="str">
        <v>Instream Flows</v>
      </c>
      <c r="D10" s="13">
        <f t="shared" si="1"/>
        <v>3</v>
      </c>
      <c r="E10">
        <f>COUNTIFS(Table1[Input_Category],"="&amp;C10, Table1[Missing],"="&amp;"T")</f>
        <v>0</v>
      </c>
      <c r="F10">
        <f>COUNTIFS(Table1[Input_Category],"="&amp;C10, Table1[Constant/Rept],"="&amp;"T")</f>
        <v>1</v>
      </c>
      <c r="G10">
        <f>COUNTIFS(Table1[Input_Category],"="&amp;C10, Table1[Used in DCR],"="&amp;"F")</f>
        <v>2</v>
      </c>
      <c r="H10">
        <f>COUNTIFS(Table1[Input_Category],"="&amp;C10)</f>
        <v>6</v>
      </c>
      <c r="I10" s="27">
        <f t="shared" si="2"/>
        <v>3.462204270051933E-3</v>
      </c>
      <c r="J10" s="3">
        <f t="shared" si="3"/>
        <v>3</v>
      </c>
      <c r="K10"/>
      <c r="L10"/>
      <c r="M10"/>
      <c r="N10"/>
    </row>
    <row r="11" spans="2:17" x14ac:dyDescent="0.25">
      <c r="B11" s="3" t="s">
        <v>2319</v>
      </c>
      <c r="C11" t="str">
        <v>Other</v>
      </c>
      <c r="D11" s="13">
        <f>H11-SUM(E11:G11)</f>
        <v>7</v>
      </c>
      <c r="E11">
        <f>COUNTIFS(Table1[Input_Category],"="&amp;C11, Table1[Missing],"="&amp;"T")</f>
        <v>13</v>
      </c>
      <c r="F11">
        <f>COUNTIFS(Table1[Input_Category],"="&amp;C11, Table1[Constant/Rept],"="&amp;"T")</f>
        <v>110</v>
      </c>
      <c r="G11">
        <f>COUNTIFS(Table1[Input_Category],"="&amp;C11, Table1[Used in DCR],"="&amp;"F")</f>
        <v>13</v>
      </c>
      <c r="H11">
        <f>COUNTIFS(Table1[Input_Category],"="&amp;C11)</f>
        <v>143</v>
      </c>
      <c r="I11" s="27">
        <f t="shared" si="2"/>
        <v>8.2515868436237733E-2</v>
      </c>
      <c r="J11" s="3">
        <f t="shared" si="3"/>
        <v>136</v>
      </c>
      <c r="K11"/>
      <c r="L11"/>
      <c r="M11"/>
      <c r="N11"/>
      <c r="O11"/>
      <c r="P11"/>
      <c r="Q11"/>
    </row>
    <row r="12" spans="2:17" x14ac:dyDescent="0.25">
      <c r="B12" s="3" t="s">
        <v>2319</v>
      </c>
      <c r="C12" t="str">
        <v>Reservoir Evaporation</v>
      </c>
      <c r="D12" s="13">
        <f t="shared" si="1"/>
        <v>95</v>
      </c>
      <c r="E12">
        <f>COUNTIFS(Table1[Input_Category],"="&amp;C12, Table1[Missing],"="&amp;"T")</f>
        <v>1</v>
      </c>
      <c r="F12">
        <f>COUNTIFS(Table1[Input_Category],"="&amp;C12, Table1[Constant/Rept],"="&amp;"T")</f>
        <v>0</v>
      </c>
      <c r="G12">
        <f>COUNTIFS(Table1[Input_Category],"="&amp;C12, Table1[Used in DCR],"="&amp;"F")</f>
        <v>0</v>
      </c>
      <c r="H12">
        <f>COUNTIFS(Table1[Input_Category],"="&amp;C12)</f>
        <v>96</v>
      </c>
      <c r="I12" s="27">
        <f t="shared" si="2"/>
        <v>5.5395268320830929E-2</v>
      </c>
      <c r="J12" s="3">
        <f t="shared" si="3"/>
        <v>1</v>
      </c>
      <c r="K12"/>
      <c r="L12"/>
      <c r="M12"/>
      <c r="N12"/>
      <c r="P12"/>
      <c r="Q12"/>
    </row>
    <row r="13" spans="2:17" x14ac:dyDescent="0.25">
      <c r="B13" s="3" t="s">
        <v>2319</v>
      </c>
      <c r="C13" t="str">
        <v>Reservoir Storage Curves</v>
      </c>
      <c r="D13" s="13">
        <f t="shared" si="1"/>
        <v>7</v>
      </c>
      <c r="E13">
        <f>COUNTIFS(Table1[Input_Category],"="&amp;C13, Table1[Missing],"="&amp;"T")</f>
        <v>0</v>
      </c>
      <c r="F13">
        <f>COUNTIFS(Table1[Input_Category],"="&amp;C13, Table1[Constant/Rept],"="&amp;"T")</f>
        <v>2</v>
      </c>
      <c r="G13">
        <f>COUNTIFS(Table1[Input_Category],"="&amp;C13, Table1[Used in DCR],"="&amp;"F")</f>
        <v>0</v>
      </c>
      <c r="H13">
        <f>COUNTIFS(Table1[Input_Category],"="&amp;C13)</f>
        <v>9</v>
      </c>
      <c r="I13" s="27">
        <f t="shared" si="2"/>
        <v>5.1933064050779E-3</v>
      </c>
      <c r="J13" s="3">
        <f t="shared" si="3"/>
        <v>2</v>
      </c>
      <c r="K13"/>
      <c r="L13"/>
      <c r="M13"/>
      <c r="N13"/>
      <c r="P13"/>
      <c r="Q13"/>
    </row>
    <row r="14" spans="2:17" x14ac:dyDescent="0.25">
      <c r="B14" s="3" t="s">
        <v>2319</v>
      </c>
      <c r="C14" t="str">
        <v>Rim Inflow</v>
      </c>
      <c r="D14" s="13">
        <f t="shared" si="1"/>
        <v>227</v>
      </c>
      <c r="E14">
        <f>COUNTIFS(Table1[Input_Category],"="&amp;C14, Table1[Missing],"="&amp;"T")</f>
        <v>13</v>
      </c>
      <c r="F14">
        <f>COUNTIFS(Table1[Input_Category],"="&amp;C14, Table1[Constant/Rept],"="&amp;"T")</f>
        <v>0</v>
      </c>
      <c r="G14">
        <f>COUNTIFS(Table1[Input_Category],"="&amp;C14, Table1[Used in DCR],"="&amp;"F")</f>
        <v>1</v>
      </c>
      <c r="H14">
        <f>COUNTIFS(Table1[Input_Category],"="&amp;C14)</f>
        <v>241</v>
      </c>
      <c r="I14" s="27">
        <f t="shared" si="2"/>
        <v>0.13906520484708598</v>
      </c>
      <c r="J14" s="3">
        <f t="shared" si="3"/>
        <v>14</v>
      </c>
      <c r="K14"/>
      <c r="L14"/>
      <c r="M14"/>
      <c r="N14"/>
      <c r="P14"/>
      <c r="Q14"/>
    </row>
    <row r="15" spans="2:17" x14ac:dyDescent="0.25">
      <c r="B15" s="3" t="s">
        <v>2319</v>
      </c>
      <c r="C15" t="str">
        <v>Salinity</v>
      </c>
      <c r="D15" s="13">
        <f t="shared" si="1"/>
        <v>0</v>
      </c>
      <c r="E15">
        <f>COUNTIFS(Table1[Input_Category],"="&amp;C15, Table1[Missing],"="&amp;"T")</f>
        <v>0</v>
      </c>
      <c r="F15">
        <f>COUNTIFS(Table1[Input_Category],"="&amp;C15, Table1[Constant/Rept],"="&amp;"T")</f>
        <v>5</v>
      </c>
      <c r="G15">
        <f>COUNTIFS(Table1[Input_Category],"="&amp;C15, Table1[Used in DCR],"="&amp;"F")</f>
        <v>0</v>
      </c>
      <c r="H15">
        <f>COUNTIFS(Table1[Input_Category],"="&amp;C15)</f>
        <v>5</v>
      </c>
      <c r="I15" s="27">
        <f t="shared" si="2"/>
        <v>2.8851702250432777E-3</v>
      </c>
      <c r="J15" s="3">
        <f t="shared" si="3"/>
        <v>5</v>
      </c>
      <c r="K15"/>
      <c r="L15"/>
      <c r="M15"/>
      <c r="N15"/>
      <c r="P15"/>
      <c r="Q15"/>
    </row>
    <row r="16" spans="2:17" x14ac:dyDescent="0.25">
      <c r="B16" s="3" t="s">
        <v>2319</v>
      </c>
      <c r="C16" t="str">
        <v>Small Watersheds</v>
      </c>
      <c r="D16" s="13">
        <f t="shared" si="1"/>
        <v>210</v>
      </c>
      <c r="E16">
        <f>COUNTIFS(Table1[Input_Category],"="&amp;C16, Table1[Missing],"="&amp;"T")</f>
        <v>0</v>
      </c>
      <c r="F16">
        <f>COUNTIFS(Table1[Input_Category],"="&amp;C16, Table1[Constant/Rept],"="&amp;"T")</f>
        <v>0</v>
      </c>
      <c r="G16">
        <f>COUNTIFS(Table1[Input_Category],"="&amp;C16, Table1[Used in DCR],"="&amp;"F")</f>
        <v>0</v>
      </c>
      <c r="H16">
        <f>COUNTIFS(Table1[Input_Category],"="&amp;C16)</f>
        <v>210</v>
      </c>
      <c r="I16" s="27">
        <f t="shared" si="2"/>
        <v>0.12117714945181765</v>
      </c>
      <c r="J16" s="3">
        <f t="shared" si="3"/>
        <v>0</v>
      </c>
      <c r="K16"/>
      <c r="L16"/>
      <c r="M16"/>
      <c r="N16"/>
    </row>
    <row r="17" spans="2:14" x14ac:dyDescent="0.25">
      <c r="B17" s="3" t="s">
        <v>2319</v>
      </c>
      <c r="C17" t="str">
        <v>Tulare Groundwater Terms</v>
      </c>
      <c r="D17" s="13">
        <f t="shared" si="1"/>
        <v>14</v>
      </c>
      <c r="E17">
        <f>COUNTIFS(Table1[Input_Category],"="&amp;C17, Table1[Missing],"="&amp;"T")</f>
        <v>0</v>
      </c>
      <c r="F17">
        <f>COUNTIFS(Table1[Input_Category],"="&amp;C17, Table1[Constant/Rept],"="&amp;"T")</f>
        <v>0</v>
      </c>
      <c r="G17">
        <f>COUNTIFS(Table1[Input_Category],"="&amp;C17, Table1[Used in DCR],"="&amp;"F")</f>
        <v>0</v>
      </c>
      <c r="H17">
        <f>COUNTIFS(Table1[Input_Category],"="&amp;C17)</f>
        <v>14</v>
      </c>
      <c r="I17" s="27">
        <f t="shared" si="2"/>
        <v>8.0784766301211768E-3</v>
      </c>
      <c r="J17" s="3">
        <f t="shared" si="3"/>
        <v>0</v>
      </c>
    </row>
    <row r="18" spans="2:14" x14ac:dyDescent="0.25">
      <c r="B18" s="28" t="s">
        <v>2319</v>
      </c>
      <c r="C18" s="29" t="str">
        <v>Upper Watershed Modules</v>
      </c>
      <c r="D18" s="30">
        <f t="shared" si="1"/>
        <v>12</v>
      </c>
      <c r="E18" s="29">
        <f>COUNTIFS(Table1[Input_Category],"="&amp;C18, Table1[Missing],"="&amp;"T")</f>
        <v>0</v>
      </c>
      <c r="F18" s="29">
        <f>COUNTIFS(Table1[Input_Category],"="&amp;C18, Table1[Constant/Rept],"="&amp;"T")</f>
        <v>3</v>
      </c>
      <c r="G18" s="29">
        <f>COUNTIFS(Table1[Input_Category],"="&amp;C18, Table1[Used in DCR],"="&amp;"F")</f>
        <v>89</v>
      </c>
      <c r="H18" s="29">
        <f>COUNTIFS(Table1[Input_Category],"="&amp;C18)</f>
        <v>104</v>
      </c>
      <c r="I18" s="31">
        <f t="shared" si="2"/>
        <v>6.0011540680900172E-2</v>
      </c>
      <c r="J18" s="3">
        <f t="shared" si="3"/>
        <v>92</v>
      </c>
    </row>
    <row r="19" spans="2:14" x14ac:dyDescent="0.25">
      <c r="C19"/>
      <c r="D19" s="13"/>
      <c r="E19"/>
      <c r="F19"/>
      <c r="G19"/>
      <c r="H19"/>
      <c r="I19" s="15"/>
    </row>
    <row r="20" spans="2:14" x14ac:dyDescent="0.25">
      <c r="C20"/>
      <c r="D20" s="13"/>
      <c r="E20"/>
      <c r="F20"/>
      <c r="G20"/>
      <c r="H20"/>
      <c r="I20" s="15"/>
    </row>
    <row r="21" spans="2:14" x14ac:dyDescent="0.25">
      <c r="C21"/>
      <c r="D21" s="13"/>
      <c r="E21"/>
      <c r="F21"/>
      <c r="G21"/>
      <c r="H21"/>
      <c r="I21" s="15"/>
    </row>
    <row r="22" spans="2:14" x14ac:dyDescent="0.25">
      <c r="C22" s="18"/>
      <c r="D22" s="19"/>
      <c r="E22" s="18"/>
      <c r="F22" s="18"/>
      <c r="G22" s="18"/>
      <c r="H22" s="18"/>
      <c r="I22" s="20"/>
    </row>
    <row r="23" spans="2:14" x14ac:dyDescent="0.25">
      <c r="C23"/>
      <c r="D23"/>
      <c r="E23"/>
      <c r="F23"/>
      <c r="G23"/>
      <c r="H23"/>
      <c r="I23" s="16"/>
      <c r="J23"/>
      <c r="K23"/>
      <c r="L23"/>
      <c r="M23"/>
      <c r="N23"/>
    </row>
    <row r="24" spans="2:14" x14ac:dyDescent="0.25">
      <c r="C24"/>
      <c r="D24"/>
      <c r="E24"/>
      <c r="F24"/>
      <c r="G24"/>
      <c r="H24"/>
      <c r="I24" s="16"/>
      <c r="J24"/>
      <c r="K24"/>
      <c r="L24"/>
      <c r="M24"/>
      <c r="N24"/>
    </row>
    <row r="25" spans="2:14" x14ac:dyDescent="0.25">
      <c r="H25" s="12"/>
      <c r="I25" s="16"/>
      <c r="J25"/>
      <c r="K25"/>
      <c r="L25"/>
      <c r="M25"/>
      <c r="N25"/>
    </row>
    <row r="26" spans="2:14" x14ac:dyDescent="0.25">
      <c r="H26" s="14"/>
      <c r="I26" s="16"/>
      <c r="J26"/>
      <c r="K26"/>
      <c r="L26"/>
      <c r="M26"/>
      <c r="N26"/>
    </row>
    <row r="27" spans="2:14" x14ac:dyDescent="0.25">
      <c r="H27" s="14"/>
      <c r="I27" s="16"/>
      <c r="J27"/>
      <c r="K27"/>
      <c r="L27"/>
      <c r="M27"/>
      <c r="N27"/>
    </row>
    <row r="28" spans="2:14" x14ac:dyDescent="0.25">
      <c r="H28" s="14"/>
    </row>
    <row r="29" spans="2:14" x14ac:dyDescent="0.25">
      <c r="H29" s="14"/>
    </row>
  </sheetData>
  <conditionalFormatting sqref="B4:B18">
    <cfRule type="cellIs" dxfId="4" priority="2" operator="equal">
      <formula>"x"</formula>
    </cfRule>
    <cfRule type="cellIs" dxfId="3" priority="3" operator="equal">
      <formula>"ip"</formula>
    </cfRule>
  </conditionalFormatting>
  <conditionalFormatting sqref="D4:I22">
    <cfRule type="cellIs" dxfId="2" priority="5" operator="equal">
      <formula>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51466-784A-48F0-A0A4-6534D729F2B4}">
  <sheetPr codeName="Sheet7"/>
  <dimension ref="B1:O1760"/>
  <sheetViews>
    <sheetView zoomScale="85" zoomScaleNormal="85" workbookViewId="0">
      <selection activeCell="G18" sqref="G18"/>
    </sheetView>
  </sheetViews>
  <sheetFormatPr defaultColWidth="8.7109375" defaultRowHeight="15" x14ac:dyDescent="0.25"/>
  <cols>
    <col min="2" max="2" width="31.28515625" customWidth="1"/>
    <col min="3" max="3" width="43.7109375" customWidth="1"/>
    <col min="4" max="4" width="40.7109375" customWidth="1"/>
    <col min="14" max="14" width="14.28515625" customWidth="1"/>
    <col min="15" max="15" width="21" customWidth="1"/>
  </cols>
  <sheetData>
    <row r="1" spans="2:15" x14ac:dyDescent="0.25">
      <c r="F1">
        <f>COUNT(F3:F10000)</f>
        <v>1758</v>
      </c>
    </row>
    <row r="2" spans="2:15" ht="15.75" thickBot="1" x14ac:dyDescent="0.3">
      <c r="B2" s="43" t="s">
        <v>2320</v>
      </c>
      <c r="C2" s="44" t="s">
        <v>2321</v>
      </c>
      <c r="D2" s="44" t="s">
        <v>2322</v>
      </c>
      <c r="E2" s="44" t="s">
        <v>2323</v>
      </c>
      <c r="F2" s="44" t="s">
        <v>2324</v>
      </c>
      <c r="G2" s="44" t="s">
        <v>2325</v>
      </c>
      <c r="H2" s="44" t="s">
        <v>2326</v>
      </c>
      <c r="I2" s="44" t="s">
        <v>2327</v>
      </c>
      <c r="J2" s="44" t="s">
        <v>2328</v>
      </c>
      <c r="K2" s="44" t="s">
        <v>2329</v>
      </c>
      <c r="L2" s="44" t="s">
        <v>2330</v>
      </c>
      <c r="M2" s="44" t="s">
        <v>2331</v>
      </c>
      <c r="N2" s="44" t="s">
        <v>2332</v>
      </c>
      <c r="O2" s="44" t="s">
        <v>2333</v>
      </c>
    </row>
    <row r="3" spans="2:15" x14ac:dyDescent="0.25">
      <c r="B3" s="41" t="str">
        <f>_xlfn.CONCAT(I3,"/",J3)</f>
        <v>AWO_50_PA1/APPLIED-WATER</v>
      </c>
      <c r="C3" t="s">
        <v>2334</v>
      </c>
      <c r="D3" t="s">
        <v>2335</v>
      </c>
      <c r="E3" t="s">
        <v>2336</v>
      </c>
      <c r="F3">
        <v>1</v>
      </c>
      <c r="G3" t="s">
        <v>2337</v>
      </c>
      <c r="H3" t="s">
        <v>0</v>
      </c>
      <c r="I3" t="s">
        <v>387</v>
      </c>
      <c r="J3" t="s">
        <v>18</v>
      </c>
      <c r="L3" t="s">
        <v>3</v>
      </c>
      <c r="M3" t="s">
        <v>4</v>
      </c>
      <c r="N3" s="3" t="str">
        <f t="shared" ref="N3:N66" si="0">IF(COUNTIF($B$3:$B$1760,"="&amp;B3)&gt;1,"T","F")</f>
        <v>F</v>
      </c>
      <c r="O3" s="3" t="str">
        <f>IF(_xlfn.IFNA(MATCH(B3,Table1[UID],0),"F")="F","F","T")</f>
        <v>T</v>
      </c>
    </row>
    <row r="4" spans="2:15" x14ac:dyDescent="0.25">
      <c r="B4" s="42" t="str">
        <f t="shared" ref="B4:B67" si="1">_xlfn.CONCAT(I4,"/",J4)</f>
        <v>AWO_64_XA/APPLIED-WATER</v>
      </c>
      <c r="C4" t="s">
        <v>2334</v>
      </c>
      <c r="D4" t="s">
        <v>2335</v>
      </c>
      <c r="E4" t="s">
        <v>2338</v>
      </c>
      <c r="F4">
        <v>2</v>
      </c>
      <c r="G4" t="s">
        <v>2339</v>
      </c>
      <c r="H4" t="s">
        <v>0</v>
      </c>
      <c r="I4" t="s">
        <v>425</v>
      </c>
      <c r="J4" t="s">
        <v>18</v>
      </c>
      <c r="L4" t="s">
        <v>3</v>
      </c>
      <c r="M4" t="s">
        <v>4</v>
      </c>
      <c r="N4" s="3" t="str">
        <f t="shared" si="0"/>
        <v>F</v>
      </c>
      <c r="O4" s="3" t="str">
        <f>IF(_xlfn.IFNA(MATCH(B4,Table1[UID],0),"F")="F","F","T")</f>
        <v>T</v>
      </c>
    </row>
    <row r="5" spans="2:15" x14ac:dyDescent="0.25">
      <c r="B5" s="42" t="str">
        <f t="shared" si="1"/>
        <v>AWO_71_PA1/APPLIED-WATER</v>
      </c>
      <c r="C5" t="s">
        <v>2334</v>
      </c>
      <c r="D5" t="s">
        <v>2335</v>
      </c>
      <c r="E5" t="s">
        <v>2340</v>
      </c>
      <c r="F5">
        <v>3</v>
      </c>
      <c r="G5" t="s">
        <v>2341</v>
      </c>
      <c r="H5" t="s">
        <v>0</v>
      </c>
      <c r="I5" t="s">
        <v>429</v>
      </c>
      <c r="J5" t="s">
        <v>18</v>
      </c>
      <c r="L5" t="s">
        <v>3</v>
      </c>
      <c r="M5" t="s">
        <v>4</v>
      </c>
      <c r="N5" s="3" t="str">
        <f t="shared" si="0"/>
        <v>F</v>
      </c>
      <c r="O5" s="3" t="str">
        <f>IF(_xlfn.IFNA(MATCH(B5,Table1[UID],0),"F")="F","F","T")</f>
        <v>T</v>
      </c>
    </row>
    <row r="6" spans="2:15" x14ac:dyDescent="0.25">
      <c r="B6" s="42" t="str">
        <f t="shared" si="1"/>
        <v>AWO_71_PA2/APPLIED-WATER</v>
      </c>
      <c r="C6" t="s">
        <v>2334</v>
      </c>
      <c r="D6" t="s">
        <v>2335</v>
      </c>
      <c r="E6" t="s">
        <v>2342</v>
      </c>
      <c r="F6">
        <v>4</v>
      </c>
      <c r="G6" t="s">
        <v>2343</v>
      </c>
      <c r="H6" t="s">
        <v>0</v>
      </c>
      <c r="I6" t="s">
        <v>430</v>
      </c>
      <c r="J6" t="s">
        <v>18</v>
      </c>
      <c r="L6" t="s">
        <v>3</v>
      </c>
      <c r="M6" t="s">
        <v>4</v>
      </c>
      <c r="N6" s="3" t="str">
        <f t="shared" si="0"/>
        <v>F</v>
      </c>
      <c r="O6" s="3" t="str">
        <f>IF(_xlfn.IFNA(MATCH(B6,Table1[UID],0),"F")="F","F","T")</f>
        <v>T</v>
      </c>
    </row>
    <row r="7" spans="2:15" x14ac:dyDescent="0.25">
      <c r="B7" s="42" t="str">
        <f t="shared" si="1"/>
        <v>AWO_71_PA3/APPLIED-WATER</v>
      </c>
      <c r="C7" t="s">
        <v>2334</v>
      </c>
      <c r="D7" t="s">
        <v>2335</v>
      </c>
      <c r="E7" t="s">
        <v>2344</v>
      </c>
      <c r="F7">
        <v>5</v>
      </c>
      <c r="G7" t="s">
        <v>2345</v>
      </c>
      <c r="H7" t="s">
        <v>0</v>
      </c>
      <c r="I7" t="s">
        <v>431</v>
      </c>
      <c r="J7" t="s">
        <v>18</v>
      </c>
      <c r="L7" t="s">
        <v>3</v>
      </c>
      <c r="M7" t="s">
        <v>4</v>
      </c>
      <c r="N7" s="3" t="str">
        <f t="shared" si="0"/>
        <v>F</v>
      </c>
      <c r="O7" s="3" t="str">
        <f>IF(_xlfn.IFNA(MATCH(B7,Table1[UID],0),"F")="F","F","T")</f>
        <v>T</v>
      </c>
    </row>
    <row r="8" spans="2:15" x14ac:dyDescent="0.25">
      <c r="B8" s="42" t="str">
        <f t="shared" si="1"/>
        <v>AWO_71_PA4/APPLIED-WATER</v>
      </c>
      <c r="C8" t="s">
        <v>2334</v>
      </c>
      <c r="D8" t="s">
        <v>2335</v>
      </c>
      <c r="E8" t="s">
        <v>2346</v>
      </c>
      <c r="F8">
        <v>6</v>
      </c>
      <c r="G8" t="s">
        <v>2347</v>
      </c>
      <c r="H8" t="s">
        <v>0</v>
      </c>
      <c r="I8" t="s">
        <v>432</v>
      </c>
      <c r="J8" t="s">
        <v>18</v>
      </c>
      <c r="L8" t="s">
        <v>3</v>
      </c>
      <c r="M8" t="s">
        <v>4</v>
      </c>
      <c r="N8" s="3" t="str">
        <f t="shared" si="0"/>
        <v>F</v>
      </c>
      <c r="O8" s="3" t="str">
        <f>IF(_xlfn.IFNA(MATCH(B8,Table1[UID],0),"F")="F","F","T")</f>
        <v>T</v>
      </c>
    </row>
    <row r="9" spans="2:15" x14ac:dyDescent="0.25">
      <c r="B9" s="42" t="str">
        <f t="shared" si="1"/>
        <v>AWO_71_PA5/APPLIED-WATER</v>
      </c>
      <c r="C9" t="s">
        <v>2334</v>
      </c>
      <c r="D9" t="s">
        <v>2335</v>
      </c>
      <c r="E9" t="s">
        <v>2348</v>
      </c>
      <c r="F9">
        <v>7</v>
      </c>
      <c r="G9" t="s">
        <v>2349</v>
      </c>
      <c r="H9" t="s">
        <v>0</v>
      </c>
      <c r="I9" t="s">
        <v>433</v>
      </c>
      <c r="J9" t="s">
        <v>18</v>
      </c>
      <c r="L9" t="s">
        <v>3</v>
      </c>
      <c r="M9" t="s">
        <v>4</v>
      </c>
      <c r="N9" s="3" t="str">
        <f t="shared" si="0"/>
        <v>F</v>
      </c>
      <c r="O9" s="3" t="str">
        <f>IF(_xlfn.IFNA(MATCH(B9,Table1[UID],0),"F")="F","F","T")</f>
        <v>T</v>
      </c>
    </row>
    <row r="10" spans="2:15" x14ac:dyDescent="0.25">
      <c r="B10" s="42" t="str">
        <f t="shared" si="1"/>
        <v>AWO_71_PA6/APPLIED-WATER</v>
      </c>
      <c r="C10" t="s">
        <v>2334</v>
      </c>
      <c r="D10" t="s">
        <v>2335</v>
      </c>
      <c r="E10" t="s">
        <v>2350</v>
      </c>
      <c r="F10">
        <v>8</v>
      </c>
      <c r="G10" t="s">
        <v>2351</v>
      </c>
      <c r="H10" t="s">
        <v>0</v>
      </c>
      <c r="I10" t="s">
        <v>434</v>
      </c>
      <c r="J10" t="s">
        <v>18</v>
      </c>
      <c r="L10" t="s">
        <v>3</v>
      </c>
      <c r="M10" t="s">
        <v>4</v>
      </c>
      <c r="N10" s="3" t="str">
        <f t="shared" si="0"/>
        <v>F</v>
      </c>
      <c r="O10" s="3" t="str">
        <f>IF(_xlfn.IFNA(MATCH(B10,Table1[UID],0),"F")="F","F","T")</f>
        <v>T</v>
      </c>
    </row>
    <row r="11" spans="2:15" x14ac:dyDescent="0.25">
      <c r="B11" s="42" t="str">
        <f t="shared" si="1"/>
        <v>AWO_71_PA7/APPLIED-WATER</v>
      </c>
      <c r="C11" t="s">
        <v>2334</v>
      </c>
      <c r="D11" t="s">
        <v>2335</v>
      </c>
      <c r="E11" t="s">
        <v>2352</v>
      </c>
      <c r="F11">
        <v>9</v>
      </c>
      <c r="G11" t="s">
        <v>2353</v>
      </c>
      <c r="H11" t="s">
        <v>0</v>
      </c>
      <c r="I11" t="s">
        <v>435</v>
      </c>
      <c r="J11" t="s">
        <v>18</v>
      </c>
      <c r="L11" t="s">
        <v>3</v>
      </c>
      <c r="M11" t="s">
        <v>4</v>
      </c>
      <c r="N11" s="3" t="str">
        <f t="shared" si="0"/>
        <v>F</v>
      </c>
      <c r="O11" s="3" t="str">
        <f>IF(_xlfn.IFNA(MATCH(B11,Table1[UID],0),"F")="F","F","T")</f>
        <v>T</v>
      </c>
    </row>
    <row r="12" spans="2:15" x14ac:dyDescent="0.25">
      <c r="B12" s="42" t="str">
        <f t="shared" si="1"/>
        <v>AWO_71_PA8/APPLIED-WATER</v>
      </c>
      <c r="C12" t="s">
        <v>2334</v>
      </c>
      <c r="D12" t="s">
        <v>2335</v>
      </c>
      <c r="E12" t="s">
        <v>2354</v>
      </c>
      <c r="F12">
        <v>10</v>
      </c>
      <c r="G12" t="s">
        <v>2355</v>
      </c>
      <c r="H12" t="s">
        <v>0</v>
      </c>
      <c r="I12" t="s">
        <v>436</v>
      </c>
      <c r="J12" t="s">
        <v>18</v>
      </c>
      <c r="L12" t="s">
        <v>3</v>
      </c>
      <c r="M12" t="s">
        <v>4</v>
      </c>
      <c r="N12" s="3" t="str">
        <f t="shared" si="0"/>
        <v>F</v>
      </c>
      <c r="O12" s="3" t="str">
        <f>IF(_xlfn.IFNA(MATCH(B12,Table1[UID],0),"F")="F","F","T")</f>
        <v>T</v>
      </c>
    </row>
    <row r="13" spans="2:15" x14ac:dyDescent="0.25">
      <c r="B13" s="42" t="str">
        <f t="shared" si="1"/>
        <v>AWO_72_PA/APPLIED-WATER</v>
      </c>
      <c r="C13" t="s">
        <v>2334</v>
      </c>
      <c r="D13" t="s">
        <v>2335</v>
      </c>
      <c r="E13" t="s">
        <v>2356</v>
      </c>
      <c r="F13">
        <v>11</v>
      </c>
      <c r="G13" t="s">
        <v>2357</v>
      </c>
      <c r="H13" t="s">
        <v>0</v>
      </c>
      <c r="I13" t="s">
        <v>439</v>
      </c>
      <c r="J13" t="s">
        <v>18</v>
      </c>
      <c r="L13" t="s">
        <v>3</v>
      </c>
      <c r="M13" t="s">
        <v>4</v>
      </c>
      <c r="N13" s="3" t="str">
        <f t="shared" si="0"/>
        <v>F</v>
      </c>
      <c r="O13" s="3" t="str">
        <f>IF(_xlfn.IFNA(MATCH(B13,Table1[UID],0),"F")="F","F","T")</f>
        <v>T</v>
      </c>
    </row>
    <row r="14" spans="2:15" x14ac:dyDescent="0.25">
      <c r="B14" s="42" t="str">
        <f t="shared" si="1"/>
        <v>AWO_72_PR1/APPLIED-WATER</v>
      </c>
      <c r="C14" t="s">
        <v>2334</v>
      </c>
      <c r="D14" t="s">
        <v>2335</v>
      </c>
      <c r="E14" t="s">
        <v>2358</v>
      </c>
      <c r="F14">
        <v>12</v>
      </c>
      <c r="G14" t="s">
        <v>2359</v>
      </c>
      <c r="H14" t="s">
        <v>0</v>
      </c>
      <c r="I14" t="s">
        <v>440</v>
      </c>
      <c r="J14" t="s">
        <v>18</v>
      </c>
      <c r="L14" t="s">
        <v>3</v>
      </c>
      <c r="M14" t="s">
        <v>4</v>
      </c>
      <c r="N14" s="3" t="str">
        <f t="shared" si="0"/>
        <v>F</v>
      </c>
      <c r="O14" s="3" t="str">
        <f>IF(_xlfn.IFNA(MATCH(B14,Table1[UID],0),"F")="F","F","T")</f>
        <v>T</v>
      </c>
    </row>
    <row r="15" spans="2:15" x14ac:dyDescent="0.25">
      <c r="B15" s="42" t="str">
        <f t="shared" si="1"/>
        <v>AWO_72_PR2/APPLIED-WATER</v>
      </c>
      <c r="C15" t="s">
        <v>2334</v>
      </c>
      <c r="D15" t="s">
        <v>2335</v>
      </c>
      <c r="E15" t="s">
        <v>2360</v>
      </c>
      <c r="F15">
        <v>13</v>
      </c>
      <c r="G15" t="s">
        <v>2361</v>
      </c>
      <c r="H15" t="s">
        <v>0</v>
      </c>
      <c r="I15" t="s">
        <v>441</v>
      </c>
      <c r="J15" t="s">
        <v>18</v>
      </c>
      <c r="L15" t="s">
        <v>3</v>
      </c>
      <c r="M15" t="s">
        <v>4</v>
      </c>
      <c r="N15" s="3" t="str">
        <f t="shared" si="0"/>
        <v>F</v>
      </c>
      <c r="O15" s="3" t="str">
        <f>IF(_xlfn.IFNA(MATCH(B15,Table1[UID],0),"F")="F","F","T")</f>
        <v>T</v>
      </c>
    </row>
    <row r="16" spans="2:15" x14ac:dyDescent="0.25">
      <c r="B16" s="42" t="str">
        <f t="shared" si="1"/>
        <v>AWO_72_PR3/APPLIED-WATER</v>
      </c>
      <c r="C16" t="s">
        <v>2334</v>
      </c>
      <c r="D16" t="s">
        <v>2335</v>
      </c>
      <c r="E16" t="s">
        <v>2362</v>
      </c>
      <c r="F16">
        <v>14</v>
      </c>
      <c r="G16" t="s">
        <v>2363</v>
      </c>
      <c r="H16" t="s">
        <v>0</v>
      </c>
      <c r="I16" t="s">
        <v>442</v>
      </c>
      <c r="J16" t="s">
        <v>18</v>
      </c>
      <c r="L16" t="s">
        <v>3</v>
      </c>
      <c r="M16" t="s">
        <v>4</v>
      </c>
      <c r="N16" s="3" t="str">
        <f t="shared" si="0"/>
        <v>F</v>
      </c>
      <c r="O16" s="3" t="str">
        <f>IF(_xlfn.IFNA(MATCH(B16,Table1[UID],0),"F")="F","F","T")</f>
        <v>T</v>
      </c>
    </row>
    <row r="17" spans="2:15" x14ac:dyDescent="0.25">
      <c r="B17" s="42" t="str">
        <f t="shared" si="1"/>
        <v>AWO_72_PR4/APPLIED-WATER</v>
      </c>
      <c r="C17" t="s">
        <v>2334</v>
      </c>
      <c r="D17" t="s">
        <v>2335</v>
      </c>
      <c r="E17" t="s">
        <v>2364</v>
      </c>
      <c r="F17">
        <v>15</v>
      </c>
      <c r="G17" t="s">
        <v>2365</v>
      </c>
      <c r="H17" t="s">
        <v>0</v>
      </c>
      <c r="I17" t="s">
        <v>443</v>
      </c>
      <c r="J17" t="s">
        <v>18</v>
      </c>
      <c r="L17" t="s">
        <v>3</v>
      </c>
      <c r="M17" t="s">
        <v>4</v>
      </c>
      <c r="N17" s="3" t="str">
        <f t="shared" si="0"/>
        <v>F</v>
      </c>
      <c r="O17" s="3" t="str">
        <f>IF(_xlfn.IFNA(MATCH(B17,Table1[UID],0),"F")="F","F","T")</f>
        <v>T</v>
      </c>
    </row>
    <row r="18" spans="2:15" x14ac:dyDescent="0.25">
      <c r="B18" s="42" t="str">
        <f t="shared" si="1"/>
        <v>AWO_72_PR5/APPLIED-WATER</v>
      </c>
      <c r="C18" t="s">
        <v>2334</v>
      </c>
      <c r="D18" t="s">
        <v>2335</v>
      </c>
      <c r="E18" t="s">
        <v>2366</v>
      </c>
      <c r="F18">
        <v>16</v>
      </c>
      <c r="G18" t="s">
        <v>2367</v>
      </c>
      <c r="H18" t="s">
        <v>0</v>
      </c>
      <c r="I18" t="s">
        <v>444</v>
      </c>
      <c r="J18" t="s">
        <v>18</v>
      </c>
      <c r="L18" t="s">
        <v>3</v>
      </c>
      <c r="M18" t="s">
        <v>4</v>
      </c>
      <c r="N18" s="3" t="str">
        <f t="shared" si="0"/>
        <v>F</v>
      </c>
      <c r="O18" s="3" t="str">
        <f>IF(_xlfn.IFNA(MATCH(B18,Table1[UID],0),"F")="F","F","T")</f>
        <v>T</v>
      </c>
    </row>
    <row r="19" spans="2:15" x14ac:dyDescent="0.25">
      <c r="B19" s="42" t="str">
        <f t="shared" si="1"/>
        <v>AWO_72_PR6/APPLIED-WATER</v>
      </c>
      <c r="C19" t="s">
        <v>2334</v>
      </c>
      <c r="D19" t="s">
        <v>2335</v>
      </c>
      <c r="E19" t="s">
        <v>2368</v>
      </c>
      <c r="F19">
        <v>17</v>
      </c>
      <c r="G19" t="s">
        <v>2369</v>
      </c>
      <c r="H19" t="s">
        <v>0</v>
      </c>
      <c r="I19" t="s">
        <v>445</v>
      </c>
      <c r="J19" t="s">
        <v>18</v>
      </c>
      <c r="L19" t="s">
        <v>3</v>
      </c>
      <c r="M19" t="s">
        <v>4</v>
      </c>
      <c r="N19" s="3" t="str">
        <f t="shared" si="0"/>
        <v>F</v>
      </c>
      <c r="O19" s="3" t="str">
        <f>IF(_xlfn.IFNA(MATCH(B19,Table1[UID],0),"F")="F","F","T")</f>
        <v>T</v>
      </c>
    </row>
    <row r="20" spans="2:15" x14ac:dyDescent="0.25">
      <c r="B20" s="42" t="str">
        <f t="shared" si="1"/>
        <v>AWO_72_XA1/APPLIED-WATER</v>
      </c>
      <c r="C20" t="s">
        <v>2334</v>
      </c>
      <c r="D20" t="s">
        <v>2335</v>
      </c>
      <c r="E20" t="s">
        <v>2370</v>
      </c>
      <c r="F20">
        <v>18</v>
      </c>
      <c r="G20" t="s">
        <v>2371</v>
      </c>
      <c r="H20" t="s">
        <v>0</v>
      </c>
      <c r="I20" t="s">
        <v>446</v>
      </c>
      <c r="J20" t="s">
        <v>18</v>
      </c>
      <c r="L20" t="s">
        <v>3</v>
      </c>
      <c r="M20" t="s">
        <v>4</v>
      </c>
      <c r="N20" s="3" t="str">
        <f t="shared" si="0"/>
        <v>F</v>
      </c>
      <c r="O20" s="3" t="str">
        <f>IF(_xlfn.IFNA(MATCH(B20,Table1[UID],0),"F")="F","F","T")</f>
        <v>T</v>
      </c>
    </row>
    <row r="21" spans="2:15" x14ac:dyDescent="0.25">
      <c r="B21" s="42" t="str">
        <f t="shared" si="1"/>
        <v>AWO_72_XA2/APPLIED-WATER</v>
      </c>
      <c r="C21" t="s">
        <v>2334</v>
      </c>
      <c r="D21" t="s">
        <v>2335</v>
      </c>
      <c r="E21" t="s">
        <v>2372</v>
      </c>
      <c r="F21">
        <v>19</v>
      </c>
      <c r="G21" t="s">
        <v>2373</v>
      </c>
      <c r="H21" t="s">
        <v>0</v>
      </c>
      <c r="I21" t="s">
        <v>447</v>
      </c>
      <c r="J21" t="s">
        <v>18</v>
      </c>
      <c r="L21" t="s">
        <v>3</v>
      </c>
      <c r="M21" t="s">
        <v>4</v>
      </c>
      <c r="N21" s="3" t="str">
        <f t="shared" si="0"/>
        <v>F</v>
      </c>
      <c r="O21" s="3" t="str">
        <f>IF(_xlfn.IFNA(MATCH(B21,Table1[UID],0),"F")="F","F","T")</f>
        <v>T</v>
      </c>
    </row>
    <row r="22" spans="2:15" x14ac:dyDescent="0.25">
      <c r="B22" s="42" t="str">
        <f t="shared" si="1"/>
        <v>AWO_72_XA3/APPLIED-WATER</v>
      </c>
      <c r="C22" t="s">
        <v>2334</v>
      </c>
      <c r="D22" t="s">
        <v>2335</v>
      </c>
      <c r="E22" t="s">
        <v>2374</v>
      </c>
      <c r="F22">
        <v>20</v>
      </c>
      <c r="G22" t="s">
        <v>2375</v>
      </c>
      <c r="H22" t="s">
        <v>0</v>
      </c>
      <c r="I22" t="s">
        <v>448</v>
      </c>
      <c r="J22" t="s">
        <v>18</v>
      </c>
      <c r="L22" t="s">
        <v>3</v>
      </c>
      <c r="M22" t="s">
        <v>4</v>
      </c>
      <c r="N22" s="3" t="str">
        <f t="shared" si="0"/>
        <v>F</v>
      </c>
      <c r="O22" s="3" t="str">
        <f>IF(_xlfn.IFNA(MATCH(B22,Table1[UID],0),"F")="F","F","T")</f>
        <v>T</v>
      </c>
    </row>
    <row r="23" spans="2:15" x14ac:dyDescent="0.25">
      <c r="B23" s="42" t="str">
        <f t="shared" si="1"/>
        <v>AWO_73_PA1/APPLIED-WATER</v>
      </c>
      <c r="C23" t="s">
        <v>2334</v>
      </c>
      <c r="D23" t="s">
        <v>2335</v>
      </c>
      <c r="E23" t="s">
        <v>2376</v>
      </c>
      <c r="F23">
        <v>21</v>
      </c>
      <c r="G23" t="s">
        <v>2377</v>
      </c>
      <c r="H23" t="s">
        <v>0</v>
      </c>
      <c r="I23" t="s">
        <v>450</v>
      </c>
      <c r="J23" t="s">
        <v>18</v>
      </c>
      <c r="L23" t="s">
        <v>3</v>
      </c>
      <c r="M23" t="s">
        <v>4</v>
      </c>
      <c r="N23" s="3" t="str">
        <f t="shared" si="0"/>
        <v>F</v>
      </c>
      <c r="O23" s="3" t="str">
        <f>IF(_xlfn.IFNA(MATCH(B23,Table1[UID],0),"F")="F","F","T")</f>
        <v>T</v>
      </c>
    </row>
    <row r="24" spans="2:15" x14ac:dyDescent="0.25">
      <c r="B24" s="42" t="str">
        <f t="shared" si="1"/>
        <v>AWO_73_PA2/APPLIED-WATER</v>
      </c>
      <c r="C24" t="s">
        <v>2334</v>
      </c>
      <c r="D24" t="s">
        <v>2335</v>
      </c>
      <c r="E24" t="s">
        <v>2378</v>
      </c>
      <c r="F24">
        <v>22</v>
      </c>
      <c r="G24" t="s">
        <v>2379</v>
      </c>
      <c r="H24" t="s">
        <v>0</v>
      </c>
      <c r="I24" t="s">
        <v>451</v>
      </c>
      <c r="J24" t="s">
        <v>18</v>
      </c>
      <c r="L24" t="s">
        <v>3</v>
      </c>
      <c r="M24" t="s">
        <v>4</v>
      </c>
      <c r="N24" s="3" t="str">
        <f t="shared" si="0"/>
        <v>F</v>
      </c>
      <c r="O24" s="3" t="str">
        <f>IF(_xlfn.IFNA(MATCH(B24,Table1[UID],0),"F")="F","F","T")</f>
        <v>T</v>
      </c>
    </row>
    <row r="25" spans="2:15" x14ac:dyDescent="0.25">
      <c r="B25" s="42" t="str">
        <f t="shared" si="1"/>
        <v>AWO_73_PA3/APPLIED-WATER</v>
      </c>
      <c r="C25" t="s">
        <v>2334</v>
      </c>
      <c r="D25" t="s">
        <v>2335</v>
      </c>
      <c r="E25" t="s">
        <v>2380</v>
      </c>
      <c r="F25">
        <v>23</v>
      </c>
      <c r="G25" t="s">
        <v>2381</v>
      </c>
      <c r="H25" t="s">
        <v>0</v>
      </c>
      <c r="I25" t="s">
        <v>452</v>
      </c>
      <c r="J25" t="s">
        <v>18</v>
      </c>
      <c r="L25" t="s">
        <v>3</v>
      </c>
      <c r="M25" t="s">
        <v>4</v>
      </c>
      <c r="N25" s="3" t="str">
        <f t="shared" si="0"/>
        <v>F</v>
      </c>
      <c r="O25" s="3" t="str">
        <f>IF(_xlfn.IFNA(MATCH(B25,Table1[UID],0),"F")="F","F","T")</f>
        <v>T</v>
      </c>
    </row>
    <row r="26" spans="2:15" x14ac:dyDescent="0.25">
      <c r="B26" s="42" t="str">
        <f t="shared" si="1"/>
        <v>AWO_73_XA/APPLIED-WATER</v>
      </c>
      <c r="C26" t="s">
        <v>2334</v>
      </c>
      <c r="D26" t="s">
        <v>2335</v>
      </c>
      <c r="E26" t="s">
        <v>2382</v>
      </c>
      <c r="F26">
        <v>24</v>
      </c>
      <c r="G26" t="s">
        <v>2383</v>
      </c>
      <c r="H26" t="s">
        <v>0</v>
      </c>
      <c r="I26" t="s">
        <v>453</v>
      </c>
      <c r="J26" t="s">
        <v>18</v>
      </c>
      <c r="L26" t="s">
        <v>3</v>
      </c>
      <c r="M26" t="s">
        <v>4</v>
      </c>
      <c r="N26" s="3" t="str">
        <f t="shared" si="0"/>
        <v>F</v>
      </c>
      <c r="O26" s="3" t="str">
        <f>IF(_xlfn.IFNA(MATCH(B26,Table1[UID],0),"F")="F","F","T")</f>
        <v>T</v>
      </c>
    </row>
    <row r="27" spans="2:15" x14ac:dyDescent="0.25">
      <c r="B27" s="42" t="str">
        <f t="shared" si="1"/>
        <v>AWO_90_PA1/APPLIED-WATER</v>
      </c>
      <c r="C27" t="s">
        <v>2334</v>
      </c>
      <c r="D27" t="s">
        <v>2335</v>
      </c>
      <c r="E27" t="s">
        <v>2384</v>
      </c>
      <c r="F27">
        <v>25</v>
      </c>
      <c r="G27" t="s">
        <v>2385</v>
      </c>
      <c r="H27" t="s">
        <v>0</v>
      </c>
      <c r="I27" t="s">
        <v>455</v>
      </c>
      <c r="J27" t="s">
        <v>18</v>
      </c>
      <c r="L27" t="s">
        <v>3</v>
      </c>
      <c r="M27" t="s">
        <v>4</v>
      </c>
      <c r="N27" s="3" t="str">
        <f t="shared" si="0"/>
        <v>F</v>
      </c>
      <c r="O27" s="3" t="str">
        <f>IF(_xlfn.IFNA(MATCH(B27,Table1[UID],0),"F")="F","F","T")</f>
        <v>T</v>
      </c>
    </row>
    <row r="28" spans="2:15" x14ac:dyDescent="0.25">
      <c r="B28" s="42" t="str">
        <f t="shared" si="1"/>
        <v>AWO_90_PA2/APPLIED-WATER</v>
      </c>
      <c r="C28" t="s">
        <v>2334</v>
      </c>
      <c r="D28" t="s">
        <v>2335</v>
      </c>
      <c r="E28" t="s">
        <v>2386</v>
      </c>
      <c r="F28">
        <v>26</v>
      </c>
      <c r="G28" t="s">
        <v>2387</v>
      </c>
      <c r="H28" t="s">
        <v>0</v>
      </c>
      <c r="I28" t="s">
        <v>456</v>
      </c>
      <c r="J28" t="s">
        <v>18</v>
      </c>
      <c r="L28" t="s">
        <v>3</v>
      </c>
      <c r="M28" t="s">
        <v>4</v>
      </c>
      <c r="N28" s="3" t="str">
        <f t="shared" si="0"/>
        <v>F</v>
      </c>
      <c r="O28" s="3" t="str">
        <f>IF(_xlfn.IFNA(MATCH(B28,Table1[UID],0),"F")="F","F","T")</f>
        <v>T</v>
      </c>
    </row>
    <row r="29" spans="2:15" x14ac:dyDescent="0.25">
      <c r="B29" s="42" t="str">
        <f t="shared" si="1"/>
        <v>AWO_91_PA/APPLIED-WATER</v>
      </c>
      <c r="C29" t="s">
        <v>2334</v>
      </c>
      <c r="D29" t="s">
        <v>2335</v>
      </c>
      <c r="E29" t="s">
        <v>2388</v>
      </c>
      <c r="F29">
        <v>27</v>
      </c>
      <c r="G29" t="s">
        <v>2389</v>
      </c>
      <c r="H29" t="s">
        <v>0</v>
      </c>
      <c r="I29" t="s">
        <v>457</v>
      </c>
      <c r="J29" t="s">
        <v>18</v>
      </c>
      <c r="L29" t="s">
        <v>3</v>
      </c>
      <c r="M29" t="s">
        <v>4</v>
      </c>
      <c r="N29" s="3" t="str">
        <f t="shared" si="0"/>
        <v>F</v>
      </c>
      <c r="O29" s="3" t="str">
        <f>IF(_xlfn.IFNA(MATCH(B29,Table1[UID],0),"F")="F","F","T")</f>
        <v>T</v>
      </c>
    </row>
    <row r="30" spans="2:15" x14ac:dyDescent="0.25">
      <c r="B30" s="42" t="str">
        <f t="shared" si="1"/>
        <v>AWO_91_PR/APPLIED-WATER</v>
      </c>
      <c r="C30" t="s">
        <v>2334</v>
      </c>
      <c r="D30" t="s">
        <v>2335</v>
      </c>
      <c r="E30" t="s">
        <v>2390</v>
      </c>
      <c r="F30">
        <v>28</v>
      </c>
      <c r="G30" t="s">
        <v>2391</v>
      </c>
      <c r="H30" t="s">
        <v>0</v>
      </c>
      <c r="I30" t="s">
        <v>458</v>
      </c>
      <c r="J30" t="s">
        <v>18</v>
      </c>
      <c r="L30" t="s">
        <v>3</v>
      </c>
      <c r="M30" t="s">
        <v>4</v>
      </c>
      <c r="N30" s="3" t="str">
        <f t="shared" si="0"/>
        <v>F</v>
      </c>
      <c r="O30" s="3" t="str">
        <f>IF(_xlfn.IFNA(MATCH(B30,Table1[UID],0),"F")="F","F","T")</f>
        <v>T</v>
      </c>
    </row>
    <row r="31" spans="2:15" x14ac:dyDescent="0.25">
      <c r="B31" s="42" t="str">
        <f t="shared" si="1"/>
        <v>AWR_50_PA1/APPLIED-WATER</v>
      </c>
      <c r="C31" t="s">
        <v>2334</v>
      </c>
      <c r="D31" t="s">
        <v>2335</v>
      </c>
      <c r="E31" t="s">
        <v>2392</v>
      </c>
      <c r="F31">
        <v>29</v>
      </c>
      <c r="G31" t="s">
        <v>2393</v>
      </c>
      <c r="H31" t="s">
        <v>0</v>
      </c>
      <c r="I31" t="s">
        <v>540</v>
      </c>
      <c r="J31" t="s">
        <v>18</v>
      </c>
      <c r="L31" t="s">
        <v>3</v>
      </c>
      <c r="M31" t="s">
        <v>4</v>
      </c>
      <c r="N31" s="3" t="str">
        <f t="shared" si="0"/>
        <v>F</v>
      </c>
      <c r="O31" s="3" t="str">
        <f>IF(_xlfn.IFNA(MATCH(B31,Table1[UID],0),"F")="F","F","T")</f>
        <v>T</v>
      </c>
    </row>
    <row r="32" spans="2:15" x14ac:dyDescent="0.25">
      <c r="B32" s="42" t="str">
        <f t="shared" si="1"/>
        <v>AWR_64_XA/APPLIED-WATER</v>
      </c>
      <c r="C32" t="s">
        <v>2334</v>
      </c>
      <c r="D32" t="s">
        <v>2335</v>
      </c>
      <c r="E32" t="s">
        <v>2394</v>
      </c>
      <c r="F32">
        <v>30</v>
      </c>
      <c r="G32" t="s">
        <v>2395</v>
      </c>
      <c r="H32" t="s">
        <v>0</v>
      </c>
      <c r="I32" t="s">
        <v>578</v>
      </c>
      <c r="J32" t="s">
        <v>18</v>
      </c>
      <c r="L32" t="s">
        <v>3</v>
      </c>
      <c r="M32" t="s">
        <v>4</v>
      </c>
      <c r="N32" s="3" t="str">
        <f t="shared" si="0"/>
        <v>F</v>
      </c>
      <c r="O32" s="3" t="str">
        <f>IF(_xlfn.IFNA(MATCH(B32,Table1[UID],0),"F")="F","F","T")</f>
        <v>T</v>
      </c>
    </row>
    <row r="33" spans="2:15" x14ac:dyDescent="0.25">
      <c r="B33" s="42" t="str">
        <f t="shared" si="1"/>
        <v>AWR_71_PA1/APPLIED-WATER</v>
      </c>
      <c r="C33" t="s">
        <v>2334</v>
      </c>
      <c r="D33" t="s">
        <v>2335</v>
      </c>
      <c r="E33" t="s">
        <v>2396</v>
      </c>
      <c r="F33">
        <v>31</v>
      </c>
      <c r="G33" t="s">
        <v>2397</v>
      </c>
      <c r="H33" t="s">
        <v>0</v>
      </c>
      <c r="I33" t="s">
        <v>582</v>
      </c>
      <c r="J33" t="s">
        <v>18</v>
      </c>
      <c r="L33" t="s">
        <v>3</v>
      </c>
      <c r="M33" t="s">
        <v>4</v>
      </c>
      <c r="N33" s="3" t="str">
        <f t="shared" si="0"/>
        <v>F</v>
      </c>
      <c r="O33" s="3" t="str">
        <f>IF(_xlfn.IFNA(MATCH(B33,Table1[UID],0),"F")="F","F","T")</f>
        <v>T</v>
      </c>
    </row>
    <row r="34" spans="2:15" x14ac:dyDescent="0.25">
      <c r="B34" s="42" t="str">
        <f t="shared" si="1"/>
        <v>AWR_71_PA2/APPLIED-WATER</v>
      </c>
      <c r="C34" t="s">
        <v>2334</v>
      </c>
      <c r="D34" t="s">
        <v>2335</v>
      </c>
      <c r="E34" t="s">
        <v>2398</v>
      </c>
      <c r="F34">
        <v>32</v>
      </c>
      <c r="G34" t="s">
        <v>2399</v>
      </c>
      <c r="H34" t="s">
        <v>0</v>
      </c>
      <c r="I34" t="s">
        <v>583</v>
      </c>
      <c r="J34" t="s">
        <v>18</v>
      </c>
      <c r="L34" t="s">
        <v>3</v>
      </c>
      <c r="M34" t="s">
        <v>4</v>
      </c>
      <c r="N34" s="3" t="str">
        <f t="shared" si="0"/>
        <v>F</v>
      </c>
      <c r="O34" s="3" t="str">
        <f>IF(_xlfn.IFNA(MATCH(B34,Table1[UID],0),"F")="F","F","T")</f>
        <v>T</v>
      </c>
    </row>
    <row r="35" spans="2:15" x14ac:dyDescent="0.25">
      <c r="B35" s="42" t="str">
        <f t="shared" si="1"/>
        <v>AWR_71_PA3/APPLIED-WATER</v>
      </c>
      <c r="C35" t="s">
        <v>2334</v>
      </c>
      <c r="D35" t="s">
        <v>2335</v>
      </c>
      <c r="E35" t="s">
        <v>2400</v>
      </c>
      <c r="F35">
        <v>33</v>
      </c>
      <c r="G35" t="s">
        <v>2401</v>
      </c>
      <c r="H35" t="s">
        <v>0</v>
      </c>
      <c r="I35" t="s">
        <v>584</v>
      </c>
      <c r="J35" t="s">
        <v>18</v>
      </c>
      <c r="L35" t="s">
        <v>3</v>
      </c>
      <c r="M35" t="s">
        <v>4</v>
      </c>
      <c r="N35" s="3" t="str">
        <f t="shared" si="0"/>
        <v>F</v>
      </c>
      <c r="O35" s="3" t="str">
        <f>IF(_xlfn.IFNA(MATCH(B35,Table1[UID],0),"F")="F","F","T")</f>
        <v>T</v>
      </c>
    </row>
    <row r="36" spans="2:15" x14ac:dyDescent="0.25">
      <c r="B36" s="42" t="str">
        <f t="shared" si="1"/>
        <v>AWR_71_PA4/APPLIED-WATER</v>
      </c>
      <c r="C36" t="s">
        <v>2334</v>
      </c>
      <c r="D36" t="s">
        <v>2335</v>
      </c>
      <c r="E36" t="s">
        <v>2402</v>
      </c>
      <c r="F36">
        <v>34</v>
      </c>
      <c r="G36" t="s">
        <v>2403</v>
      </c>
      <c r="H36" t="s">
        <v>0</v>
      </c>
      <c r="I36" t="s">
        <v>585</v>
      </c>
      <c r="J36" t="s">
        <v>18</v>
      </c>
      <c r="L36" t="s">
        <v>3</v>
      </c>
      <c r="M36" t="s">
        <v>4</v>
      </c>
      <c r="N36" s="3" t="str">
        <f t="shared" si="0"/>
        <v>F</v>
      </c>
      <c r="O36" s="3" t="str">
        <f>IF(_xlfn.IFNA(MATCH(B36,Table1[UID],0),"F")="F","F","T")</f>
        <v>T</v>
      </c>
    </row>
    <row r="37" spans="2:15" x14ac:dyDescent="0.25">
      <c r="B37" s="42" t="str">
        <f t="shared" si="1"/>
        <v>AWR_71_PA5/APPLIED-WATER</v>
      </c>
      <c r="C37" t="s">
        <v>2334</v>
      </c>
      <c r="D37" t="s">
        <v>2335</v>
      </c>
      <c r="E37" t="s">
        <v>2404</v>
      </c>
      <c r="F37">
        <v>35</v>
      </c>
      <c r="G37" t="s">
        <v>2405</v>
      </c>
      <c r="H37" t="s">
        <v>0</v>
      </c>
      <c r="I37" t="s">
        <v>586</v>
      </c>
      <c r="J37" t="s">
        <v>18</v>
      </c>
      <c r="L37" t="s">
        <v>3</v>
      </c>
      <c r="M37" t="s">
        <v>4</v>
      </c>
      <c r="N37" s="3" t="str">
        <f t="shared" si="0"/>
        <v>F</v>
      </c>
      <c r="O37" s="3" t="str">
        <f>IF(_xlfn.IFNA(MATCH(B37,Table1[UID],0),"F")="F","F","T")</f>
        <v>T</v>
      </c>
    </row>
    <row r="38" spans="2:15" x14ac:dyDescent="0.25">
      <c r="B38" s="42" t="str">
        <f t="shared" si="1"/>
        <v>AWR_71_PA6/APPLIED-WATER</v>
      </c>
      <c r="C38" t="s">
        <v>2334</v>
      </c>
      <c r="D38" t="s">
        <v>2335</v>
      </c>
      <c r="E38" t="s">
        <v>2406</v>
      </c>
      <c r="F38">
        <v>36</v>
      </c>
      <c r="G38" t="s">
        <v>2407</v>
      </c>
      <c r="H38" t="s">
        <v>0</v>
      </c>
      <c r="I38" t="s">
        <v>587</v>
      </c>
      <c r="J38" t="s">
        <v>18</v>
      </c>
      <c r="L38" t="s">
        <v>3</v>
      </c>
      <c r="M38" t="s">
        <v>4</v>
      </c>
      <c r="N38" s="3" t="str">
        <f t="shared" si="0"/>
        <v>F</v>
      </c>
      <c r="O38" s="3" t="str">
        <f>IF(_xlfn.IFNA(MATCH(B38,Table1[UID],0),"F")="F","F","T")</f>
        <v>T</v>
      </c>
    </row>
    <row r="39" spans="2:15" x14ac:dyDescent="0.25">
      <c r="B39" s="42" t="str">
        <f t="shared" si="1"/>
        <v>AWR_71_PA7/APPLIED-WATER</v>
      </c>
      <c r="C39" t="s">
        <v>2334</v>
      </c>
      <c r="D39" t="s">
        <v>2335</v>
      </c>
      <c r="E39" t="s">
        <v>2408</v>
      </c>
      <c r="F39">
        <v>37</v>
      </c>
      <c r="G39" t="s">
        <v>2409</v>
      </c>
      <c r="H39" t="s">
        <v>0</v>
      </c>
      <c r="I39" t="s">
        <v>588</v>
      </c>
      <c r="J39" t="s">
        <v>18</v>
      </c>
      <c r="L39" t="s">
        <v>3</v>
      </c>
      <c r="M39" t="s">
        <v>4</v>
      </c>
      <c r="N39" s="3" t="str">
        <f t="shared" si="0"/>
        <v>F</v>
      </c>
      <c r="O39" s="3" t="str">
        <f>IF(_xlfn.IFNA(MATCH(B39,Table1[UID],0),"F")="F","F","T")</f>
        <v>T</v>
      </c>
    </row>
    <row r="40" spans="2:15" x14ac:dyDescent="0.25">
      <c r="B40" s="42" t="str">
        <f t="shared" si="1"/>
        <v>AWR_71_PA8/APPLIED-WATER</v>
      </c>
      <c r="C40" t="s">
        <v>2334</v>
      </c>
      <c r="D40" t="s">
        <v>2335</v>
      </c>
      <c r="E40" t="s">
        <v>2410</v>
      </c>
      <c r="F40">
        <v>38</v>
      </c>
      <c r="G40" t="s">
        <v>2411</v>
      </c>
      <c r="H40" t="s">
        <v>0</v>
      </c>
      <c r="I40" t="s">
        <v>589</v>
      </c>
      <c r="J40" t="s">
        <v>18</v>
      </c>
      <c r="L40" t="s">
        <v>3</v>
      </c>
      <c r="M40" t="s">
        <v>4</v>
      </c>
      <c r="N40" s="3" t="str">
        <f t="shared" si="0"/>
        <v>F</v>
      </c>
      <c r="O40" s="3" t="str">
        <f>IF(_xlfn.IFNA(MATCH(B40,Table1[UID],0),"F")="F","F","T")</f>
        <v>T</v>
      </c>
    </row>
    <row r="41" spans="2:15" x14ac:dyDescent="0.25">
      <c r="B41" s="42" t="str">
        <f t="shared" si="1"/>
        <v>AWR_72_PA/APPLIED-WATER</v>
      </c>
      <c r="C41" t="s">
        <v>2334</v>
      </c>
      <c r="D41" t="s">
        <v>2335</v>
      </c>
      <c r="E41" t="s">
        <v>2412</v>
      </c>
      <c r="F41">
        <v>39</v>
      </c>
      <c r="G41" t="s">
        <v>2413</v>
      </c>
      <c r="H41" t="s">
        <v>0</v>
      </c>
      <c r="I41" t="s">
        <v>592</v>
      </c>
      <c r="J41" t="s">
        <v>18</v>
      </c>
      <c r="L41" t="s">
        <v>3</v>
      </c>
      <c r="M41" t="s">
        <v>4</v>
      </c>
      <c r="N41" s="3" t="str">
        <f t="shared" si="0"/>
        <v>F</v>
      </c>
      <c r="O41" s="3" t="str">
        <f>IF(_xlfn.IFNA(MATCH(B41,Table1[UID],0),"F")="F","F","T")</f>
        <v>T</v>
      </c>
    </row>
    <row r="42" spans="2:15" x14ac:dyDescent="0.25">
      <c r="B42" s="42" t="str">
        <f t="shared" si="1"/>
        <v>AWR_72_PR1/APPLIED-WATER</v>
      </c>
      <c r="C42" t="s">
        <v>2334</v>
      </c>
      <c r="D42" t="s">
        <v>2335</v>
      </c>
      <c r="E42" t="s">
        <v>2414</v>
      </c>
      <c r="F42">
        <v>40</v>
      </c>
      <c r="G42" t="s">
        <v>2415</v>
      </c>
      <c r="H42" t="s">
        <v>0</v>
      </c>
      <c r="I42" t="s">
        <v>593</v>
      </c>
      <c r="J42" t="s">
        <v>18</v>
      </c>
      <c r="L42" t="s">
        <v>3</v>
      </c>
      <c r="M42" t="s">
        <v>4</v>
      </c>
      <c r="N42" s="3" t="str">
        <f t="shared" si="0"/>
        <v>F</v>
      </c>
      <c r="O42" s="3" t="str">
        <f>IF(_xlfn.IFNA(MATCH(B42,Table1[UID],0),"F")="F","F","T")</f>
        <v>T</v>
      </c>
    </row>
    <row r="43" spans="2:15" x14ac:dyDescent="0.25">
      <c r="B43" s="42" t="str">
        <f t="shared" si="1"/>
        <v>AWR_72_PR2/APPLIED-WATER</v>
      </c>
      <c r="C43" t="s">
        <v>2334</v>
      </c>
      <c r="D43" t="s">
        <v>2335</v>
      </c>
      <c r="E43" t="s">
        <v>2416</v>
      </c>
      <c r="F43">
        <v>41</v>
      </c>
      <c r="G43" t="s">
        <v>2417</v>
      </c>
      <c r="H43" t="s">
        <v>0</v>
      </c>
      <c r="I43" t="s">
        <v>594</v>
      </c>
      <c r="J43" t="s">
        <v>18</v>
      </c>
      <c r="L43" t="s">
        <v>3</v>
      </c>
      <c r="M43" t="s">
        <v>4</v>
      </c>
      <c r="N43" s="3" t="str">
        <f t="shared" si="0"/>
        <v>F</v>
      </c>
      <c r="O43" s="3" t="str">
        <f>IF(_xlfn.IFNA(MATCH(B43,Table1[UID],0),"F")="F","F","T")</f>
        <v>T</v>
      </c>
    </row>
    <row r="44" spans="2:15" x14ac:dyDescent="0.25">
      <c r="B44" s="42" t="str">
        <f t="shared" si="1"/>
        <v>AWR_72_PR3/APPLIED-WATER</v>
      </c>
      <c r="C44" t="s">
        <v>2334</v>
      </c>
      <c r="D44" t="s">
        <v>2335</v>
      </c>
      <c r="E44" t="s">
        <v>2418</v>
      </c>
      <c r="F44">
        <v>42</v>
      </c>
      <c r="G44" t="s">
        <v>2419</v>
      </c>
      <c r="H44" t="s">
        <v>0</v>
      </c>
      <c r="I44" t="s">
        <v>595</v>
      </c>
      <c r="J44" t="s">
        <v>18</v>
      </c>
      <c r="L44" t="s">
        <v>3</v>
      </c>
      <c r="M44" t="s">
        <v>4</v>
      </c>
      <c r="N44" s="3" t="str">
        <f t="shared" si="0"/>
        <v>F</v>
      </c>
      <c r="O44" s="3" t="str">
        <f>IF(_xlfn.IFNA(MATCH(B44,Table1[UID],0),"F")="F","F","T")</f>
        <v>T</v>
      </c>
    </row>
    <row r="45" spans="2:15" x14ac:dyDescent="0.25">
      <c r="B45" s="42" t="str">
        <f t="shared" si="1"/>
        <v>AWR_72_PR4/APPLIED-WATER</v>
      </c>
      <c r="C45" t="s">
        <v>2334</v>
      </c>
      <c r="D45" t="s">
        <v>2335</v>
      </c>
      <c r="E45" t="s">
        <v>2420</v>
      </c>
      <c r="F45">
        <v>43</v>
      </c>
      <c r="G45" t="s">
        <v>2421</v>
      </c>
      <c r="H45" t="s">
        <v>0</v>
      </c>
      <c r="I45" t="s">
        <v>596</v>
      </c>
      <c r="J45" t="s">
        <v>18</v>
      </c>
      <c r="L45" t="s">
        <v>3</v>
      </c>
      <c r="M45" t="s">
        <v>4</v>
      </c>
      <c r="N45" s="3" t="str">
        <f t="shared" si="0"/>
        <v>F</v>
      </c>
      <c r="O45" s="3" t="str">
        <f>IF(_xlfn.IFNA(MATCH(B45,Table1[UID],0),"F")="F","F","T")</f>
        <v>T</v>
      </c>
    </row>
    <row r="46" spans="2:15" x14ac:dyDescent="0.25">
      <c r="B46" s="42" t="str">
        <f t="shared" si="1"/>
        <v>AWR_72_PR5/APPLIED-WATER</v>
      </c>
      <c r="C46" t="s">
        <v>2334</v>
      </c>
      <c r="D46" t="s">
        <v>2335</v>
      </c>
      <c r="E46" t="s">
        <v>2422</v>
      </c>
      <c r="F46">
        <v>44</v>
      </c>
      <c r="G46" t="s">
        <v>2423</v>
      </c>
      <c r="H46" t="s">
        <v>0</v>
      </c>
      <c r="I46" t="s">
        <v>597</v>
      </c>
      <c r="J46" t="s">
        <v>18</v>
      </c>
      <c r="L46" t="s">
        <v>3</v>
      </c>
      <c r="M46" t="s">
        <v>4</v>
      </c>
      <c r="N46" s="3" t="str">
        <f t="shared" si="0"/>
        <v>F</v>
      </c>
      <c r="O46" s="3" t="str">
        <f>IF(_xlfn.IFNA(MATCH(B46,Table1[UID],0),"F")="F","F","T")</f>
        <v>T</v>
      </c>
    </row>
    <row r="47" spans="2:15" x14ac:dyDescent="0.25">
      <c r="B47" s="42" t="str">
        <f t="shared" si="1"/>
        <v>AWR_72_PR6/APPLIED-WATER</v>
      </c>
      <c r="C47" t="s">
        <v>2334</v>
      </c>
      <c r="D47" t="s">
        <v>2335</v>
      </c>
      <c r="E47" t="s">
        <v>2424</v>
      </c>
      <c r="F47">
        <v>45</v>
      </c>
      <c r="G47" t="s">
        <v>2425</v>
      </c>
      <c r="H47" t="s">
        <v>0</v>
      </c>
      <c r="I47" t="s">
        <v>598</v>
      </c>
      <c r="J47" t="s">
        <v>18</v>
      </c>
      <c r="L47" t="s">
        <v>3</v>
      </c>
      <c r="M47" t="s">
        <v>4</v>
      </c>
      <c r="N47" s="3" t="str">
        <f t="shared" si="0"/>
        <v>F</v>
      </c>
      <c r="O47" s="3" t="str">
        <f>IF(_xlfn.IFNA(MATCH(B47,Table1[UID],0),"F")="F","F","T")</f>
        <v>T</v>
      </c>
    </row>
    <row r="48" spans="2:15" x14ac:dyDescent="0.25">
      <c r="B48" s="42" t="str">
        <f t="shared" si="1"/>
        <v>AWR_72_XA1/APPLIED-WATER</v>
      </c>
      <c r="C48" t="s">
        <v>2334</v>
      </c>
      <c r="D48" t="s">
        <v>2335</v>
      </c>
      <c r="E48" t="s">
        <v>2426</v>
      </c>
      <c r="F48">
        <v>46</v>
      </c>
      <c r="G48" t="s">
        <v>2427</v>
      </c>
      <c r="H48" t="s">
        <v>0</v>
      </c>
      <c r="I48" t="s">
        <v>599</v>
      </c>
      <c r="J48" t="s">
        <v>18</v>
      </c>
      <c r="L48" t="s">
        <v>3</v>
      </c>
      <c r="M48" t="s">
        <v>4</v>
      </c>
      <c r="N48" s="3" t="str">
        <f t="shared" si="0"/>
        <v>F</v>
      </c>
      <c r="O48" s="3" t="str">
        <f>IF(_xlfn.IFNA(MATCH(B48,Table1[UID],0),"F")="F","F","T")</f>
        <v>T</v>
      </c>
    </row>
    <row r="49" spans="2:15" x14ac:dyDescent="0.25">
      <c r="B49" s="42" t="str">
        <f t="shared" si="1"/>
        <v>AWR_72_XA2/APPLIED-WATER</v>
      </c>
      <c r="C49" t="s">
        <v>2334</v>
      </c>
      <c r="D49" t="s">
        <v>2335</v>
      </c>
      <c r="E49" t="s">
        <v>2428</v>
      </c>
      <c r="F49">
        <v>47</v>
      </c>
      <c r="G49" t="s">
        <v>2429</v>
      </c>
      <c r="H49" t="s">
        <v>0</v>
      </c>
      <c r="I49" t="s">
        <v>600</v>
      </c>
      <c r="J49" t="s">
        <v>18</v>
      </c>
      <c r="L49" t="s">
        <v>3</v>
      </c>
      <c r="M49" t="s">
        <v>4</v>
      </c>
      <c r="N49" s="3" t="str">
        <f t="shared" si="0"/>
        <v>F</v>
      </c>
      <c r="O49" s="3" t="str">
        <f>IF(_xlfn.IFNA(MATCH(B49,Table1[UID],0),"F")="F","F","T")</f>
        <v>T</v>
      </c>
    </row>
    <row r="50" spans="2:15" x14ac:dyDescent="0.25">
      <c r="B50" s="42" t="str">
        <f t="shared" si="1"/>
        <v>AWR_72_XA3/APPLIED-WATER</v>
      </c>
      <c r="C50" t="s">
        <v>2334</v>
      </c>
      <c r="D50" t="s">
        <v>2335</v>
      </c>
      <c r="E50" t="s">
        <v>2430</v>
      </c>
      <c r="F50">
        <v>48</v>
      </c>
      <c r="G50" t="s">
        <v>2431</v>
      </c>
      <c r="H50" t="s">
        <v>0</v>
      </c>
      <c r="I50" t="s">
        <v>601</v>
      </c>
      <c r="J50" t="s">
        <v>18</v>
      </c>
      <c r="L50" t="s">
        <v>3</v>
      </c>
      <c r="M50" t="s">
        <v>4</v>
      </c>
      <c r="N50" s="3" t="str">
        <f t="shared" si="0"/>
        <v>F</v>
      </c>
      <c r="O50" s="3" t="str">
        <f>IF(_xlfn.IFNA(MATCH(B50,Table1[UID],0),"F")="F","F","T")</f>
        <v>T</v>
      </c>
    </row>
    <row r="51" spans="2:15" x14ac:dyDescent="0.25">
      <c r="B51" s="42" t="str">
        <f t="shared" si="1"/>
        <v>AWR_73_PA1/APPLIED-WATER</v>
      </c>
      <c r="C51" t="s">
        <v>2334</v>
      </c>
      <c r="D51" t="s">
        <v>2335</v>
      </c>
      <c r="E51" t="s">
        <v>2432</v>
      </c>
      <c r="F51">
        <v>49</v>
      </c>
      <c r="G51" t="s">
        <v>2433</v>
      </c>
      <c r="H51" t="s">
        <v>0</v>
      </c>
      <c r="I51" t="s">
        <v>603</v>
      </c>
      <c r="J51" t="s">
        <v>18</v>
      </c>
      <c r="L51" t="s">
        <v>3</v>
      </c>
      <c r="M51" t="s">
        <v>4</v>
      </c>
      <c r="N51" s="3" t="str">
        <f t="shared" si="0"/>
        <v>F</v>
      </c>
      <c r="O51" s="3" t="str">
        <f>IF(_xlfn.IFNA(MATCH(B51,Table1[UID],0),"F")="F","F","T")</f>
        <v>T</v>
      </c>
    </row>
    <row r="52" spans="2:15" x14ac:dyDescent="0.25">
      <c r="B52" s="42" t="str">
        <f t="shared" si="1"/>
        <v>AWR_73_PA2/APPLIED-WATER</v>
      </c>
      <c r="C52" t="s">
        <v>2334</v>
      </c>
      <c r="D52" t="s">
        <v>2335</v>
      </c>
      <c r="E52" t="s">
        <v>2434</v>
      </c>
      <c r="F52">
        <v>50</v>
      </c>
      <c r="G52" t="s">
        <v>2435</v>
      </c>
      <c r="H52" t="s">
        <v>0</v>
      </c>
      <c r="I52" t="s">
        <v>604</v>
      </c>
      <c r="J52" t="s">
        <v>18</v>
      </c>
      <c r="L52" t="s">
        <v>3</v>
      </c>
      <c r="M52" t="s">
        <v>4</v>
      </c>
      <c r="N52" s="3" t="str">
        <f t="shared" si="0"/>
        <v>F</v>
      </c>
      <c r="O52" s="3" t="str">
        <f>IF(_xlfn.IFNA(MATCH(B52,Table1[UID],0),"F")="F","F","T")</f>
        <v>T</v>
      </c>
    </row>
    <row r="53" spans="2:15" x14ac:dyDescent="0.25">
      <c r="B53" s="42" t="str">
        <f t="shared" si="1"/>
        <v>AWR_73_PA3/APPLIED-WATER</v>
      </c>
      <c r="C53" t="s">
        <v>2334</v>
      </c>
      <c r="D53" t="s">
        <v>2335</v>
      </c>
      <c r="E53" t="s">
        <v>2436</v>
      </c>
      <c r="F53">
        <v>51</v>
      </c>
      <c r="G53" t="s">
        <v>2437</v>
      </c>
      <c r="H53" t="s">
        <v>0</v>
      </c>
      <c r="I53" t="s">
        <v>605</v>
      </c>
      <c r="J53" t="s">
        <v>18</v>
      </c>
      <c r="L53" t="s">
        <v>3</v>
      </c>
      <c r="M53" t="s">
        <v>4</v>
      </c>
      <c r="N53" s="3" t="str">
        <f t="shared" si="0"/>
        <v>F</v>
      </c>
      <c r="O53" s="3" t="str">
        <f>IF(_xlfn.IFNA(MATCH(B53,Table1[UID],0),"F")="F","F","T")</f>
        <v>T</v>
      </c>
    </row>
    <row r="54" spans="2:15" x14ac:dyDescent="0.25">
      <c r="B54" s="42" t="str">
        <f t="shared" si="1"/>
        <v>AWR_73_XA/APPLIED-WATER</v>
      </c>
      <c r="C54" t="s">
        <v>2334</v>
      </c>
      <c r="D54" t="s">
        <v>2335</v>
      </c>
      <c r="E54" t="s">
        <v>2438</v>
      </c>
      <c r="F54">
        <v>52</v>
      </c>
      <c r="G54" t="s">
        <v>2439</v>
      </c>
      <c r="H54" t="s">
        <v>0</v>
      </c>
      <c r="I54" t="s">
        <v>606</v>
      </c>
      <c r="J54" t="s">
        <v>18</v>
      </c>
      <c r="L54" t="s">
        <v>3</v>
      </c>
      <c r="M54" t="s">
        <v>4</v>
      </c>
      <c r="N54" s="3" t="str">
        <f t="shared" si="0"/>
        <v>F</v>
      </c>
      <c r="O54" s="3" t="str">
        <f>IF(_xlfn.IFNA(MATCH(B54,Table1[UID],0),"F")="F","F","T")</f>
        <v>T</v>
      </c>
    </row>
    <row r="55" spans="2:15" x14ac:dyDescent="0.25">
      <c r="B55" s="42" t="str">
        <f t="shared" si="1"/>
        <v>AWR_90_PA1/APPLIED-WATER</v>
      </c>
      <c r="C55" t="s">
        <v>2334</v>
      </c>
      <c r="D55" t="s">
        <v>2335</v>
      </c>
      <c r="E55" t="s">
        <v>2440</v>
      </c>
      <c r="F55">
        <v>53</v>
      </c>
      <c r="G55" t="s">
        <v>2441</v>
      </c>
      <c r="H55" t="s">
        <v>0</v>
      </c>
      <c r="I55" t="s">
        <v>608</v>
      </c>
      <c r="J55" t="s">
        <v>18</v>
      </c>
      <c r="L55" t="s">
        <v>3</v>
      </c>
      <c r="M55" t="s">
        <v>4</v>
      </c>
      <c r="N55" s="3" t="str">
        <f t="shared" si="0"/>
        <v>F</v>
      </c>
      <c r="O55" s="3" t="str">
        <f>IF(_xlfn.IFNA(MATCH(B55,Table1[UID],0),"F")="F","F","T")</f>
        <v>T</v>
      </c>
    </row>
    <row r="56" spans="2:15" x14ac:dyDescent="0.25">
      <c r="B56" s="42" t="str">
        <f t="shared" si="1"/>
        <v>AWR_90_PA2/APPLIED-WATER</v>
      </c>
      <c r="C56" t="s">
        <v>2334</v>
      </c>
      <c r="D56" t="s">
        <v>2335</v>
      </c>
      <c r="E56" t="s">
        <v>2442</v>
      </c>
      <c r="F56">
        <v>54</v>
      </c>
      <c r="G56" t="s">
        <v>2443</v>
      </c>
      <c r="H56" t="s">
        <v>0</v>
      </c>
      <c r="I56" t="s">
        <v>609</v>
      </c>
      <c r="J56" t="s">
        <v>18</v>
      </c>
      <c r="L56" t="s">
        <v>3</v>
      </c>
      <c r="M56" t="s">
        <v>4</v>
      </c>
      <c r="N56" s="3" t="str">
        <f t="shared" si="0"/>
        <v>F</v>
      </c>
      <c r="O56" s="3" t="str">
        <f>IF(_xlfn.IFNA(MATCH(B56,Table1[UID],0),"F")="F","F","T")</f>
        <v>T</v>
      </c>
    </row>
    <row r="57" spans="2:15" x14ac:dyDescent="0.25">
      <c r="B57" s="42" t="str">
        <f t="shared" si="1"/>
        <v>AWR_91_PA/APPLIED-WATER</v>
      </c>
      <c r="C57" t="s">
        <v>2334</v>
      </c>
      <c r="D57" t="s">
        <v>2335</v>
      </c>
      <c r="E57" t="s">
        <v>2444</v>
      </c>
      <c r="F57">
        <v>55</v>
      </c>
      <c r="G57" t="s">
        <v>2445</v>
      </c>
      <c r="H57" t="s">
        <v>0</v>
      </c>
      <c r="I57" t="s">
        <v>610</v>
      </c>
      <c r="J57" t="s">
        <v>18</v>
      </c>
      <c r="L57" t="s">
        <v>3</v>
      </c>
      <c r="M57" t="s">
        <v>4</v>
      </c>
      <c r="N57" s="3" t="str">
        <f t="shared" si="0"/>
        <v>F</v>
      </c>
      <c r="O57" s="3" t="str">
        <f>IF(_xlfn.IFNA(MATCH(B57,Table1[UID],0),"F")="F","F","T")</f>
        <v>T</v>
      </c>
    </row>
    <row r="58" spans="2:15" x14ac:dyDescent="0.25">
      <c r="B58" s="42" t="str">
        <f t="shared" si="1"/>
        <v>AWR_91_PR/APPLIED-WATER</v>
      </c>
      <c r="C58" t="s">
        <v>2334</v>
      </c>
      <c r="D58" t="s">
        <v>2335</v>
      </c>
      <c r="E58" t="s">
        <v>2446</v>
      </c>
      <c r="F58">
        <v>56</v>
      </c>
      <c r="G58" t="s">
        <v>2447</v>
      </c>
      <c r="H58" t="s">
        <v>0</v>
      </c>
      <c r="I58" t="s">
        <v>611</v>
      </c>
      <c r="J58" t="s">
        <v>18</v>
      </c>
      <c r="L58" t="s">
        <v>3</v>
      </c>
      <c r="M58" t="s">
        <v>4</v>
      </c>
      <c r="N58" s="3" t="str">
        <f t="shared" si="0"/>
        <v>F</v>
      </c>
      <c r="O58" s="3" t="str">
        <f>IF(_xlfn.IFNA(MATCH(B58,Table1[UID],0),"F")="F","F","T")</f>
        <v>T</v>
      </c>
    </row>
    <row r="59" spans="2:15" x14ac:dyDescent="0.25">
      <c r="B59" s="42" t="str">
        <f t="shared" si="1"/>
        <v>AWW_72_PR1/APPLIED-WATER</v>
      </c>
      <c r="C59" t="s">
        <v>2334</v>
      </c>
      <c r="D59" t="s">
        <v>2335</v>
      </c>
      <c r="E59" t="s">
        <v>2448</v>
      </c>
      <c r="F59">
        <v>57</v>
      </c>
      <c r="G59" t="s">
        <v>2449</v>
      </c>
      <c r="H59" t="s">
        <v>0</v>
      </c>
      <c r="I59" t="s">
        <v>640</v>
      </c>
      <c r="J59" t="s">
        <v>18</v>
      </c>
      <c r="L59" t="s">
        <v>3</v>
      </c>
      <c r="M59" t="s">
        <v>4</v>
      </c>
      <c r="N59" s="3" t="str">
        <f t="shared" si="0"/>
        <v>F</v>
      </c>
      <c r="O59" s="3" t="str">
        <f>IF(_xlfn.IFNA(MATCH(B59,Table1[UID],0),"F")="F","F","T")</f>
        <v>T</v>
      </c>
    </row>
    <row r="60" spans="2:15" x14ac:dyDescent="0.25">
      <c r="B60" s="42" t="str">
        <f t="shared" si="1"/>
        <v>AWW_72_PR2/APPLIED-WATER</v>
      </c>
      <c r="C60" t="s">
        <v>2334</v>
      </c>
      <c r="D60" t="s">
        <v>2335</v>
      </c>
      <c r="E60" t="s">
        <v>2450</v>
      </c>
      <c r="F60">
        <v>58</v>
      </c>
      <c r="G60" t="s">
        <v>2451</v>
      </c>
      <c r="H60" t="s">
        <v>0</v>
      </c>
      <c r="I60" t="s">
        <v>641</v>
      </c>
      <c r="J60" t="s">
        <v>18</v>
      </c>
      <c r="L60" t="s">
        <v>3</v>
      </c>
      <c r="M60" t="s">
        <v>4</v>
      </c>
      <c r="N60" s="3" t="str">
        <f t="shared" si="0"/>
        <v>F</v>
      </c>
      <c r="O60" s="3" t="str">
        <f>IF(_xlfn.IFNA(MATCH(B60,Table1[UID],0),"F")="F","F","T")</f>
        <v>T</v>
      </c>
    </row>
    <row r="61" spans="2:15" x14ac:dyDescent="0.25">
      <c r="B61" s="42" t="str">
        <f t="shared" si="1"/>
        <v>AWW_72_PR3/APPLIED-WATER</v>
      </c>
      <c r="C61" t="s">
        <v>2334</v>
      </c>
      <c r="D61" t="s">
        <v>2335</v>
      </c>
      <c r="E61" t="s">
        <v>2452</v>
      </c>
      <c r="F61">
        <v>59</v>
      </c>
      <c r="G61" t="s">
        <v>2453</v>
      </c>
      <c r="H61" t="s">
        <v>0</v>
      </c>
      <c r="I61" t="s">
        <v>642</v>
      </c>
      <c r="J61" t="s">
        <v>18</v>
      </c>
      <c r="L61" t="s">
        <v>3</v>
      </c>
      <c r="M61" t="s">
        <v>4</v>
      </c>
      <c r="N61" s="3" t="str">
        <f t="shared" si="0"/>
        <v>F</v>
      </c>
      <c r="O61" s="3" t="str">
        <f>IF(_xlfn.IFNA(MATCH(B61,Table1[UID],0),"F")="F","F","T")</f>
        <v>T</v>
      </c>
    </row>
    <row r="62" spans="2:15" x14ac:dyDescent="0.25">
      <c r="B62" s="42" t="str">
        <f t="shared" si="1"/>
        <v>AWW_72_PR4/APPLIED-WATER</v>
      </c>
      <c r="C62" t="s">
        <v>2334</v>
      </c>
      <c r="D62" t="s">
        <v>2335</v>
      </c>
      <c r="E62" t="s">
        <v>2454</v>
      </c>
      <c r="F62">
        <v>60</v>
      </c>
      <c r="G62" t="s">
        <v>2455</v>
      </c>
      <c r="H62" t="s">
        <v>0</v>
      </c>
      <c r="I62" t="s">
        <v>643</v>
      </c>
      <c r="J62" t="s">
        <v>18</v>
      </c>
      <c r="L62" t="s">
        <v>3</v>
      </c>
      <c r="M62" t="s">
        <v>4</v>
      </c>
      <c r="N62" s="3" t="str">
        <f t="shared" si="0"/>
        <v>F</v>
      </c>
      <c r="O62" s="3" t="str">
        <f>IF(_xlfn.IFNA(MATCH(B62,Table1[UID],0),"F")="F","F","T")</f>
        <v>T</v>
      </c>
    </row>
    <row r="63" spans="2:15" x14ac:dyDescent="0.25">
      <c r="B63" s="42" t="str">
        <f t="shared" si="1"/>
        <v>AWW_72_PR5/APPLIED-WATER</v>
      </c>
      <c r="C63" t="s">
        <v>2334</v>
      </c>
      <c r="D63" t="s">
        <v>2335</v>
      </c>
      <c r="E63" t="s">
        <v>2456</v>
      </c>
      <c r="F63">
        <v>61</v>
      </c>
      <c r="G63" t="s">
        <v>2457</v>
      </c>
      <c r="H63" t="s">
        <v>0</v>
      </c>
      <c r="I63" t="s">
        <v>644</v>
      </c>
      <c r="J63" t="s">
        <v>18</v>
      </c>
      <c r="L63" t="s">
        <v>3</v>
      </c>
      <c r="M63" t="s">
        <v>4</v>
      </c>
      <c r="N63" s="3" t="str">
        <f t="shared" si="0"/>
        <v>F</v>
      </c>
      <c r="O63" s="3" t="str">
        <f>IF(_xlfn.IFNA(MATCH(B63,Table1[UID],0),"F")="F","F","T")</f>
        <v>T</v>
      </c>
    </row>
    <row r="64" spans="2:15" x14ac:dyDescent="0.25">
      <c r="B64" s="42" t="str">
        <f t="shared" si="1"/>
        <v>AWW_72_PR6/APPLIED-WATER</v>
      </c>
      <c r="C64" t="s">
        <v>2334</v>
      </c>
      <c r="D64" t="s">
        <v>2335</v>
      </c>
      <c r="E64" t="s">
        <v>2458</v>
      </c>
      <c r="F64">
        <v>62</v>
      </c>
      <c r="G64" t="s">
        <v>2459</v>
      </c>
      <c r="H64" t="s">
        <v>0</v>
      </c>
      <c r="I64" t="s">
        <v>645</v>
      </c>
      <c r="J64" t="s">
        <v>18</v>
      </c>
      <c r="L64" t="s">
        <v>3</v>
      </c>
      <c r="M64" t="s">
        <v>4</v>
      </c>
      <c r="N64" s="3" t="str">
        <f t="shared" si="0"/>
        <v>F</v>
      </c>
      <c r="O64" s="3" t="str">
        <f>IF(_xlfn.IFNA(MATCH(B64,Table1[UID],0),"F")="F","F","T")</f>
        <v>T</v>
      </c>
    </row>
    <row r="65" spans="2:15" x14ac:dyDescent="0.25">
      <c r="B65" s="42" t="str">
        <f t="shared" si="1"/>
        <v>AWW_91_PR/APPLIED-WATER</v>
      </c>
      <c r="C65" t="s">
        <v>2334</v>
      </c>
      <c r="D65" t="s">
        <v>2335</v>
      </c>
      <c r="E65" t="s">
        <v>2460</v>
      </c>
      <c r="F65">
        <v>63</v>
      </c>
      <c r="G65" t="s">
        <v>2461</v>
      </c>
      <c r="H65" t="s">
        <v>0</v>
      </c>
      <c r="I65" t="s">
        <v>646</v>
      </c>
      <c r="J65" t="s">
        <v>18</v>
      </c>
      <c r="L65" t="s">
        <v>3</v>
      </c>
      <c r="M65" t="s">
        <v>4</v>
      </c>
      <c r="N65" s="3" t="str">
        <f t="shared" si="0"/>
        <v>F</v>
      </c>
      <c r="O65" s="3" t="str">
        <f>IF(_xlfn.IFNA(MATCH(B65,Table1[UID],0),"F")="F","F","T")</f>
        <v>T</v>
      </c>
    </row>
    <row r="66" spans="2:15" x14ac:dyDescent="0.25">
      <c r="B66" s="42" t="str">
        <f t="shared" si="1"/>
        <v>DP_50_INT/DEEP-PERCOLATION</v>
      </c>
      <c r="C66" t="s">
        <v>2334</v>
      </c>
      <c r="D66" t="s">
        <v>2335</v>
      </c>
      <c r="E66" t="s">
        <v>2462</v>
      </c>
      <c r="F66">
        <v>64</v>
      </c>
      <c r="G66" t="s">
        <v>2463</v>
      </c>
      <c r="H66" t="s">
        <v>0</v>
      </c>
      <c r="I66" t="s">
        <v>677</v>
      </c>
      <c r="J66" t="s">
        <v>51</v>
      </c>
      <c r="L66" t="s">
        <v>3</v>
      </c>
      <c r="M66" t="s">
        <v>4</v>
      </c>
      <c r="N66" s="3" t="str">
        <f t="shared" si="0"/>
        <v>F</v>
      </c>
      <c r="O66" s="3" t="str">
        <f>IF(_xlfn.IFNA(MATCH(B66,Table1[UID],0),"F")="F","F","T")</f>
        <v>T</v>
      </c>
    </row>
    <row r="67" spans="2:15" x14ac:dyDescent="0.25">
      <c r="B67" s="42" t="str">
        <f t="shared" si="1"/>
        <v>DP_71_INT/DEEP-PERCOLATION</v>
      </c>
      <c r="C67" t="s">
        <v>2334</v>
      </c>
      <c r="D67" t="s">
        <v>2335</v>
      </c>
      <c r="E67" t="s">
        <v>2464</v>
      </c>
      <c r="F67">
        <v>65</v>
      </c>
      <c r="G67" t="s">
        <v>2465</v>
      </c>
      <c r="H67" t="s">
        <v>0</v>
      </c>
      <c r="I67" t="s">
        <v>684</v>
      </c>
      <c r="J67" t="s">
        <v>51</v>
      </c>
      <c r="L67" t="s">
        <v>3</v>
      </c>
      <c r="M67" t="s">
        <v>4</v>
      </c>
      <c r="N67" s="3" t="str">
        <f t="shared" ref="N67:N130" si="2">IF(COUNTIF($B$3:$B$1760,"="&amp;B67)&gt;1,"T","F")</f>
        <v>F</v>
      </c>
      <c r="O67" s="3" t="str">
        <f>IF(_xlfn.IFNA(MATCH(B67,Table1[UID],0),"F")="F","F","T")</f>
        <v>T</v>
      </c>
    </row>
    <row r="68" spans="2:15" x14ac:dyDescent="0.25">
      <c r="B68" s="42" t="str">
        <f t="shared" ref="B68:B99" si="3">_xlfn.CONCAT(I68,"/",J68)</f>
        <v>DP_72_INT/DEEP-PERCOLATION</v>
      </c>
      <c r="C68" t="s">
        <v>2334</v>
      </c>
      <c r="D68" t="s">
        <v>2335</v>
      </c>
      <c r="E68" t="s">
        <v>2466</v>
      </c>
      <c r="F68">
        <v>66</v>
      </c>
      <c r="G68" t="s">
        <v>2467</v>
      </c>
      <c r="H68" t="s">
        <v>0</v>
      </c>
      <c r="I68" t="s">
        <v>685</v>
      </c>
      <c r="J68" t="s">
        <v>51</v>
      </c>
      <c r="L68" t="s">
        <v>3</v>
      </c>
      <c r="M68" t="s">
        <v>4</v>
      </c>
      <c r="N68" s="3" t="str">
        <f t="shared" si="2"/>
        <v>F</v>
      </c>
      <c r="O68" s="3" t="str">
        <f>IF(_xlfn.IFNA(MATCH(B68,Table1[UID],0),"F")="F","F","T")</f>
        <v>T</v>
      </c>
    </row>
    <row r="69" spans="2:15" x14ac:dyDescent="0.25">
      <c r="B69" s="42" t="str">
        <f t="shared" si="3"/>
        <v>DP_73_INT/DEEP-PERCOLATION</v>
      </c>
      <c r="C69" t="s">
        <v>2334</v>
      </c>
      <c r="D69" t="s">
        <v>2335</v>
      </c>
      <c r="E69" t="s">
        <v>2468</v>
      </c>
      <c r="F69">
        <v>67</v>
      </c>
      <c r="G69" t="s">
        <v>2469</v>
      </c>
      <c r="H69" t="s">
        <v>0</v>
      </c>
      <c r="I69" t="s">
        <v>686</v>
      </c>
      <c r="J69" t="s">
        <v>51</v>
      </c>
      <c r="L69" t="s">
        <v>3</v>
      </c>
      <c r="M69" t="s">
        <v>4</v>
      </c>
      <c r="N69" s="3" t="str">
        <f t="shared" si="2"/>
        <v>F</v>
      </c>
      <c r="O69" s="3" t="str">
        <f>IF(_xlfn.IFNA(MATCH(B69,Table1[UID],0),"F")="F","F","T")</f>
        <v>T</v>
      </c>
    </row>
    <row r="70" spans="2:15" x14ac:dyDescent="0.25">
      <c r="B70" s="42" t="str">
        <f t="shared" si="3"/>
        <v>DP_90_INT/DEEP-PERCOLATION</v>
      </c>
      <c r="C70" t="s">
        <v>2334</v>
      </c>
      <c r="D70" t="s">
        <v>2335</v>
      </c>
      <c r="E70" t="s">
        <v>2470</v>
      </c>
      <c r="F70">
        <v>68</v>
      </c>
      <c r="G70" t="s">
        <v>2471</v>
      </c>
      <c r="H70" t="s">
        <v>0</v>
      </c>
      <c r="I70" t="s">
        <v>687</v>
      </c>
      <c r="J70" t="s">
        <v>51</v>
      </c>
      <c r="L70" t="s">
        <v>3</v>
      </c>
      <c r="M70" t="s">
        <v>4</v>
      </c>
      <c r="N70" s="3" t="str">
        <f t="shared" si="2"/>
        <v>F</v>
      </c>
      <c r="O70" s="3" t="str">
        <f>IF(_xlfn.IFNA(MATCH(B70,Table1[UID],0),"F")="F","F","T")</f>
        <v>T</v>
      </c>
    </row>
    <row r="71" spans="2:15" x14ac:dyDescent="0.25">
      <c r="B71" s="42" t="str">
        <f t="shared" si="3"/>
        <v>DP_91_INT/DEEP-PERCOLATION</v>
      </c>
      <c r="C71" t="s">
        <v>2334</v>
      </c>
      <c r="D71" t="s">
        <v>2335</v>
      </c>
      <c r="E71" t="s">
        <v>2472</v>
      </c>
      <c r="F71">
        <v>69</v>
      </c>
      <c r="G71" t="s">
        <v>2473</v>
      </c>
      <c r="H71" t="s">
        <v>0</v>
      </c>
      <c r="I71" t="s">
        <v>688</v>
      </c>
      <c r="J71" t="s">
        <v>51</v>
      </c>
      <c r="L71" t="s">
        <v>3</v>
      </c>
      <c r="M71" t="s">
        <v>4</v>
      </c>
      <c r="N71" s="3" t="str">
        <f t="shared" si="2"/>
        <v>F</v>
      </c>
      <c r="O71" s="3" t="str">
        <f>IF(_xlfn.IFNA(MATCH(B71,Table1[UID],0),"F")="F","F","T")</f>
        <v>T</v>
      </c>
    </row>
    <row r="72" spans="2:15" x14ac:dyDescent="0.25">
      <c r="B72" s="42" t="str">
        <f t="shared" si="3"/>
        <v>TW_50_PA1/TAILWATER</v>
      </c>
      <c r="C72" t="s">
        <v>2334</v>
      </c>
      <c r="D72" t="s">
        <v>2335</v>
      </c>
      <c r="E72" t="s">
        <v>2474</v>
      </c>
      <c r="F72">
        <v>70</v>
      </c>
      <c r="G72" t="s">
        <v>2475</v>
      </c>
      <c r="H72" t="s">
        <v>0</v>
      </c>
      <c r="I72" t="s">
        <v>819</v>
      </c>
      <c r="J72" t="s">
        <v>738</v>
      </c>
      <c r="L72" t="s">
        <v>3</v>
      </c>
      <c r="M72" t="s">
        <v>4</v>
      </c>
      <c r="N72" s="3" t="str">
        <f t="shared" si="2"/>
        <v>F</v>
      </c>
      <c r="O72" s="3" t="str">
        <f>IF(_xlfn.IFNA(MATCH(B72,Table1[UID],0),"F")="F","F","T")</f>
        <v>T</v>
      </c>
    </row>
    <row r="73" spans="2:15" x14ac:dyDescent="0.25">
      <c r="B73" s="42" t="str">
        <f t="shared" si="3"/>
        <v>TW_64_XA/TAILWATER</v>
      </c>
      <c r="C73" t="s">
        <v>2334</v>
      </c>
      <c r="D73" t="s">
        <v>2335</v>
      </c>
      <c r="E73" t="s">
        <v>2476</v>
      </c>
      <c r="F73">
        <v>71</v>
      </c>
      <c r="G73" t="s">
        <v>2477</v>
      </c>
      <c r="H73" t="s">
        <v>0</v>
      </c>
      <c r="I73" t="s">
        <v>857</v>
      </c>
      <c r="J73" t="s">
        <v>738</v>
      </c>
      <c r="L73" t="s">
        <v>3</v>
      </c>
      <c r="M73" t="s">
        <v>4</v>
      </c>
      <c r="N73" s="3" t="str">
        <f t="shared" si="2"/>
        <v>F</v>
      </c>
      <c r="O73" s="3" t="str">
        <f>IF(_xlfn.IFNA(MATCH(B73,Table1[UID],0),"F")="F","F","T")</f>
        <v>T</v>
      </c>
    </row>
    <row r="74" spans="2:15" x14ac:dyDescent="0.25">
      <c r="B74" s="42" t="str">
        <f t="shared" si="3"/>
        <v>TW_71_PA1/TAILWATER</v>
      </c>
      <c r="C74" t="s">
        <v>2334</v>
      </c>
      <c r="D74" t="s">
        <v>2335</v>
      </c>
      <c r="E74" t="s">
        <v>2478</v>
      </c>
      <c r="F74">
        <v>72</v>
      </c>
      <c r="G74" t="s">
        <v>2479</v>
      </c>
      <c r="H74" t="s">
        <v>0</v>
      </c>
      <c r="I74" t="s">
        <v>861</v>
      </c>
      <c r="J74" t="s">
        <v>738</v>
      </c>
      <c r="L74" t="s">
        <v>3</v>
      </c>
      <c r="M74" t="s">
        <v>4</v>
      </c>
      <c r="N74" s="3" t="str">
        <f t="shared" si="2"/>
        <v>F</v>
      </c>
      <c r="O74" s="3" t="str">
        <f>IF(_xlfn.IFNA(MATCH(B74,Table1[UID],0),"F")="F","F","T")</f>
        <v>T</v>
      </c>
    </row>
    <row r="75" spans="2:15" x14ac:dyDescent="0.25">
      <c r="B75" s="42" t="str">
        <f t="shared" si="3"/>
        <v>TW_71_PA2/TAILWATER</v>
      </c>
      <c r="C75" t="s">
        <v>2334</v>
      </c>
      <c r="D75" t="s">
        <v>2335</v>
      </c>
      <c r="E75" t="s">
        <v>2480</v>
      </c>
      <c r="F75">
        <v>73</v>
      </c>
      <c r="G75" t="s">
        <v>2481</v>
      </c>
      <c r="H75" t="s">
        <v>0</v>
      </c>
      <c r="I75" t="s">
        <v>862</v>
      </c>
      <c r="J75" t="s">
        <v>738</v>
      </c>
      <c r="L75" t="s">
        <v>3</v>
      </c>
      <c r="M75" t="s">
        <v>4</v>
      </c>
      <c r="N75" s="3" t="str">
        <f t="shared" si="2"/>
        <v>F</v>
      </c>
      <c r="O75" s="3" t="str">
        <f>IF(_xlfn.IFNA(MATCH(B75,Table1[UID],0),"F")="F","F","T")</f>
        <v>T</v>
      </c>
    </row>
    <row r="76" spans="2:15" x14ac:dyDescent="0.25">
      <c r="B76" s="42" t="str">
        <f t="shared" si="3"/>
        <v>TW_71_PA3/TAILWATER</v>
      </c>
      <c r="C76" t="s">
        <v>2334</v>
      </c>
      <c r="D76" t="s">
        <v>2335</v>
      </c>
      <c r="E76" t="s">
        <v>2482</v>
      </c>
      <c r="F76">
        <v>74</v>
      </c>
      <c r="G76" t="s">
        <v>2483</v>
      </c>
      <c r="H76" t="s">
        <v>0</v>
      </c>
      <c r="I76" t="s">
        <v>863</v>
      </c>
      <c r="J76" t="s">
        <v>738</v>
      </c>
      <c r="L76" t="s">
        <v>3</v>
      </c>
      <c r="M76" t="s">
        <v>4</v>
      </c>
      <c r="N76" s="3" t="str">
        <f t="shared" si="2"/>
        <v>F</v>
      </c>
      <c r="O76" s="3" t="str">
        <f>IF(_xlfn.IFNA(MATCH(B76,Table1[UID],0),"F")="F","F","T")</f>
        <v>T</v>
      </c>
    </row>
    <row r="77" spans="2:15" x14ac:dyDescent="0.25">
      <c r="B77" s="42" t="str">
        <f t="shared" si="3"/>
        <v>TW_71_PA4/TAILWATER</v>
      </c>
      <c r="C77" t="s">
        <v>2334</v>
      </c>
      <c r="D77" t="s">
        <v>2335</v>
      </c>
      <c r="E77" t="s">
        <v>2484</v>
      </c>
      <c r="F77">
        <v>75</v>
      </c>
      <c r="G77" t="s">
        <v>2485</v>
      </c>
      <c r="H77" t="s">
        <v>0</v>
      </c>
      <c r="I77" t="s">
        <v>864</v>
      </c>
      <c r="J77" t="s">
        <v>738</v>
      </c>
      <c r="L77" t="s">
        <v>3</v>
      </c>
      <c r="M77" t="s">
        <v>4</v>
      </c>
      <c r="N77" s="3" t="str">
        <f t="shared" si="2"/>
        <v>F</v>
      </c>
      <c r="O77" s="3" t="str">
        <f>IF(_xlfn.IFNA(MATCH(B77,Table1[UID],0),"F")="F","F","T")</f>
        <v>T</v>
      </c>
    </row>
    <row r="78" spans="2:15" x14ac:dyDescent="0.25">
      <c r="B78" s="42" t="str">
        <f t="shared" si="3"/>
        <v>TW_71_PA5/TAILWATER</v>
      </c>
      <c r="C78" t="s">
        <v>2334</v>
      </c>
      <c r="D78" t="s">
        <v>2335</v>
      </c>
      <c r="E78" t="s">
        <v>2486</v>
      </c>
      <c r="F78">
        <v>76</v>
      </c>
      <c r="G78" t="s">
        <v>2487</v>
      </c>
      <c r="H78" t="s">
        <v>0</v>
      </c>
      <c r="I78" t="s">
        <v>865</v>
      </c>
      <c r="J78" t="s">
        <v>738</v>
      </c>
      <c r="L78" t="s">
        <v>3</v>
      </c>
      <c r="M78" t="s">
        <v>4</v>
      </c>
      <c r="N78" s="3" t="str">
        <f t="shared" si="2"/>
        <v>F</v>
      </c>
      <c r="O78" s="3" t="str">
        <f>IF(_xlfn.IFNA(MATCH(B78,Table1[UID],0),"F")="F","F","T")</f>
        <v>T</v>
      </c>
    </row>
    <row r="79" spans="2:15" x14ac:dyDescent="0.25">
      <c r="B79" s="42" t="str">
        <f t="shared" si="3"/>
        <v>TW_71_PA6/TAILWATER</v>
      </c>
      <c r="C79" t="s">
        <v>2334</v>
      </c>
      <c r="D79" t="s">
        <v>2335</v>
      </c>
      <c r="E79" t="s">
        <v>2488</v>
      </c>
      <c r="F79">
        <v>77</v>
      </c>
      <c r="G79" t="s">
        <v>2489</v>
      </c>
      <c r="H79" t="s">
        <v>0</v>
      </c>
      <c r="I79" t="s">
        <v>866</v>
      </c>
      <c r="J79" t="s">
        <v>738</v>
      </c>
      <c r="L79" t="s">
        <v>3</v>
      </c>
      <c r="M79" t="s">
        <v>4</v>
      </c>
      <c r="N79" s="3" t="str">
        <f t="shared" si="2"/>
        <v>F</v>
      </c>
      <c r="O79" s="3" t="str">
        <f>IF(_xlfn.IFNA(MATCH(B79,Table1[UID],0),"F")="F","F","T")</f>
        <v>T</v>
      </c>
    </row>
    <row r="80" spans="2:15" x14ac:dyDescent="0.25">
      <c r="B80" s="42" t="str">
        <f t="shared" si="3"/>
        <v>TW_71_PA7/TAILWATER</v>
      </c>
      <c r="C80" t="s">
        <v>2334</v>
      </c>
      <c r="D80" t="s">
        <v>2335</v>
      </c>
      <c r="E80" t="s">
        <v>2490</v>
      </c>
      <c r="F80">
        <v>78</v>
      </c>
      <c r="G80" t="s">
        <v>2491</v>
      </c>
      <c r="H80" t="s">
        <v>0</v>
      </c>
      <c r="I80" t="s">
        <v>867</v>
      </c>
      <c r="J80" t="s">
        <v>738</v>
      </c>
      <c r="L80" t="s">
        <v>3</v>
      </c>
      <c r="M80" t="s">
        <v>4</v>
      </c>
      <c r="N80" s="3" t="str">
        <f t="shared" si="2"/>
        <v>F</v>
      </c>
      <c r="O80" s="3" t="str">
        <f>IF(_xlfn.IFNA(MATCH(B80,Table1[UID],0),"F")="F","F","T")</f>
        <v>T</v>
      </c>
    </row>
    <row r="81" spans="2:15" x14ac:dyDescent="0.25">
      <c r="B81" s="42" t="str">
        <f t="shared" si="3"/>
        <v>TW_71_PA8/TAILWATER</v>
      </c>
      <c r="C81" t="s">
        <v>2334</v>
      </c>
      <c r="D81" t="s">
        <v>2335</v>
      </c>
      <c r="E81" t="s">
        <v>2492</v>
      </c>
      <c r="F81">
        <v>79</v>
      </c>
      <c r="G81" t="s">
        <v>2493</v>
      </c>
      <c r="H81" t="s">
        <v>0</v>
      </c>
      <c r="I81" t="s">
        <v>868</v>
      </c>
      <c r="J81" t="s">
        <v>738</v>
      </c>
      <c r="L81" t="s">
        <v>3</v>
      </c>
      <c r="M81" t="s">
        <v>4</v>
      </c>
      <c r="N81" s="3" t="str">
        <f t="shared" si="2"/>
        <v>F</v>
      </c>
      <c r="O81" s="3" t="str">
        <f>IF(_xlfn.IFNA(MATCH(B81,Table1[UID],0),"F")="F","F","T")</f>
        <v>T</v>
      </c>
    </row>
    <row r="82" spans="2:15" x14ac:dyDescent="0.25">
      <c r="B82" s="42" t="str">
        <f t="shared" si="3"/>
        <v>TW_72_PA/TAILWATER</v>
      </c>
      <c r="C82" t="s">
        <v>2334</v>
      </c>
      <c r="D82" t="s">
        <v>2335</v>
      </c>
      <c r="E82" t="s">
        <v>2494</v>
      </c>
      <c r="F82">
        <v>80</v>
      </c>
      <c r="G82" t="s">
        <v>2495</v>
      </c>
      <c r="H82" t="s">
        <v>0</v>
      </c>
      <c r="I82" t="s">
        <v>871</v>
      </c>
      <c r="J82" t="s">
        <v>738</v>
      </c>
      <c r="L82" t="s">
        <v>3</v>
      </c>
      <c r="M82" t="s">
        <v>4</v>
      </c>
      <c r="N82" s="3" t="str">
        <f t="shared" si="2"/>
        <v>F</v>
      </c>
      <c r="O82" s="3" t="str">
        <f>IF(_xlfn.IFNA(MATCH(B82,Table1[UID],0),"F")="F","F","T")</f>
        <v>T</v>
      </c>
    </row>
    <row r="83" spans="2:15" x14ac:dyDescent="0.25">
      <c r="B83" s="42" t="str">
        <f t="shared" si="3"/>
        <v>TW_72_PR1/TAILWATER</v>
      </c>
      <c r="C83" t="s">
        <v>2334</v>
      </c>
      <c r="D83" t="s">
        <v>2335</v>
      </c>
      <c r="E83" t="s">
        <v>2496</v>
      </c>
      <c r="F83">
        <v>81</v>
      </c>
      <c r="G83" t="s">
        <v>2497</v>
      </c>
      <c r="H83" t="s">
        <v>0</v>
      </c>
      <c r="I83" t="s">
        <v>872</v>
      </c>
      <c r="J83" t="s">
        <v>738</v>
      </c>
      <c r="L83" t="s">
        <v>3</v>
      </c>
      <c r="M83" t="s">
        <v>4</v>
      </c>
      <c r="N83" s="3" t="str">
        <f t="shared" si="2"/>
        <v>F</v>
      </c>
      <c r="O83" s="3" t="str">
        <f>IF(_xlfn.IFNA(MATCH(B83,Table1[UID],0),"F")="F","F","T")</f>
        <v>T</v>
      </c>
    </row>
    <row r="84" spans="2:15" x14ac:dyDescent="0.25">
      <c r="B84" s="42" t="str">
        <f t="shared" si="3"/>
        <v>TW_72_PR2/TAILWATER</v>
      </c>
      <c r="C84" t="s">
        <v>2334</v>
      </c>
      <c r="D84" t="s">
        <v>2335</v>
      </c>
      <c r="E84" t="s">
        <v>2498</v>
      </c>
      <c r="F84">
        <v>82</v>
      </c>
      <c r="G84" t="s">
        <v>2499</v>
      </c>
      <c r="H84" t="s">
        <v>0</v>
      </c>
      <c r="I84" t="s">
        <v>873</v>
      </c>
      <c r="J84" t="s">
        <v>738</v>
      </c>
      <c r="L84" t="s">
        <v>3</v>
      </c>
      <c r="M84" t="s">
        <v>4</v>
      </c>
      <c r="N84" s="3" t="str">
        <f t="shared" si="2"/>
        <v>F</v>
      </c>
      <c r="O84" s="3" t="str">
        <f>IF(_xlfn.IFNA(MATCH(B84,Table1[UID],0),"F")="F","F","T")</f>
        <v>T</v>
      </c>
    </row>
    <row r="85" spans="2:15" x14ac:dyDescent="0.25">
      <c r="B85" s="42" t="str">
        <f t="shared" si="3"/>
        <v>TW_72_PR3/TAILWATER</v>
      </c>
      <c r="C85" t="s">
        <v>2334</v>
      </c>
      <c r="D85" t="s">
        <v>2335</v>
      </c>
      <c r="E85" t="s">
        <v>2500</v>
      </c>
      <c r="F85">
        <v>83</v>
      </c>
      <c r="G85" t="s">
        <v>2501</v>
      </c>
      <c r="H85" t="s">
        <v>0</v>
      </c>
      <c r="I85" t="s">
        <v>874</v>
      </c>
      <c r="J85" t="s">
        <v>738</v>
      </c>
      <c r="L85" t="s">
        <v>3</v>
      </c>
      <c r="M85" t="s">
        <v>4</v>
      </c>
      <c r="N85" s="3" t="str">
        <f t="shared" si="2"/>
        <v>F</v>
      </c>
      <c r="O85" s="3" t="str">
        <f>IF(_xlfn.IFNA(MATCH(B85,Table1[UID],0),"F")="F","F","T")</f>
        <v>T</v>
      </c>
    </row>
    <row r="86" spans="2:15" x14ac:dyDescent="0.25">
      <c r="B86" s="42" t="str">
        <f t="shared" si="3"/>
        <v>TW_72_PR4/TAILWATER</v>
      </c>
      <c r="C86" t="s">
        <v>2334</v>
      </c>
      <c r="D86" t="s">
        <v>2335</v>
      </c>
      <c r="E86" t="s">
        <v>2502</v>
      </c>
      <c r="F86">
        <v>84</v>
      </c>
      <c r="G86" t="s">
        <v>2503</v>
      </c>
      <c r="H86" t="s">
        <v>0</v>
      </c>
      <c r="I86" t="s">
        <v>875</v>
      </c>
      <c r="J86" t="s">
        <v>738</v>
      </c>
      <c r="L86" t="s">
        <v>3</v>
      </c>
      <c r="M86" t="s">
        <v>4</v>
      </c>
      <c r="N86" s="3" t="str">
        <f t="shared" si="2"/>
        <v>F</v>
      </c>
      <c r="O86" s="3" t="str">
        <f>IF(_xlfn.IFNA(MATCH(B86,Table1[UID],0),"F")="F","F","T")</f>
        <v>T</v>
      </c>
    </row>
    <row r="87" spans="2:15" x14ac:dyDescent="0.25">
      <c r="B87" s="42" t="str">
        <f t="shared" si="3"/>
        <v>TW_72_PR5/TAILWATER</v>
      </c>
      <c r="C87" t="s">
        <v>2334</v>
      </c>
      <c r="D87" t="s">
        <v>2335</v>
      </c>
      <c r="E87" t="s">
        <v>2504</v>
      </c>
      <c r="F87">
        <v>85</v>
      </c>
      <c r="G87" t="s">
        <v>2505</v>
      </c>
      <c r="H87" t="s">
        <v>0</v>
      </c>
      <c r="I87" t="s">
        <v>876</v>
      </c>
      <c r="J87" t="s">
        <v>738</v>
      </c>
      <c r="L87" t="s">
        <v>3</v>
      </c>
      <c r="M87" t="s">
        <v>4</v>
      </c>
      <c r="N87" s="3" t="str">
        <f t="shared" si="2"/>
        <v>F</v>
      </c>
      <c r="O87" s="3" t="str">
        <f>IF(_xlfn.IFNA(MATCH(B87,Table1[UID],0),"F")="F","F","T")</f>
        <v>T</v>
      </c>
    </row>
    <row r="88" spans="2:15" x14ac:dyDescent="0.25">
      <c r="B88" s="42" t="str">
        <f t="shared" si="3"/>
        <v>TW_72_PR6/TAILWATER</v>
      </c>
      <c r="C88" t="s">
        <v>2334</v>
      </c>
      <c r="D88" t="s">
        <v>2335</v>
      </c>
      <c r="E88" t="s">
        <v>2506</v>
      </c>
      <c r="F88">
        <v>86</v>
      </c>
      <c r="G88" t="s">
        <v>2507</v>
      </c>
      <c r="H88" t="s">
        <v>0</v>
      </c>
      <c r="I88" t="s">
        <v>877</v>
      </c>
      <c r="J88" t="s">
        <v>738</v>
      </c>
      <c r="L88" t="s">
        <v>3</v>
      </c>
      <c r="M88" t="s">
        <v>4</v>
      </c>
      <c r="N88" s="3" t="str">
        <f t="shared" si="2"/>
        <v>F</v>
      </c>
      <c r="O88" s="3" t="str">
        <f>IF(_xlfn.IFNA(MATCH(B88,Table1[UID],0),"F")="F","F","T")</f>
        <v>T</v>
      </c>
    </row>
    <row r="89" spans="2:15" x14ac:dyDescent="0.25">
      <c r="B89" s="42" t="str">
        <f t="shared" si="3"/>
        <v>TW_72_XA1/TAILWATER</v>
      </c>
      <c r="C89" t="s">
        <v>2334</v>
      </c>
      <c r="D89" t="s">
        <v>2335</v>
      </c>
      <c r="E89" t="s">
        <v>2508</v>
      </c>
      <c r="F89">
        <v>87</v>
      </c>
      <c r="G89" t="s">
        <v>2509</v>
      </c>
      <c r="H89" t="s">
        <v>0</v>
      </c>
      <c r="I89" t="s">
        <v>878</v>
      </c>
      <c r="J89" t="s">
        <v>738</v>
      </c>
      <c r="L89" t="s">
        <v>3</v>
      </c>
      <c r="M89" t="s">
        <v>4</v>
      </c>
      <c r="N89" s="3" t="str">
        <f t="shared" si="2"/>
        <v>F</v>
      </c>
      <c r="O89" s="3" t="str">
        <f>IF(_xlfn.IFNA(MATCH(B89,Table1[UID],0),"F")="F","F","T")</f>
        <v>T</v>
      </c>
    </row>
    <row r="90" spans="2:15" x14ac:dyDescent="0.25">
      <c r="B90" s="42" t="str">
        <f t="shared" si="3"/>
        <v>TW_72_XA2/TAILWATER</v>
      </c>
      <c r="C90" t="s">
        <v>2334</v>
      </c>
      <c r="D90" t="s">
        <v>2335</v>
      </c>
      <c r="E90" t="s">
        <v>2510</v>
      </c>
      <c r="F90">
        <v>88</v>
      </c>
      <c r="G90" t="s">
        <v>2511</v>
      </c>
      <c r="H90" t="s">
        <v>0</v>
      </c>
      <c r="I90" t="s">
        <v>879</v>
      </c>
      <c r="J90" t="s">
        <v>738</v>
      </c>
      <c r="L90" t="s">
        <v>3</v>
      </c>
      <c r="M90" t="s">
        <v>4</v>
      </c>
      <c r="N90" s="3" t="str">
        <f t="shared" si="2"/>
        <v>F</v>
      </c>
      <c r="O90" s="3" t="str">
        <f>IF(_xlfn.IFNA(MATCH(B90,Table1[UID],0),"F")="F","F","T")</f>
        <v>T</v>
      </c>
    </row>
    <row r="91" spans="2:15" x14ac:dyDescent="0.25">
      <c r="B91" s="42" t="str">
        <f t="shared" si="3"/>
        <v>TW_72_XA3/TAILWATER</v>
      </c>
      <c r="C91" t="s">
        <v>2334</v>
      </c>
      <c r="D91" t="s">
        <v>2335</v>
      </c>
      <c r="E91" t="s">
        <v>2512</v>
      </c>
      <c r="F91">
        <v>89</v>
      </c>
      <c r="G91" t="s">
        <v>2513</v>
      </c>
      <c r="H91" t="s">
        <v>0</v>
      </c>
      <c r="I91" t="s">
        <v>880</v>
      </c>
      <c r="J91" t="s">
        <v>738</v>
      </c>
      <c r="L91" t="s">
        <v>3</v>
      </c>
      <c r="M91" t="s">
        <v>4</v>
      </c>
      <c r="N91" s="3" t="str">
        <f t="shared" si="2"/>
        <v>F</v>
      </c>
      <c r="O91" s="3" t="str">
        <f>IF(_xlfn.IFNA(MATCH(B91,Table1[UID],0),"F")="F","F","T")</f>
        <v>T</v>
      </c>
    </row>
    <row r="92" spans="2:15" x14ac:dyDescent="0.25">
      <c r="B92" s="42" t="str">
        <f t="shared" si="3"/>
        <v>TW_73_PA1/TAILWATER</v>
      </c>
      <c r="C92" t="s">
        <v>2334</v>
      </c>
      <c r="D92" t="s">
        <v>2335</v>
      </c>
      <c r="E92" t="s">
        <v>2514</v>
      </c>
      <c r="F92">
        <v>90</v>
      </c>
      <c r="G92" t="s">
        <v>2515</v>
      </c>
      <c r="H92" t="s">
        <v>0</v>
      </c>
      <c r="I92" t="s">
        <v>882</v>
      </c>
      <c r="J92" t="s">
        <v>738</v>
      </c>
      <c r="L92" t="s">
        <v>3</v>
      </c>
      <c r="M92" t="s">
        <v>4</v>
      </c>
      <c r="N92" s="3" t="str">
        <f t="shared" si="2"/>
        <v>F</v>
      </c>
      <c r="O92" s="3" t="str">
        <f>IF(_xlfn.IFNA(MATCH(B92,Table1[UID],0),"F")="F","F","T")</f>
        <v>T</v>
      </c>
    </row>
    <row r="93" spans="2:15" x14ac:dyDescent="0.25">
      <c r="B93" s="42" t="str">
        <f t="shared" si="3"/>
        <v>TW_73_PA2/TAILWATER</v>
      </c>
      <c r="C93" t="s">
        <v>2334</v>
      </c>
      <c r="D93" t="s">
        <v>2335</v>
      </c>
      <c r="E93" t="s">
        <v>2516</v>
      </c>
      <c r="F93">
        <v>91</v>
      </c>
      <c r="G93" t="s">
        <v>2517</v>
      </c>
      <c r="H93" t="s">
        <v>0</v>
      </c>
      <c r="I93" t="s">
        <v>883</v>
      </c>
      <c r="J93" t="s">
        <v>738</v>
      </c>
      <c r="L93" t="s">
        <v>3</v>
      </c>
      <c r="M93" t="s">
        <v>4</v>
      </c>
      <c r="N93" s="3" t="str">
        <f t="shared" si="2"/>
        <v>F</v>
      </c>
      <c r="O93" s="3" t="str">
        <f>IF(_xlfn.IFNA(MATCH(B93,Table1[UID],0),"F")="F","F","T")</f>
        <v>T</v>
      </c>
    </row>
    <row r="94" spans="2:15" x14ac:dyDescent="0.25">
      <c r="B94" s="42" t="str">
        <f t="shared" si="3"/>
        <v>TW_73_PA3/TAILWATER</v>
      </c>
      <c r="C94" t="s">
        <v>2334</v>
      </c>
      <c r="D94" t="s">
        <v>2335</v>
      </c>
      <c r="E94" t="s">
        <v>2518</v>
      </c>
      <c r="F94">
        <v>92</v>
      </c>
      <c r="G94" t="s">
        <v>2519</v>
      </c>
      <c r="H94" t="s">
        <v>0</v>
      </c>
      <c r="I94" t="s">
        <v>884</v>
      </c>
      <c r="J94" t="s">
        <v>738</v>
      </c>
      <c r="L94" t="s">
        <v>3</v>
      </c>
      <c r="M94" t="s">
        <v>4</v>
      </c>
      <c r="N94" s="3" t="str">
        <f t="shared" si="2"/>
        <v>F</v>
      </c>
      <c r="O94" s="3" t="str">
        <f>IF(_xlfn.IFNA(MATCH(B94,Table1[UID],0),"F")="F","F","T")</f>
        <v>T</v>
      </c>
    </row>
    <row r="95" spans="2:15" x14ac:dyDescent="0.25">
      <c r="B95" s="42" t="str">
        <f t="shared" si="3"/>
        <v>TW_73_XA/TAILWATER</v>
      </c>
      <c r="C95" t="s">
        <v>2334</v>
      </c>
      <c r="D95" t="s">
        <v>2335</v>
      </c>
      <c r="E95" t="s">
        <v>2520</v>
      </c>
      <c r="F95">
        <v>93</v>
      </c>
      <c r="G95" t="s">
        <v>2521</v>
      </c>
      <c r="H95" t="s">
        <v>0</v>
      </c>
      <c r="I95" t="s">
        <v>885</v>
      </c>
      <c r="J95" t="s">
        <v>738</v>
      </c>
      <c r="L95" t="s">
        <v>3</v>
      </c>
      <c r="M95" t="s">
        <v>4</v>
      </c>
      <c r="N95" s="3" t="str">
        <f t="shared" si="2"/>
        <v>F</v>
      </c>
      <c r="O95" s="3" t="str">
        <f>IF(_xlfn.IFNA(MATCH(B95,Table1[UID],0),"F")="F","F","T")</f>
        <v>T</v>
      </c>
    </row>
    <row r="96" spans="2:15" x14ac:dyDescent="0.25">
      <c r="B96" s="42" t="str">
        <f t="shared" si="3"/>
        <v>TW_90_PA1/TAILWATER</v>
      </c>
      <c r="C96" t="s">
        <v>2334</v>
      </c>
      <c r="D96" t="s">
        <v>2335</v>
      </c>
      <c r="E96" t="s">
        <v>2522</v>
      </c>
      <c r="F96">
        <v>94</v>
      </c>
      <c r="G96" t="s">
        <v>2523</v>
      </c>
      <c r="H96" t="s">
        <v>0</v>
      </c>
      <c r="I96" t="s">
        <v>887</v>
      </c>
      <c r="J96" t="s">
        <v>738</v>
      </c>
      <c r="L96" t="s">
        <v>3</v>
      </c>
      <c r="M96" t="s">
        <v>4</v>
      </c>
      <c r="N96" s="3" t="str">
        <f t="shared" si="2"/>
        <v>F</v>
      </c>
      <c r="O96" s="3" t="str">
        <f>IF(_xlfn.IFNA(MATCH(B96,Table1[UID],0),"F")="F","F","T")</f>
        <v>T</v>
      </c>
    </row>
    <row r="97" spans="2:15" x14ac:dyDescent="0.25">
      <c r="B97" s="42" t="str">
        <f t="shared" si="3"/>
        <v>TW_90_PA2/TAILWATER</v>
      </c>
      <c r="C97" t="s">
        <v>2334</v>
      </c>
      <c r="D97" t="s">
        <v>2335</v>
      </c>
      <c r="E97" t="s">
        <v>2524</v>
      </c>
      <c r="F97">
        <v>95</v>
      </c>
      <c r="G97" t="s">
        <v>2525</v>
      </c>
      <c r="H97" t="s">
        <v>0</v>
      </c>
      <c r="I97" t="s">
        <v>888</v>
      </c>
      <c r="J97" t="s">
        <v>738</v>
      </c>
      <c r="L97" t="s">
        <v>3</v>
      </c>
      <c r="M97" t="s">
        <v>4</v>
      </c>
      <c r="N97" s="3" t="str">
        <f t="shared" si="2"/>
        <v>F</v>
      </c>
      <c r="O97" s="3" t="str">
        <f>IF(_xlfn.IFNA(MATCH(B97,Table1[UID],0),"F")="F","F","T")</f>
        <v>T</v>
      </c>
    </row>
    <row r="98" spans="2:15" x14ac:dyDescent="0.25">
      <c r="B98" s="42" t="str">
        <f t="shared" si="3"/>
        <v>TW_91_PA/TAILWATER</v>
      </c>
      <c r="C98" t="s">
        <v>2334</v>
      </c>
      <c r="D98" t="s">
        <v>2335</v>
      </c>
      <c r="E98" t="s">
        <v>2526</v>
      </c>
      <c r="F98">
        <v>96</v>
      </c>
      <c r="G98" t="s">
        <v>2527</v>
      </c>
      <c r="H98" t="s">
        <v>0</v>
      </c>
      <c r="I98" t="s">
        <v>889</v>
      </c>
      <c r="J98" t="s">
        <v>738</v>
      </c>
      <c r="L98" t="s">
        <v>3</v>
      </c>
      <c r="M98" t="s">
        <v>4</v>
      </c>
      <c r="N98" s="3" t="str">
        <f t="shared" si="2"/>
        <v>F</v>
      </c>
      <c r="O98" s="3" t="str">
        <f>IF(_xlfn.IFNA(MATCH(B98,Table1[UID],0),"F")="F","F","T")</f>
        <v>T</v>
      </c>
    </row>
    <row r="99" spans="2:15" x14ac:dyDescent="0.25">
      <c r="B99" s="42" t="str">
        <f t="shared" si="3"/>
        <v>TW_91_PR/TAILWATER</v>
      </c>
      <c r="C99" t="s">
        <v>2334</v>
      </c>
      <c r="D99" t="s">
        <v>2335</v>
      </c>
      <c r="E99" t="s">
        <v>2528</v>
      </c>
      <c r="F99">
        <v>97</v>
      </c>
      <c r="G99" t="s">
        <v>2529</v>
      </c>
      <c r="H99" t="s">
        <v>0</v>
      </c>
      <c r="I99" t="s">
        <v>890</v>
      </c>
      <c r="J99" t="s">
        <v>738</v>
      </c>
      <c r="L99" t="s">
        <v>3</v>
      </c>
      <c r="M99" t="s">
        <v>4</v>
      </c>
      <c r="N99" s="3" t="str">
        <f t="shared" si="2"/>
        <v>F</v>
      </c>
      <c r="O99" s="3" t="str">
        <f>IF(_xlfn.IFNA(MATCH(B99,Table1[UID],0),"F")="F","F","T")</f>
        <v>T</v>
      </c>
    </row>
    <row r="100" spans="2:15" x14ac:dyDescent="0.25">
      <c r="B100" s="42" t="str">
        <f t="shared" ref="B100:B136" si="4">_xlfn.CONCAT(I100,"/",J100)</f>
        <v>AWO_60N_NA1/APPLIED-WATER</v>
      </c>
      <c r="C100" t="s">
        <v>2530</v>
      </c>
      <c r="D100" t="s">
        <v>2531</v>
      </c>
      <c r="E100" t="s">
        <v>2532</v>
      </c>
      <c r="F100">
        <v>1</v>
      </c>
      <c r="G100" t="s">
        <v>2533</v>
      </c>
      <c r="H100" t="s">
        <v>0</v>
      </c>
      <c r="I100" t="s">
        <v>388</v>
      </c>
      <c r="J100" t="s">
        <v>18</v>
      </c>
      <c r="L100" t="s">
        <v>3</v>
      </c>
      <c r="M100" t="s">
        <v>4</v>
      </c>
      <c r="N100" s="3" t="str">
        <f t="shared" si="2"/>
        <v>F</v>
      </c>
      <c r="O100" s="3" t="str">
        <f>IF(_xlfn.IFNA(MATCH(B100,Table1[UID],0),"F")="F","F","T")</f>
        <v>T</v>
      </c>
    </row>
    <row r="101" spans="2:15" x14ac:dyDescent="0.25">
      <c r="B101" s="42" t="str">
        <f t="shared" si="4"/>
        <v>AWO_60N_NA2/APPLIED-WATER</v>
      </c>
      <c r="C101" t="s">
        <v>2530</v>
      </c>
      <c r="D101" t="s">
        <v>2531</v>
      </c>
      <c r="E101" t="s">
        <v>2534</v>
      </c>
      <c r="F101">
        <v>2</v>
      </c>
      <c r="G101" t="s">
        <v>2535</v>
      </c>
      <c r="H101" t="s">
        <v>0</v>
      </c>
      <c r="I101" t="s">
        <v>389</v>
      </c>
      <c r="J101" t="s">
        <v>18</v>
      </c>
      <c r="L101" t="s">
        <v>3</v>
      </c>
      <c r="M101" t="s">
        <v>4</v>
      </c>
      <c r="N101" s="3" t="str">
        <f t="shared" si="2"/>
        <v>F</v>
      </c>
      <c r="O101" s="3" t="str">
        <f>IF(_xlfn.IFNA(MATCH(B101,Table1[UID],0),"F")="F","F","T")</f>
        <v>T</v>
      </c>
    </row>
    <row r="102" spans="2:15" x14ac:dyDescent="0.25">
      <c r="B102" s="42" t="str">
        <f t="shared" si="4"/>
        <v>AWO_60N_NA3/APPLIED-WATER</v>
      </c>
      <c r="C102" t="s">
        <v>2530</v>
      </c>
      <c r="D102" t="s">
        <v>2531</v>
      </c>
      <c r="E102" t="s">
        <v>2536</v>
      </c>
      <c r="F102">
        <v>3</v>
      </c>
      <c r="G102" t="s">
        <v>2537</v>
      </c>
      <c r="H102" t="s">
        <v>0</v>
      </c>
      <c r="I102" t="s">
        <v>390</v>
      </c>
      <c r="J102" t="s">
        <v>18</v>
      </c>
      <c r="L102" t="s">
        <v>3</v>
      </c>
      <c r="M102" t="s">
        <v>4</v>
      </c>
      <c r="N102" s="3" t="str">
        <f t="shared" si="2"/>
        <v>F</v>
      </c>
      <c r="O102" s="3" t="str">
        <f>IF(_xlfn.IFNA(MATCH(B102,Table1[UID],0),"F")="F","F","T")</f>
        <v>T</v>
      </c>
    </row>
    <row r="103" spans="2:15" x14ac:dyDescent="0.25">
      <c r="B103" s="42" t="str">
        <f t="shared" si="4"/>
        <v>AWO_60N_NA4/APPLIED-WATER</v>
      </c>
      <c r="C103" t="s">
        <v>2530</v>
      </c>
      <c r="D103" t="s">
        <v>2531</v>
      </c>
      <c r="E103" t="s">
        <v>2538</v>
      </c>
      <c r="F103">
        <v>4</v>
      </c>
      <c r="G103" t="s">
        <v>2539</v>
      </c>
      <c r="H103" t="s">
        <v>0</v>
      </c>
      <c r="I103" t="s">
        <v>391</v>
      </c>
      <c r="J103" t="s">
        <v>18</v>
      </c>
      <c r="L103" t="s">
        <v>3</v>
      </c>
      <c r="M103" t="s">
        <v>4</v>
      </c>
      <c r="N103" s="3" t="str">
        <f t="shared" si="2"/>
        <v>F</v>
      </c>
      <c r="O103" s="3" t="str">
        <f>IF(_xlfn.IFNA(MATCH(B103,Table1[UID],0),"F")="F","F","T")</f>
        <v>T</v>
      </c>
    </row>
    <row r="104" spans="2:15" x14ac:dyDescent="0.25">
      <c r="B104" s="42" t="str">
        <f t="shared" si="4"/>
        <v>AWO_60N_NA5/APPLIED-WATER</v>
      </c>
      <c r="C104" t="s">
        <v>2530</v>
      </c>
      <c r="D104" t="s">
        <v>2531</v>
      </c>
      <c r="E104" t="s">
        <v>2540</v>
      </c>
      <c r="F104">
        <v>5</v>
      </c>
      <c r="G104" t="s">
        <v>2541</v>
      </c>
      <c r="H104" t="s">
        <v>0</v>
      </c>
      <c r="I104" t="s">
        <v>392</v>
      </c>
      <c r="J104" t="s">
        <v>18</v>
      </c>
      <c r="L104" t="s">
        <v>3</v>
      </c>
      <c r="M104" t="s">
        <v>4</v>
      </c>
      <c r="N104" s="3" t="str">
        <f t="shared" si="2"/>
        <v>F</v>
      </c>
      <c r="O104" s="3" t="str">
        <f>IF(_xlfn.IFNA(MATCH(B104,Table1[UID],0),"F")="F","F","T")</f>
        <v>T</v>
      </c>
    </row>
    <row r="105" spans="2:15" x14ac:dyDescent="0.25">
      <c r="B105" s="42" t="str">
        <f t="shared" si="4"/>
        <v>AWO_60S_NA1/APPLIED-WATER</v>
      </c>
      <c r="C105" t="s">
        <v>2530</v>
      </c>
      <c r="D105" t="s">
        <v>2531</v>
      </c>
      <c r="E105" t="s">
        <v>2542</v>
      </c>
      <c r="F105">
        <v>6</v>
      </c>
      <c r="G105" t="s">
        <v>2543</v>
      </c>
      <c r="H105" t="s">
        <v>0</v>
      </c>
      <c r="I105" t="s">
        <v>393</v>
      </c>
      <c r="J105" t="s">
        <v>18</v>
      </c>
      <c r="L105" t="s">
        <v>3</v>
      </c>
      <c r="M105" t="s">
        <v>4</v>
      </c>
      <c r="N105" s="3" t="str">
        <f t="shared" si="2"/>
        <v>F</v>
      </c>
      <c r="O105" s="3" t="str">
        <f>IF(_xlfn.IFNA(MATCH(B105,Table1[UID],0),"F")="F","F","T")</f>
        <v>T</v>
      </c>
    </row>
    <row r="106" spans="2:15" x14ac:dyDescent="0.25">
      <c r="B106" s="42" t="str">
        <f t="shared" si="4"/>
        <v>AWO_60S_NA2/APPLIED-WATER</v>
      </c>
      <c r="C106" t="s">
        <v>2530</v>
      </c>
      <c r="D106" t="s">
        <v>2531</v>
      </c>
      <c r="E106" t="s">
        <v>2544</v>
      </c>
      <c r="F106">
        <v>7</v>
      </c>
      <c r="G106" t="s">
        <v>2545</v>
      </c>
      <c r="H106" t="s">
        <v>0</v>
      </c>
      <c r="I106" t="s">
        <v>394</v>
      </c>
      <c r="J106" t="s">
        <v>18</v>
      </c>
      <c r="L106" t="s">
        <v>3</v>
      </c>
      <c r="M106" t="s">
        <v>4</v>
      </c>
      <c r="N106" s="3" t="str">
        <f t="shared" si="2"/>
        <v>F</v>
      </c>
      <c r="O106" s="3" t="str">
        <f>IF(_xlfn.IFNA(MATCH(B106,Table1[UID],0),"F")="F","F","T")</f>
        <v>T</v>
      </c>
    </row>
    <row r="107" spans="2:15" x14ac:dyDescent="0.25">
      <c r="B107" s="42" t="str">
        <f t="shared" si="4"/>
        <v>AWO_60S_PA1/APPLIED-WATER</v>
      </c>
      <c r="C107" t="s">
        <v>2530</v>
      </c>
      <c r="D107" t="s">
        <v>2531</v>
      </c>
      <c r="E107" t="s">
        <v>2546</v>
      </c>
      <c r="F107">
        <v>8</v>
      </c>
      <c r="G107" t="s">
        <v>2547</v>
      </c>
      <c r="H107" t="s">
        <v>0</v>
      </c>
      <c r="I107" t="s">
        <v>395</v>
      </c>
      <c r="J107" t="s">
        <v>18</v>
      </c>
      <c r="L107" t="s">
        <v>3</v>
      </c>
      <c r="M107" t="s">
        <v>4</v>
      </c>
      <c r="N107" s="3" t="str">
        <f t="shared" si="2"/>
        <v>F</v>
      </c>
      <c r="O107" s="3" t="str">
        <f>IF(_xlfn.IFNA(MATCH(B107,Table1[UID],0),"F")="F","F","T")</f>
        <v>T</v>
      </c>
    </row>
    <row r="108" spans="2:15" x14ac:dyDescent="0.25">
      <c r="B108" s="42" t="str">
        <f t="shared" si="4"/>
        <v>AWO_60S_PA2/APPLIED-WATER</v>
      </c>
      <c r="C108" t="s">
        <v>2530</v>
      </c>
      <c r="D108" t="s">
        <v>2531</v>
      </c>
      <c r="E108" t="s">
        <v>2548</v>
      </c>
      <c r="F108">
        <v>9</v>
      </c>
      <c r="G108" t="s">
        <v>2549</v>
      </c>
      <c r="H108" t="s">
        <v>0</v>
      </c>
      <c r="I108" t="s">
        <v>396</v>
      </c>
      <c r="J108" t="s">
        <v>18</v>
      </c>
      <c r="L108" t="s">
        <v>3</v>
      </c>
      <c r="M108" t="s">
        <v>4</v>
      </c>
      <c r="N108" s="3" t="str">
        <f t="shared" si="2"/>
        <v>F</v>
      </c>
      <c r="O108" s="3" t="str">
        <f>IF(_xlfn.IFNA(MATCH(B108,Table1[UID],0),"F")="F","F","T")</f>
        <v>T</v>
      </c>
    </row>
    <row r="109" spans="2:15" x14ac:dyDescent="0.25">
      <c r="B109" s="42" t="str">
        <f t="shared" si="4"/>
        <v>AWO_61_NA1/APPLIED-WATER</v>
      </c>
      <c r="C109" t="s">
        <v>2530</v>
      </c>
      <c r="D109" t="s">
        <v>2531</v>
      </c>
      <c r="E109" t="s">
        <v>2550</v>
      </c>
      <c r="F109">
        <v>10</v>
      </c>
      <c r="G109" t="s">
        <v>2551</v>
      </c>
      <c r="H109" t="s">
        <v>0</v>
      </c>
      <c r="I109" t="s">
        <v>397</v>
      </c>
      <c r="J109" t="s">
        <v>18</v>
      </c>
      <c r="L109" t="s">
        <v>3</v>
      </c>
      <c r="M109" t="s">
        <v>4</v>
      </c>
      <c r="N109" s="3" t="str">
        <f t="shared" si="2"/>
        <v>F</v>
      </c>
      <c r="O109" s="3" t="str">
        <f>IF(_xlfn.IFNA(MATCH(B109,Table1[UID],0),"F")="F","F","T")</f>
        <v>T</v>
      </c>
    </row>
    <row r="110" spans="2:15" x14ac:dyDescent="0.25">
      <c r="B110" s="42" t="str">
        <f t="shared" si="4"/>
        <v>AWO_61_NA2/APPLIED-WATER</v>
      </c>
      <c r="C110" t="s">
        <v>2530</v>
      </c>
      <c r="D110" t="s">
        <v>2531</v>
      </c>
      <c r="E110" t="s">
        <v>2552</v>
      </c>
      <c r="F110">
        <v>11</v>
      </c>
      <c r="G110" t="s">
        <v>2553</v>
      </c>
      <c r="H110" t="s">
        <v>0</v>
      </c>
      <c r="I110" t="s">
        <v>398</v>
      </c>
      <c r="J110" t="s">
        <v>18</v>
      </c>
      <c r="L110" t="s">
        <v>3</v>
      </c>
      <c r="M110" t="s">
        <v>4</v>
      </c>
      <c r="N110" s="3" t="str">
        <f t="shared" si="2"/>
        <v>F</v>
      </c>
      <c r="O110" s="3" t="str">
        <f>IF(_xlfn.IFNA(MATCH(B110,Table1[UID],0),"F")="F","F","T")</f>
        <v>T</v>
      </c>
    </row>
    <row r="111" spans="2:15" x14ac:dyDescent="0.25">
      <c r="B111" s="42" t="str">
        <f t="shared" si="4"/>
        <v>AWO_61_NA3/APPLIED-WATER</v>
      </c>
      <c r="C111" t="s">
        <v>2530</v>
      </c>
      <c r="D111" t="s">
        <v>2531</v>
      </c>
      <c r="E111" t="s">
        <v>2554</v>
      </c>
      <c r="F111">
        <v>12</v>
      </c>
      <c r="G111" t="s">
        <v>2555</v>
      </c>
      <c r="H111" t="s">
        <v>0</v>
      </c>
      <c r="I111" t="s">
        <v>399</v>
      </c>
      <c r="J111" t="s">
        <v>18</v>
      </c>
      <c r="L111" t="s">
        <v>3</v>
      </c>
      <c r="M111" t="s">
        <v>4</v>
      </c>
      <c r="N111" s="3" t="str">
        <f t="shared" si="2"/>
        <v>F</v>
      </c>
      <c r="O111" s="3" t="str">
        <f>IF(_xlfn.IFNA(MATCH(B111,Table1[UID],0),"F")="F","F","T")</f>
        <v>T</v>
      </c>
    </row>
    <row r="112" spans="2:15" x14ac:dyDescent="0.25">
      <c r="B112" s="42" t="str">
        <f t="shared" si="4"/>
        <v>AWO_61_NA4/APPLIED-WATER</v>
      </c>
      <c r="C112" t="s">
        <v>2530</v>
      </c>
      <c r="D112" t="s">
        <v>2531</v>
      </c>
      <c r="E112" t="s">
        <v>2556</v>
      </c>
      <c r="F112">
        <v>13</v>
      </c>
      <c r="G112" t="s">
        <v>2557</v>
      </c>
      <c r="H112" t="s">
        <v>0</v>
      </c>
      <c r="I112" t="s">
        <v>400</v>
      </c>
      <c r="J112" t="s">
        <v>18</v>
      </c>
      <c r="L112" t="s">
        <v>3</v>
      </c>
      <c r="M112" t="s">
        <v>4</v>
      </c>
      <c r="N112" s="3" t="str">
        <f t="shared" si="2"/>
        <v>F</v>
      </c>
      <c r="O112" s="3" t="str">
        <f>IF(_xlfn.IFNA(MATCH(B112,Table1[UID],0),"F")="F","F","T")</f>
        <v>T</v>
      </c>
    </row>
    <row r="113" spans="2:15" x14ac:dyDescent="0.25">
      <c r="B113" s="42" t="str">
        <f t="shared" si="4"/>
        <v>AWO_61_NA5/APPLIED-WATER</v>
      </c>
      <c r="C113" t="s">
        <v>2530</v>
      </c>
      <c r="D113" t="s">
        <v>2531</v>
      </c>
      <c r="E113" t="s">
        <v>2558</v>
      </c>
      <c r="F113">
        <v>14</v>
      </c>
      <c r="G113" t="s">
        <v>2559</v>
      </c>
      <c r="H113" t="s">
        <v>0</v>
      </c>
      <c r="I113" t="s">
        <v>401</v>
      </c>
      <c r="J113" t="s">
        <v>18</v>
      </c>
      <c r="L113" t="s">
        <v>3</v>
      </c>
      <c r="M113" t="s">
        <v>4</v>
      </c>
      <c r="N113" s="3" t="str">
        <f t="shared" si="2"/>
        <v>F</v>
      </c>
      <c r="O113" s="3" t="str">
        <f>IF(_xlfn.IFNA(MATCH(B113,Table1[UID],0),"F")="F","F","T")</f>
        <v>T</v>
      </c>
    </row>
    <row r="114" spans="2:15" x14ac:dyDescent="0.25">
      <c r="B114" s="42" t="str">
        <f t="shared" si="4"/>
        <v>AWO_61_NA6/APPLIED-WATER</v>
      </c>
      <c r="C114" t="s">
        <v>2530</v>
      </c>
      <c r="D114" t="s">
        <v>2531</v>
      </c>
      <c r="E114" t="s">
        <v>2560</v>
      </c>
      <c r="F114">
        <v>15</v>
      </c>
      <c r="G114" t="s">
        <v>2561</v>
      </c>
      <c r="H114" t="s">
        <v>0</v>
      </c>
      <c r="I114" t="s">
        <v>402</v>
      </c>
      <c r="J114" t="s">
        <v>18</v>
      </c>
      <c r="L114" t="s">
        <v>3</v>
      </c>
      <c r="M114" t="s">
        <v>4</v>
      </c>
      <c r="N114" s="3" t="str">
        <f t="shared" si="2"/>
        <v>F</v>
      </c>
      <c r="O114" s="3" t="str">
        <f>IF(_xlfn.IFNA(MATCH(B114,Table1[UID],0),"F")="F","F","T")</f>
        <v>T</v>
      </c>
    </row>
    <row r="115" spans="2:15" x14ac:dyDescent="0.25">
      <c r="B115" s="42" t="str">
        <f t="shared" si="4"/>
        <v>AWO_61_PA1/APPLIED-WATER</v>
      </c>
      <c r="C115" t="s">
        <v>2530</v>
      </c>
      <c r="D115" t="s">
        <v>2531</v>
      </c>
      <c r="E115" t="s">
        <v>2562</v>
      </c>
      <c r="F115">
        <v>16</v>
      </c>
      <c r="G115" t="s">
        <v>2563</v>
      </c>
      <c r="H115" t="s">
        <v>0</v>
      </c>
      <c r="I115" t="s">
        <v>403</v>
      </c>
      <c r="J115" t="s">
        <v>18</v>
      </c>
      <c r="L115" t="s">
        <v>3</v>
      </c>
      <c r="M115" t="s">
        <v>4</v>
      </c>
      <c r="N115" s="3" t="str">
        <f t="shared" si="2"/>
        <v>F</v>
      </c>
      <c r="O115" s="3" t="str">
        <f>IF(_xlfn.IFNA(MATCH(B115,Table1[UID],0),"F")="F","F","T")</f>
        <v>T</v>
      </c>
    </row>
    <row r="116" spans="2:15" x14ac:dyDescent="0.25">
      <c r="B116" s="42" t="str">
        <f t="shared" si="4"/>
        <v>AWO_61_PA2/APPLIED-WATER</v>
      </c>
      <c r="C116" t="s">
        <v>2530</v>
      </c>
      <c r="D116" t="s">
        <v>2531</v>
      </c>
      <c r="E116" t="s">
        <v>2564</v>
      </c>
      <c r="F116">
        <v>17</v>
      </c>
      <c r="G116" t="s">
        <v>2565</v>
      </c>
      <c r="H116" t="s">
        <v>0</v>
      </c>
      <c r="I116" t="s">
        <v>404</v>
      </c>
      <c r="J116" t="s">
        <v>18</v>
      </c>
      <c r="L116" t="s">
        <v>3</v>
      </c>
      <c r="M116" t="s">
        <v>4</v>
      </c>
      <c r="N116" s="3" t="str">
        <f t="shared" si="2"/>
        <v>F</v>
      </c>
      <c r="O116" s="3" t="str">
        <f>IF(_xlfn.IFNA(MATCH(B116,Table1[UID],0),"F")="F","F","T")</f>
        <v>T</v>
      </c>
    </row>
    <row r="117" spans="2:15" x14ac:dyDescent="0.25">
      <c r="B117" s="42" t="str">
        <f t="shared" si="4"/>
        <v>AWO_61_PA3/APPLIED-WATER</v>
      </c>
      <c r="C117" t="s">
        <v>2530</v>
      </c>
      <c r="D117" t="s">
        <v>2531</v>
      </c>
      <c r="E117" t="s">
        <v>2566</v>
      </c>
      <c r="F117">
        <v>18</v>
      </c>
      <c r="G117" t="s">
        <v>2567</v>
      </c>
      <c r="H117" t="s">
        <v>0</v>
      </c>
      <c r="I117" t="s">
        <v>405</v>
      </c>
      <c r="J117" t="s">
        <v>18</v>
      </c>
      <c r="L117" t="s">
        <v>3</v>
      </c>
      <c r="M117" t="s">
        <v>4</v>
      </c>
      <c r="N117" s="3" t="str">
        <f t="shared" si="2"/>
        <v>F</v>
      </c>
      <c r="O117" s="3" t="str">
        <f>IF(_xlfn.IFNA(MATCH(B117,Table1[UID],0),"F")="F","F","T")</f>
        <v>T</v>
      </c>
    </row>
    <row r="118" spans="2:15" x14ac:dyDescent="0.25">
      <c r="B118" s="42" t="str">
        <f t="shared" si="4"/>
        <v>AWO_62_NA1/APPLIED-WATER</v>
      </c>
      <c r="C118" t="s">
        <v>2530</v>
      </c>
      <c r="D118" t="s">
        <v>2531</v>
      </c>
      <c r="E118" t="s">
        <v>2568</v>
      </c>
      <c r="F118">
        <v>19</v>
      </c>
      <c r="G118" t="s">
        <v>2569</v>
      </c>
      <c r="H118" t="s">
        <v>0</v>
      </c>
      <c r="I118" t="s">
        <v>406</v>
      </c>
      <c r="J118" t="s">
        <v>18</v>
      </c>
      <c r="L118" t="s">
        <v>3</v>
      </c>
      <c r="M118" t="s">
        <v>4</v>
      </c>
      <c r="N118" s="3" t="str">
        <f t="shared" si="2"/>
        <v>F</v>
      </c>
      <c r="O118" s="3" t="str">
        <f>IF(_xlfn.IFNA(MATCH(B118,Table1[UID],0),"F")="F","F","T")</f>
        <v>T</v>
      </c>
    </row>
    <row r="119" spans="2:15" x14ac:dyDescent="0.25">
      <c r="B119" s="42" t="str">
        <f t="shared" si="4"/>
        <v>AWO_62_NA2/APPLIED-WATER</v>
      </c>
      <c r="C119" t="s">
        <v>2530</v>
      </c>
      <c r="D119" t="s">
        <v>2531</v>
      </c>
      <c r="E119" t="s">
        <v>2570</v>
      </c>
      <c r="F119">
        <v>20</v>
      </c>
      <c r="G119" t="s">
        <v>2571</v>
      </c>
      <c r="H119" t="s">
        <v>0</v>
      </c>
      <c r="I119" t="s">
        <v>407</v>
      </c>
      <c r="J119" t="s">
        <v>18</v>
      </c>
      <c r="L119" t="s">
        <v>3</v>
      </c>
      <c r="M119" t="s">
        <v>4</v>
      </c>
      <c r="N119" s="3" t="str">
        <f t="shared" si="2"/>
        <v>F</v>
      </c>
      <c r="O119" s="3" t="str">
        <f>IF(_xlfn.IFNA(MATCH(B119,Table1[UID],0),"F")="F","F","T")</f>
        <v>T</v>
      </c>
    </row>
    <row r="120" spans="2:15" x14ac:dyDescent="0.25">
      <c r="B120" s="42" t="str">
        <f t="shared" si="4"/>
        <v>AWO_62_NA3/APPLIED-WATER</v>
      </c>
      <c r="C120" t="s">
        <v>2530</v>
      </c>
      <c r="D120" t="s">
        <v>2531</v>
      </c>
      <c r="E120" t="s">
        <v>2572</v>
      </c>
      <c r="F120">
        <v>21</v>
      </c>
      <c r="G120" t="s">
        <v>2573</v>
      </c>
      <c r="H120" t="s">
        <v>0</v>
      </c>
      <c r="I120" t="s">
        <v>408</v>
      </c>
      <c r="J120" t="s">
        <v>18</v>
      </c>
      <c r="L120" t="s">
        <v>3</v>
      </c>
      <c r="M120" t="s">
        <v>4</v>
      </c>
      <c r="N120" s="3" t="str">
        <f t="shared" si="2"/>
        <v>F</v>
      </c>
      <c r="O120" s="3" t="str">
        <f>IF(_xlfn.IFNA(MATCH(B120,Table1[UID],0),"F")="F","F","T")</f>
        <v>T</v>
      </c>
    </row>
    <row r="121" spans="2:15" x14ac:dyDescent="0.25">
      <c r="B121" s="42" t="str">
        <f t="shared" si="4"/>
        <v>AWO_62_NA4/APPLIED-WATER</v>
      </c>
      <c r="C121" t="s">
        <v>2530</v>
      </c>
      <c r="D121" t="s">
        <v>2531</v>
      </c>
      <c r="E121" t="s">
        <v>2574</v>
      </c>
      <c r="F121">
        <v>22</v>
      </c>
      <c r="G121" t="s">
        <v>2575</v>
      </c>
      <c r="H121" t="s">
        <v>0</v>
      </c>
      <c r="I121" t="s">
        <v>409</v>
      </c>
      <c r="J121" t="s">
        <v>18</v>
      </c>
      <c r="L121" t="s">
        <v>3</v>
      </c>
      <c r="M121" t="s">
        <v>4</v>
      </c>
      <c r="N121" s="3" t="str">
        <f t="shared" si="2"/>
        <v>F</v>
      </c>
      <c r="O121" s="3" t="str">
        <f>IF(_xlfn.IFNA(MATCH(B121,Table1[UID],0),"F")="F","F","T")</f>
        <v>T</v>
      </c>
    </row>
    <row r="122" spans="2:15" x14ac:dyDescent="0.25">
      <c r="B122" s="42" t="str">
        <f t="shared" si="4"/>
        <v>AWO_62_NA5/APPLIED-WATER</v>
      </c>
      <c r="C122" t="s">
        <v>2530</v>
      </c>
      <c r="D122" t="s">
        <v>2531</v>
      </c>
      <c r="E122" t="s">
        <v>2576</v>
      </c>
      <c r="F122">
        <v>23</v>
      </c>
      <c r="G122" t="s">
        <v>2577</v>
      </c>
      <c r="H122" t="s">
        <v>0</v>
      </c>
      <c r="I122" t="s">
        <v>410</v>
      </c>
      <c r="J122" t="s">
        <v>18</v>
      </c>
      <c r="L122" t="s">
        <v>3</v>
      </c>
      <c r="M122" t="s">
        <v>4</v>
      </c>
      <c r="N122" s="3" t="str">
        <f t="shared" si="2"/>
        <v>F</v>
      </c>
      <c r="O122" s="3" t="str">
        <f>IF(_xlfn.IFNA(MATCH(B122,Table1[UID],0),"F")="F","F","T")</f>
        <v>T</v>
      </c>
    </row>
    <row r="123" spans="2:15" x14ac:dyDescent="0.25">
      <c r="B123" s="42" t="str">
        <f t="shared" si="4"/>
        <v>AWO_62_NA6/APPLIED-WATER</v>
      </c>
      <c r="C123" t="s">
        <v>2530</v>
      </c>
      <c r="D123" t="s">
        <v>2531</v>
      </c>
      <c r="E123" t="s">
        <v>2578</v>
      </c>
      <c r="F123">
        <v>24</v>
      </c>
      <c r="G123" t="s">
        <v>2579</v>
      </c>
      <c r="H123" t="s">
        <v>0</v>
      </c>
      <c r="I123" t="s">
        <v>411</v>
      </c>
      <c r="J123" t="s">
        <v>18</v>
      </c>
      <c r="L123" t="s">
        <v>3</v>
      </c>
      <c r="M123" t="s">
        <v>4</v>
      </c>
      <c r="N123" s="3" t="str">
        <f t="shared" si="2"/>
        <v>F</v>
      </c>
      <c r="O123" s="3" t="str">
        <f>IF(_xlfn.IFNA(MATCH(B123,Table1[UID],0),"F")="F","F","T")</f>
        <v>T</v>
      </c>
    </row>
    <row r="124" spans="2:15" x14ac:dyDescent="0.25">
      <c r="B124" s="42" t="str">
        <f t="shared" si="4"/>
        <v>AWO_63_NA1/APPLIED-WATER</v>
      </c>
      <c r="C124" t="s">
        <v>2530</v>
      </c>
      <c r="D124" t="s">
        <v>2531</v>
      </c>
      <c r="E124" t="s">
        <v>2580</v>
      </c>
      <c r="F124">
        <v>25</v>
      </c>
      <c r="G124" t="s">
        <v>2581</v>
      </c>
      <c r="H124" t="s">
        <v>0</v>
      </c>
      <c r="I124" t="s">
        <v>412</v>
      </c>
      <c r="J124" t="s">
        <v>18</v>
      </c>
      <c r="L124" t="s">
        <v>3</v>
      </c>
      <c r="M124" t="s">
        <v>4</v>
      </c>
      <c r="N124" s="3" t="str">
        <f t="shared" si="2"/>
        <v>F</v>
      </c>
      <c r="O124" s="3" t="str">
        <f>IF(_xlfn.IFNA(MATCH(B124,Table1[UID],0),"F")="F","F","T")</f>
        <v>T</v>
      </c>
    </row>
    <row r="125" spans="2:15" x14ac:dyDescent="0.25">
      <c r="B125" s="42" t="str">
        <f t="shared" si="4"/>
        <v>AWO_63_NA2/APPLIED-WATER</v>
      </c>
      <c r="C125" t="s">
        <v>2530</v>
      </c>
      <c r="D125" t="s">
        <v>2531</v>
      </c>
      <c r="E125" t="s">
        <v>2582</v>
      </c>
      <c r="F125">
        <v>26</v>
      </c>
      <c r="G125" t="s">
        <v>2583</v>
      </c>
      <c r="H125" t="s">
        <v>0</v>
      </c>
      <c r="I125" t="s">
        <v>413</v>
      </c>
      <c r="J125" t="s">
        <v>18</v>
      </c>
      <c r="L125" t="s">
        <v>3</v>
      </c>
      <c r="M125" t="s">
        <v>4</v>
      </c>
      <c r="N125" s="3" t="str">
        <f t="shared" si="2"/>
        <v>F</v>
      </c>
      <c r="O125" s="3" t="str">
        <f>IF(_xlfn.IFNA(MATCH(B125,Table1[UID],0),"F")="F","F","T")</f>
        <v>T</v>
      </c>
    </row>
    <row r="126" spans="2:15" x14ac:dyDescent="0.25">
      <c r="B126" s="42" t="str">
        <f t="shared" si="4"/>
        <v>AWO_63_NA3/APPLIED-WATER</v>
      </c>
      <c r="C126" t="s">
        <v>2530</v>
      </c>
      <c r="D126" t="s">
        <v>2531</v>
      </c>
      <c r="E126" t="s">
        <v>2584</v>
      </c>
      <c r="F126">
        <v>27</v>
      </c>
      <c r="G126" t="s">
        <v>2585</v>
      </c>
      <c r="H126" t="s">
        <v>0</v>
      </c>
      <c r="I126" t="s">
        <v>414</v>
      </c>
      <c r="J126" t="s">
        <v>18</v>
      </c>
      <c r="L126" t="s">
        <v>3</v>
      </c>
      <c r="M126" t="s">
        <v>4</v>
      </c>
      <c r="N126" s="3" t="str">
        <f t="shared" si="2"/>
        <v>F</v>
      </c>
      <c r="O126" s="3" t="str">
        <f>IF(_xlfn.IFNA(MATCH(B126,Table1[UID],0),"F")="F","F","T")</f>
        <v>T</v>
      </c>
    </row>
    <row r="127" spans="2:15" x14ac:dyDescent="0.25">
      <c r="B127" s="42" t="str">
        <f t="shared" si="4"/>
        <v>AWO_63_NA4/APPLIED-WATER</v>
      </c>
      <c r="C127" t="s">
        <v>2530</v>
      </c>
      <c r="D127" t="s">
        <v>2531</v>
      </c>
      <c r="E127" t="s">
        <v>2586</v>
      </c>
      <c r="F127">
        <v>28</v>
      </c>
      <c r="G127" t="s">
        <v>2587</v>
      </c>
      <c r="H127" t="s">
        <v>0</v>
      </c>
      <c r="I127" t="s">
        <v>415</v>
      </c>
      <c r="J127" t="s">
        <v>18</v>
      </c>
      <c r="L127" t="s">
        <v>3</v>
      </c>
      <c r="M127" t="s">
        <v>4</v>
      </c>
      <c r="N127" s="3" t="str">
        <f t="shared" si="2"/>
        <v>F</v>
      </c>
      <c r="O127" s="3" t="str">
        <f>IF(_xlfn.IFNA(MATCH(B127,Table1[UID],0),"F")="F","F","T")</f>
        <v>T</v>
      </c>
    </row>
    <row r="128" spans="2:15" x14ac:dyDescent="0.25">
      <c r="B128" s="42" t="str">
        <f t="shared" si="4"/>
        <v>AWO_63_NA5/APPLIED-WATER</v>
      </c>
      <c r="C128" t="s">
        <v>2530</v>
      </c>
      <c r="D128" t="s">
        <v>2531</v>
      </c>
      <c r="E128" t="s">
        <v>2588</v>
      </c>
      <c r="F128">
        <v>29</v>
      </c>
      <c r="G128" t="s">
        <v>2589</v>
      </c>
      <c r="H128" t="s">
        <v>0</v>
      </c>
      <c r="I128" t="s">
        <v>416</v>
      </c>
      <c r="J128" t="s">
        <v>18</v>
      </c>
      <c r="L128" t="s">
        <v>3</v>
      </c>
      <c r="M128" t="s">
        <v>4</v>
      </c>
      <c r="N128" s="3" t="str">
        <f t="shared" si="2"/>
        <v>F</v>
      </c>
      <c r="O128" s="3" t="str">
        <f>IF(_xlfn.IFNA(MATCH(B128,Table1[UID],0),"F")="F","F","T")</f>
        <v>T</v>
      </c>
    </row>
    <row r="129" spans="2:15" x14ac:dyDescent="0.25">
      <c r="B129" s="42" t="str">
        <f t="shared" si="4"/>
        <v>AWO_63_PR1/APPLIED-WATER</v>
      </c>
      <c r="C129" t="s">
        <v>2530</v>
      </c>
      <c r="D129" t="s">
        <v>2531</v>
      </c>
      <c r="E129" t="s">
        <v>2590</v>
      </c>
      <c r="F129">
        <v>30</v>
      </c>
      <c r="G129" t="s">
        <v>2591</v>
      </c>
      <c r="H129" t="s">
        <v>0</v>
      </c>
      <c r="I129" t="s">
        <v>417</v>
      </c>
      <c r="J129" t="s">
        <v>18</v>
      </c>
      <c r="L129" t="s">
        <v>3</v>
      </c>
      <c r="M129" t="s">
        <v>4</v>
      </c>
      <c r="N129" s="3" t="str">
        <f t="shared" si="2"/>
        <v>F</v>
      </c>
      <c r="O129" s="3" t="str">
        <f>IF(_xlfn.IFNA(MATCH(B129,Table1[UID],0),"F")="F","F","T")</f>
        <v>T</v>
      </c>
    </row>
    <row r="130" spans="2:15" x14ac:dyDescent="0.25">
      <c r="B130" s="42" t="str">
        <f t="shared" si="4"/>
        <v>AWO_63_PR2/APPLIED-WATER</v>
      </c>
      <c r="C130" t="s">
        <v>2530</v>
      </c>
      <c r="D130" t="s">
        <v>2531</v>
      </c>
      <c r="E130" t="s">
        <v>2592</v>
      </c>
      <c r="F130">
        <v>31</v>
      </c>
      <c r="G130" t="s">
        <v>2593</v>
      </c>
      <c r="H130" t="s">
        <v>0</v>
      </c>
      <c r="I130" t="s">
        <v>418</v>
      </c>
      <c r="J130" t="s">
        <v>18</v>
      </c>
      <c r="L130" t="s">
        <v>3</v>
      </c>
      <c r="M130" t="s">
        <v>4</v>
      </c>
      <c r="N130" s="3" t="str">
        <f t="shared" si="2"/>
        <v>F</v>
      </c>
      <c r="O130" s="3" t="str">
        <f>IF(_xlfn.IFNA(MATCH(B130,Table1[UID],0),"F")="F","F","T")</f>
        <v>T</v>
      </c>
    </row>
    <row r="131" spans="2:15" x14ac:dyDescent="0.25">
      <c r="B131" s="42" t="str">
        <f t="shared" si="4"/>
        <v>AWO_63_PR3/APPLIED-WATER</v>
      </c>
      <c r="C131" t="s">
        <v>2530</v>
      </c>
      <c r="D131" t="s">
        <v>2531</v>
      </c>
      <c r="E131" t="s">
        <v>2594</v>
      </c>
      <c r="F131">
        <v>32</v>
      </c>
      <c r="G131" t="s">
        <v>2595</v>
      </c>
      <c r="H131" t="s">
        <v>0</v>
      </c>
      <c r="I131" t="s">
        <v>419</v>
      </c>
      <c r="J131" t="s">
        <v>18</v>
      </c>
      <c r="L131" t="s">
        <v>3</v>
      </c>
      <c r="M131" t="s">
        <v>4</v>
      </c>
      <c r="N131" s="3" t="str">
        <f t="shared" ref="N131:N194" si="5">IF(COUNTIF($B$3:$B$1760,"="&amp;B131)&gt;1,"T","F")</f>
        <v>F</v>
      </c>
      <c r="O131" s="3" t="str">
        <f>IF(_xlfn.IFNA(MATCH(B131,Table1[UID],0),"F")="F","F","T")</f>
        <v>T</v>
      </c>
    </row>
    <row r="132" spans="2:15" x14ac:dyDescent="0.25">
      <c r="B132" s="42" t="str">
        <f t="shared" si="4"/>
        <v>AWO_64_NA1/APPLIED-WATER</v>
      </c>
      <c r="C132" t="s">
        <v>2530</v>
      </c>
      <c r="D132" t="s">
        <v>2531</v>
      </c>
      <c r="E132" t="s">
        <v>2596</v>
      </c>
      <c r="F132">
        <v>33</v>
      </c>
      <c r="G132" t="s">
        <v>2597</v>
      </c>
      <c r="H132" t="s">
        <v>0</v>
      </c>
      <c r="I132" t="s">
        <v>420</v>
      </c>
      <c r="J132" t="s">
        <v>18</v>
      </c>
      <c r="L132" t="s">
        <v>3</v>
      </c>
      <c r="M132" t="s">
        <v>4</v>
      </c>
      <c r="N132" s="3" t="str">
        <f t="shared" si="5"/>
        <v>F</v>
      </c>
      <c r="O132" s="3" t="str">
        <f>IF(_xlfn.IFNA(MATCH(B132,Table1[UID],0),"F")="F","F","T")</f>
        <v>T</v>
      </c>
    </row>
    <row r="133" spans="2:15" x14ac:dyDescent="0.25">
      <c r="B133" s="42" t="str">
        <f t="shared" si="4"/>
        <v>AWO_64_NA2/APPLIED-WATER</v>
      </c>
      <c r="C133" t="s">
        <v>2530</v>
      </c>
      <c r="D133" t="s">
        <v>2531</v>
      </c>
      <c r="E133" t="s">
        <v>2598</v>
      </c>
      <c r="F133">
        <v>34</v>
      </c>
      <c r="G133" t="s">
        <v>2599</v>
      </c>
      <c r="H133" t="s">
        <v>0</v>
      </c>
      <c r="I133" t="s">
        <v>421</v>
      </c>
      <c r="J133" t="s">
        <v>18</v>
      </c>
      <c r="L133" t="s">
        <v>3</v>
      </c>
      <c r="M133" t="s">
        <v>4</v>
      </c>
      <c r="N133" s="3" t="str">
        <f t="shared" si="5"/>
        <v>F</v>
      </c>
      <c r="O133" s="3" t="str">
        <f>IF(_xlfn.IFNA(MATCH(B133,Table1[UID],0),"F")="F","F","T")</f>
        <v>T</v>
      </c>
    </row>
    <row r="134" spans="2:15" x14ac:dyDescent="0.25">
      <c r="B134" s="42" t="str">
        <f t="shared" si="4"/>
        <v>AWO_64_PA1/APPLIED-WATER</v>
      </c>
      <c r="C134" t="s">
        <v>2530</v>
      </c>
      <c r="D134" t="s">
        <v>2531</v>
      </c>
      <c r="E134" t="s">
        <v>2600</v>
      </c>
      <c r="F134">
        <v>35</v>
      </c>
      <c r="G134" t="s">
        <v>2601</v>
      </c>
      <c r="H134" t="s">
        <v>0</v>
      </c>
      <c r="I134" t="s">
        <v>422</v>
      </c>
      <c r="J134" t="s">
        <v>18</v>
      </c>
      <c r="L134" t="s">
        <v>3</v>
      </c>
      <c r="M134" t="s">
        <v>4</v>
      </c>
      <c r="N134" s="3" t="str">
        <f t="shared" si="5"/>
        <v>F</v>
      </c>
      <c r="O134" s="3" t="str">
        <f>IF(_xlfn.IFNA(MATCH(B134,Table1[UID],0),"F")="F","F","T")</f>
        <v>T</v>
      </c>
    </row>
    <row r="135" spans="2:15" x14ac:dyDescent="0.25">
      <c r="B135" s="42" t="str">
        <f t="shared" si="4"/>
        <v>AWO_64_PA2/APPLIED-WATER</v>
      </c>
      <c r="C135" t="s">
        <v>2530</v>
      </c>
      <c r="D135" t="s">
        <v>2531</v>
      </c>
      <c r="E135" t="s">
        <v>2602</v>
      </c>
      <c r="F135">
        <v>36</v>
      </c>
      <c r="G135" t="s">
        <v>2603</v>
      </c>
      <c r="H135" t="s">
        <v>0</v>
      </c>
      <c r="I135" t="s">
        <v>423</v>
      </c>
      <c r="J135" t="s">
        <v>18</v>
      </c>
      <c r="L135" t="s">
        <v>3</v>
      </c>
      <c r="M135" t="s">
        <v>4</v>
      </c>
      <c r="N135" s="3" t="str">
        <f t="shared" si="5"/>
        <v>F</v>
      </c>
      <c r="O135" s="3" t="str">
        <f>IF(_xlfn.IFNA(MATCH(B135,Table1[UID],0),"F")="F","F","T")</f>
        <v>T</v>
      </c>
    </row>
    <row r="136" spans="2:15" x14ac:dyDescent="0.25">
      <c r="B136" s="42" t="str">
        <f t="shared" si="4"/>
        <v>AWO_64_PA3/APPLIED-WATER</v>
      </c>
      <c r="C136" t="s">
        <v>2530</v>
      </c>
      <c r="D136" t="s">
        <v>2531</v>
      </c>
      <c r="E136" t="s">
        <v>2604</v>
      </c>
      <c r="F136">
        <v>37</v>
      </c>
      <c r="G136" t="s">
        <v>2605</v>
      </c>
      <c r="H136" t="s">
        <v>0</v>
      </c>
      <c r="I136" t="s">
        <v>424</v>
      </c>
      <c r="J136" t="s">
        <v>18</v>
      </c>
      <c r="L136" t="s">
        <v>3</v>
      </c>
      <c r="M136" t="s">
        <v>4</v>
      </c>
      <c r="N136" s="3" t="str">
        <f t="shared" si="5"/>
        <v>F</v>
      </c>
      <c r="O136" s="3" t="str">
        <f>IF(_xlfn.IFNA(MATCH(B136,Table1[UID],0),"F")="F","F","T")</f>
        <v>T</v>
      </c>
    </row>
    <row r="137" spans="2:15" x14ac:dyDescent="0.25">
      <c r="B137" s="42" t="str">
        <f t="shared" ref="B137:B200" si="6">_xlfn.CONCAT(I137,"/",J137)</f>
        <v>AWO_71_NA1/APPLIED-WATER</v>
      </c>
      <c r="C137" t="s">
        <v>2530</v>
      </c>
      <c r="D137" t="s">
        <v>2531</v>
      </c>
      <c r="E137" t="s">
        <v>2606</v>
      </c>
      <c r="F137">
        <v>38</v>
      </c>
      <c r="G137" t="s">
        <v>2607</v>
      </c>
      <c r="H137" t="s">
        <v>0</v>
      </c>
      <c r="I137" t="s">
        <v>426</v>
      </c>
      <c r="J137" t="s">
        <v>18</v>
      </c>
      <c r="L137" t="s">
        <v>3</v>
      </c>
      <c r="M137" t="s">
        <v>4</v>
      </c>
      <c r="N137" s="3" t="str">
        <f t="shared" si="5"/>
        <v>F</v>
      </c>
      <c r="O137" s="3" t="str">
        <f>IF(_xlfn.IFNA(MATCH(B137,Table1[UID],0),"F")="F","F","T")</f>
        <v>T</v>
      </c>
    </row>
    <row r="138" spans="2:15" x14ac:dyDescent="0.25">
      <c r="B138" s="42" t="str">
        <f t="shared" si="6"/>
        <v>AWO_71_NA2/APPLIED-WATER</v>
      </c>
      <c r="C138" t="s">
        <v>2530</v>
      </c>
      <c r="D138" t="s">
        <v>2531</v>
      </c>
      <c r="E138" t="s">
        <v>2608</v>
      </c>
      <c r="F138">
        <v>39</v>
      </c>
      <c r="G138" t="s">
        <v>2609</v>
      </c>
      <c r="H138" t="s">
        <v>0</v>
      </c>
      <c r="I138" t="s">
        <v>427</v>
      </c>
      <c r="J138" t="s">
        <v>18</v>
      </c>
      <c r="L138" t="s">
        <v>3</v>
      </c>
      <c r="M138" t="s">
        <v>4</v>
      </c>
      <c r="N138" s="3" t="str">
        <f t="shared" si="5"/>
        <v>F</v>
      </c>
      <c r="O138" s="3" t="str">
        <f>IF(_xlfn.IFNA(MATCH(B138,Table1[UID],0),"F")="F","F","T")</f>
        <v>T</v>
      </c>
    </row>
    <row r="139" spans="2:15" x14ac:dyDescent="0.25">
      <c r="B139" s="42" t="str">
        <f t="shared" si="6"/>
        <v>AWO_71_NA3/APPLIED-WATER</v>
      </c>
      <c r="C139" t="s">
        <v>2530</v>
      </c>
      <c r="D139" t="s">
        <v>2531</v>
      </c>
      <c r="E139" t="s">
        <v>2610</v>
      </c>
      <c r="F139">
        <v>40</v>
      </c>
      <c r="G139" t="s">
        <v>2611</v>
      </c>
      <c r="H139" t="s">
        <v>0</v>
      </c>
      <c r="I139" t="s">
        <v>428</v>
      </c>
      <c r="J139" t="s">
        <v>18</v>
      </c>
      <c r="L139" t="s">
        <v>3</v>
      </c>
      <c r="M139" t="s">
        <v>4</v>
      </c>
      <c r="N139" s="3" t="str">
        <f t="shared" si="5"/>
        <v>F</v>
      </c>
      <c r="O139" s="3" t="str">
        <f>IF(_xlfn.IFNA(MATCH(B139,Table1[UID],0),"F")="F","F","T")</f>
        <v>T</v>
      </c>
    </row>
    <row r="140" spans="2:15" x14ac:dyDescent="0.25">
      <c r="B140" s="42" t="str">
        <f t="shared" si="6"/>
        <v>AWO_72_NA1/APPLIED-WATER</v>
      </c>
      <c r="C140" t="s">
        <v>2530</v>
      </c>
      <c r="D140" t="s">
        <v>2531</v>
      </c>
      <c r="E140" t="s">
        <v>2612</v>
      </c>
      <c r="F140">
        <v>41</v>
      </c>
      <c r="G140" t="s">
        <v>2613</v>
      </c>
      <c r="H140" t="s">
        <v>0</v>
      </c>
      <c r="I140" t="s">
        <v>437</v>
      </c>
      <c r="J140" t="s">
        <v>18</v>
      </c>
      <c r="L140" t="s">
        <v>3</v>
      </c>
      <c r="M140" t="s">
        <v>4</v>
      </c>
      <c r="N140" s="3" t="str">
        <f t="shared" si="5"/>
        <v>F</v>
      </c>
      <c r="O140" s="3" t="str">
        <f>IF(_xlfn.IFNA(MATCH(B140,Table1[UID],0),"F")="F","F","T")</f>
        <v>T</v>
      </c>
    </row>
    <row r="141" spans="2:15" x14ac:dyDescent="0.25">
      <c r="B141" s="42" t="str">
        <f t="shared" si="6"/>
        <v>AWO_72_NA2/APPLIED-WATER</v>
      </c>
      <c r="C141" t="s">
        <v>2530</v>
      </c>
      <c r="D141" t="s">
        <v>2531</v>
      </c>
      <c r="E141" t="s">
        <v>2614</v>
      </c>
      <c r="F141">
        <v>42</v>
      </c>
      <c r="G141" t="s">
        <v>2615</v>
      </c>
      <c r="H141" t="s">
        <v>0</v>
      </c>
      <c r="I141" t="s">
        <v>438</v>
      </c>
      <c r="J141" t="s">
        <v>18</v>
      </c>
      <c r="L141" t="s">
        <v>3</v>
      </c>
      <c r="M141" t="s">
        <v>4</v>
      </c>
      <c r="N141" s="3" t="str">
        <f t="shared" si="5"/>
        <v>F</v>
      </c>
      <c r="O141" s="3" t="str">
        <f>IF(_xlfn.IFNA(MATCH(B141,Table1[UID],0),"F")="F","F","T")</f>
        <v>T</v>
      </c>
    </row>
    <row r="142" spans="2:15" x14ac:dyDescent="0.25">
      <c r="B142" s="42" t="str">
        <f t="shared" si="6"/>
        <v>AWO_73_NA/APPLIED-WATER</v>
      </c>
      <c r="C142" t="s">
        <v>2530</v>
      </c>
      <c r="D142" t="s">
        <v>2531</v>
      </c>
      <c r="E142" t="s">
        <v>2616</v>
      </c>
      <c r="F142">
        <v>43</v>
      </c>
      <c r="G142" t="s">
        <v>2617</v>
      </c>
      <c r="H142" t="s">
        <v>0</v>
      </c>
      <c r="I142" t="s">
        <v>449</v>
      </c>
      <c r="J142" t="s">
        <v>18</v>
      </c>
      <c r="L142" t="s">
        <v>3</v>
      </c>
      <c r="M142" t="s">
        <v>4</v>
      </c>
      <c r="N142" s="3" t="str">
        <f t="shared" si="5"/>
        <v>F</v>
      </c>
      <c r="O142" s="3" t="str">
        <f>IF(_xlfn.IFNA(MATCH(B142,Table1[UID],0),"F")="F","F","T")</f>
        <v>T</v>
      </c>
    </row>
    <row r="143" spans="2:15" x14ac:dyDescent="0.25">
      <c r="B143" s="42" t="str">
        <f t="shared" si="6"/>
        <v>AWO_90_NA/APPLIED-WATER</v>
      </c>
      <c r="C143" t="s">
        <v>2530</v>
      </c>
      <c r="D143" t="s">
        <v>2531</v>
      </c>
      <c r="E143" t="s">
        <v>2618</v>
      </c>
      <c r="F143">
        <v>44</v>
      </c>
      <c r="G143" t="s">
        <v>2619</v>
      </c>
      <c r="H143" t="s">
        <v>0</v>
      </c>
      <c r="I143" t="s">
        <v>454</v>
      </c>
      <c r="J143" t="s">
        <v>18</v>
      </c>
      <c r="L143" t="s">
        <v>3</v>
      </c>
      <c r="M143" t="s">
        <v>4</v>
      </c>
      <c r="N143" s="3" t="str">
        <f t="shared" si="5"/>
        <v>F</v>
      </c>
      <c r="O143" s="3" t="str">
        <f>IF(_xlfn.IFNA(MATCH(B143,Table1[UID],0),"F")="F","F","T")</f>
        <v>T</v>
      </c>
    </row>
    <row r="144" spans="2:15" x14ac:dyDescent="0.25">
      <c r="B144" s="42" t="str">
        <f t="shared" si="6"/>
        <v>AWR_60N_NA1/APPLIED-WATER</v>
      </c>
      <c r="C144" t="s">
        <v>2530</v>
      </c>
      <c r="D144" t="s">
        <v>2531</v>
      </c>
      <c r="E144" t="s">
        <v>2620</v>
      </c>
      <c r="F144">
        <v>45</v>
      </c>
      <c r="G144" t="s">
        <v>2621</v>
      </c>
      <c r="H144" t="s">
        <v>0</v>
      </c>
      <c r="I144" t="s">
        <v>541</v>
      </c>
      <c r="J144" t="s">
        <v>18</v>
      </c>
      <c r="L144" t="s">
        <v>3</v>
      </c>
      <c r="M144" t="s">
        <v>4</v>
      </c>
      <c r="N144" s="3" t="str">
        <f t="shared" si="5"/>
        <v>F</v>
      </c>
      <c r="O144" s="3" t="str">
        <f>IF(_xlfn.IFNA(MATCH(B144,Table1[UID],0),"F")="F","F","T")</f>
        <v>T</v>
      </c>
    </row>
    <row r="145" spans="2:15" x14ac:dyDescent="0.25">
      <c r="B145" s="42" t="str">
        <f t="shared" si="6"/>
        <v>AWR_60N_NA2/APPLIED-WATER</v>
      </c>
      <c r="C145" t="s">
        <v>2530</v>
      </c>
      <c r="D145" t="s">
        <v>2531</v>
      </c>
      <c r="E145" t="s">
        <v>2622</v>
      </c>
      <c r="F145">
        <v>46</v>
      </c>
      <c r="G145" t="s">
        <v>2623</v>
      </c>
      <c r="H145" t="s">
        <v>0</v>
      </c>
      <c r="I145" t="s">
        <v>542</v>
      </c>
      <c r="J145" t="s">
        <v>18</v>
      </c>
      <c r="L145" t="s">
        <v>3</v>
      </c>
      <c r="M145" t="s">
        <v>4</v>
      </c>
      <c r="N145" s="3" t="str">
        <f t="shared" si="5"/>
        <v>F</v>
      </c>
      <c r="O145" s="3" t="str">
        <f>IF(_xlfn.IFNA(MATCH(B145,Table1[UID],0),"F")="F","F","T")</f>
        <v>T</v>
      </c>
    </row>
    <row r="146" spans="2:15" x14ac:dyDescent="0.25">
      <c r="B146" s="42" t="str">
        <f t="shared" si="6"/>
        <v>AWR_60N_NA3/APPLIED-WATER</v>
      </c>
      <c r="C146" t="s">
        <v>2530</v>
      </c>
      <c r="D146" t="s">
        <v>2531</v>
      </c>
      <c r="E146" t="s">
        <v>2624</v>
      </c>
      <c r="F146">
        <v>47</v>
      </c>
      <c r="G146" t="s">
        <v>2625</v>
      </c>
      <c r="H146" t="s">
        <v>0</v>
      </c>
      <c r="I146" t="s">
        <v>543</v>
      </c>
      <c r="J146" t="s">
        <v>18</v>
      </c>
      <c r="L146" t="s">
        <v>3</v>
      </c>
      <c r="M146" t="s">
        <v>4</v>
      </c>
      <c r="N146" s="3" t="str">
        <f t="shared" si="5"/>
        <v>F</v>
      </c>
      <c r="O146" s="3" t="str">
        <f>IF(_xlfn.IFNA(MATCH(B146,Table1[UID],0),"F")="F","F","T")</f>
        <v>T</v>
      </c>
    </row>
    <row r="147" spans="2:15" x14ac:dyDescent="0.25">
      <c r="B147" s="42" t="str">
        <f t="shared" si="6"/>
        <v>AWR_60N_NA4/APPLIED-WATER</v>
      </c>
      <c r="C147" t="s">
        <v>2530</v>
      </c>
      <c r="D147" t="s">
        <v>2531</v>
      </c>
      <c r="E147" t="s">
        <v>2626</v>
      </c>
      <c r="F147">
        <v>48</v>
      </c>
      <c r="G147" t="s">
        <v>2627</v>
      </c>
      <c r="H147" t="s">
        <v>0</v>
      </c>
      <c r="I147" t="s">
        <v>544</v>
      </c>
      <c r="J147" t="s">
        <v>18</v>
      </c>
      <c r="L147" t="s">
        <v>3</v>
      </c>
      <c r="M147" t="s">
        <v>4</v>
      </c>
      <c r="N147" s="3" t="str">
        <f t="shared" si="5"/>
        <v>F</v>
      </c>
      <c r="O147" s="3" t="str">
        <f>IF(_xlfn.IFNA(MATCH(B147,Table1[UID],0),"F")="F","F","T")</f>
        <v>T</v>
      </c>
    </row>
    <row r="148" spans="2:15" x14ac:dyDescent="0.25">
      <c r="B148" s="42" t="str">
        <f t="shared" si="6"/>
        <v>AWR_60N_NA5/APPLIED-WATER</v>
      </c>
      <c r="C148" t="s">
        <v>2530</v>
      </c>
      <c r="D148" t="s">
        <v>2531</v>
      </c>
      <c r="E148" t="s">
        <v>2628</v>
      </c>
      <c r="F148">
        <v>49</v>
      </c>
      <c r="G148" t="s">
        <v>2629</v>
      </c>
      <c r="H148" t="s">
        <v>0</v>
      </c>
      <c r="I148" t="s">
        <v>545</v>
      </c>
      <c r="J148" t="s">
        <v>18</v>
      </c>
      <c r="L148" t="s">
        <v>3</v>
      </c>
      <c r="M148" t="s">
        <v>4</v>
      </c>
      <c r="N148" s="3" t="str">
        <f t="shared" si="5"/>
        <v>F</v>
      </c>
      <c r="O148" s="3" t="str">
        <f>IF(_xlfn.IFNA(MATCH(B148,Table1[UID],0),"F")="F","F","T")</f>
        <v>T</v>
      </c>
    </row>
    <row r="149" spans="2:15" x14ac:dyDescent="0.25">
      <c r="B149" s="42" t="str">
        <f t="shared" si="6"/>
        <v>AWR_60S_NA1/APPLIED-WATER</v>
      </c>
      <c r="C149" t="s">
        <v>2530</v>
      </c>
      <c r="D149" t="s">
        <v>2531</v>
      </c>
      <c r="E149" t="s">
        <v>2630</v>
      </c>
      <c r="F149">
        <v>50</v>
      </c>
      <c r="G149" t="s">
        <v>2631</v>
      </c>
      <c r="H149" t="s">
        <v>0</v>
      </c>
      <c r="I149" t="s">
        <v>546</v>
      </c>
      <c r="J149" t="s">
        <v>18</v>
      </c>
      <c r="L149" t="s">
        <v>3</v>
      </c>
      <c r="M149" t="s">
        <v>4</v>
      </c>
      <c r="N149" s="3" t="str">
        <f t="shared" si="5"/>
        <v>F</v>
      </c>
      <c r="O149" s="3" t="str">
        <f>IF(_xlfn.IFNA(MATCH(B149,Table1[UID],0),"F")="F","F","T")</f>
        <v>T</v>
      </c>
    </row>
    <row r="150" spans="2:15" x14ac:dyDescent="0.25">
      <c r="B150" s="42" t="str">
        <f t="shared" si="6"/>
        <v>AWR_60S_NA2/APPLIED-WATER</v>
      </c>
      <c r="C150" t="s">
        <v>2530</v>
      </c>
      <c r="D150" t="s">
        <v>2531</v>
      </c>
      <c r="E150" t="s">
        <v>2632</v>
      </c>
      <c r="F150">
        <v>51</v>
      </c>
      <c r="G150" t="s">
        <v>2633</v>
      </c>
      <c r="H150" t="s">
        <v>0</v>
      </c>
      <c r="I150" t="s">
        <v>547</v>
      </c>
      <c r="J150" t="s">
        <v>18</v>
      </c>
      <c r="L150" t="s">
        <v>3</v>
      </c>
      <c r="M150" t="s">
        <v>4</v>
      </c>
      <c r="N150" s="3" t="str">
        <f t="shared" si="5"/>
        <v>F</v>
      </c>
      <c r="O150" s="3" t="str">
        <f>IF(_xlfn.IFNA(MATCH(B150,Table1[UID],0),"F")="F","F","T")</f>
        <v>T</v>
      </c>
    </row>
    <row r="151" spans="2:15" x14ac:dyDescent="0.25">
      <c r="B151" s="42" t="str">
        <f t="shared" si="6"/>
        <v>AWR_60S_PA1/APPLIED-WATER</v>
      </c>
      <c r="C151" t="s">
        <v>2530</v>
      </c>
      <c r="D151" t="s">
        <v>2531</v>
      </c>
      <c r="E151" t="s">
        <v>2634</v>
      </c>
      <c r="F151">
        <v>52</v>
      </c>
      <c r="G151" t="s">
        <v>2635</v>
      </c>
      <c r="H151" t="s">
        <v>0</v>
      </c>
      <c r="I151" t="s">
        <v>548</v>
      </c>
      <c r="J151" t="s">
        <v>18</v>
      </c>
      <c r="L151" t="s">
        <v>3</v>
      </c>
      <c r="M151" t="s">
        <v>4</v>
      </c>
      <c r="N151" s="3" t="str">
        <f t="shared" si="5"/>
        <v>F</v>
      </c>
      <c r="O151" s="3" t="str">
        <f>IF(_xlfn.IFNA(MATCH(B151,Table1[UID],0),"F")="F","F","T")</f>
        <v>T</v>
      </c>
    </row>
    <row r="152" spans="2:15" x14ac:dyDescent="0.25">
      <c r="B152" s="42" t="str">
        <f t="shared" si="6"/>
        <v>AWR_60S_PA2/APPLIED-WATER</v>
      </c>
      <c r="C152" t="s">
        <v>2530</v>
      </c>
      <c r="D152" t="s">
        <v>2531</v>
      </c>
      <c r="E152" t="s">
        <v>2636</v>
      </c>
      <c r="F152">
        <v>53</v>
      </c>
      <c r="G152" t="s">
        <v>2637</v>
      </c>
      <c r="H152" t="s">
        <v>0</v>
      </c>
      <c r="I152" t="s">
        <v>549</v>
      </c>
      <c r="J152" t="s">
        <v>18</v>
      </c>
      <c r="L152" t="s">
        <v>3</v>
      </c>
      <c r="M152" t="s">
        <v>4</v>
      </c>
      <c r="N152" s="3" t="str">
        <f t="shared" si="5"/>
        <v>F</v>
      </c>
      <c r="O152" s="3" t="str">
        <f>IF(_xlfn.IFNA(MATCH(B152,Table1[UID],0),"F")="F","F","T")</f>
        <v>T</v>
      </c>
    </row>
    <row r="153" spans="2:15" x14ac:dyDescent="0.25">
      <c r="B153" s="42" t="str">
        <f t="shared" si="6"/>
        <v>AWR_61_NA1/APPLIED-WATER</v>
      </c>
      <c r="C153" t="s">
        <v>2530</v>
      </c>
      <c r="D153" t="s">
        <v>2531</v>
      </c>
      <c r="E153" t="s">
        <v>2638</v>
      </c>
      <c r="F153">
        <v>54</v>
      </c>
      <c r="G153" t="s">
        <v>2639</v>
      </c>
      <c r="H153" t="s">
        <v>0</v>
      </c>
      <c r="I153" t="s">
        <v>550</v>
      </c>
      <c r="J153" t="s">
        <v>18</v>
      </c>
      <c r="L153" t="s">
        <v>3</v>
      </c>
      <c r="M153" t="s">
        <v>4</v>
      </c>
      <c r="N153" s="3" t="str">
        <f t="shared" si="5"/>
        <v>F</v>
      </c>
      <c r="O153" s="3" t="str">
        <f>IF(_xlfn.IFNA(MATCH(B153,Table1[UID],0),"F")="F","F","T")</f>
        <v>T</v>
      </c>
    </row>
    <row r="154" spans="2:15" x14ac:dyDescent="0.25">
      <c r="B154" s="42" t="str">
        <f t="shared" si="6"/>
        <v>AWR_61_NA2/APPLIED-WATER</v>
      </c>
      <c r="C154" t="s">
        <v>2530</v>
      </c>
      <c r="D154" t="s">
        <v>2531</v>
      </c>
      <c r="E154" t="s">
        <v>2640</v>
      </c>
      <c r="F154">
        <v>55</v>
      </c>
      <c r="G154" t="s">
        <v>2641</v>
      </c>
      <c r="H154" t="s">
        <v>0</v>
      </c>
      <c r="I154" t="s">
        <v>551</v>
      </c>
      <c r="J154" t="s">
        <v>18</v>
      </c>
      <c r="L154" t="s">
        <v>3</v>
      </c>
      <c r="M154" t="s">
        <v>4</v>
      </c>
      <c r="N154" s="3" t="str">
        <f t="shared" si="5"/>
        <v>F</v>
      </c>
      <c r="O154" s="3" t="str">
        <f>IF(_xlfn.IFNA(MATCH(B154,Table1[UID],0),"F")="F","F","T")</f>
        <v>T</v>
      </c>
    </row>
    <row r="155" spans="2:15" x14ac:dyDescent="0.25">
      <c r="B155" s="42" t="str">
        <f t="shared" si="6"/>
        <v>AWR_61_NA3/APPLIED-WATER</v>
      </c>
      <c r="C155" t="s">
        <v>2530</v>
      </c>
      <c r="D155" t="s">
        <v>2531</v>
      </c>
      <c r="E155" t="s">
        <v>2642</v>
      </c>
      <c r="F155">
        <v>56</v>
      </c>
      <c r="G155" t="s">
        <v>2643</v>
      </c>
      <c r="H155" t="s">
        <v>0</v>
      </c>
      <c r="I155" t="s">
        <v>552</v>
      </c>
      <c r="J155" t="s">
        <v>18</v>
      </c>
      <c r="L155" t="s">
        <v>3</v>
      </c>
      <c r="M155" t="s">
        <v>4</v>
      </c>
      <c r="N155" s="3" t="str">
        <f t="shared" si="5"/>
        <v>F</v>
      </c>
      <c r="O155" s="3" t="str">
        <f>IF(_xlfn.IFNA(MATCH(B155,Table1[UID],0),"F")="F","F","T")</f>
        <v>T</v>
      </c>
    </row>
    <row r="156" spans="2:15" x14ac:dyDescent="0.25">
      <c r="B156" s="42" t="str">
        <f t="shared" si="6"/>
        <v>AWR_61_NA4/APPLIED-WATER</v>
      </c>
      <c r="C156" t="s">
        <v>2530</v>
      </c>
      <c r="D156" t="s">
        <v>2531</v>
      </c>
      <c r="E156" t="s">
        <v>2644</v>
      </c>
      <c r="F156">
        <v>57</v>
      </c>
      <c r="G156" t="s">
        <v>2645</v>
      </c>
      <c r="H156" t="s">
        <v>0</v>
      </c>
      <c r="I156" t="s">
        <v>553</v>
      </c>
      <c r="J156" t="s">
        <v>18</v>
      </c>
      <c r="L156" t="s">
        <v>3</v>
      </c>
      <c r="M156" t="s">
        <v>4</v>
      </c>
      <c r="N156" s="3" t="str">
        <f t="shared" si="5"/>
        <v>F</v>
      </c>
      <c r="O156" s="3" t="str">
        <f>IF(_xlfn.IFNA(MATCH(B156,Table1[UID],0),"F")="F","F","T")</f>
        <v>T</v>
      </c>
    </row>
    <row r="157" spans="2:15" x14ac:dyDescent="0.25">
      <c r="B157" s="42" t="str">
        <f t="shared" si="6"/>
        <v>AWR_61_NA5/APPLIED-WATER</v>
      </c>
      <c r="C157" t="s">
        <v>2530</v>
      </c>
      <c r="D157" t="s">
        <v>2531</v>
      </c>
      <c r="E157" t="s">
        <v>2646</v>
      </c>
      <c r="F157">
        <v>58</v>
      </c>
      <c r="G157" t="s">
        <v>2647</v>
      </c>
      <c r="H157" t="s">
        <v>0</v>
      </c>
      <c r="I157" t="s">
        <v>554</v>
      </c>
      <c r="J157" t="s">
        <v>18</v>
      </c>
      <c r="L157" t="s">
        <v>3</v>
      </c>
      <c r="M157" t="s">
        <v>4</v>
      </c>
      <c r="N157" s="3" t="str">
        <f t="shared" si="5"/>
        <v>F</v>
      </c>
      <c r="O157" s="3" t="str">
        <f>IF(_xlfn.IFNA(MATCH(B157,Table1[UID],0),"F")="F","F","T")</f>
        <v>T</v>
      </c>
    </row>
    <row r="158" spans="2:15" x14ac:dyDescent="0.25">
      <c r="B158" s="42" t="str">
        <f t="shared" si="6"/>
        <v>AWR_61_NA6/APPLIED-WATER</v>
      </c>
      <c r="C158" t="s">
        <v>2530</v>
      </c>
      <c r="D158" t="s">
        <v>2531</v>
      </c>
      <c r="E158" t="s">
        <v>2648</v>
      </c>
      <c r="F158">
        <v>59</v>
      </c>
      <c r="G158" t="s">
        <v>2649</v>
      </c>
      <c r="H158" t="s">
        <v>0</v>
      </c>
      <c r="I158" t="s">
        <v>555</v>
      </c>
      <c r="J158" t="s">
        <v>18</v>
      </c>
      <c r="L158" t="s">
        <v>3</v>
      </c>
      <c r="M158" t="s">
        <v>4</v>
      </c>
      <c r="N158" s="3" t="str">
        <f t="shared" si="5"/>
        <v>F</v>
      </c>
      <c r="O158" s="3" t="str">
        <f>IF(_xlfn.IFNA(MATCH(B158,Table1[UID],0),"F")="F","F","T")</f>
        <v>T</v>
      </c>
    </row>
    <row r="159" spans="2:15" x14ac:dyDescent="0.25">
      <c r="B159" s="42" t="str">
        <f t="shared" si="6"/>
        <v>AWR_61_PA1/APPLIED-WATER</v>
      </c>
      <c r="C159" t="s">
        <v>2530</v>
      </c>
      <c r="D159" t="s">
        <v>2531</v>
      </c>
      <c r="E159" t="s">
        <v>2650</v>
      </c>
      <c r="F159">
        <v>60</v>
      </c>
      <c r="G159" t="s">
        <v>2651</v>
      </c>
      <c r="H159" t="s">
        <v>0</v>
      </c>
      <c r="I159" t="s">
        <v>556</v>
      </c>
      <c r="J159" t="s">
        <v>18</v>
      </c>
      <c r="L159" t="s">
        <v>3</v>
      </c>
      <c r="M159" t="s">
        <v>4</v>
      </c>
      <c r="N159" s="3" t="str">
        <f t="shared" si="5"/>
        <v>F</v>
      </c>
      <c r="O159" s="3" t="str">
        <f>IF(_xlfn.IFNA(MATCH(B159,Table1[UID],0),"F")="F","F","T")</f>
        <v>T</v>
      </c>
    </row>
    <row r="160" spans="2:15" x14ac:dyDescent="0.25">
      <c r="B160" s="42" t="str">
        <f t="shared" si="6"/>
        <v>AWR_61_PA2/APPLIED-WATER</v>
      </c>
      <c r="C160" t="s">
        <v>2530</v>
      </c>
      <c r="D160" t="s">
        <v>2531</v>
      </c>
      <c r="E160" t="s">
        <v>2652</v>
      </c>
      <c r="F160">
        <v>61</v>
      </c>
      <c r="G160" t="s">
        <v>2653</v>
      </c>
      <c r="H160" t="s">
        <v>0</v>
      </c>
      <c r="I160" t="s">
        <v>557</v>
      </c>
      <c r="J160" t="s">
        <v>18</v>
      </c>
      <c r="L160" t="s">
        <v>3</v>
      </c>
      <c r="M160" t="s">
        <v>4</v>
      </c>
      <c r="N160" s="3" t="str">
        <f t="shared" si="5"/>
        <v>F</v>
      </c>
      <c r="O160" s="3" t="str">
        <f>IF(_xlfn.IFNA(MATCH(B160,Table1[UID],0),"F")="F","F","T")</f>
        <v>T</v>
      </c>
    </row>
    <row r="161" spans="2:15" x14ac:dyDescent="0.25">
      <c r="B161" s="42" t="str">
        <f t="shared" si="6"/>
        <v>AWR_61_PA3/APPLIED-WATER</v>
      </c>
      <c r="C161" t="s">
        <v>2530</v>
      </c>
      <c r="D161" t="s">
        <v>2531</v>
      </c>
      <c r="E161" t="s">
        <v>2654</v>
      </c>
      <c r="F161">
        <v>62</v>
      </c>
      <c r="G161" t="s">
        <v>2655</v>
      </c>
      <c r="H161" t="s">
        <v>0</v>
      </c>
      <c r="I161" t="s">
        <v>558</v>
      </c>
      <c r="J161" t="s">
        <v>18</v>
      </c>
      <c r="L161" t="s">
        <v>3</v>
      </c>
      <c r="M161" t="s">
        <v>4</v>
      </c>
      <c r="N161" s="3" t="str">
        <f t="shared" si="5"/>
        <v>F</v>
      </c>
      <c r="O161" s="3" t="str">
        <f>IF(_xlfn.IFNA(MATCH(B161,Table1[UID],0),"F")="F","F","T")</f>
        <v>T</v>
      </c>
    </row>
    <row r="162" spans="2:15" x14ac:dyDescent="0.25">
      <c r="B162" s="42" t="str">
        <f t="shared" si="6"/>
        <v>AWR_62_NA1/APPLIED-WATER</v>
      </c>
      <c r="C162" t="s">
        <v>2530</v>
      </c>
      <c r="D162" t="s">
        <v>2531</v>
      </c>
      <c r="E162" t="s">
        <v>2656</v>
      </c>
      <c r="F162">
        <v>63</v>
      </c>
      <c r="G162" t="s">
        <v>2657</v>
      </c>
      <c r="H162" t="s">
        <v>0</v>
      </c>
      <c r="I162" t="s">
        <v>559</v>
      </c>
      <c r="J162" t="s">
        <v>18</v>
      </c>
      <c r="L162" t="s">
        <v>3</v>
      </c>
      <c r="M162" t="s">
        <v>4</v>
      </c>
      <c r="N162" s="3" t="str">
        <f t="shared" si="5"/>
        <v>F</v>
      </c>
      <c r="O162" s="3" t="str">
        <f>IF(_xlfn.IFNA(MATCH(B162,Table1[UID],0),"F")="F","F","T")</f>
        <v>T</v>
      </c>
    </row>
    <row r="163" spans="2:15" x14ac:dyDescent="0.25">
      <c r="B163" s="42" t="str">
        <f t="shared" si="6"/>
        <v>AWR_62_NA2/APPLIED-WATER</v>
      </c>
      <c r="C163" t="s">
        <v>2530</v>
      </c>
      <c r="D163" t="s">
        <v>2531</v>
      </c>
      <c r="E163" t="s">
        <v>2658</v>
      </c>
      <c r="F163">
        <v>64</v>
      </c>
      <c r="G163" t="s">
        <v>2659</v>
      </c>
      <c r="H163" t="s">
        <v>0</v>
      </c>
      <c r="I163" t="s">
        <v>560</v>
      </c>
      <c r="J163" t="s">
        <v>18</v>
      </c>
      <c r="L163" t="s">
        <v>3</v>
      </c>
      <c r="M163" t="s">
        <v>4</v>
      </c>
      <c r="N163" s="3" t="str">
        <f t="shared" si="5"/>
        <v>F</v>
      </c>
      <c r="O163" s="3" t="str">
        <f>IF(_xlfn.IFNA(MATCH(B163,Table1[UID],0),"F")="F","F","T")</f>
        <v>T</v>
      </c>
    </row>
    <row r="164" spans="2:15" x14ac:dyDescent="0.25">
      <c r="B164" s="42" t="str">
        <f t="shared" si="6"/>
        <v>AWR_62_NA3/APPLIED-WATER</v>
      </c>
      <c r="C164" t="s">
        <v>2530</v>
      </c>
      <c r="D164" t="s">
        <v>2531</v>
      </c>
      <c r="E164" t="s">
        <v>2660</v>
      </c>
      <c r="F164">
        <v>65</v>
      </c>
      <c r="G164" t="s">
        <v>2661</v>
      </c>
      <c r="H164" t="s">
        <v>0</v>
      </c>
      <c r="I164" t="s">
        <v>561</v>
      </c>
      <c r="J164" t="s">
        <v>18</v>
      </c>
      <c r="L164" t="s">
        <v>3</v>
      </c>
      <c r="M164" t="s">
        <v>4</v>
      </c>
      <c r="N164" s="3" t="str">
        <f t="shared" si="5"/>
        <v>F</v>
      </c>
      <c r="O164" s="3" t="str">
        <f>IF(_xlfn.IFNA(MATCH(B164,Table1[UID],0),"F")="F","F","T")</f>
        <v>T</v>
      </c>
    </row>
    <row r="165" spans="2:15" x14ac:dyDescent="0.25">
      <c r="B165" s="42" t="str">
        <f t="shared" si="6"/>
        <v>AWR_62_NA4/APPLIED-WATER</v>
      </c>
      <c r="C165" t="s">
        <v>2530</v>
      </c>
      <c r="D165" t="s">
        <v>2531</v>
      </c>
      <c r="E165" t="s">
        <v>2662</v>
      </c>
      <c r="F165">
        <v>66</v>
      </c>
      <c r="G165" t="s">
        <v>2663</v>
      </c>
      <c r="H165" t="s">
        <v>0</v>
      </c>
      <c r="I165" t="s">
        <v>562</v>
      </c>
      <c r="J165" t="s">
        <v>18</v>
      </c>
      <c r="L165" t="s">
        <v>3</v>
      </c>
      <c r="M165" t="s">
        <v>4</v>
      </c>
      <c r="N165" s="3" t="str">
        <f t="shared" si="5"/>
        <v>F</v>
      </c>
      <c r="O165" s="3" t="str">
        <f>IF(_xlfn.IFNA(MATCH(B165,Table1[UID],0),"F")="F","F","T")</f>
        <v>T</v>
      </c>
    </row>
    <row r="166" spans="2:15" x14ac:dyDescent="0.25">
      <c r="B166" s="42" t="str">
        <f t="shared" si="6"/>
        <v>AWR_62_NA5/APPLIED-WATER</v>
      </c>
      <c r="C166" t="s">
        <v>2530</v>
      </c>
      <c r="D166" t="s">
        <v>2531</v>
      </c>
      <c r="E166" t="s">
        <v>2664</v>
      </c>
      <c r="F166">
        <v>67</v>
      </c>
      <c r="G166" t="s">
        <v>2665</v>
      </c>
      <c r="H166" t="s">
        <v>0</v>
      </c>
      <c r="I166" t="s">
        <v>563</v>
      </c>
      <c r="J166" t="s">
        <v>18</v>
      </c>
      <c r="L166" t="s">
        <v>3</v>
      </c>
      <c r="M166" t="s">
        <v>4</v>
      </c>
      <c r="N166" s="3" t="str">
        <f t="shared" si="5"/>
        <v>F</v>
      </c>
      <c r="O166" s="3" t="str">
        <f>IF(_xlfn.IFNA(MATCH(B166,Table1[UID],0),"F")="F","F","T")</f>
        <v>T</v>
      </c>
    </row>
    <row r="167" spans="2:15" x14ac:dyDescent="0.25">
      <c r="B167" s="42" t="str">
        <f t="shared" si="6"/>
        <v>AWR_62_NA6/APPLIED-WATER</v>
      </c>
      <c r="C167" t="s">
        <v>2530</v>
      </c>
      <c r="D167" t="s">
        <v>2531</v>
      </c>
      <c r="E167" t="s">
        <v>2666</v>
      </c>
      <c r="F167">
        <v>68</v>
      </c>
      <c r="G167" t="s">
        <v>2667</v>
      </c>
      <c r="H167" t="s">
        <v>0</v>
      </c>
      <c r="I167" t="s">
        <v>564</v>
      </c>
      <c r="J167" t="s">
        <v>18</v>
      </c>
      <c r="L167" t="s">
        <v>3</v>
      </c>
      <c r="M167" t="s">
        <v>4</v>
      </c>
      <c r="N167" s="3" t="str">
        <f t="shared" si="5"/>
        <v>F</v>
      </c>
      <c r="O167" s="3" t="str">
        <f>IF(_xlfn.IFNA(MATCH(B167,Table1[UID],0),"F")="F","F","T")</f>
        <v>T</v>
      </c>
    </row>
    <row r="168" spans="2:15" x14ac:dyDescent="0.25">
      <c r="B168" s="42" t="str">
        <f t="shared" si="6"/>
        <v>AWR_63_NA1/APPLIED-WATER</v>
      </c>
      <c r="C168" t="s">
        <v>2530</v>
      </c>
      <c r="D168" t="s">
        <v>2531</v>
      </c>
      <c r="E168" t="s">
        <v>2668</v>
      </c>
      <c r="F168">
        <v>69</v>
      </c>
      <c r="G168" t="s">
        <v>2669</v>
      </c>
      <c r="H168" t="s">
        <v>0</v>
      </c>
      <c r="I168" t="s">
        <v>565</v>
      </c>
      <c r="J168" t="s">
        <v>18</v>
      </c>
      <c r="L168" t="s">
        <v>3</v>
      </c>
      <c r="M168" t="s">
        <v>4</v>
      </c>
      <c r="N168" s="3" t="str">
        <f t="shared" si="5"/>
        <v>F</v>
      </c>
      <c r="O168" s="3" t="str">
        <f>IF(_xlfn.IFNA(MATCH(B168,Table1[UID],0),"F")="F","F","T")</f>
        <v>T</v>
      </c>
    </row>
    <row r="169" spans="2:15" x14ac:dyDescent="0.25">
      <c r="B169" s="42" t="str">
        <f t="shared" si="6"/>
        <v>AWR_63_NA2/APPLIED-WATER</v>
      </c>
      <c r="C169" t="s">
        <v>2530</v>
      </c>
      <c r="D169" t="s">
        <v>2531</v>
      </c>
      <c r="E169" t="s">
        <v>2670</v>
      </c>
      <c r="F169">
        <v>70</v>
      </c>
      <c r="G169" t="s">
        <v>2671</v>
      </c>
      <c r="H169" t="s">
        <v>0</v>
      </c>
      <c r="I169" t="s">
        <v>566</v>
      </c>
      <c r="J169" t="s">
        <v>18</v>
      </c>
      <c r="L169" t="s">
        <v>3</v>
      </c>
      <c r="M169" t="s">
        <v>4</v>
      </c>
      <c r="N169" s="3" t="str">
        <f t="shared" si="5"/>
        <v>F</v>
      </c>
      <c r="O169" s="3" t="str">
        <f>IF(_xlfn.IFNA(MATCH(B169,Table1[UID],0),"F")="F","F","T")</f>
        <v>T</v>
      </c>
    </row>
    <row r="170" spans="2:15" x14ac:dyDescent="0.25">
      <c r="B170" s="42" t="str">
        <f t="shared" si="6"/>
        <v>AWR_63_NA3/APPLIED-WATER</v>
      </c>
      <c r="C170" t="s">
        <v>2530</v>
      </c>
      <c r="D170" t="s">
        <v>2531</v>
      </c>
      <c r="E170" t="s">
        <v>2672</v>
      </c>
      <c r="F170">
        <v>71</v>
      </c>
      <c r="G170" t="s">
        <v>2673</v>
      </c>
      <c r="H170" t="s">
        <v>0</v>
      </c>
      <c r="I170" t="s">
        <v>567</v>
      </c>
      <c r="J170" t="s">
        <v>18</v>
      </c>
      <c r="L170" t="s">
        <v>3</v>
      </c>
      <c r="M170" t="s">
        <v>4</v>
      </c>
      <c r="N170" s="3" t="str">
        <f t="shared" si="5"/>
        <v>F</v>
      </c>
      <c r="O170" s="3" t="str">
        <f>IF(_xlfn.IFNA(MATCH(B170,Table1[UID],0),"F")="F","F","T")</f>
        <v>T</v>
      </c>
    </row>
    <row r="171" spans="2:15" x14ac:dyDescent="0.25">
      <c r="B171" s="42" t="str">
        <f t="shared" si="6"/>
        <v>AWR_63_NA4/APPLIED-WATER</v>
      </c>
      <c r="C171" t="s">
        <v>2530</v>
      </c>
      <c r="D171" t="s">
        <v>2531</v>
      </c>
      <c r="E171" t="s">
        <v>2674</v>
      </c>
      <c r="F171">
        <v>72</v>
      </c>
      <c r="G171" t="s">
        <v>2675</v>
      </c>
      <c r="H171" t="s">
        <v>0</v>
      </c>
      <c r="I171" t="s">
        <v>568</v>
      </c>
      <c r="J171" t="s">
        <v>18</v>
      </c>
      <c r="L171" t="s">
        <v>3</v>
      </c>
      <c r="M171" t="s">
        <v>4</v>
      </c>
      <c r="N171" s="3" t="str">
        <f t="shared" si="5"/>
        <v>F</v>
      </c>
      <c r="O171" s="3" t="str">
        <f>IF(_xlfn.IFNA(MATCH(B171,Table1[UID],0),"F")="F","F","T")</f>
        <v>T</v>
      </c>
    </row>
    <row r="172" spans="2:15" x14ac:dyDescent="0.25">
      <c r="B172" s="42" t="str">
        <f t="shared" si="6"/>
        <v>AWR_63_NA5/APPLIED-WATER</v>
      </c>
      <c r="C172" t="s">
        <v>2530</v>
      </c>
      <c r="D172" t="s">
        <v>2531</v>
      </c>
      <c r="E172" t="s">
        <v>2676</v>
      </c>
      <c r="F172">
        <v>73</v>
      </c>
      <c r="G172" t="s">
        <v>2677</v>
      </c>
      <c r="H172" t="s">
        <v>0</v>
      </c>
      <c r="I172" t="s">
        <v>569</v>
      </c>
      <c r="J172" t="s">
        <v>18</v>
      </c>
      <c r="L172" t="s">
        <v>3</v>
      </c>
      <c r="M172" t="s">
        <v>4</v>
      </c>
      <c r="N172" s="3" t="str">
        <f t="shared" si="5"/>
        <v>F</v>
      </c>
      <c r="O172" s="3" t="str">
        <f>IF(_xlfn.IFNA(MATCH(B172,Table1[UID],0),"F")="F","F","T")</f>
        <v>T</v>
      </c>
    </row>
    <row r="173" spans="2:15" x14ac:dyDescent="0.25">
      <c r="B173" s="42" t="str">
        <f t="shared" si="6"/>
        <v>AWR_63_PR1/APPLIED-WATER</v>
      </c>
      <c r="C173" t="s">
        <v>2530</v>
      </c>
      <c r="D173" t="s">
        <v>2531</v>
      </c>
      <c r="E173" t="s">
        <v>2678</v>
      </c>
      <c r="F173">
        <v>74</v>
      </c>
      <c r="G173" t="s">
        <v>2679</v>
      </c>
      <c r="H173" t="s">
        <v>0</v>
      </c>
      <c r="I173" t="s">
        <v>570</v>
      </c>
      <c r="J173" t="s">
        <v>18</v>
      </c>
      <c r="L173" t="s">
        <v>3</v>
      </c>
      <c r="M173" t="s">
        <v>4</v>
      </c>
      <c r="N173" s="3" t="str">
        <f t="shared" si="5"/>
        <v>F</v>
      </c>
      <c r="O173" s="3" t="str">
        <f>IF(_xlfn.IFNA(MATCH(B173,Table1[UID],0),"F")="F","F","T")</f>
        <v>T</v>
      </c>
    </row>
    <row r="174" spans="2:15" x14ac:dyDescent="0.25">
      <c r="B174" s="42" t="str">
        <f t="shared" si="6"/>
        <v>AWR_63_PR2/APPLIED-WATER</v>
      </c>
      <c r="C174" t="s">
        <v>2530</v>
      </c>
      <c r="D174" t="s">
        <v>2531</v>
      </c>
      <c r="E174" t="s">
        <v>2680</v>
      </c>
      <c r="F174">
        <v>75</v>
      </c>
      <c r="G174" t="s">
        <v>2681</v>
      </c>
      <c r="H174" t="s">
        <v>0</v>
      </c>
      <c r="I174" t="s">
        <v>571</v>
      </c>
      <c r="J174" t="s">
        <v>18</v>
      </c>
      <c r="L174" t="s">
        <v>3</v>
      </c>
      <c r="M174" t="s">
        <v>4</v>
      </c>
      <c r="N174" s="3" t="str">
        <f t="shared" si="5"/>
        <v>F</v>
      </c>
      <c r="O174" s="3" t="str">
        <f>IF(_xlfn.IFNA(MATCH(B174,Table1[UID],0),"F")="F","F","T")</f>
        <v>T</v>
      </c>
    </row>
    <row r="175" spans="2:15" x14ac:dyDescent="0.25">
      <c r="B175" s="42" t="str">
        <f t="shared" si="6"/>
        <v>AWR_63_PR3/APPLIED-WATER</v>
      </c>
      <c r="C175" t="s">
        <v>2530</v>
      </c>
      <c r="D175" t="s">
        <v>2531</v>
      </c>
      <c r="E175" t="s">
        <v>2682</v>
      </c>
      <c r="F175">
        <v>76</v>
      </c>
      <c r="G175" t="s">
        <v>2683</v>
      </c>
      <c r="H175" t="s">
        <v>0</v>
      </c>
      <c r="I175" t="s">
        <v>572</v>
      </c>
      <c r="J175" t="s">
        <v>18</v>
      </c>
      <c r="L175" t="s">
        <v>3</v>
      </c>
      <c r="M175" t="s">
        <v>4</v>
      </c>
      <c r="N175" s="3" t="str">
        <f t="shared" si="5"/>
        <v>F</v>
      </c>
      <c r="O175" s="3" t="str">
        <f>IF(_xlfn.IFNA(MATCH(B175,Table1[UID],0),"F")="F","F","T")</f>
        <v>T</v>
      </c>
    </row>
    <row r="176" spans="2:15" x14ac:dyDescent="0.25">
      <c r="B176" s="42" t="str">
        <f t="shared" si="6"/>
        <v>AWR_64_NA1/APPLIED-WATER</v>
      </c>
      <c r="C176" t="s">
        <v>2530</v>
      </c>
      <c r="D176" t="s">
        <v>2531</v>
      </c>
      <c r="E176" t="s">
        <v>2684</v>
      </c>
      <c r="F176">
        <v>77</v>
      </c>
      <c r="G176" t="s">
        <v>2685</v>
      </c>
      <c r="H176" t="s">
        <v>0</v>
      </c>
      <c r="I176" t="s">
        <v>573</v>
      </c>
      <c r="J176" t="s">
        <v>18</v>
      </c>
      <c r="L176" t="s">
        <v>3</v>
      </c>
      <c r="M176" t="s">
        <v>4</v>
      </c>
      <c r="N176" s="3" t="str">
        <f t="shared" si="5"/>
        <v>F</v>
      </c>
      <c r="O176" s="3" t="str">
        <f>IF(_xlfn.IFNA(MATCH(B176,Table1[UID],0),"F")="F","F","T")</f>
        <v>T</v>
      </c>
    </row>
    <row r="177" spans="2:15" x14ac:dyDescent="0.25">
      <c r="B177" s="42" t="str">
        <f t="shared" si="6"/>
        <v>AWR_64_NA2/APPLIED-WATER</v>
      </c>
      <c r="C177" t="s">
        <v>2530</v>
      </c>
      <c r="D177" t="s">
        <v>2531</v>
      </c>
      <c r="E177" t="s">
        <v>2686</v>
      </c>
      <c r="F177">
        <v>78</v>
      </c>
      <c r="G177" t="s">
        <v>2687</v>
      </c>
      <c r="H177" t="s">
        <v>0</v>
      </c>
      <c r="I177" t="s">
        <v>574</v>
      </c>
      <c r="J177" t="s">
        <v>18</v>
      </c>
      <c r="L177" t="s">
        <v>3</v>
      </c>
      <c r="M177" t="s">
        <v>4</v>
      </c>
      <c r="N177" s="3" t="str">
        <f t="shared" si="5"/>
        <v>F</v>
      </c>
      <c r="O177" s="3" t="str">
        <f>IF(_xlfn.IFNA(MATCH(B177,Table1[UID],0),"F")="F","F","T")</f>
        <v>T</v>
      </c>
    </row>
    <row r="178" spans="2:15" x14ac:dyDescent="0.25">
      <c r="B178" s="42" t="str">
        <f t="shared" si="6"/>
        <v>AWR_64_PA1/APPLIED-WATER</v>
      </c>
      <c r="C178" t="s">
        <v>2530</v>
      </c>
      <c r="D178" t="s">
        <v>2531</v>
      </c>
      <c r="E178" t="s">
        <v>2688</v>
      </c>
      <c r="F178">
        <v>79</v>
      </c>
      <c r="G178" t="s">
        <v>2689</v>
      </c>
      <c r="H178" t="s">
        <v>0</v>
      </c>
      <c r="I178" t="s">
        <v>575</v>
      </c>
      <c r="J178" t="s">
        <v>18</v>
      </c>
      <c r="L178" t="s">
        <v>3</v>
      </c>
      <c r="M178" t="s">
        <v>4</v>
      </c>
      <c r="N178" s="3" t="str">
        <f t="shared" si="5"/>
        <v>F</v>
      </c>
      <c r="O178" s="3" t="str">
        <f>IF(_xlfn.IFNA(MATCH(B178,Table1[UID],0),"F")="F","F","T")</f>
        <v>T</v>
      </c>
    </row>
    <row r="179" spans="2:15" x14ac:dyDescent="0.25">
      <c r="B179" s="42" t="str">
        <f t="shared" si="6"/>
        <v>AWR_64_PA2/APPLIED-WATER</v>
      </c>
      <c r="C179" t="s">
        <v>2530</v>
      </c>
      <c r="D179" t="s">
        <v>2531</v>
      </c>
      <c r="E179" t="s">
        <v>2690</v>
      </c>
      <c r="F179">
        <v>80</v>
      </c>
      <c r="G179" t="s">
        <v>2691</v>
      </c>
      <c r="H179" t="s">
        <v>0</v>
      </c>
      <c r="I179" t="s">
        <v>576</v>
      </c>
      <c r="J179" t="s">
        <v>18</v>
      </c>
      <c r="L179" t="s">
        <v>3</v>
      </c>
      <c r="M179" t="s">
        <v>4</v>
      </c>
      <c r="N179" s="3" t="str">
        <f t="shared" si="5"/>
        <v>F</v>
      </c>
      <c r="O179" s="3" t="str">
        <f>IF(_xlfn.IFNA(MATCH(B179,Table1[UID],0),"F")="F","F","T")</f>
        <v>T</v>
      </c>
    </row>
    <row r="180" spans="2:15" x14ac:dyDescent="0.25">
      <c r="B180" s="42" t="str">
        <f t="shared" si="6"/>
        <v>AWR_64_PA3/APPLIED-WATER</v>
      </c>
      <c r="C180" t="s">
        <v>2530</v>
      </c>
      <c r="D180" t="s">
        <v>2531</v>
      </c>
      <c r="E180" t="s">
        <v>2692</v>
      </c>
      <c r="F180">
        <v>81</v>
      </c>
      <c r="G180" t="s">
        <v>2693</v>
      </c>
      <c r="H180" t="s">
        <v>0</v>
      </c>
      <c r="I180" t="s">
        <v>577</v>
      </c>
      <c r="J180" t="s">
        <v>18</v>
      </c>
      <c r="L180" t="s">
        <v>3</v>
      </c>
      <c r="M180" t="s">
        <v>4</v>
      </c>
      <c r="N180" s="3" t="str">
        <f t="shared" si="5"/>
        <v>F</v>
      </c>
      <c r="O180" s="3" t="str">
        <f>IF(_xlfn.IFNA(MATCH(B180,Table1[UID],0),"F")="F","F","T")</f>
        <v>T</v>
      </c>
    </row>
    <row r="181" spans="2:15" x14ac:dyDescent="0.25">
      <c r="B181" s="42" t="str">
        <f t="shared" si="6"/>
        <v>AWR_71_NA1/APPLIED-WATER</v>
      </c>
      <c r="C181" t="s">
        <v>2530</v>
      </c>
      <c r="D181" t="s">
        <v>2531</v>
      </c>
      <c r="E181" t="s">
        <v>2694</v>
      </c>
      <c r="F181">
        <v>82</v>
      </c>
      <c r="G181" t="s">
        <v>2695</v>
      </c>
      <c r="H181" t="s">
        <v>0</v>
      </c>
      <c r="I181" t="s">
        <v>579</v>
      </c>
      <c r="J181" t="s">
        <v>18</v>
      </c>
      <c r="L181" t="s">
        <v>3</v>
      </c>
      <c r="M181" t="s">
        <v>4</v>
      </c>
      <c r="N181" s="3" t="str">
        <f t="shared" si="5"/>
        <v>F</v>
      </c>
      <c r="O181" s="3" t="str">
        <f>IF(_xlfn.IFNA(MATCH(B181,Table1[UID],0),"F")="F","F","T")</f>
        <v>T</v>
      </c>
    </row>
    <row r="182" spans="2:15" x14ac:dyDescent="0.25">
      <c r="B182" s="42" t="str">
        <f t="shared" si="6"/>
        <v>AWR_71_NA2/APPLIED-WATER</v>
      </c>
      <c r="C182" t="s">
        <v>2530</v>
      </c>
      <c r="D182" t="s">
        <v>2531</v>
      </c>
      <c r="E182" t="s">
        <v>2696</v>
      </c>
      <c r="F182">
        <v>83</v>
      </c>
      <c r="G182" t="s">
        <v>2697</v>
      </c>
      <c r="H182" t="s">
        <v>0</v>
      </c>
      <c r="I182" t="s">
        <v>580</v>
      </c>
      <c r="J182" t="s">
        <v>18</v>
      </c>
      <c r="L182" t="s">
        <v>3</v>
      </c>
      <c r="M182" t="s">
        <v>4</v>
      </c>
      <c r="N182" s="3" t="str">
        <f t="shared" si="5"/>
        <v>F</v>
      </c>
      <c r="O182" s="3" t="str">
        <f>IF(_xlfn.IFNA(MATCH(B182,Table1[UID],0),"F")="F","F","T")</f>
        <v>T</v>
      </c>
    </row>
    <row r="183" spans="2:15" x14ac:dyDescent="0.25">
      <c r="B183" s="42" t="str">
        <f t="shared" si="6"/>
        <v>AWR_71_NA3/APPLIED-WATER</v>
      </c>
      <c r="C183" t="s">
        <v>2530</v>
      </c>
      <c r="D183" t="s">
        <v>2531</v>
      </c>
      <c r="E183" t="s">
        <v>2698</v>
      </c>
      <c r="F183">
        <v>84</v>
      </c>
      <c r="G183" t="s">
        <v>2699</v>
      </c>
      <c r="H183" t="s">
        <v>0</v>
      </c>
      <c r="I183" t="s">
        <v>581</v>
      </c>
      <c r="J183" t="s">
        <v>18</v>
      </c>
      <c r="L183" t="s">
        <v>3</v>
      </c>
      <c r="M183" t="s">
        <v>4</v>
      </c>
      <c r="N183" s="3" t="str">
        <f t="shared" si="5"/>
        <v>F</v>
      </c>
      <c r="O183" s="3" t="str">
        <f>IF(_xlfn.IFNA(MATCH(B183,Table1[UID],0),"F")="F","F","T")</f>
        <v>T</v>
      </c>
    </row>
    <row r="184" spans="2:15" x14ac:dyDescent="0.25">
      <c r="B184" s="42" t="str">
        <f t="shared" si="6"/>
        <v>AWR_72_NA1/APPLIED-WATER</v>
      </c>
      <c r="C184" t="s">
        <v>2530</v>
      </c>
      <c r="D184" t="s">
        <v>2531</v>
      </c>
      <c r="E184" t="s">
        <v>2700</v>
      </c>
      <c r="F184">
        <v>85</v>
      </c>
      <c r="G184" t="s">
        <v>2701</v>
      </c>
      <c r="H184" t="s">
        <v>0</v>
      </c>
      <c r="I184" t="s">
        <v>590</v>
      </c>
      <c r="J184" t="s">
        <v>18</v>
      </c>
      <c r="L184" t="s">
        <v>3</v>
      </c>
      <c r="M184" t="s">
        <v>4</v>
      </c>
      <c r="N184" s="3" t="str">
        <f t="shared" si="5"/>
        <v>F</v>
      </c>
      <c r="O184" s="3" t="str">
        <f>IF(_xlfn.IFNA(MATCH(B184,Table1[UID],0),"F")="F","F","T")</f>
        <v>T</v>
      </c>
    </row>
    <row r="185" spans="2:15" x14ac:dyDescent="0.25">
      <c r="B185" s="42" t="str">
        <f t="shared" si="6"/>
        <v>AWR_72_NA2/APPLIED-WATER</v>
      </c>
      <c r="C185" t="s">
        <v>2530</v>
      </c>
      <c r="D185" t="s">
        <v>2531</v>
      </c>
      <c r="E185" t="s">
        <v>2702</v>
      </c>
      <c r="F185">
        <v>86</v>
      </c>
      <c r="G185" t="s">
        <v>2703</v>
      </c>
      <c r="H185" t="s">
        <v>0</v>
      </c>
      <c r="I185" t="s">
        <v>591</v>
      </c>
      <c r="J185" t="s">
        <v>18</v>
      </c>
      <c r="L185" t="s">
        <v>3</v>
      </c>
      <c r="M185" t="s">
        <v>4</v>
      </c>
      <c r="N185" s="3" t="str">
        <f t="shared" si="5"/>
        <v>F</v>
      </c>
      <c r="O185" s="3" t="str">
        <f>IF(_xlfn.IFNA(MATCH(B185,Table1[UID],0),"F")="F","F","T")</f>
        <v>T</v>
      </c>
    </row>
    <row r="186" spans="2:15" x14ac:dyDescent="0.25">
      <c r="B186" s="42" t="str">
        <f t="shared" si="6"/>
        <v>AWR_73_NA/APPLIED-WATER</v>
      </c>
      <c r="C186" t="s">
        <v>2530</v>
      </c>
      <c r="D186" t="s">
        <v>2531</v>
      </c>
      <c r="E186" t="s">
        <v>2704</v>
      </c>
      <c r="F186">
        <v>87</v>
      </c>
      <c r="G186" t="s">
        <v>2705</v>
      </c>
      <c r="H186" t="s">
        <v>0</v>
      </c>
      <c r="I186" t="s">
        <v>602</v>
      </c>
      <c r="J186" t="s">
        <v>18</v>
      </c>
      <c r="L186" t="s">
        <v>3</v>
      </c>
      <c r="M186" t="s">
        <v>4</v>
      </c>
      <c r="N186" s="3" t="str">
        <f t="shared" si="5"/>
        <v>F</v>
      </c>
      <c r="O186" s="3" t="str">
        <f>IF(_xlfn.IFNA(MATCH(B186,Table1[UID],0),"F")="F","F","T")</f>
        <v>T</v>
      </c>
    </row>
    <row r="187" spans="2:15" x14ac:dyDescent="0.25">
      <c r="B187" s="42" t="str">
        <f t="shared" si="6"/>
        <v>AWR_90_NA/APPLIED-WATER</v>
      </c>
      <c r="C187" t="s">
        <v>2530</v>
      </c>
      <c r="D187" t="s">
        <v>2531</v>
      </c>
      <c r="E187" t="s">
        <v>2706</v>
      </c>
      <c r="F187">
        <v>88</v>
      </c>
      <c r="G187" t="s">
        <v>2707</v>
      </c>
      <c r="H187" t="s">
        <v>0</v>
      </c>
      <c r="I187" t="s">
        <v>607</v>
      </c>
      <c r="J187" t="s">
        <v>18</v>
      </c>
      <c r="L187" t="s">
        <v>3</v>
      </c>
      <c r="M187" t="s">
        <v>4</v>
      </c>
      <c r="N187" s="3" t="str">
        <f t="shared" si="5"/>
        <v>F</v>
      </c>
      <c r="O187" s="3" t="str">
        <f>IF(_xlfn.IFNA(MATCH(B187,Table1[UID],0),"F")="F","F","T")</f>
        <v>T</v>
      </c>
    </row>
    <row r="188" spans="2:15" x14ac:dyDescent="0.25">
      <c r="B188" s="42" t="str">
        <f t="shared" si="6"/>
        <v>AWW_63_PR1/APPLIED-WATER</v>
      </c>
      <c r="C188" t="s">
        <v>2530</v>
      </c>
      <c r="D188" t="s">
        <v>2531</v>
      </c>
      <c r="E188" t="s">
        <v>2708</v>
      </c>
      <c r="F188">
        <v>89</v>
      </c>
      <c r="G188" t="s">
        <v>2709</v>
      </c>
      <c r="H188" t="s">
        <v>0</v>
      </c>
      <c r="I188" t="s">
        <v>637</v>
      </c>
      <c r="J188" t="s">
        <v>18</v>
      </c>
      <c r="L188" t="s">
        <v>3</v>
      </c>
      <c r="M188" t="s">
        <v>4</v>
      </c>
      <c r="N188" s="3" t="str">
        <f t="shared" si="5"/>
        <v>F</v>
      </c>
      <c r="O188" s="3" t="str">
        <f>IF(_xlfn.IFNA(MATCH(B188,Table1[UID],0),"F")="F","F","T")</f>
        <v>T</v>
      </c>
    </row>
    <row r="189" spans="2:15" x14ac:dyDescent="0.25">
      <c r="B189" s="42" t="str">
        <f t="shared" si="6"/>
        <v>AWW_63_PR2/APPLIED-WATER</v>
      </c>
      <c r="C189" t="s">
        <v>2530</v>
      </c>
      <c r="D189" t="s">
        <v>2531</v>
      </c>
      <c r="E189" t="s">
        <v>2710</v>
      </c>
      <c r="F189">
        <v>90</v>
      </c>
      <c r="G189" t="s">
        <v>2711</v>
      </c>
      <c r="H189" t="s">
        <v>0</v>
      </c>
      <c r="I189" t="s">
        <v>638</v>
      </c>
      <c r="J189" t="s">
        <v>18</v>
      </c>
      <c r="L189" t="s">
        <v>3</v>
      </c>
      <c r="M189" t="s">
        <v>4</v>
      </c>
      <c r="N189" s="3" t="str">
        <f t="shared" si="5"/>
        <v>F</v>
      </c>
      <c r="O189" s="3" t="str">
        <f>IF(_xlfn.IFNA(MATCH(B189,Table1[UID],0),"F")="F","F","T")</f>
        <v>T</v>
      </c>
    </row>
    <row r="190" spans="2:15" x14ac:dyDescent="0.25">
      <c r="B190" s="42" t="str">
        <f t="shared" si="6"/>
        <v>AWW_63_PR3/APPLIED-WATER</v>
      </c>
      <c r="C190" t="s">
        <v>2530</v>
      </c>
      <c r="D190" t="s">
        <v>2531</v>
      </c>
      <c r="E190" t="s">
        <v>2712</v>
      </c>
      <c r="F190">
        <v>91</v>
      </c>
      <c r="G190" t="s">
        <v>2713</v>
      </c>
      <c r="H190" t="s">
        <v>0</v>
      </c>
      <c r="I190" t="s">
        <v>639</v>
      </c>
      <c r="J190" t="s">
        <v>18</v>
      </c>
      <c r="L190" t="s">
        <v>3</v>
      </c>
      <c r="M190" t="s">
        <v>4</v>
      </c>
      <c r="N190" s="3" t="str">
        <f t="shared" si="5"/>
        <v>F</v>
      </c>
      <c r="O190" s="3" t="str">
        <f>IF(_xlfn.IFNA(MATCH(B190,Table1[UID],0),"F")="F","F","T")</f>
        <v>T</v>
      </c>
    </row>
    <row r="191" spans="2:15" x14ac:dyDescent="0.25">
      <c r="B191" s="42" t="str">
        <f t="shared" si="6"/>
        <v>DP_60N_INT/DEEP-PERCOLATION</v>
      </c>
      <c r="C191" t="s">
        <v>2530</v>
      </c>
      <c r="D191" t="s">
        <v>2531</v>
      </c>
      <c r="E191" t="s">
        <v>2714</v>
      </c>
      <c r="F191">
        <v>92</v>
      </c>
      <c r="G191" t="s">
        <v>2715</v>
      </c>
      <c r="H191" t="s">
        <v>0</v>
      </c>
      <c r="I191" t="s">
        <v>678</v>
      </c>
      <c r="J191" t="s">
        <v>51</v>
      </c>
      <c r="L191" t="s">
        <v>3</v>
      </c>
      <c r="M191" t="s">
        <v>4</v>
      </c>
      <c r="N191" s="3" t="str">
        <f t="shared" si="5"/>
        <v>F</v>
      </c>
      <c r="O191" s="3" t="str">
        <f>IF(_xlfn.IFNA(MATCH(B191,Table1[UID],0),"F")="F","F","T")</f>
        <v>T</v>
      </c>
    </row>
    <row r="192" spans="2:15" x14ac:dyDescent="0.25">
      <c r="B192" s="42" t="str">
        <f t="shared" si="6"/>
        <v>DP_60S_INT/DEEP-PERCOLATION</v>
      </c>
      <c r="C192" t="s">
        <v>2530</v>
      </c>
      <c r="D192" t="s">
        <v>2531</v>
      </c>
      <c r="E192" t="s">
        <v>2716</v>
      </c>
      <c r="F192">
        <v>93</v>
      </c>
      <c r="G192" t="s">
        <v>2717</v>
      </c>
      <c r="H192" t="s">
        <v>0</v>
      </c>
      <c r="I192" t="s">
        <v>679</v>
      </c>
      <c r="J192" t="s">
        <v>51</v>
      </c>
      <c r="L192" t="s">
        <v>3</v>
      </c>
      <c r="M192" t="s">
        <v>4</v>
      </c>
      <c r="N192" s="3" t="str">
        <f t="shared" si="5"/>
        <v>F</v>
      </c>
      <c r="O192" s="3" t="str">
        <f>IF(_xlfn.IFNA(MATCH(B192,Table1[UID],0),"F")="F","F","T")</f>
        <v>T</v>
      </c>
    </row>
    <row r="193" spans="2:15" x14ac:dyDescent="0.25">
      <c r="B193" s="42" t="str">
        <f t="shared" si="6"/>
        <v>DP_61_INT/DEEP-PERCOLATION</v>
      </c>
      <c r="C193" t="s">
        <v>2530</v>
      </c>
      <c r="D193" t="s">
        <v>2531</v>
      </c>
      <c r="E193" t="s">
        <v>2718</v>
      </c>
      <c r="F193">
        <v>94</v>
      </c>
      <c r="G193" t="s">
        <v>2719</v>
      </c>
      <c r="H193" t="s">
        <v>0</v>
      </c>
      <c r="I193" t="s">
        <v>680</v>
      </c>
      <c r="J193" t="s">
        <v>51</v>
      </c>
      <c r="L193" t="s">
        <v>3</v>
      </c>
      <c r="M193" t="s">
        <v>4</v>
      </c>
      <c r="N193" s="3" t="str">
        <f t="shared" si="5"/>
        <v>F</v>
      </c>
      <c r="O193" s="3" t="str">
        <f>IF(_xlfn.IFNA(MATCH(B193,Table1[UID],0),"F")="F","F","T")</f>
        <v>T</v>
      </c>
    </row>
    <row r="194" spans="2:15" x14ac:dyDescent="0.25">
      <c r="B194" s="42" t="str">
        <f t="shared" si="6"/>
        <v>DP_62_INT/DEEP-PERCOLATION</v>
      </c>
      <c r="C194" t="s">
        <v>2530</v>
      </c>
      <c r="D194" t="s">
        <v>2531</v>
      </c>
      <c r="E194" t="s">
        <v>2720</v>
      </c>
      <c r="F194">
        <v>95</v>
      </c>
      <c r="G194" t="s">
        <v>2721</v>
      </c>
      <c r="H194" t="s">
        <v>0</v>
      </c>
      <c r="I194" t="s">
        <v>681</v>
      </c>
      <c r="J194" t="s">
        <v>51</v>
      </c>
      <c r="L194" t="s">
        <v>3</v>
      </c>
      <c r="M194" t="s">
        <v>4</v>
      </c>
      <c r="N194" s="3" t="str">
        <f t="shared" si="5"/>
        <v>F</v>
      </c>
      <c r="O194" s="3" t="str">
        <f>IF(_xlfn.IFNA(MATCH(B194,Table1[UID],0),"F")="F","F","T")</f>
        <v>T</v>
      </c>
    </row>
    <row r="195" spans="2:15" x14ac:dyDescent="0.25">
      <c r="B195" s="42" t="str">
        <f t="shared" si="6"/>
        <v>DP_63_INT/DEEP-PERCOLATION</v>
      </c>
      <c r="C195" t="s">
        <v>2530</v>
      </c>
      <c r="D195" t="s">
        <v>2531</v>
      </c>
      <c r="E195" t="s">
        <v>2722</v>
      </c>
      <c r="F195">
        <v>96</v>
      </c>
      <c r="G195" t="s">
        <v>2723</v>
      </c>
      <c r="H195" t="s">
        <v>0</v>
      </c>
      <c r="I195" t="s">
        <v>682</v>
      </c>
      <c r="J195" t="s">
        <v>51</v>
      </c>
      <c r="L195" t="s">
        <v>3</v>
      </c>
      <c r="M195" t="s">
        <v>4</v>
      </c>
      <c r="N195" s="3" t="str">
        <f t="shared" ref="N195:N258" si="7">IF(COUNTIF($B$3:$B$1760,"="&amp;B195)&gt;1,"T","F")</f>
        <v>F</v>
      </c>
      <c r="O195" s="3" t="str">
        <f>IF(_xlfn.IFNA(MATCH(B195,Table1[UID],0),"F")="F","F","T")</f>
        <v>T</v>
      </c>
    </row>
    <row r="196" spans="2:15" x14ac:dyDescent="0.25">
      <c r="B196" s="42" t="str">
        <f t="shared" si="6"/>
        <v>DP_64_INT/DEEP-PERCOLATION</v>
      </c>
      <c r="C196" t="s">
        <v>2530</v>
      </c>
      <c r="D196" t="s">
        <v>2531</v>
      </c>
      <c r="E196" t="s">
        <v>2724</v>
      </c>
      <c r="F196">
        <v>97</v>
      </c>
      <c r="G196" t="s">
        <v>2725</v>
      </c>
      <c r="H196" t="s">
        <v>0</v>
      </c>
      <c r="I196" t="s">
        <v>683</v>
      </c>
      <c r="J196" t="s">
        <v>51</v>
      </c>
      <c r="L196" t="s">
        <v>3</v>
      </c>
      <c r="M196" t="s">
        <v>4</v>
      </c>
      <c r="N196" s="3" t="str">
        <f t="shared" si="7"/>
        <v>F</v>
      </c>
      <c r="O196" s="3" t="str">
        <f>IF(_xlfn.IFNA(MATCH(B196,Table1[UID],0),"F")="F","F","T")</f>
        <v>T</v>
      </c>
    </row>
    <row r="197" spans="2:15" x14ac:dyDescent="0.25">
      <c r="B197" s="42" t="str">
        <f t="shared" si="6"/>
        <v>SR_50/SURFACE-RUNOFF</v>
      </c>
      <c r="C197" t="s">
        <v>2530</v>
      </c>
      <c r="D197" t="s">
        <v>2531</v>
      </c>
      <c r="E197" t="s">
        <v>2726</v>
      </c>
      <c r="F197">
        <v>98</v>
      </c>
      <c r="G197" t="s">
        <v>2727</v>
      </c>
      <c r="H197" t="s">
        <v>0</v>
      </c>
      <c r="I197" t="s">
        <v>725</v>
      </c>
      <c r="J197" t="s">
        <v>695</v>
      </c>
      <c r="L197" t="s">
        <v>3</v>
      </c>
      <c r="M197" t="s">
        <v>4</v>
      </c>
      <c r="N197" s="3" t="str">
        <f t="shared" si="7"/>
        <v>F</v>
      </c>
      <c r="O197" s="3" t="str">
        <f>IF(_xlfn.IFNA(MATCH(B197,Table1[UID],0),"F")="F","F","T")</f>
        <v>T</v>
      </c>
    </row>
    <row r="198" spans="2:15" x14ac:dyDescent="0.25">
      <c r="B198" s="42" t="str">
        <f t="shared" si="6"/>
        <v>SR_60N/SURFACE-RUNOFF</v>
      </c>
      <c r="C198" t="s">
        <v>2530</v>
      </c>
      <c r="D198" t="s">
        <v>2531</v>
      </c>
      <c r="E198" t="s">
        <v>2728</v>
      </c>
      <c r="F198">
        <v>99</v>
      </c>
      <c r="G198" t="s">
        <v>2729</v>
      </c>
      <c r="H198" t="s">
        <v>0</v>
      </c>
      <c r="I198" t="s">
        <v>726</v>
      </c>
      <c r="J198" t="s">
        <v>695</v>
      </c>
      <c r="L198" t="s">
        <v>3</v>
      </c>
      <c r="M198" t="s">
        <v>4</v>
      </c>
      <c r="N198" s="3" t="str">
        <f t="shared" si="7"/>
        <v>F</v>
      </c>
      <c r="O198" s="3" t="str">
        <f>IF(_xlfn.IFNA(MATCH(B198,Table1[UID],0),"F")="F","F","T")</f>
        <v>T</v>
      </c>
    </row>
    <row r="199" spans="2:15" x14ac:dyDescent="0.25">
      <c r="B199" s="42" t="str">
        <f t="shared" si="6"/>
        <v>SR_60S/SURFACE-RUNOFF</v>
      </c>
      <c r="C199" t="s">
        <v>2530</v>
      </c>
      <c r="D199" t="s">
        <v>2531</v>
      </c>
      <c r="E199" t="s">
        <v>2730</v>
      </c>
      <c r="F199">
        <v>100</v>
      </c>
      <c r="G199" t="s">
        <v>2731</v>
      </c>
      <c r="H199" t="s">
        <v>0</v>
      </c>
      <c r="I199" t="s">
        <v>727</v>
      </c>
      <c r="J199" t="s">
        <v>695</v>
      </c>
      <c r="L199" t="s">
        <v>3</v>
      </c>
      <c r="M199" t="s">
        <v>4</v>
      </c>
      <c r="N199" s="3" t="str">
        <f t="shared" si="7"/>
        <v>F</v>
      </c>
      <c r="O199" s="3" t="str">
        <f>IF(_xlfn.IFNA(MATCH(B199,Table1[UID],0),"F")="F","F","T")</f>
        <v>T</v>
      </c>
    </row>
    <row r="200" spans="2:15" x14ac:dyDescent="0.25">
      <c r="B200" s="42" t="str">
        <f t="shared" si="6"/>
        <v>SR_61/SURFACE-RUNOFF</v>
      </c>
      <c r="C200" t="s">
        <v>2530</v>
      </c>
      <c r="D200" t="s">
        <v>2531</v>
      </c>
      <c r="E200" t="s">
        <v>2732</v>
      </c>
      <c r="F200">
        <v>101</v>
      </c>
      <c r="G200" t="s">
        <v>2733</v>
      </c>
      <c r="H200" t="s">
        <v>0</v>
      </c>
      <c r="I200" t="s">
        <v>728</v>
      </c>
      <c r="J200" t="s">
        <v>695</v>
      </c>
      <c r="L200" t="s">
        <v>3</v>
      </c>
      <c r="M200" t="s">
        <v>4</v>
      </c>
      <c r="N200" s="3" t="str">
        <f t="shared" si="7"/>
        <v>F</v>
      </c>
      <c r="O200" s="3" t="str">
        <f>IF(_xlfn.IFNA(MATCH(B200,Table1[UID],0),"F")="F","F","T")</f>
        <v>T</v>
      </c>
    </row>
    <row r="201" spans="2:15" x14ac:dyDescent="0.25">
      <c r="B201" s="42" t="str">
        <f t="shared" ref="B201:B265" si="8">_xlfn.CONCAT(I201,"/",J201)</f>
        <v>SR_62/SURFACE-RUNOFF</v>
      </c>
      <c r="C201" t="s">
        <v>2530</v>
      </c>
      <c r="D201" t="s">
        <v>2531</v>
      </c>
      <c r="E201" t="s">
        <v>2734</v>
      </c>
      <c r="F201">
        <v>102</v>
      </c>
      <c r="G201" t="s">
        <v>2735</v>
      </c>
      <c r="H201" t="s">
        <v>0</v>
      </c>
      <c r="I201" t="s">
        <v>729</v>
      </c>
      <c r="J201" t="s">
        <v>695</v>
      </c>
      <c r="L201" t="s">
        <v>3</v>
      </c>
      <c r="M201" t="s">
        <v>4</v>
      </c>
      <c r="N201" s="3" t="str">
        <f t="shared" si="7"/>
        <v>F</v>
      </c>
      <c r="O201" s="3" t="str">
        <f>IF(_xlfn.IFNA(MATCH(B201,Table1[UID],0),"F")="F","F","T")</f>
        <v>T</v>
      </c>
    </row>
    <row r="202" spans="2:15" x14ac:dyDescent="0.25">
      <c r="B202" s="42" t="str">
        <f t="shared" si="8"/>
        <v>SR_63/SURFACE-RUNOFF</v>
      </c>
      <c r="C202" t="s">
        <v>2530</v>
      </c>
      <c r="D202" t="s">
        <v>2531</v>
      </c>
      <c r="E202" t="s">
        <v>2736</v>
      </c>
      <c r="F202">
        <v>103</v>
      </c>
      <c r="G202" t="s">
        <v>2737</v>
      </c>
      <c r="H202" t="s">
        <v>0</v>
      </c>
      <c r="I202" t="s">
        <v>730</v>
      </c>
      <c r="J202" t="s">
        <v>695</v>
      </c>
      <c r="L202" t="s">
        <v>3</v>
      </c>
      <c r="M202" t="s">
        <v>4</v>
      </c>
      <c r="N202" s="3" t="str">
        <f t="shared" si="7"/>
        <v>F</v>
      </c>
      <c r="O202" s="3" t="str">
        <f>IF(_xlfn.IFNA(MATCH(B202,Table1[UID],0),"F")="F","F","T")</f>
        <v>T</v>
      </c>
    </row>
    <row r="203" spans="2:15" x14ac:dyDescent="0.25">
      <c r="B203" s="42" t="str">
        <f t="shared" si="8"/>
        <v>SR_64/SURFACE-RUNOFF</v>
      </c>
      <c r="C203" t="s">
        <v>2530</v>
      </c>
      <c r="D203" t="s">
        <v>2531</v>
      </c>
      <c r="E203" t="s">
        <v>2738</v>
      </c>
      <c r="F203">
        <v>104</v>
      </c>
      <c r="G203" t="s">
        <v>2739</v>
      </c>
      <c r="H203" t="s">
        <v>0</v>
      </c>
      <c r="I203" t="s">
        <v>731</v>
      </c>
      <c r="J203" t="s">
        <v>695</v>
      </c>
      <c r="L203" t="s">
        <v>3</v>
      </c>
      <c r="M203" t="s">
        <v>4</v>
      </c>
      <c r="N203" s="3" t="str">
        <f t="shared" si="7"/>
        <v>F</v>
      </c>
      <c r="O203" s="3" t="str">
        <f>IF(_xlfn.IFNA(MATCH(B203,Table1[UID],0),"F")="F","F","T")</f>
        <v>T</v>
      </c>
    </row>
    <row r="204" spans="2:15" x14ac:dyDescent="0.25">
      <c r="B204" s="42" t="str">
        <f t="shared" si="8"/>
        <v>SR_71/SURFACE-RUNOFF</v>
      </c>
      <c r="C204" t="s">
        <v>2530</v>
      </c>
      <c r="D204" t="s">
        <v>2531</v>
      </c>
      <c r="E204" t="s">
        <v>2740</v>
      </c>
      <c r="F204">
        <v>105</v>
      </c>
      <c r="G204" t="s">
        <v>2741</v>
      </c>
      <c r="H204" t="s">
        <v>0</v>
      </c>
      <c r="I204" t="s">
        <v>732</v>
      </c>
      <c r="J204" t="s">
        <v>695</v>
      </c>
      <c r="L204" t="s">
        <v>3</v>
      </c>
      <c r="M204" t="s">
        <v>4</v>
      </c>
      <c r="N204" s="3" t="str">
        <f t="shared" si="7"/>
        <v>F</v>
      </c>
      <c r="O204" s="3" t="str">
        <f>IF(_xlfn.IFNA(MATCH(B204,Table1[UID],0),"F")="F","F","T")</f>
        <v>T</v>
      </c>
    </row>
    <row r="205" spans="2:15" x14ac:dyDescent="0.25">
      <c r="B205" s="42" t="str">
        <f t="shared" si="8"/>
        <v>SR_72/SURFACE-RUNOFF</v>
      </c>
      <c r="C205" t="s">
        <v>2530</v>
      </c>
      <c r="D205" t="s">
        <v>2531</v>
      </c>
      <c r="E205" t="s">
        <v>2742</v>
      </c>
      <c r="F205">
        <v>106</v>
      </c>
      <c r="G205" t="s">
        <v>2743</v>
      </c>
      <c r="H205" t="s">
        <v>0</v>
      </c>
      <c r="I205" t="s">
        <v>733</v>
      </c>
      <c r="J205" t="s">
        <v>695</v>
      </c>
      <c r="L205" t="s">
        <v>3</v>
      </c>
      <c r="M205" t="s">
        <v>4</v>
      </c>
      <c r="N205" s="3" t="str">
        <f t="shared" si="7"/>
        <v>F</v>
      </c>
      <c r="O205" s="3" t="str">
        <f>IF(_xlfn.IFNA(MATCH(B205,Table1[UID],0),"F")="F","F","T")</f>
        <v>T</v>
      </c>
    </row>
    <row r="206" spans="2:15" x14ac:dyDescent="0.25">
      <c r="B206" s="42" t="str">
        <f t="shared" si="8"/>
        <v>SR_73/SURFACE-RUNOFF</v>
      </c>
      <c r="C206" t="s">
        <v>2530</v>
      </c>
      <c r="D206" t="s">
        <v>2531</v>
      </c>
      <c r="E206" t="s">
        <v>2744</v>
      </c>
      <c r="F206">
        <v>107</v>
      </c>
      <c r="G206" t="s">
        <v>2745</v>
      </c>
      <c r="H206" t="s">
        <v>0</v>
      </c>
      <c r="I206" t="s">
        <v>734</v>
      </c>
      <c r="J206" t="s">
        <v>695</v>
      </c>
      <c r="L206" t="s">
        <v>3</v>
      </c>
      <c r="M206" t="s">
        <v>4</v>
      </c>
      <c r="N206" s="3" t="str">
        <f t="shared" si="7"/>
        <v>F</v>
      </c>
      <c r="O206" s="3" t="str">
        <f>IF(_xlfn.IFNA(MATCH(B206,Table1[UID],0),"F")="F","F","T")</f>
        <v>T</v>
      </c>
    </row>
    <row r="207" spans="2:15" x14ac:dyDescent="0.25">
      <c r="B207" s="42" t="str">
        <f t="shared" si="8"/>
        <v>SR_90/SURFACE-RUNOFF</v>
      </c>
      <c r="C207" t="s">
        <v>2530</v>
      </c>
      <c r="D207" t="s">
        <v>2531</v>
      </c>
      <c r="E207" t="s">
        <v>2746</v>
      </c>
      <c r="F207">
        <v>108</v>
      </c>
      <c r="G207" t="s">
        <v>2747</v>
      </c>
      <c r="H207" t="s">
        <v>0</v>
      </c>
      <c r="I207" t="s">
        <v>735</v>
      </c>
      <c r="J207" t="s">
        <v>695</v>
      </c>
      <c r="L207" t="s">
        <v>3</v>
      </c>
      <c r="M207" t="s">
        <v>4</v>
      </c>
      <c r="N207" s="3" t="str">
        <f t="shared" si="7"/>
        <v>F</v>
      </c>
      <c r="O207" s="3" t="str">
        <f>IF(_xlfn.IFNA(MATCH(B207,Table1[UID],0),"F")="F","F","T")</f>
        <v>T</v>
      </c>
    </row>
    <row r="208" spans="2:15" x14ac:dyDescent="0.25">
      <c r="B208" s="42" t="str">
        <f t="shared" si="8"/>
        <v>SR_91/SURFACE-RUNOFF</v>
      </c>
      <c r="C208" t="s">
        <v>2530</v>
      </c>
      <c r="D208" t="s">
        <v>2531</v>
      </c>
      <c r="E208" t="s">
        <v>2748</v>
      </c>
      <c r="F208">
        <v>109</v>
      </c>
      <c r="G208" t="s">
        <v>2749</v>
      </c>
      <c r="H208" t="s">
        <v>0</v>
      </c>
      <c r="I208" t="s">
        <v>736</v>
      </c>
      <c r="J208" t="s">
        <v>695</v>
      </c>
      <c r="L208" t="s">
        <v>3</v>
      </c>
      <c r="M208" t="s">
        <v>4</v>
      </c>
      <c r="N208" s="3" t="str">
        <f t="shared" si="7"/>
        <v>F</v>
      </c>
      <c r="O208" s="3" t="str">
        <f>IF(_xlfn.IFNA(MATCH(B208,Table1[UID],0),"F")="F","F","T")</f>
        <v>T</v>
      </c>
    </row>
    <row r="209" spans="2:15" x14ac:dyDescent="0.25">
      <c r="B209" s="42" t="str">
        <f t="shared" si="8"/>
        <v>TW_60N_NA1/TAILWATER</v>
      </c>
      <c r="C209" t="s">
        <v>2530</v>
      </c>
      <c r="D209" t="s">
        <v>2531</v>
      </c>
      <c r="E209" t="s">
        <v>2750</v>
      </c>
      <c r="F209">
        <v>110</v>
      </c>
      <c r="G209" t="s">
        <v>2751</v>
      </c>
      <c r="H209" t="s">
        <v>0</v>
      </c>
      <c r="I209" t="s">
        <v>820</v>
      </c>
      <c r="J209" t="s">
        <v>738</v>
      </c>
      <c r="L209" t="s">
        <v>3</v>
      </c>
      <c r="M209" t="s">
        <v>4</v>
      </c>
      <c r="N209" s="3" t="str">
        <f t="shared" si="7"/>
        <v>F</v>
      </c>
      <c r="O209" s="3" t="str">
        <f>IF(_xlfn.IFNA(MATCH(B209,Table1[UID],0),"F")="F","F","T")</f>
        <v>T</v>
      </c>
    </row>
    <row r="210" spans="2:15" x14ac:dyDescent="0.25">
      <c r="B210" s="42" t="str">
        <f t="shared" si="8"/>
        <v>TW_60N_NA2/TAILWATER</v>
      </c>
      <c r="C210" t="s">
        <v>2530</v>
      </c>
      <c r="D210" t="s">
        <v>2531</v>
      </c>
      <c r="E210" t="s">
        <v>2752</v>
      </c>
      <c r="F210">
        <v>111</v>
      </c>
      <c r="G210" t="s">
        <v>2753</v>
      </c>
      <c r="H210" t="s">
        <v>0</v>
      </c>
      <c r="I210" t="s">
        <v>821</v>
      </c>
      <c r="J210" t="s">
        <v>738</v>
      </c>
      <c r="L210" t="s">
        <v>3</v>
      </c>
      <c r="M210" t="s">
        <v>4</v>
      </c>
      <c r="N210" s="3" t="str">
        <f t="shared" si="7"/>
        <v>F</v>
      </c>
      <c r="O210" s="3" t="str">
        <f>IF(_xlfn.IFNA(MATCH(B210,Table1[UID],0),"F")="F","F","T")</f>
        <v>T</v>
      </c>
    </row>
    <row r="211" spans="2:15" x14ac:dyDescent="0.25">
      <c r="B211" s="42" t="str">
        <f t="shared" si="8"/>
        <v>TW_60N_NA3/TAILWATER</v>
      </c>
      <c r="C211" t="s">
        <v>2530</v>
      </c>
      <c r="D211" t="s">
        <v>2531</v>
      </c>
      <c r="E211" t="s">
        <v>2754</v>
      </c>
      <c r="F211">
        <v>112</v>
      </c>
      <c r="G211" t="s">
        <v>2755</v>
      </c>
      <c r="H211" t="s">
        <v>0</v>
      </c>
      <c r="I211" t="s">
        <v>822</v>
      </c>
      <c r="J211" t="s">
        <v>738</v>
      </c>
      <c r="L211" t="s">
        <v>3</v>
      </c>
      <c r="M211" t="s">
        <v>4</v>
      </c>
      <c r="N211" s="3" t="str">
        <f t="shared" si="7"/>
        <v>F</v>
      </c>
      <c r="O211" s="3" t="str">
        <f>IF(_xlfn.IFNA(MATCH(B211,Table1[UID],0),"F")="F","F","T")</f>
        <v>T</v>
      </c>
    </row>
    <row r="212" spans="2:15" x14ac:dyDescent="0.25">
      <c r="B212" s="42" t="str">
        <f t="shared" si="8"/>
        <v>TW_60N_NA4/TAILWATER</v>
      </c>
      <c r="C212" t="s">
        <v>2530</v>
      </c>
      <c r="D212" t="s">
        <v>2531</v>
      </c>
      <c r="E212" t="s">
        <v>2756</v>
      </c>
      <c r="F212">
        <v>113</v>
      </c>
      <c r="G212" t="s">
        <v>2757</v>
      </c>
      <c r="H212" t="s">
        <v>0</v>
      </c>
      <c r="I212" t="s">
        <v>823</v>
      </c>
      <c r="J212" t="s">
        <v>738</v>
      </c>
      <c r="L212" t="s">
        <v>3</v>
      </c>
      <c r="M212" t="s">
        <v>4</v>
      </c>
      <c r="N212" s="3" t="str">
        <f t="shared" si="7"/>
        <v>F</v>
      </c>
      <c r="O212" s="3" t="str">
        <f>IF(_xlfn.IFNA(MATCH(B212,Table1[UID],0),"F")="F","F","T")</f>
        <v>T</v>
      </c>
    </row>
    <row r="213" spans="2:15" x14ac:dyDescent="0.25">
      <c r="B213" s="42" t="str">
        <f t="shared" si="8"/>
        <v>TW_60N_NA5/TAILWATER</v>
      </c>
      <c r="C213" t="s">
        <v>2530</v>
      </c>
      <c r="D213" t="s">
        <v>2531</v>
      </c>
      <c r="E213" t="s">
        <v>2758</v>
      </c>
      <c r="F213">
        <v>114</v>
      </c>
      <c r="G213" t="s">
        <v>2759</v>
      </c>
      <c r="H213" t="s">
        <v>0</v>
      </c>
      <c r="I213" t="s">
        <v>824</v>
      </c>
      <c r="J213" t="s">
        <v>738</v>
      </c>
      <c r="L213" t="s">
        <v>3</v>
      </c>
      <c r="M213" t="s">
        <v>4</v>
      </c>
      <c r="N213" s="3" t="str">
        <f t="shared" si="7"/>
        <v>F</v>
      </c>
      <c r="O213" s="3" t="str">
        <f>IF(_xlfn.IFNA(MATCH(B213,Table1[UID],0),"F")="F","F","T")</f>
        <v>T</v>
      </c>
    </row>
    <row r="214" spans="2:15" x14ac:dyDescent="0.25">
      <c r="B214" s="42" t="str">
        <f t="shared" si="8"/>
        <v>TW_60S_NA1/TAILWATER</v>
      </c>
      <c r="C214" t="s">
        <v>2530</v>
      </c>
      <c r="D214" t="s">
        <v>2531</v>
      </c>
      <c r="E214" t="s">
        <v>2760</v>
      </c>
      <c r="F214">
        <v>115</v>
      </c>
      <c r="G214" t="s">
        <v>2761</v>
      </c>
      <c r="H214" t="s">
        <v>0</v>
      </c>
      <c r="I214" t="s">
        <v>825</v>
      </c>
      <c r="J214" t="s">
        <v>738</v>
      </c>
      <c r="L214" t="s">
        <v>3</v>
      </c>
      <c r="M214" t="s">
        <v>4</v>
      </c>
      <c r="N214" s="3" t="str">
        <f t="shared" si="7"/>
        <v>F</v>
      </c>
      <c r="O214" s="3" t="str">
        <f>IF(_xlfn.IFNA(MATCH(B214,Table1[UID],0),"F")="F","F","T")</f>
        <v>T</v>
      </c>
    </row>
    <row r="215" spans="2:15" x14ac:dyDescent="0.25">
      <c r="B215" s="42" t="str">
        <f t="shared" si="8"/>
        <v>TW_60S_NA2/TAILWATER</v>
      </c>
      <c r="C215" t="s">
        <v>2530</v>
      </c>
      <c r="D215" t="s">
        <v>2531</v>
      </c>
      <c r="E215" t="s">
        <v>2762</v>
      </c>
      <c r="F215">
        <v>116</v>
      </c>
      <c r="G215" t="s">
        <v>2763</v>
      </c>
      <c r="H215" t="s">
        <v>0</v>
      </c>
      <c r="I215" t="s">
        <v>826</v>
      </c>
      <c r="J215" t="s">
        <v>738</v>
      </c>
      <c r="L215" t="s">
        <v>3</v>
      </c>
      <c r="M215" t="s">
        <v>4</v>
      </c>
      <c r="N215" s="3" t="str">
        <f t="shared" si="7"/>
        <v>F</v>
      </c>
      <c r="O215" s="3" t="str">
        <f>IF(_xlfn.IFNA(MATCH(B215,Table1[UID],0),"F")="F","F","T")</f>
        <v>T</v>
      </c>
    </row>
    <row r="216" spans="2:15" x14ac:dyDescent="0.25">
      <c r="B216" s="42" t="str">
        <f t="shared" si="8"/>
        <v>TW_60S_PA1/TAILWATER</v>
      </c>
      <c r="C216" t="s">
        <v>2530</v>
      </c>
      <c r="D216" t="s">
        <v>2531</v>
      </c>
      <c r="E216" t="s">
        <v>2764</v>
      </c>
      <c r="F216">
        <v>117</v>
      </c>
      <c r="G216" t="s">
        <v>2765</v>
      </c>
      <c r="H216" t="s">
        <v>0</v>
      </c>
      <c r="I216" t="s">
        <v>827</v>
      </c>
      <c r="J216" t="s">
        <v>738</v>
      </c>
      <c r="L216" t="s">
        <v>3</v>
      </c>
      <c r="M216" t="s">
        <v>4</v>
      </c>
      <c r="N216" s="3" t="str">
        <f t="shared" si="7"/>
        <v>F</v>
      </c>
      <c r="O216" s="3" t="str">
        <f>IF(_xlfn.IFNA(MATCH(B216,Table1[UID],0),"F")="F","F","T")</f>
        <v>T</v>
      </c>
    </row>
    <row r="217" spans="2:15" x14ac:dyDescent="0.25">
      <c r="B217" s="42" t="str">
        <f t="shared" si="8"/>
        <v>TW_60S_PA2/TAILWATER</v>
      </c>
      <c r="C217" t="s">
        <v>2530</v>
      </c>
      <c r="D217" t="s">
        <v>2531</v>
      </c>
      <c r="E217" t="s">
        <v>2766</v>
      </c>
      <c r="F217">
        <v>118</v>
      </c>
      <c r="G217" t="s">
        <v>2767</v>
      </c>
      <c r="H217" t="s">
        <v>0</v>
      </c>
      <c r="I217" t="s">
        <v>828</v>
      </c>
      <c r="J217" t="s">
        <v>738</v>
      </c>
      <c r="L217" t="s">
        <v>3</v>
      </c>
      <c r="M217" t="s">
        <v>4</v>
      </c>
      <c r="N217" s="3" t="str">
        <f t="shared" si="7"/>
        <v>F</v>
      </c>
      <c r="O217" s="3" t="str">
        <f>IF(_xlfn.IFNA(MATCH(B217,Table1[UID],0),"F")="F","F","T")</f>
        <v>T</v>
      </c>
    </row>
    <row r="218" spans="2:15" x14ac:dyDescent="0.25">
      <c r="B218" s="42" t="str">
        <f t="shared" si="8"/>
        <v>TW_61_NA1/TAILWATER</v>
      </c>
      <c r="C218" t="s">
        <v>2530</v>
      </c>
      <c r="D218" t="s">
        <v>2531</v>
      </c>
      <c r="E218" t="s">
        <v>2768</v>
      </c>
      <c r="F218">
        <v>119</v>
      </c>
      <c r="G218" t="s">
        <v>2769</v>
      </c>
      <c r="H218" t="s">
        <v>0</v>
      </c>
      <c r="I218" t="s">
        <v>829</v>
      </c>
      <c r="J218" t="s">
        <v>738</v>
      </c>
      <c r="L218" t="s">
        <v>3</v>
      </c>
      <c r="M218" t="s">
        <v>4</v>
      </c>
      <c r="N218" s="3" t="str">
        <f t="shared" si="7"/>
        <v>F</v>
      </c>
      <c r="O218" s="3" t="str">
        <f>IF(_xlfn.IFNA(MATCH(B218,Table1[UID],0),"F")="F","F","T")</f>
        <v>T</v>
      </c>
    </row>
    <row r="219" spans="2:15" x14ac:dyDescent="0.25">
      <c r="B219" s="42" t="str">
        <f t="shared" si="8"/>
        <v>TW_61_NA2/TAILWATER</v>
      </c>
      <c r="C219" t="s">
        <v>2530</v>
      </c>
      <c r="D219" t="s">
        <v>2531</v>
      </c>
      <c r="E219" t="s">
        <v>2770</v>
      </c>
      <c r="F219">
        <v>120</v>
      </c>
      <c r="G219" t="s">
        <v>2771</v>
      </c>
      <c r="H219" t="s">
        <v>0</v>
      </c>
      <c r="I219" t="s">
        <v>830</v>
      </c>
      <c r="J219" t="s">
        <v>738</v>
      </c>
      <c r="L219" t="s">
        <v>3</v>
      </c>
      <c r="M219" t="s">
        <v>4</v>
      </c>
      <c r="N219" s="3" t="str">
        <f t="shared" si="7"/>
        <v>F</v>
      </c>
      <c r="O219" s="3" t="str">
        <f>IF(_xlfn.IFNA(MATCH(B219,Table1[UID],0),"F")="F","F","T")</f>
        <v>T</v>
      </c>
    </row>
    <row r="220" spans="2:15" x14ac:dyDescent="0.25">
      <c r="B220" s="42" t="str">
        <f t="shared" si="8"/>
        <v>TW_61_NA3/TAILWATER</v>
      </c>
      <c r="C220" t="s">
        <v>2530</v>
      </c>
      <c r="D220" t="s">
        <v>2531</v>
      </c>
      <c r="E220" t="s">
        <v>2772</v>
      </c>
      <c r="F220">
        <v>121</v>
      </c>
      <c r="G220" t="s">
        <v>2773</v>
      </c>
      <c r="H220" t="s">
        <v>0</v>
      </c>
      <c r="I220" t="s">
        <v>831</v>
      </c>
      <c r="J220" t="s">
        <v>738</v>
      </c>
      <c r="L220" t="s">
        <v>3</v>
      </c>
      <c r="M220" t="s">
        <v>4</v>
      </c>
      <c r="N220" s="3" t="str">
        <f t="shared" si="7"/>
        <v>F</v>
      </c>
      <c r="O220" s="3" t="str">
        <f>IF(_xlfn.IFNA(MATCH(B220,Table1[UID],0),"F")="F","F","T")</f>
        <v>T</v>
      </c>
    </row>
    <row r="221" spans="2:15" x14ac:dyDescent="0.25">
      <c r="B221" s="42" t="str">
        <f t="shared" si="8"/>
        <v>TW_61_NA4/TAILWATER</v>
      </c>
      <c r="C221" t="s">
        <v>2530</v>
      </c>
      <c r="D221" t="s">
        <v>2531</v>
      </c>
      <c r="E221" t="s">
        <v>2774</v>
      </c>
      <c r="F221">
        <v>122</v>
      </c>
      <c r="G221" t="s">
        <v>2775</v>
      </c>
      <c r="H221" t="s">
        <v>0</v>
      </c>
      <c r="I221" t="s">
        <v>832</v>
      </c>
      <c r="J221" t="s">
        <v>738</v>
      </c>
      <c r="L221" t="s">
        <v>3</v>
      </c>
      <c r="M221" t="s">
        <v>4</v>
      </c>
      <c r="N221" s="3" t="str">
        <f t="shared" si="7"/>
        <v>F</v>
      </c>
      <c r="O221" s="3" t="str">
        <f>IF(_xlfn.IFNA(MATCH(B221,Table1[UID],0),"F")="F","F","T")</f>
        <v>T</v>
      </c>
    </row>
    <row r="222" spans="2:15" x14ac:dyDescent="0.25">
      <c r="B222" s="42" t="str">
        <f t="shared" si="8"/>
        <v>TW_61_NA5/TAILWATER</v>
      </c>
      <c r="C222" t="s">
        <v>2530</v>
      </c>
      <c r="D222" t="s">
        <v>2531</v>
      </c>
      <c r="E222" t="s">
        <v>2776</v>
      </c>
      <c r="F222">
        <v>123</v>
      </c>
      <c r="G222" t="s">
        <v>2777</v>
      </c>
      <c r="H222" t="s">
        <v>0</v>
      </c>
      <c r="I222" t="s">
        <v>833</v>
      </c>
      <c r="J222" t="s">
        <v>738</v>
      </c>
      <c r="L222" t="s">
        <v>3</v>
      </c>
      <c r="M222" t="s">
        <v>4</v>
      </c>
      <c r="N222" s="3" t="str">
        <f t="shared" si="7"/>
        <v>F</v>
      </c>
      <c r="O222" s="3" t="str">
        <f>IF(_xlfn.IFNA(MATCH(B222,Table1[UID],0),"F")="F","F","T")</f>
        <v>T</v>
      </c>
    </row>
    <row r="223" spans="2:15" x14ac:dyDescent="0.25">
      <c r="B223" s="42" t="str">
        <f t="shared" si="8"/>
        <v>TW_61_NA6/TAILWATER</v>
      </c>
      <c r="C223" t="s">
        <v>2530</v>
      </c>
      <c r="D223" t="s">
        <v>2531</v>
      </c>
      <c r="E223" t="s">
        <v>2778</v>
      </c>
      <c r="F223">
        <v>124</v>
      </c>
      <c r="G223" t="s">
        <v>2779</v>
      </c>
      <c r="H223" t="s">
        <v>0</v>
      </c>
      <c r="I223" t="s">
        <v>834</v>
      </c>
      <c r="J223" t="s">
        <v>738</v>
      </c>
      <c r="L223" t="s">
        <v>3</v>
      </c>
      <c r="M223" t="s">
        <v>4</v>
      </c>
      <c r="N223" s="3" t="str">
        <f t="shared" si="7"/>
        <v>F</v>
      </c>
      <c r="O223" s="3" t="str">
        <f>IF(_xlfn.IFNA(MATCH(B223,Table1[UID],0),"F")="F","F","T")</f>
        <v>T</v>
      </c>
    </row>
    <row r="224" spans="2:15" x14ac:dyDescent="0.25">
      <c r="B224" s="42" t="str">
        <f t="shared" si="8"/>
        <v>TW_61_PA1/TAILWATER</v>
      </c>
      <c r="C224" t="s">
        <v>2530</v>
      </c>
      <c r="D224" t="s">
        <v>2531</v>
      </c>
      <c r="E224" t="s">
        <v>2780</v>
      </c>
      <c r="F224">
        <v>125</v>
      </c>
      <c r="G224" t="s">
        <v>2781</v>
      </c>
      <c r="H224" t="s">
        <v>0</v>
      </c>
      <c r="I224" t="s">
        <v>835</v>
      </c>
      <c r="J224" t="s">
        <v>738</v>
      </c>
      <c r="L224" t="s">
        <v>3</v>
      </c>
      <c r="M224" t="s">
        <v>4</v>
      </c>
      <c r="N224" s="3" t="str">
        <f t="shared" si="7"/>
        <v>F</v>
      </c>
      <c r="O224" s="3" t="str">
        <f>IF(_xlfn.IFNA(MATCH(B224,Table1[UID],0),"F")="F","F","T")</f>
        <v>T</v>
      </c>
    </row>
    <row r="225" spans="2:15" x14ac:dyDescent="0.25">
      <c r="B225" s="42" t="str">
        <f t="shared" si="8"/>
        <v>TW_61_PA2/TAILWATER</v>
      </c>
      <c r="C225" t="s">
        <v>2530</v>
      </c>
      <c r="D225" t="s">
        <v>2531</v>
      </c>
      <c r="E225" t="s">
        <v>2782</v>
      </c>
      <c r="F225">
        <v>126</v>
      </c>
      <c r="G225" t="s">
        <v>2783</v>
      </c>
      <c r="H225" t="s">
        <v>0</v>
      </c>
      <c r="I225" t="s">
        <v>836</v>
      </c>
      <c r="J225" t="s">
        <v>738</v>
      </c>
      <c r="L225" t="s">
        <v>3</v>
      </c>
      <c r="M225" t="s">
        <v>4</v>
      </c>
      <c r="N225" s="3" t="str">
        <f t="shared" si="7"/>
        <v>F</v>
      </c>
      <c r="O225" s="3" t="str">
        <f>IF(_xlfn.IFNA(MATCH(B225,Table1[UID],0),"F")="F","F","T")</f>
        <v>T</v>
      </c>
    </row>
    <row r="226" spans="2:15" x14ac:dyDescent="0.25">
      <c r="B226" s="42" t="str">
        <f t="shared" si="8"/>
        <v>TW_61_PA3/TAILWATER</v>
      </c>
      <c r="C226" t="s">
        <v>2530</v>
      </c>
      <c r="D226" t="s">
        <v>2531</v>
      </c>
      <c r="E226" t="s">
        <v>2784</v>
      </c>
      <c r="F226">
        <v>127</v>
      </c>
      <c r="G226" t="s">
        <v>2785</v>
      </c>
      <c r="H226" t="s">
        <v>0</v>
      </c>
      <c r="I226" t="s">
        <v>837</v>
      </c>
      <c r="J226" t="s">
        <v>738</v>
      </c>
      <c r="L226" t="s">
        <v>3</v>
      </c>
      <c r="M226" t="s">
        <v>4</v>
      </c>
      <c r="N226" s="3" t="str">
        <f t="shared" si="7"/>
        <v>F</v>
      </c>
      <c r="O226" s="3" t="str">
        <f>IF(_xlfn.IFNA(MATCH(B226,Table1[UID],0),"F")="F","F","T")</f>
        <v>T</v>
      </c>
    </row>
    <row r="227" spans="2:15" x14ac:dyDescent="0.25">
      <c r="B227" s="42" t="str">
        <f t="shared" si="8"/>
        <v>TW_62_NA1/TAILWATER</v>
      </c>
      <c r="C227" t="s">
        <v>2530</v>
      </c>
      <c r="D227" t="s">
        <v>2531</v>
      </c>
      <c r="E227" t="s">
        <v>2786</v>
      </c>
      <c r="F227">
        <v>128</v>
      </c>
      <c r="G227" t="s">
        <v>2787</v>
      </c>
      <c r="H227" t="s">
        <v>0</v>
      </c>
      <c r="I227" t="s">
        <v>838</v>
      </c>
      <c r="J227" t="s">
        <v>738</v>
      </c>
      <c r="L227" t="s">
        <v>3</v>
      </c>
      <c r="M227" t="s">
        <v>4</v>
      </c>
      <c r="N227" s="3" t="str">
        <f t="shared" si="7"/>
        <v>F</v>
      </c>
      <c r="O227" s="3" t="str">
        <f>IF(_xlfn.IFNA(MATCH(B227,Table1[UID],0),"F")="F","F","T")</f>
        <v>T</v>
      </c>
    </row>
    <row r="228" spans="2:15" x14ac:dyDescent="0.25">
      <c r="B228" s="42" t="str">
        <f t="shared" si="8"/>
        <v>TW_62_NA2/TAILWATER</v>
      </c>
      <c r="C228" t="s">
        <v>2530</v>
      </c>
      <c r="D228" t="s">
        <v>2531</v>
      </c>
      <c r="E228" t="s">
        <v>2788</v>
      </c>
      <c r="F228">
        <v>129</v>
      </c>
      <c r="G228" t="s">
        <v>2789</v>
      </c>
      <c r="H228" t="s">
        <v>0</v>
      </c>
      <c r="I228" t="s">
        <v>839</v>
      </c>
      <c r="J228" t="s">
        <v>738</v>
      </c>
      <c r="L228" t="s">
        <v>3</v>
      </c>
      <c r="M228" t="s">
        <v>4</v>
      </c>
      <c r="N228" s="3" t="str">
        <f t="shared" si="7"/>
        <v>F</v>
      </c>
      <c r="O228" s="3" t="str">
        <f>IF(_xlfn.IFNA(MATCH(B228,Table1[UID],0),"F")="F","F","T")</f>
        <v>T</v>
      </c>
    </row>
    <row r="229" spans="2:15" x14ac:dyDescent="0.25">
      <c r="B229" s="42" t="str">
        <f t="shared" si="8"/>
        <v>TW_62_NA3/TAILWATER</v>
      </c>
      <c r="C229" t="s">
        <v>2530</v>
      </c>
      <c r="D229" t="s">
        <v>2531</v>
      </c>
      <c r="E229" t="s">
        <v>2790</v>
      </c>
      <c r="F229">
        <v>130</v>
      </c>
      <c r="G229" t="s">
        <v>2791</v>
      </c>
      <c r="H229" t="s">
        <v>0</v>
      </c>
      <c r="I229" t="s">
        <v>840</v>
      </c>
      <c r="J229" t="s">
        <v>738</v>
      </c>
      <c r="L229" t="s">
        <v>3</v>
      </c>
      <c r="M229" t="s">
        <v>4</v>
      </c>
      <c r="N229" s="3" t="str">
        <f t="shared" si="7"/>
        <v>F</v>
      </c>
      <c r="O229" s="3" t="str">
        <f>IF(_xlfn.IFNA(MATCH(B229,Table1[UID],0),"F")="F","F","T")</f>
        <v>T</v>
      </c>
    </row>
    <row r="230" spans="2:15" x14ac:dyDescent="0.25">
      <c r="B230" s="42" t="str">
        <f t="shared" si="8"/>
        <v>TW_62_NA4/TAILWATER</v>
      </c>
      <c r="C230" t="s">
        <v>2530</v>
      </c>
      <c r="D230" t="s">
        <v>2531</v>
      </c>
      <c r="E230" t="s">
        <v>2792</v>
      </c>
      <c r="F230">
        <v>131</v>
      </c>
      <c r="G230" t="s">
        <v>2793</v>
      </c>
      <c r="H230" t="s">
        <v>0</v>
      </c>
      <c r="I230" t="s">
        <v>841</v>
      </c>
      <c r="J230" t="s">
        <v>738</v>
      </c>
      <c r="L230" t="s">
        <v>3</v>
      </c>
      <c r="M230" t="s">
        <v>4</v>
      </c>
      <c r="N230" s="3" t="str">
        <f t="shared" si="7"/>
        <v>F</v>
      </c>
      <c r="O230" s="3" t="str">
        <f>IF(_xlfn.IFNA(MATCH(B230,Table1[UID],0),"F")="F","F","T")</f>
        <v>T</v>
      </c>
    </row>
    <row r="231" spans="2:15" x14ac:dyDescent="0.25">
      <c r="B231" s="42" t="str">
        <f t="shared" si="8"/>
        <v>TW_62_NA5/TAILWATER</v>
      </c>
      <c r="C231" t="s">
        <v>2530</v>
      </c>
      <c r="D231" t="s">
        <v>2531</v>
      </c>
      <c r="E231" t="s">
        <v>2794</v>
      </c>
      <c r="F231">
        <v>132</v>
      </c>
      <c r="G231" t="s">
        <v>2795</v>
      </c>
      <c r="H231" t="s">
        <v>0</v>
      </c>
      <c r="I231" t="s">
        <v>842</v>
      </c>
      <c r="J231" t="s">
        <v>738</v>
      </c>
      <c r="L231" t="s">
        <v>3</v>
      </c>
      <c r="M231" t="s">
        <v>4</v>
      </c>
      <c r="N231" s="3" t="str">
        <f t="shared" si="7"/>
        <v>F</v>
      </c>
      <c r="O231" s="3" t="str">
        <f>IF(_xlfn.IFNA(MATCH(B231,Table1[UID],0),"F")="F","F","T")</f>
        <v>T</v>
      </c>
    </row>
    <row r="232" spans="2:15" x14ac:dyDescent="0.25">
      <c r="B232" s="42" t="str">
        <f t="shared" si="8"/>
        <v>TW_62_NA6/TAILWATER</v>
      </c>
      <c r="C232" t="s">
        <v>2530</v>
      </c>
      <c r="D232" t="s">
        <v>2531</v>
      </c>
      <c r="E232" t="s">
        <v>2796</v>
      </c>
      <c r="F232">
        <v>133</v>
      </c>
      <c r="G232" t="s">
        <v>2797</v>
      </c>
      <c r="H232" t="s">
        <v>0</v>
      </c>
      <c r="I232" t="s">
        <v>843</v>
      </c>
      <c r="J232" t="s">
        <v>738</v>
      </c>
      <c r="L232" t="s">
        <v>3</v>
      </c>
      <c r="M232" t="s">
        <v>4</v>
      </c>
      <c r="N232" s="3" t="str">
        <f t="shared" si="7"/>
        <v>F</v>
      </c>
      <c r="O232" s="3" t="str">
        <f>IF(_xlfn.IFNA(MATCH(B232,Table1[UID],0),"F")="F","F","T")</f>
        <v>T</v>
      </c>
    </row>
    <row r="233" spans="2:15" x14ac:dyDescent="0.25">
      <c r="B233" s="42" t="str">
        <f t="shared" si="8"/>
        <v>TW_63_NA1/TAILWATER</v>
      </c>
      <c r="C233" t="s">
        <v>2530</v>
      </c>
      <c r="D233" t="s">
        <v>2531</v>
      </c>
      <c r="E233" t="s">
        <v>2798</v>
      </c>
      <c r="F233">
        <v>134</v>
      </c>
      <c r="G233" t="s">
        <v>2799</v>
      </c>
      <c r="H233" t="s">
        <v>0</v>
      </c>
      <c r="I233" t="s">
        <v>844</v>
      </c>
      <c r="J233" t="s">
        <v>738</v>
      </c>
      <c r="L233" t="s">
        <v>3</v>
      </c>
      <c r="M233" t="s">
        <v>4</v>
      </c>
      <c r="N233" s="3" t="str">
        <f t="shared" si="7"/>
        <v>F</v>
      </c>
      <c r="O233" s="3" t="str">
        <f>IF(_xlfn.IFNA(MATCH(B233,Table1[UID],0),"F")="F","F","T")</f>
        <v>T</v>
      </c>
    </row>
    <row r="234" spans="2:15" x14ac:dyDescent="0.25">
      <c r="B234" s="42" t="str">
        <f t="shared" si="8"/>
        <v>TW_63_NA2/TAILWATER</v>
      </c>
      <c r="C234" t="s">
        <v>2530</v>
      </c>
      <c r="D234" t="s">
        <v>2531</v>
      </c>
      <c r="E234" t="s">
        <v>2800</v>
      </c>
      <c r="F234">
        <v>135</v>
      </c>
      <c r="G234" t="s">
        <v>2801</v>
      </c>
      <c r="H234" t="s">
        <v>0</v>
      </c>
      <c r="I234" t="s">
        <v>845</v>
      </c>
      <c r="J234" t="s">
        <v>738</v>
      </c>
      <c r="L234" t="s">
        <v>3</v>
      </c>
      <c r="M234" t="s">
        <v>4</v>
      </c>
      <c r="N234" s="3" t="str">
        <f t="shared" si="7"/>
        <v>F</v>
      </c>
      <c r="O234" s="3" t="str">
        <f>IF(_xlfn.IFNA(MATCH(B234,Table1[UID],0),"F")="F","F","T")</f>
        <v>T</v>
      </c>
    </row>
    <row r="235" spans="2:15" x14ac:dyDescent="0.25">
      <c r="B235" s="42" t="str">
        <f t="shared" si="8"/>
        <v>TW_63_NA3/TAILWATER</v>
      </c>
      <c r="C235" t="s">
        <v>2530</v>
      </c>
      <c r="D235" t="s">
        <v>2531</v>
      </c>
      <c r="E235" t="s">
        <v>2802</v>
      </c>
      <c r="F235">
        <v>136</v>
      </c>
      <c r="G235" t="s">
        <v>2803</v>
      </c>
      <c r="H235" t="s">
        <v>0</v>
      </c>
      <c r="I235" t="s">
        <v>846</v>
      </c>
      <c r="J235" t="s">
        <v>738</v>
      </c>
      <c r="L235" t="s">
        <v>3</v>
      </c>
      <c r="M235" t="s">
        <v>4</v>
      </c>
      <c r="N235" s="3" t="str">
        <f t="shared" si="7"/>
        <v>F</v>
      </c>
      <c r="O235" s="3" t="str">
        <f>IF(_xlfn.IFNA(MATCH(B235,Table1[UID],0),"F")="F","F","T")</f>
        <v>T</v>
      </c>
    </row>
    <row r="236" spans="2:15" x14ac:dyDescent="0.25">
      <c r="B236" s="42" t="str">
        <f t="shared" si="8"/>
        <v>TW_63_NA4/TAILWATER</v>
      </c>
      <c r="C236" t="s">
        <v>2530</v>
      </c>
      <c r="D236" t="s">
        <v>2531</v>
      </c>
      <c r="E236" t="s">
        <v>2804</v>
      </c>
      <c r="F236">
        <v>137</v>
      </c>
      <c r="G236" t="s">
        <v>2805</v>
      </c>
      <c r="H236" t="s">
        <v>0</v>
      </c>
      <c r="I236" t="s">
        <v>847</v>
      </c>
      <c r="J236" t="s">
        <v>738</v>
      </c>
      <c r="L236" t="s">
        <v>3</v>
      </c>
      <c r="M236" t="s">
        <v>4</v>
      </c>
      <c r="N236" s="3" t="str">
        <f t="shared" si="7"/>
        <v>F</v>
      </c>
      <c r="O236" s="3" t="str">
        <f>IF(_xlfn.IFNA(MATCH(B236,Table1[UID],0),"F")="F","F","T")</f>
        <v>T</v>
      </c>
    </row>
    <row r="237" spans="2:15" x14ac:dyDescent="0.25">
      <c r="B237" s="42" t="str">
        <f>_xlfn.CONCAT(I237,"/",J237)</f>
        <v>TW_63_NA5/TAILWATER</v>
      </c>
      <c r="C237" t="s">
        <v>2530</v>
      </c>
      <c r="D237" t="s">
        <v>2531</v>
      </c>
      <c r="E237" t="s">
        <v>4760</v>
      </c>
      <c r="F237">
        <v>384</v>
      </c>
      <c r="G237" t="s">
        <v>4760</v>
      </c>
      <c r="H237" t="s">
        <v>0</v>
      </c>
      <c r="I237" t="s">
        <v>848</v>
      </c>
      <c r="J237" t="s">
        <v>738</v>
      </c>
      <c r="L237" t="s">
        <v>3</v>
      </c>
      <c r="M237" t="s">
        <v>4</v>
      </c>
      <c r="N237" s="3" t="str">
        <f t="shared" si="7"/>
        <v>F</v>
      </c>
      <c r="O237" s="3" t="str">
        <f>IF(_xlfn.IFNA(MATCH(B237,Table1[UID],0),"F")="F","F","T")</f>
        <v>T</v>
      </c>
    </row>
    <row r="238" spans="2:15" x14ac:dyDescent="0.25">
      <c r="B238" s="42" t="str">
        <f t="shared" si="8"/>
        <v>TW_63_PR1/TAILWATER</v>
      </c>
      <c r="C238" t="s">
        <v>2530</v>
      </c>
      <c r="D238" t="s">
        <v>2531</v>
      </c>
      <c r="E238" t="s">
        <v>2806</v>
      </c>
      <c r="F238">
        <v>138</v>
      </c>
      <c r="G238" t="s">
        <v>2807</v>
      </c>
      <c r="H238" t="s">
        <v>0</v>
      </c>
      <c r="I238" t="s">
        <v>849</v>
      </c>
      <c r="J238" t="s">
        <v>738</v>
      </c>
      <c r="L238" t="s">
        <v>3</v>
      </c>
      <c r="M238" t="s">
        <v>4</v>
      </c>
      <c r="N238" s="3" t="str">
        <f t="shared" si="7"/>
        <v>F</v>
      </c>
      <c r="O238" s="3" t="str">
        <f>IF(_xlfn.IFNA(MATCH(B238,Table1[UID],0),"F")="F","F","T")</f>
        <v>T</v>
      </c>
    </row>
    <row r="239" spans="2:15" x14ac:dyDescent="0.25">
      <c r="B239" s="42" t="str">
        <f t="shared" si="8"/>
        <v>TW_63_PR2/TAILWATER</v>
      </c>
      <c r="C239" t="s">
        <v>2530</v>
      </c>
      <c r="D239" t="s">
        <v>2531</v>
      </c>
      <c r="E239" t="s">
        <v>2808</v>
      </c>
      <c r="F239">
        <v>139</v>
      </c>
      <c r="G239" t="s">
        <v>2809</v>
      </c>
      <c r="H239" t="s">
        <v>0</v>
      </c>
      <c r="I239" t="s">
        <v>850</v>
      </c>
      <c r="J239" t="s">
        <v>738</v>
      </c>
      <c r="L239" t="s">
        <v>3</v>
      </c>
      <c r="M239" t="s">
        <v>4</v>
      </c>
      <c r="N239" s="3" t="str">
        <f t="shared" si="7"/>
        <v>F</v>
      </c>
      <c r="O239" s="3" t="str">
        <f>IF(_xlfn.IFNA(MATCH(B239,Table1[UID],0),"F")="F","F","T")</f>
        <v>T</v>
      </c>
    </row>
    <row r="240" spans="2:15" x14ac:dyDescent="0.25">
      <c r="B240" s="42" t="str">
        <f t="shared" si="8"/>
        <v>TW_63_PR3/TAILWATER</v>
      </c>
      <c r="C240" t="s">
        <v>2530</v>
      </c>
      <c r="D240" t="s">
        <v>2531</v>
      </c>
      <c r="E240" t="s">
        <v>2810</v>
      </c>
      <c r="F240">
        <v>140</v>
      </c>
      <c r="G240" t="s">
        <v>2811</v>
      </c>
      <c r="H240" t="s">
        <v>0</v>
      </c>
      <c r="I240" t="s">
        <v>851</v>
      </c>
      <c r="J240" t="s">
        <v>738</v>
      </c>
      <c r="L240" t="s">
        <v>3</v>
      </c>
      <c r="M240" t="s">
        <v>4</v>
      </c>
      <c r="N240" s="3" t="str">
        <f t="shared" si="7"/>
        <v>F</v>
      </c>
      <c r="O240" s="3" t="str">
        <f>IF(_xlfn.IFNA(MATCH(B240,Table1[UID],0),"F")="F","F","T")</f>
        <v>T</v>
      </c>
    </row>
    <row r="241" spans="2:15" x14ac:dyDescent="0.25">
      <c r="B241" s="42" t="str">
        <f t="shared" si="8"/>
        <v>TW_64_NA1/TAILWATER</v>
      </c>
      <c r="C241" t="s">
        <v>2530</v>
      </c>
      <c r="D241" t="s">
        <v>2531</v>
      </c>
      <c r="E241" t="s">
        <v>2812</v>
      </c>
      <c r="F241">
        <v>141</v>
      </c>
      <c r="G241" t="s">
        <v>2813</v>
      </c>
      <c r="H241" t="s">
        <v>0</v>
      </c>
      <c r="I241" t="s">
        <v>852</v>
      </c>
      <c r="J241" t="s">
        <v>738</v>
      </c>
      <c r="L241" t="s">
        <v>3</v>
      </c>
      <c r="M241" t="s">
        <v>4</v>
      </c>
      <c r="N241" s="3" t="str">
        <f t="shared" si="7"/>
        <v>F</v>
      </c>
      <c r="O241" s="3" t="str">
        <f>IF(_xlfn.IFNA(MATCH(B241,Table1[UID],0),"F")="F","F","T")</f>
        <v>T</v>
      </c>
    </row>
    <row r="242" spans="2:15" x14ac:dyDescent="0.25">
      <c r="B242" s="42" t="str">
        <f t="shared" si="8"/>
        <v>TW_64_NA2/TAILWATER</v>
      </c>
      <c r="C242" t="s">
        <v>2530</v>
      </c>
      <c r="D242" t="s">
        <v>2531</v>
      </c>
      <c r="E242" t="s">
        <v>2814</v>
      </c>
      <c r="F242">
        <v>142</v>
      </c>
      <c r="G242" t="s">
        <v>2815</v>
      </c>
      <c r="H242" t="s">
        <v>0</v>
      </c>
      <c r="I242" t="s">
        <v>853</v>
      </c>
      <c r="J242" t="s">
        <v>738</v>
      </c>
      <c r="L242" t="s">
        <v>3</v>
      </c>
      <c r="M242" t="s">
        <v>4</v>
      </c>
      <c r="N242" s="3" t="str">
        <f t="shared" si="7"/>
        <v>F</v>
      </c>
      <c r="O242" s="3" t="str">
        <f>IF(_xlfn.IFNA(MATCH(B242,Table1[UID],0),"F")="F","F","T")</f>
        <v>T</v>
      </c>
    </row>
    <row r="243" spans="2:15" x14ac:dyDescent="0.25">
      <c r="B243" s="42" t="str">
        <f t="shared" si="8"/>
        <v>TW_64_PA1/TAILWATER</v>
      </c>
      <c r="C243" t="s">
        <v>2530</v>
      </c>
      <c r="D243" t="s">
        <v>2531</v>
      </c>
      <c r="E243" t="s">
        <v>2816</v>
      </c>
      <c r="F243">
        <v>143</v>
      </c>
      <c r="G243" t="s">
        <v>2817</v>
      </c>
      <c r="H243" t="s">
        <v>0</v>
      </c>
      <c r="I243" t="s">
        <v>854</v>
      </c>
      <c r="J243" t="s">
        <v>738</v>
      </c>
      <c r="L243" t="s">
        <v>3</v>
      </c>
      <c r="M243" t="s">
        <v>4</v>
      </c>
      <c r="N243" s="3" t="str">
        <f t="shared" si="7"/>
        <v>F</v>
      </c>
      <c r="O243" s="3" t="str">
        <f>IF(_xlfn.IFNA(MATCH(B243,Table1[UID],0),"F")="F","F","T")</f>
        <v>T</v>
      </c>
    </row>
    <row r="244" spans="2:15" x14ac:dyDescent="0.25">
      <c r="B244" s="42" t="str">
        <f t="shared" si="8"/>
        <v>TW_64_PA2/TAILWATER</v>
      </c>
      <c r="C244" t="s">
        <v>2530</v>
      </c>
      <c r="D244" t="s">
        <v>2531</v>
      </c>
      <c r="E244" t="s">
        <v>2818</v>
      </c>
      <c r="F244">
        <v>144</v>
      </c>
      <c r="G244" t="s">
        <v>2819</v>
      </c>
      <c r="H244" t="s">
        <v>0</v>
      </c>
      <c r="I244" t="s">
        <v>855</v>
      </c>
      <c r="J244" t="s">
        <v>738</v>
      </c>
      <c r="L244" t="s">
        <v>3</v>
      </c>
      <c r="M244" t="s">
        <v>4</v>
      </c>
      <c r="N244" s="3" t="str">
        <f t="shared" si="7"/>
        <v>F</v>
      </c>
      <c r="O244" s="3" t="str">
        <f>IF(_xlfn.IFNA(MATCH(B244,Table1[UID],0),"F")="F","F","T")</f>
        <v>T</v>
      </c>
    </row>
    <row r="245" spans="2:15" x14ac:dyDescent="0.25">
      <c r="B245" s="42" t="str">
        <f t="shared" si="8"/>
        <v>TW_64_PA3/TAILWATER</v>
      </c>
      <c r="C245" t="s">
        <v>2530</v>
      </c>
      <c r="D245" t="s">
        <v>2531</v>
      </c>
      <c r="E245" t="s">
        <v>2820</v>
      </c>
      <c r="F245">
        <v>145</v>
      </c>
      <c r="G245" t="s">
        <v>2821</v>
      </c>
      <c r="H245" t="s">
        <v>0</v>
      </c>
      <c r="I245" t="s">
        <v>856</v>
      </c>
      <c r="J245" t="s">
        <v>738</v>
      </c>
      <c r="L245" t="s">
        <v>3</v>
      </c>
      <c r="M245" t="s">
        <v>4</v>
      </c>
      <c r="N245" s="3" t="str">
        <f t="shared" si="7"/>
        <v>F</v>
      </c>
      <c r="O245" s="3" t="str">
        <f>IF(_xlfn.IFNA(MATCH(B245,Table1[UID],0),"F")="F","F","T")</f>
        <v>T</v>
      </c>
    </row>
    <row r="246" spans="2:15" x14ac:dyDescent="0.25">
      <c r="B246" s="42" t="str">
        <f t="shared" si="8"/>
        <v>TW_71_NA1/TAILWATER</v>
      </c>
      <c r="C246" t="s">
        <v>2530</v>
      </c>
      <c r="D246" t="s">
        <v>2531</v>
      </c>
      <c r="E246" t="s">
        <v>2822</v>
      </c>
      <c r="F246">
        <v>146</v>
      </c>
      <c r="G246" t="s">
        <v>2823</v>
      </c>
      <c r="H246" t="s">
        <v>0</v>
      </c>
      <c r="I246" t="s">
        <v>858</v>
      </c>
      <c r="J246" t="s">
        <v>738</v>
      </c>
      <c r="L246" t="s">
        <v>3</v>
      </c>
      <c r="M246" t="s">
        <v>4</v>
      </c>
      <c r="N246" s="3" t="str">
        <f t="shared" si="7"/>
        <v>F</v>
      </c>
      <c r="O246" s="3" t="str">
        <f>IF(_xlfn.IFNA(MATCH(B246,Table1[UID],0),"F")="F","F","T")</f>
        <v>T</v>
      </c>
    </row>
    <row r="247" spans="2:15" x14ac:dyDescent="0.25">
      <c r="B247" s="42" t="str">
        <f t="shared" si="8"/>
        <v>TW_71_NA2/TAILWATER</v>
      </c>
      <c r="C247" t="s">
        <v>2530</v>
      </c>
      <c r="D247" t="s">
        <v>2531</v>
      </c>
      <c r="E247" t="s">
        <v>2824</v>
      </c>
      <c r="F247">
        <v>147</v>
      </c>
      <c r="G247" t="s">
        <v>2825</v>
      </c>
      <c r="H247" t="s">
        <v>0</v>
      </c>
      <c r="I247" t="s">
        <v>859</v>
      </c>
      <c r="J247" t="s">
        <v>738</v>
      </c>
      <c r="L247" t="s">
        <v>3</v>
      </c>
      <c r="M247" t="s">
        <v>4</v>
      </c>
      <c r="N247" s="3" t="str">
        <f t="shared" si="7"/>
        <v>F</v>
      </c>
      <c r="O247" s="3" t="str">
        <f>IF(_xlfn.IFNA(MATCH(B247,Table1[UID],0),"F")="F","F","T")</f>
        <v>T</v>
      </c>
    </row>
    <row r="248" spans="2:15" x14ac:dyDescent="0.25">
      <c r="B248" s="42" t="str">
        <f t="shared" si="8"/>
        <v>TW_71_NA3/TAILWATER</v>
      </c>
      <c r="C248" t="s">
        <v>2530</v>
      </c>
      <c r="D248" t="s">
        <v>2531</v>
      </c>
      <c r="E248" t="s">
        <v>2826</v>
      </c>
      <c r="F248">
        <v>148</v>
      </c>
      <c r="G248" t="s">
        <v>2827</v>
      </c>
      <c r="H248" t="s">
        <v>0</v>
      </c>
      <c r="I248" t="s">
        <v>860</v>
      </c>
      <c r="J248" t="s">
        <v>738</v>
      </c>
      <c r="L248" t="s">
        <v>3</v>
      </c>
      <c r="M248" t="s">
        <v>4</v>
      </c>
      <c r="N248" s="3" t="str">
        <f t="shared" si="7"/>
        <v>F</v>
      </c>
      <c r="O248" s="3" t="str">
        <f>IF(_xlfn.IFNA(MATCH(B248,Table1[UID],0),"F")="F","F","T")</f>
        <v>T</v>
      </c>
    </row>
    <row r="249" spans="2:15" x14ac:dyDescent="0.25">
      <c r="B249" s="42" t="str">
        <f t="shared" si="8"/>
        <v>TW_72_NA1/TAILWATER</v>
      </c>
      <c r="C249" t="s">
        <v>2530</v>
      </c>
      <c r="D249" t="s">
        <v>2531</v>
      </c>
      <c r="E249" t="s">
        <v>2828</v>
      </c>
      <c r="F249">
        <v>149</v>
      </c>
      <c r="G249" t="s">
        <v>2829</v>
      </c>
      <c r="H249" t="s">
        <v>0</v>
      </c>
      <c r="I249" t="s">
        <v>869</v>
      </c>
      <c r="J249" t="s">
        <v>738</v>
      </c>
      <c r="L249" t="s">
        <v>3</v>
      </c>
      <c r="M249" t="s">
        <v>4</v>
      </c>
      <c r="N249" s="3" t="str">
        <f t="shared" si="7"/>
        <v>F</v>
      </c>
      <c r="O249" s="3" t="str">
        <f>IF(_xlfn.IFNA(MATCH(B249,Table1[UID],0),"F")="F","F","T")</f>
        <v>T</v>
      </c>
    </row>
    <row r="250" spans="2:15" x14ac:dyDescent="0.25">
      <c r="B250" s="42" t="str">
        <f t="shared" si="8"/>
        <v>TW_72_NA2/TAILWATER</v>
      </c>
      <c r="C250" t="s">
        <v>2530</v>
      </c>
      <c r="D250" t="s">
        <v>2531</v>
      </c>
      <c r="E250" t="s">
        <v>2830</v>
      </c>
      <c r="F250">
        <v>150</v>
      </c>
      <c r="G250" t="s">
        <v>2831</v>
      </c>
      <c r="H250" t="s">
        <v>0</v>
      </c>
      <c r="I250" t="s">
        <v>870</v>
      </c>
      <c r="J250" t="s">
        <v>738</v>
      </c>
      <c r="L250" t="s">
        <v>3</v>
      </c>
      <c r="M250" t="s">
        <v>4</v>
      </c>
      <c r="N250" s="3" t="str">
        <f t="shared" si="7"/>
        <v>F</v>
      </c>
      <c r="O250" s="3" t="str">
        <f>IF(_xlfn.IFNA(MATCH(B250,Table1[UID],0),"F")="F","F","T")</f>
        <v>T</v>
      </c>
    </row>
    <row r="251" spans="2:15" x14ac:dyDescent="0.25">
      <c r="B251" s="42" t="str">
        <f t="shared" si="8"/>
        <v>TW_73_NA/TAILWATER</v>
      </c>
      <c r="C251" t="s">
        <v>2530</v>
      </c>
      <c r="D251" t="s">
        <v>2531</v>
      </c>
      <c r="E251" t="s">
        <v>2832</v>
      </c>
      <c r="F251">
        <v>151</v>
      </c>
      <c r="G251" t="s">
        <v>2833</v>
      </c>
      <c r="H251" t="s">
        <v>0</v>
      </c>
      <c r="I251" t="s">
        <v>881</v>
      </c>
      <c r="J251" t="s">
        <v>738</v>
      </c>
      <c r="L251" t="s">
        <v>3</v>
      </c>
      <c r="M251" t="s">
        <v>4</v>
      </c>
      <c r="N251" s="3" t="str">
        <f t="shared" si="7"/>
        <v>F</v>
      </c>
      <c r="O251" s="3" t="str">
        <f>IF(_xlfn.IFNA(MATCH(B251,Table1[UID],0),"F")="F","F","T")</f>
        <v>T</v>
      </c>
    </row>
    <row r="252" spans="2:15" x14ac:dyDescent="0.25">
      <c r="B252" s="42" t="str">
        <f t="shared" si="8"/>
        <v>TW_90_NA/TAILWATER</v>
      </c>
      <c r="C252" t="s">
        <v>2530</v>
      </c>
      <c r="D252" t="s">
        <v>2531</v>
      </c>
      <c r="E252" t="s">
        <v>2834</v>
      </c>
      <c r="F252">
        <v>152</v>
      </c>
      <c r="G252" t="s">
        <v>2835</v>
      </c>
      <c r="H252" t="s">
        <v>0</v>
      </c>
      <c r="I252" t="s">
        <v>886</v>
      </c>
      <c r="J252" t="s">
        <v>738</v>
      </c>
      <c r="L252" t="s">
        <v>3</v>
      </c>
      <c r="M252" t="s">
        <v>4</v>
      </c>
      <c r="N252" s="3" t="str">
        <f t="shared" si="7"/>
        <v>F</v>
      </c>
      <c r="O252" s="3" t="str">
        <f>IF(_xlfn.IFNA(MATCH(B252,Table1[UID],0),"F")="F","F","T")</f>
        <v>T</v>
      </c>
    </row>
    <row r="253" spans="2:15" x14ac:dyDescent="0.25">
      <c r="B253" s="42" t="str">
        <f t="shared" si="8"/>
        <v>UD_60N_NU1/URBAN-DEMAND</v>
      </c>
      <c r="C253" t="s">
        <v>2530</v>
      </c>
      <c r="D253" t="s">
        <v>2531</v>
      </c>
      <c r="E253" t="s">
        <v>2836</v>
      </c>
      <c r="F253">
        <v>153</v>
      </c>
      <c r="G253" t="s">
        <v>2837</v>
      </c>
      <c r="H253" t="s">
        <v>0</v>
      </c>
      <c r="I253" t="s">
        <v>956</v>
      </c>
      <c r="J253" t="s">
        <v>892</v>
      </c>
      <c r="L253" t="s">
        <v>3</v>
      </c>
      <c r="M253" t="s">
        <v>4</v>
      </c>
      <c r="N253" s="3" t="str">
        <f t="shared" si="7"/>
        <v>F</v>
      </c>
      <c r="O253" s="3" t="str">
        <f>IF(_xlfn.IFNA(MATCH(B253,Table1[UID],0),"F")="F","F","T")</f>
        <v>T</v>
      </c>
    </row>
    <row r="254" spans="2:15" x14ac:dyDescent="0.25">
      <c r="B254" s="42" t="str">
        <f t="shared" si="8"/>
        <v>UD_60N_NU2/URBAN-DEMAND</v>
      </c>
      <c r="C254" t="s">
        <v>2530</v>
      </c>
      <c r="D254" t="s">
        <v>2531</v>
      </c>
      <c r="E254" t="s">
        <v>2838</v>
      </c>
      <c r="F254">
        <v>154</v>
      </c>
      <c r="G254" t="s">
        <v>2839</v>
      </c>
      <c r="H254" t="s">
        <v>0</v>
      </c>
      <c r="I254" t="s">
        <v>957</v>
      </c>
      <c r="J254" t="s">
        <v>892</v>
      </c>
      <c r="L254" t="s">
        <v>3</v>
      </c>
      <c r="M254" t="s">
        <v>4</v>
      </c>
      <c r="N254" s="3" t="str">
        <f t="shared" si="7"/>
        <v>F</v>
      </c>
      <c r="O254" s="3" t="str">
        <f>IF(_xlfn.IFNA(MATCH(B254,Table1[UID],0),"F")="F","F","T")</f>
        <v>T</v>
      </c>
    </row>
    <row r="255" spans="2:15" x14ac:dyDescent="0.25">
      <c r="B255" s="42" t="str">
        <f t="shared" si="8"/>
        <v>UD_60N_PU/URBAN-DEMAND</v>
      </c>
      <c r="C255" t="s">
        <v>2530</v>
      </c>
      <c r="D255" t="s">
        <v>2531</v>
      </c>
      <c r="E255" t="s">
        <v>2840</v>
      </c>
      <c r="F255">
        <v>155</v>
      </c>
      <c r="G255" t="s">
        <v>2841</v>
      </c>
      <c r="H255" t="s">
        <v>0</v>
      </c>
      <c r="I255" t="s">
        <v>958</v>
      </c>
      <c r="J255" t="s">
        <v>892</v>
      </c>
      <c r="L255" t="s">
        <v>3</v>
      </c>
      <c r="M255" t="s">
        <v>4</v>
      </c>
      <c r="N255" s="3" t="str">
        <f t="shared" si="7"/>
        <v>F</v>
      </c>
      <c r="O255" s="3" t="str">
        <f>IF(_xlfn.IFNA(MATCH(B255,Table1[UID],0),"F")="F","F","T")</f>
        <v>T</v>
      </c>
    </row>
    <row r="256" spans="2:15" x14ac:dyDescent="0.25">
      <c r="B256" s="42" t="str">
        <f t="shared" si="8"/>
        <v>UD_60S_NU1/URBAN-DEMAND</v>
      </c>
      <c r="C256" t="s">
        <v>2530</v>
      </c>
      <c r="D256" t="s">
        <v>2531</v>
      </c>
      <c r="E256" t="s">
        <v>2842</v>
      </c>
      <c r="F256">
        <v>156</v>
      </c>
      <c r="G256" t="s">
        <v>2843</v>
      </c>
      <c r="H256" t="s">
        <v>0</v>
      </c>
      <c r="I256" t="s">
        <v>959</v>
      </c>
      <c r="J256" t="s">
        <v>892</v>
      </c>
      <c r="L256" t="s">
        <v>3</v>
      </c>
      <c r="M256" t="s">
        <v>4</v>
      </c>
      <c r="N256" s="3" t="str">
        <f t="shared" si="7"/>
        <v>F</v>
      </c>
      <c r="O256" s="3" t="str">
        <f>IF(_xlfn.IFNA(MATCH(B256,Table1[UID],0),"F")="F","F","T")</f>
        <v>T</v>
      </c>
    </row>
    <row r="257" spans="2:15" x14ac:dyDescent="0.25">
      <c r="B257" s="42" t="str">
        <f t="shared" si="8"/>
        <v>UD_60S_NU2/URBAN-DEMAND</v>
      </c>
      <c r="C257" t="s">
        <v>2530</v>
      </c>
      <c r="D257" t="s">
        <v>2531</v>
      </c>
      <c r="E257" t="s">
        <v>2844</v>
      </c>
      <c r="F257">
        <v>157</v>
      </c>
      <c r="G257" t="s">
        <v>2845</v>
      </c>
      <c r="H257" t="s">
        <v>0</v>
      </c>
      <c r="I257" t="s">
        <v>2229</v>
      </c>
      <c r="J257" t="s">
        <v>892</v>
      </c>
      <c r="L257" t="s">
        <v>3</v>
      </c>
      <c r="M257" t="s">
        <v>4</v>
      </c>
      <c r="N257" s="3" t="str">
        <f t="shared" si="7"/>
        <v>F</v>
      </c>
      <c r="O257" s="3" t="str">
        <f>IF(_xlfn.IFNA(MATCH(B257,Table1[UID],0),"F")="F","F","T")</f>
        <v>T</v>
      </c>
    </row>
    <row r="258" spans="2:15" x14ac:dyDescent="0.25">
      <c r="B258" s="42" t="str">
        <f t="shared" si="8"/>
        <v>UD_61_NU1/URBAN-DEMAND</v>
      </c>
      <c r="C258" t="s">
        <v>2530</v>
      </c>
      <c r="D258" t="s">
        <v>2531</v>
      </c>
      <c r="E258" t="s">
        <v>2846</v>
      </c>
      <c r="F258">
        <v>158</v>
      </c>
      <c r="G258" t="s">
        <v>2847</v>
      </c>
      <c r="H258" t="s">
        <v>0</v>
      </c>
      <c r="I258" t="s">
        <v>960</v>
      </c>
      <c r="J258" t="s">
        <v>892</v>
      </c>
      <c r="L258" t="s">
        <v>3</v>
      </c>
      <c r="M258" t="s">
        <v>4</v>
      </c>
      <c r="N258" s="3" t="str">
        <f t="shared" si="7"/>
        <v>F</v>
      </c>
      <c r="O258" s="3" t="str">
        <f>IF(_xlfn.IFNA(MATCH(B258,Table1[UID],0),"F")="F","F","T")</f>
        <v>T</v>
      </c>
    </row>
    <row r="259" spans="2:15" x14ac:dyDescent="0.25">
      <c r="B259" s="42" t="str">
        <f t="shared" si="8"/>
        <v>UD_61_NU2/URBAN-DEMAND</v>
      </c>
      <c r="C259" t="s">
        <v>2530</v>
      </c>
      <c r="D259" t="s">
        <v>2531</v>
      </c>
      <c r="E259" t="s">
        <v>2848</v>
      </c>
      <c r="F259">
        <v>159</v>
      </c>
      <c r="G259" t="s">
        <v>2849</v>
      </c>
      <c r="H259" t="s">
        <v>0</v>
      </c>
      <c r="I259" t="s">
        <v>961</v>
      </c>
      <c r="J259" t="s">
        <v>892</v>
      </c>
      <c r="L259" t="s">
        <v>3</v>
      </c>
      <c r="M259" t="s">
        <v>4</v>
      </c>
      <c r="N259" s="3" t="str">
        <f t="shared" ref="N259:N322" si="9">IF(COUNTIF($B$3:$B$1760,"="&amp;B259)&gt;1,"T","F")</f>
        <v>F</v>
      </c>
      <c r="O259" s="3" t="str">
        <f>IF(_xlfn.IFNA(MATCH(B259,Table1[UID],0),"F")="F","F","T")</f>
        <v>T</v>
      </c>
    </row>
    <row r="260" spans="2:15" x14ac:dyDescent="0.25">
      <c r="B260" s="42" t="str">
        <f t="shared" si="8"/>
        <v>UD_61_NU3/URBAN-DEMAND</v>
      </c>
      <c r="C260" t="s">
        <v>2530</v>
      </c>
      <c r="D260" t="s">
        <v>2531</v>
      </c>
      <c r="E260" t="s">
        <v>2850</v>
      </c>
      <c r="F260">
        <v>160</v>
      </c>
      <c r="G260" t="s">
        <v>2851</v>
      </c>
      <c r="H260" t="s">
        <v>0</v>
      </c>
      <c r="I260" t="s">
        <v>962</v>
      </c>
      <c r="J260" t="s">
        <v>892</v>
      </c>
      <c r="L260" t="s">
        <v>3</v>
      </c>
      <c r="M260" t="s">
        <v>4</v>
      </c>
      <c r="N260" s="3" t="str">
        <f t="shared" si="9"/>
        <v>F</v>
      </c>
      <c r="O260" s="3" t="str">
        <f>IF(_xlfn.IFNA(MATCH(B260,Table1[UID],0),"F")="F","F","T")</f>
        <v>T</v>
      </c>
    </row>
    <row r="261" spans="2:15" x14ac:dyDescent="0.25">
      <c r="B261" s="42" t="str">
        <f t="shared" si="8"/>
        <v>UD_62_NU/URBAN-DEMAND</v>
      </c>
      <c r="C261" t="s">
        <v>2530</v>
      </c>
      <c r="D261" t="s">
        <v>2531</v>
      </c>
      <c r="E261" t="s">
        <v>2852</v>
      </c>
      <c r="F261">
        <v>161</v>
      </c>
      <c r="G261" t="s">
        <v>2853</v>
      </c>
      <c r="H261" t="s">
        <v>0</v>
      </c>
      <c r="I261" t="s">
        <v>963</v>
      </c>
      <c r="J261" t="s">
        <v>892</v>
      </c>
      <c r="L261" t="s">
        <v>3</v>
      </c>
      <c r="M261" t="s">
        <v>4</v>
      </c>
      <c r="N261" s="3" t="str">
        <f t="shared" si="9"/>
        <v>F</v>
      </c>
      <c r="O261" s="3" t="str">
        <f>IF(_xlfn.IFNA(MATCH(B261,Table1[UID],0),"F")="F","F","T")</f>
        <v>T</v>
      </c>
    </row>
    <row r="262" spans="2:15" x14ac:dyDescent="0.25">
      <c r="B262" s="42" t="str">
        <f t="shared" si="8"/>
        <v>UD_63_NU/URBAN-DEMAND</v>
      </c>
      <c r="C262" t="s">
        <v>2530</v>
      </c>
      <c r="D262" t="s">
        <v>2531</v>
      </c>
      <c r="E262" t="s">
        <v>2854</v>
      </c>
      <c r="F262">
        <v>162</v>
      </c>
      <c r="G262" t="s">
        <v>2855</v>
      </c>
      <c r="H262" t="s">
        <v>0</v>
      </c>
      <c r="I262" t="s">
        <v>964</v>
      </c>
      <c r="J262" t="s">
        <v>892</v>
      </c>
      <c r="L262" t="s">
        <v>3</v>
      </c>
      <c r="M262" t="s">
        <v>4</v>
      </c>
      <c r="N262" s="3" t="str">
        <f t="shared" si="9"/>
        <v>F</v>
      </c>
      <c r="O262" s="3" t="str">
        <f>IF(_xlfn.IFNA(MATCH(B262,Table1[UID],0),"F")="F","F","T")</f>
        <v>T</v>
      </c>
    </row>
    <row r="263" spans="2:15" x14ac:dyDescent="0.25">
      <c r="B263" s="42" t="str">
        <f t="shared" si="8"/>
        <v>UD_64_NU/URBAN-DEMAND</v>
      </c>
      <c r="C263" t="s">
        <v>2530</v>
      </c>
      <c r="D263" t="s">
        <v>2531</v>
      </c>
      <c r="E263" t="s">
        <v>2856</v>
      </c>
      <c r="F263">
        <v>163</v>
      </c>
      <c r="G263" t="s">
        <v>2857</v>
      </c>
      <c r="H263" t="s">
        <v>0</v>
      </c>
      <c r="I263" t="s">
        <v>965</v>
      </c>
      <c r="J263" t="s">
        <v>892</v>
      </c>
      <c r="L263" t="s">
        <v>3</v>
      </c>
      <c r="M263" t="s">
        <v>4</v>
      </c>
      <c r="N263" s="3" t="str">
        <f t="shared" si="9"/>
        <v>F</v>
      </c>
      <c r="O263" s="3" t="str">
        <f>IF(_xlfn.IFNA(MATCH(B263,Table1[UID],0),"F")="F","F","T")</f>
        <v>T</v>
      </c>
    </row>
    <row r="264" spans="2:15" x14ac:dyDescent="0.25">
      <c r="B264" s="42" t="str">
        <f t="shared" si="8"/>
        <v>UD_71_NU/URBAN-DEMAND</v>
      </c>
      <c r="C264" t="s">
        <v>2530</v>
      </c>
      <c r="D264" t="s">
        <v>2531</v>
      </c>
      <c r="E264" t="s">
        <v>2858</v>
      </c>
      <c r="F264">
        <v>164</v>
      </c>
      <c r="G264" t="s">
        <v>2859</v>
      </c>
      <c r="H264" t="s">
        <v>0</v>
      </c>
      <c r="I264" t="s">
        <v>966</v>
      </c>
      <c r="J264" t="s">
        <v>892</v>
      </c>
      <c r="L264" t="s">
        <v>3</v>
      </c>
      <c r="M264" t="s">
        <v>4</v>
      </c>
      <c r="N264" s="3" t="str">
        <f t="shared" si="9"/>
        <v>F</v>
      </c>
      <c r="O264" s="3" t="str">
        <f>IF(_xlfn.IFNA(MATCH(B264,Table1[UID],0),"F")="F","F","T")</f>
        <v>T</v>
      </c>
    </row>
    <row r="265" spans="2:15" x14ac:dyDescent="0.25">
      <c r="B265" s="42" t="str">
        <f t="shared" si="8"/>
        <v>UD_72_NU/URBAN-DEMAND</v>
      </c>
      <c r="C265" t="s">
        <v>2530</v>
      </c>
      <c r="D265" t="s">
        <v>2531</v>
      </c>
      <c r="E265" t="s">
        <v>2860</v>
      </c>
      <c r="F265">
        <v>165</v>
      </c>
      <c r="G265" t="s">
        <v>2861</v>
      </c>
      <c r="H265" t="s">
        <v>0</v>
      </c>
      <c r="I265" t="s">
        <v>969</v>
      </c>
      <c r="J265" t="s">
        <v>892</v>
      </c>
      <c r="L265" t="s">
        <v>3</v>
      </c>
      <c r="M265" t="s">
        <v>4</v>
      </c>
      <c r="N265" s="3" t="str">
        <f t="shared" si="9"/>
        <v>F</v>
      </c>
      <c r="O265" s="3" t="str">
        <f>IF(_xlfn.IFNA(MATCH(B265,Table1[UID],0),"F")="F","F","T")</f>
        <v>T</v>
      </c>
    </row>
    <row r="266" spans="2:15" x14ac:dyDescent="0.25">
      <c r="B266" s="42" t="str">
        <f t="shared" ref="B266:B329" si="10">_xlfn.CONCAT(I266,"/",J266)</f>
        <v>UD_73_NU/URBAN-DEMAND</v>
      </c>
      <c r="C266" t="s">
        <v>2530</v>
      </c>
      <c r="D266" t="s">
        <v>2531</v>
      </c>
      <c r="E266" t="s">
        <v>2862</v>
      </c>
      <c r="F266">
        <v>166</v>
      </c>
      <c r="G266" t="s">
        <v>2863</v>
      </c>
      <c r="H266" t="s">
        <v>0</v>
      </c>
      <c r="I266" t="s">
        <v>971</v>
      </c>
      <c r="J266" t="s">
        <v>892</v>
      </c>
      <c r="L266" t="s">
        <v>3</v>
      </c>
      <c r="M266" t="s">
        <v>4</v>
      </c>
      <c r="N266" s="3" t="str">
        <f t="shared" si="9"/>
        <v>F</v>
      </c>
      <c r="O266" s="3" t="str">
        <f>IF(_xlfn.IFNA(MATCH(B266,Table1[UID],0),"F")="F","F","T")</f>
        <v>T</v>
      </c>
    </row>
    <row r="267" spans="2:15" x14ac:dyDescent="0.25">
      <c r="B267" s="42" t="str">
        <f t="shared" si="10"/>
        <v>WW_60N_NU1/WASTEWATER</v>
      </c>
      <c r="C267" t="s">
        <v>2530</v>
      </c>
      <c r="D267" t="s">
        <v>2531</v>
      </c>
      <c r="E267" t="s">
        <v>2864</v>
      </c>
      <c r="F267">
        <v>167</v>
      </c>
      <c r="G267" t="s">
        <v>2865</v>
      </c>
      <c r="H267" t="s">
        <v>0</v>
      </c>
      <c r="I267" t="s">
        <v>1057</v>
      </c>
      <c r="J267" t="s">
        <v>993</v>
      </c>
      <c r="L267" t="s">
        <v>3</v>
      </c>
      <c r="M267" t="s">
        <v>4</v>
      </c>
      <c r="N267" s="3" t="str">
        <f t="shared" si="9"/>
        <v>F</v>
      </c>
      <c r="O267" s="3" t="str">
        <f>IF(_xlfn.IFNA(MATCH(B267,Table1[UID],0),"F")="F","F","T")</f>
        <v>T</v>
      </c>
    </row>
    <row r="268" spans="2:15" x14ac:dyDescent="0.25">
      <c r="B268" s="42" t="str">
        <f t="shared" si="10"/>
        <v>WW_60N_NU2/WASTEWATER</v>
      </c>
      <c r="C268" t="s">
        <v>2530</v>
      </c>
      <c r="D268" t="s">
        <v>2531</v>
      </c>
      <c r="E268" t="s">
        <v>2866</v>
      </c>
      <c r="F268">
        <v>168</v>
      </c>
      <c r="G268" t="s">
        <v>2867</v>
      </c>
      <c r="H268" t="s">
        <v>0</v>
      </c>
      <c r="I268" t="s">
        <v>1058</v>
      </c>
      <c r="J268" t="s">
        <v>993</v>
      </c>
      <c r="L268" t="s">
        <v>3</v>
      </c>
      <c r="M268" t="s">
        <v>4</v>
      </c>
      <c r="N268" s="3" t="str">
        <f t="shared" si="9"/>
        <v>F</v>
      </c>
      <c r="O268" s="3" t="str">
        <f>IF(_xlfn.IFNA(MATCH(B268,Table1[UID],0),"F")="F","F","T")</f>
        <v>T</v>
      </c>
    </row>
    <row r="269" spans="2:15" x14ac:dyDescent="0.25">
      <c r="B269" s="42" t="str">
        <f t="shared" si="10"/>
        <v>WW_60N_PU/WASTEWATER</v>
      </c>
      <c r="C269" t="s">
        <v>2530</v>
      </c>
      <c r="D269" t="s">
        <v>2531</v>
      </c>
      <c r="E269" t="s">
        <v>2868</v>
      </c>
      <c r="F269">
        <v>169</v>
      </c>
      <c r="G269" t="s">
        <v>2869</v>
      </c>
      <c r="H269" t="s">
        <v>0</v>
      </c>
      <c r="I269" t="s">
        <v>1059</v>
      </c>
      <c r="J269" t="s">
        <v>993</v>
      </c>
      <c r="L269" t="s">
        <v>3</v>
      </c>
      <c r="M269" t="s">
        <v>4</v>
      </c>
      <c r="N269" s="3" t="str">
        <f t="shared" si="9"/>
        <v>F</v>
      </c>
      <c r="O269" s="3" t="str">
        <f>IF(_xlfn.IFNA(MATCH(B269,Table1[UID],0),"F")="F","F","T")</f>
        <v>T</v>
      </c>
    </row>
    <row r="270" spans="2:15" x14ac:dyDescent="0.25">
      <c r="B270" s="42" t="str">
        <f t="shared" si="10"/>
        <v>WW_60S_NU1/WASTEWATER</v>
      </c>
      <c r="C270" t="s">
        <v>2530</v>
      </c>
      <c r="D270" t="s">
        <v>2531</v>
      </c>
      <c r="E270" t="s">
        <v>2870</v>
      </c>
      <c r="F270">
        <v>170</v>
      </c>
      <c r="G270" t="s">
        <v>2871</v>
      </c>
      <c r="H270" t="s">
        <v>0</v>
      </c>
      <c r="I270" t="s">
        <v>1060</v>
      </c>
      <c r="J270" t="s">
        <v>993</v>
      </c>
      <c r="L270" t="s">
        <v>3</v>
      </c>
      <c r="M270" t="s">
        <v>4</v>
      </c>
      <c r="N270" s="3" t="str">
        <f t="shared" si="9"/>
        <v>F</v>
      </c>
      <c r="O270" s="3" t="str">
        <f>IF(_xlfn.IFNA(MATCH(B270,Table1[UID],0),"F")="F","F","T")</f>
        <v>T</v>
      </c>
    </row>
    <row r="271" spans="2:15" x14ac:dyDescent="0.25">
      <c r="B271" s="42" t="str">
        <f t="shared" si="10"/>
        <v>WW_60S_NU2/WASTEWATER</v>
      </c>
      <c r="C271" t="s">
        <v>2530</v>
      </c>
      <c r="D271" t="s">
        <v>2531</v>
      </c>
      <c r="E271" t="s">
        <v>2872</v>
      </c>
      <c r="F271">
        <v>171</v>
      </c>
      <c r="G271" t="s">
        <v>2873</v>
      </c>
      <c r="H271" t="s">
        <v>0</v>
      </c>
      <c r="I271" t="s">
        <v>1061</v>
      </c>
      <c r="J271" t="s">
        <v>993</v>
      </c>
      <c r="L271" t="s">
        <v>3</v>
      </c>
      <c r="M271" t="s">
        <v>4</v>
      </c>
      <c r="N271" s="3" t="str">
        <f t="shared" si="9"/>
        <v>F</v>
      </c>
      <c r="O271" s="3" t="str">
        <f>IF(_xlfn.IFNA(MATCH(B271,Table1[UID],0),"F")="F","F","T")</f>
        <v>T</v>
      </c>
    </row>
    <row r="272" spans="2:15" x14ac:dyDescent="0.25">
      <c r="B272" s="42" t="str">
        <f t="shared" si="10"/>
        <v>WW_61_NU1/WASTEWATER</v>
      </c>
      <c r="C272" t="s">
        <v>2530</v>
      </c>
      <c r="D272" t="s">
        <v>2531</v>
      </c>
      <c r="E272" t="s">
        <v>2874</v>
      </c>
      <c r="F272">
        <v>172</v>
      </c>
      <c r="G272" t="s">
        <v>2875</v>
      </c>
      <c r="H272" t="s">
        <v>0</v>
      </c>
      <c r="I272" t="s">
        <v>1062</v>
      </c>
      <c r="J272" t="s">
        <v>993</v>
      </c>
      <c r="L272" t="s">
        <v>3</v>
      </c>
      <c r="M272" t="s">
        <v>4</v>
      </c>
      <c r="N272" s="3" t="str">
        <f t="shared" si="9"/>
        <v>F</v>
      </c>
      <c r="O272" s="3" t="str">
        <f>IF(_xlfn.IFNA(MATCH(B272,Table1[UID],0),"F")="F","F","T")</f>
        <v>T</v>
      </c>
    </row>
    <row r="273" spans="2:15" x14ac:dyDescent="0.25">
      <c r="B273" s="42" t="str">
        <f t="shared" si="10"/>
        <v>WW_61_NU2/WASTEWATER</v>
      </c>
      <c r="C273" t="s">
        <v>2530</v>
      </c>
      <c r="D273" t="s">
        <v>2531</v>
      </c>
      <c r="E273" t="s">
        <v>2876</v>
      </c>
      <c r="F273">
        <v>173</v>
      </c>
      <c r="G273" t="s">
        <v>2877</v>
      </c>
      <c r="H273" t="s">
        <v>0</v>
      </c>
      <c r="I273" t="s">
        <v>1063</v>
      </c>
      <c r="J273" t="s">
        <v>993</v>
      </c>
      <c r="L273" t="s">
        <v>3</v>
      </c>
      <c r="M273" t="s">
        <v>4</v>
      </c>
      <c r="N273" s="3" t="str">
        <f t="shared" si="9"/>
        <v>F</v>
      </c>
      <c r="O273" s="3" t="str">
        <f>IF(_xlfn.IFNA(MATCH(B273,Table1[UID],0),"F")="F","F","T")</f>
        <v>T</v>
      </c>
    </row>
    <row r="274" spans="2:15" x14ac:dyDescent="0.25">
      <c r="B274" s="42" t="str">
        <f t="shared" si="10"/>
        <v>WW_61_NU3/WASTEWATER</v>
      </c>
      <c r="C274" t="s">
        <v>2530</v>
      </c>
      <c r="D274" t="s">
        <v>2531</v>
      </c>
      <c r="E274" t="s">
        <v>2878</v>
      </c>
      <c r="F274">
        <v>174</v>
      </c>
      <c r="G274" t="s">
        <v>2879</v>
      </c>
      <c r="H274" t="s">
        <v>0</v>
      </c>
      <c r="I274" t="s">
        <v>1064</v>
      </c>
      <c r="J274" t="s">
        <v>993</v>
      </c>
      <c r="L274" t="s">
        <v>3</v>
      </c>
      <c r="M274" t="s">
        <v>4</v>
      </c>
      <c r="N274" s="3" t="str">
        <f t="shared" si="9"/>
        <v>F</v>
      </c>
      <c r="O274" s="3" t="str">
        <f>IF(_xlfn.IFNA(MATCH(B274,Table1[UID],0),"F")="F","F","T")</f>
        <v>T</v>
      </c>
    </row>
    <row r="275" spans="2:15" x14ac:dyDescent="0.25">
      <c r="B275" s="42" t="str">
        <f t="shared" si="10"/>
        <v>WW_62_NU/WASTEWATER</v>
      </c>
      <c r="C275" t="s">
        <v>2530</v>
      </c>
      <c r="D275" t="s">
        <v>2531</v>
      </c>
      <c r="E275" t="s">
        <v>2880</v>
      </c>
      <c r="F275">
        <v>175</v>
      </c>
      <c r="G275" t="s">
        <v>2881</v>
      </c>
      <c r="H275" t="s">
        <v>0</v>
      </c>
      <c r="I275" t="s">
        <v>1065</v>
      </c>
      <c r="J275" t="s">
        <v>993</v>
      </c>
      <c r="L275" t="s">
        <v>3</v>
      </c>
      <c r="M275" t="s">
        <v>4</v>
      </c>
      <c r="N275" s="3" t="str">
        <f t="shared" si="9"/>
        <v>F</v>
      </c>
      <c r="O275" s="3" t="str">
        <f>IF(_xlfn.IFNA(MATCH(B275,Table1[UID],0),"F")="F","F","T")</f>
        <v>T</v>
      </c>
    </row>
    <row r="276" spans="2:15" x14ac:dyDescent="0.25">
      <c r="B276" s="42" t="str">
        <f t="shared" si="10"/>
        <v>WW_63_NU/WASTEWATER</v>
      </c>
      <c r="C276" t="s">
        <v>2530</v>
      </c>
      <c r="D276" t="s">
        <v>2531</v>
      </c>
      <c r="E276" t="s">
        <v>2882</v>
      </c>
      <c r="F276">
        <v>176</v>
      </c>
      <c r="G276" t="s">
        <v>2883</v>
      </c>
      <c r="H276" t="s">
        <v>0</v>
      </c>
      <c r="I276" t="s">
        <v>1066</v>
      </c>
      <c r="J276" t="s">
        <v>993</v>
      </c>
      <c r="L276" t="s">
        <v>3</v>
      </c>
      <c r="M276" t="s">
        <v>4</v>
      </c>
      <c r="N276" s="3" t="str">
        <f t="shared" si="9"/>
        <v>F</v>
      </c>
      <c r="O276" s="3" t="str">
        <f>IF(_xlfn.IFNA(MATCH(B276,Table1[UID],0),"F")="F","F","T")</f>
        <v>T</v>
      </c>
    </row>
    <row r="277" spans="2:15" x14ac:dyDescent="0.25">
      <c r="B277" s="42" t="str">
        <f t="shared" si="10"/>
        <v>WW_64_NU/WASTEWATER</v>
      </c>
      <c r="C277" t="s">
        <v>2530</v>
      </c>
      <c r="D277" t="s">
        <v>2531</v>
      </c>
      <c r="E277" t="s">
        <v>2884</v>
      </c>
      <c r="F277">
        <v>177</v>
      </c>
      <c r="G277" t="s">
        <v>2885</v>
      </c>
      <c r="H277" t="s">
        <v>0</v>
      </c>
      <c r="I277" t="s">
        <v>1067</v>
      </c>
      <c r="J277" t="s">
        <v>993</v>
      </c>
      <c r="L277" t="s">
        <v>3</v>
      </c>
      <c r="M277" t="s">
        <v>4</v>
      </c>
      <c r="N277" s="3" t="str">
        <f t="shared" si="9"/>
        <v>F</v>
      </c>
      <c r="O277" s="3" t="str">
        <f>IF(_xlfn.IFNA(MATCH(B277,Table1[UID],0),"F")="F","F","T")</f>
        <v>T</v>
      </c>
    </row>
    <row r="278" spans="2:15" x14ac:dyDescent="0.25">
      <c r="B278" s="42" t="str">
        <f t="shared" si="10"/>
        <v>WW_71_NU/WASTEWATER</v>
      </c>
      <c r="C278" t="s">
        <v>2530</v>
      </c>
      <c r="D278" t="s">
        <v>2531</v>
      </c>
      <c r="E278" t="s">
        <v>2886</v>
      </c>
      <c r="F278">
        <v>178</v>
      </c>
      <c r="G278" t="s">
        <v>2887</v>
      </c>
      <c r="H278" t="s">
        <v>0</v>
      </c>
      <c r="I278" t="s">
        <v>1068</v>
      </c>
      <c r="J278" t="s">
        <v>993</v>
      </c>
      <c r="L278" t="s">
        <v>3</v>
      </c>
      <c r="M278" t="s">
        <v>4</v>
      </c>
      <c r="N278" s="3" t="str">
        <f t="shared" si="9"/>
        <v>F</v>
      </c>
      <c r="O278" s="3" t="str">
        <f>IF(_xlfn.IFNA(MATCH(B278,Table1[UID],0),"F")="F","F","T")</f>
        <v>T</v>
      </c>
    </row>
    <row r="279" spans="2:15" x14ac:dyDescent="0.25">
      <c r="B279" s="42" t="str">
        <f t="shared" si="10"/>
        <v>WW_71_PU1/WASTEWATER</v>
      </c>
      <c r="C279" t="s">
        <v>2530</v>
      </c>
      <c r="D279" t="s">
        <v>2531</v>
      </c>
      <c r="E279" t="s">
        <v>2888</v>
      </c>
      <c r="F279">
        <v>179</v>
      </c>
      <c r="G279" t="s">
        <v>2889</v>
      </c>
      <c r="H279" t="s">
        <v>0</v>
      </c>
      <c r="I279" t="s">
        <v>1069</v>
      </c>
      <c r="J279" t="s">
        <v>993</v>
      </c>
      <c r="L279" t="s">
        <v>3</v>
      </c>
      <c r="M279" t="s">
        <v>4</v>
      </c>
      <c r="N279" s="3" t="str">
        <f t="shared" si="9"/>
        <v>F</v>
      </c>
      <c r="O279" s="3" t="str">
        <f>IF(_xlfn.IFNA(MATCH(B279,Table1[UID],0),"F")="F","F","T")</f>
        <v>T</v>
      </c>
    </row>
    <row r="280" spans="2:15" x14ac:dyDescent="0.25">
      <c r="B280" s="42" t="str">
        <f t="shared" si="10"/>
        <v>WW_71_PU2/WASTEWATER</v>
      </c>
      <c r="C280" t="s">
        <v>2530</v>
      </c>
      <c r="D280" t="s">
        <v>2531</v>
      </c>
      <c r="E280" t="s">
        <v>2890</v>
      </c>
      <c r="F280">
        <v>180</v>
      </c>
      <c r="G280" t="s">
        <v>2891</v>
      </c>
      <c r="H280" t="s">
        <v>0</v>
      </c>
      <c r="I280" t="s">
        <v>1070</v>
      </c>
      <c r="J280" t="s">
        <v>993</v>
      </c>
      <c r="L280" t="s">
        <v>3</v>
      </c>
      <c r="M280" t="s">
        <v>4</v>
      </c>
      <c r="N280" s="3" t="str">
        <f t="shared" si="9"/>
        <v>F</v>
      </c>
      <c r="O280" s="3" t="str">
        <f>IF(_xlfn.IFNA(MATCH(B280,Table1[UID],0),"F")="F","F","T")</f>
        <v>T</v>
      </c>
    </row>
    <row r="281" spans="2:15" x14ac:dyDescent="0.25">
      <c r="B281" s="42" t="str">
        <f t="shared" si="10"/>
        <v>WW_72_NU/WASTEWATER</v>
      </c>
      <c r="C281" t="s">
        <v>2530</v>
      </c>
      <c r="D281" t="s">
        <v>2531</v>
      </c>
      <c r="E281" t="s">
        <v>2892</v>
      </c>
      <c r="F281">
        <v>181</v>
      </c>
      <c r="G281" t="s">
        <v>2893</v>
      </c>
      <c r="H281" t="s">
        <v>0</v>
      </c>
      <c r="I281" t="s">
        <v>1071</v>
      </c>
      <c r="J281" t="s">
        <v>993</v>
      </c>
      <c r="L281" t="s">
        <v>3</v>
      </c>
      <c r="M281" t="s">
        <v>4</v>
      </c>
      <c r="N281" s="3" t="str">
        <f t="shared" si="9"/>
        <v>F</v>
      </c>
      <c r="O281" s="3" t="str">
        <f>IF(_xlfn.IFNA(MATCH(B281,Table1[UID],0),"F")="F","F","T")</f>
        <v>T</v>
      </c>
    </row>
    <row r="282" spans="2:15" x14ac:dyDescent="0.25">
      <c r="B282" s="42" t="str">
        <f t="shared" si="10"/>
        <v>WW_72_PU/WASTEWATER</v>
      </c>
      <c r="C282" t="s">
        <v>2530</v>
      </c>
      <c r="D282" t="s">
        <v>2531</v>
      </c>
      <c r="E282" t="s">
        <v>2894</v>
      </c>
      <c r="F282">
        <v>182</v>
      </c>
      <c r="G282" t="s">
        <v>2895</v>
      </c>
      <c r="H282" t="s">
        <v>0</v>
      </c>
      <c r="I282" t="s">
        <v>1072</v>
      </c>
      <c r="J282" t="s">
        <v>993</v>
      </c>
      <c r="L282" t="s">
        <v>3</v>
      </c>
      <c r="M282" t="s">
        <v>4</v>
      </c>
      <c r="N282" s="3" t="str">
        <f t="shared" si="9"/>
        <v>F</v>
      </c>
      <c r="O282" s="3" t="str">
        <f>IF(_xlfn.IFNA(MATCH(B282,Table1[UID],0),"F")="F","F","T")</f>
        <v>T</v>
      </c>
    </row>
    <row r="283" spans="2:15" x14ac:dyDescent="0.25">
      <c r="B283" s="42" t="str">
        <f t="shared" si="10"/>
        <v>WW_73_NU/WASTEWATER</v>
      </c>
      <c r="C283" t="s">
        <v>2530</v>
      </c>
      <c r="D283" t="s">
        <v>2531</v>
      </c>
      <c r="E283" t="s">
        <v>2896</v>
      </c>
      <c r="F283">
        <v>183</v>
      </c>
      <c r="G283" t="s">
        <v>2897</v>
      </c>
      <c r="H283" t="s">
        <v>0</v>
      </c>
      <c r="I283" t="s">
        <v>1073</v>
      </c>
      <c r="J283" t="s">
        <v>993</v>
      </c>
      <c r="L283" t="s">
        <v>3</v>
      </c>
      <c r="M283" t="s">
        <v>4</v>
      </c>
      <c r="N283" s="3" t="str">
        <f t="shared" si="9"/>
        <v>F</v>
      </c>
      <c r="O283" s="3" t="str">
        <f>IF(_xlfn.IFNA(MATCH(B283,Table1[UID],0),"F")="F","F","T")</f>
        <v>T</v>
      </c>
    </row>
    <row r="284" spans="2:15" x14ac:dyDescent="0.25">
      <c r="B284" s="42" t="str">
        <f t="shared" si="10"/>
        <v>WW_90_PU/WASTEWATER</v>
      </c>
      <c r="C284" t="s">
        <v>2530</v>
      </c>
      <c r="D284" t="s">
        <v>2531</v>
      </c>
      <c r="E284" t="s">
        <v>2898</v>
      </c>
      <c r="F284">
        <v>184</v>
      </c>
      <c r="G284" t="s">
        <v>2899</v>
      </c>
      <c r="H284" t="s">
        <v>0</v>
      </c>
      <c r="I284" t="s">
        <v>1074</v>
      </c>
      <c r="J284" t="s">
        <v>993</v>
      </c>
      <c r="L284" t="s">
        <v>3</v>
      </c>
      <c r="M284" t="s">
        <v>4</v>
      </c>
      <c r="N284" s="3" t="str">
        <f t="shared" si="9"/>
        <v>F</v>
      </c>
      <c r="O284" s="3" t="str">
        <f>IF(_xlfn.IFNA(MATCH(B284,Table1[UID],0),"F")="F","F","T")</f>
        <v>T</v>
      </c>
    </row>
    <row r="285" spans="2:15" x14ac:dyDescent="0.25">
      <c r="B285" s="42" t="str">
        <f t="shared" si="10"/>
        <v>UD_71_PU1/URBAN-DEMAND</v>
      </c>
      <c r="C285" t="s">
        <v>2530</v>
      </c>
      <c r="D285" t="s">
        <v>2531</v>
      </c>
      <c r="E285" t="s">
        <v>2900</v>
      </c>
      <c r="F285">
        <v>185</v>
      </c>
      <c r="G285" t="s">
        <v>2901</v>
      </c>
      <c r="H285" t="s">
        <v>0</v>
      </c>
      <c r="I285" t="s">
        <v>967</v>
      </c>
      <c r="J285" t="s">
        <v>892</v>
      </c>
      <c r="L285" t="s">
        <v>3</v>
      </c>
      <c r="M285" t="s">
        <v>4</v>
      </c>
      <c r="N285" s="3" t="str">
        <f t="shared" si="9"/>
        <v>F</v>
      </c>
      <c r="O285" s="3" t="str">
        <f>IF(_xlfn.IFNA(MATCH(B285,Table1[UID],0),"F")="F","F","T")</f>
        <v>T</v>
      </c>
    </row>
    <row r="286" spans="2:15" x14ac:dyDescent="0.25">
      <c r="B286" s="42" t="str">
        <f t="shared" si="10"/>
        <v>UD_71_PU2/URBAN-DEMAND</v>
      </c>
      <c r="C286" t="s">
        <v>2530</v>
      </c>
      <c r="D286" t="s">
        <v>2531</v>
      </c>
      <c r="E286" t="s">
        <v>2902</v>
      </c>
      <c r="F286">
        <v>186</v>
      </c>
      <c r="G286" t="s">
        <v>2903</v>
      </c>
      <c r="H286" t="s">
        <v>0</v>
      </c>
      <c r="I286" t="s">
        <v>968</v>
      </c>
      <c r="J286" t="s">
        <v>892</v>
      </c>
      <c r="L286" t="s">
        <v>3</v>
      </c>
      <c r="M286" t="s">
        <v>4</v>
      </c>
      <c r="N286" s="3" t="str">
        <f t="shared" si="9"/>
        <v>F</v>
      </c>
      <c r="O286" s="3" t="str">
        <f>IF(_xlfn.IFNA(MATCH(B286,Table1[UID],0),"F")="F","F","T")</f>
        <v>T</v>
      </c>
    </row>
    <row r="287" spans="2:15" x14ac:dyDescent="0.25">
      <c r="B287" s="42" t="str">
        <f t="shared" si="10"/>
        <v>UD_72_PU/URBAN-DEMAND</v>
      </c>
      <c r="C287" t="s">
        <v>2530</v>
      </c>
      <c r="D287" t="s">
        <v>2531</v>
      </c>
      <c r="E287" t="s">
        <v>2904</v>
      </c>
      <c r="F287">
        <v>187</v>
      </c>
      <c r="G287" t="s">
        <v>2905</v>
      </c>
      <c r="H287" t="s">
        <v>0</v>
      </c>
      <c r="I287" t="s">
        <v>970</v>
      </c>
      <c r="J287" t="s">
        <v>892</v>
      </c>
      <c r="L287" t="s">
        <v>3</v>
      </c>
      <c r="M287" t="s">
        <v>4</v>
      </c>
      <c r="N287" s="3" t="str">
        <f t="shared" si="9"/>
        <v>F</v>
      </c>
      <c r="O287" s="3" t="str">
        <f>IF(_xlfn.IFNA(MATCH(B287,Table1[UID],0),"F")="F","F","T")</f>
        <v>T</v>
      </c>
    </row>
    <row r="288" spans="2:15" x14ac:dyDescent="0.25">
      <c r="B288" s="42" t="str">
        <f t="shared" si="10"/>
        <v>UD_90_PU/URBAN-DEMAND</v>
      </c>
      <c r="C288" t="s">
        <v>2530</v>
      </c>
      <c r="D288" t="s">
        <v>2531</v>
      </c>
      <c r="E288" t="s">
        <v>2906</v>
      </c>
      <c r="F288">
        <v>188</v>
      </c>
      <c r="G288" t="s">
        <v>2907</v>
      </c>
      <c r="H288" t="s">
        <v>0</v>
      </c>
      <c r="I288" t="s">
        <v>972</v>
      </c>
      <c r="J288" t="s">
        <v>892</v>
      </c>
      <c r="L288" t="s">
        <v>3</v>
      </c>
      <c r="M288" t="s">
        <v>4</v>
      </c>
      <c r="N288" s="3" t="str">
        <f t="shared" si="9"/>
        <v>F</v>
      </c>
      <c r="O288" s="3" t="str">
        <f>IF(_xlfn.IFNA(MATCH(B288,Table1[UID],0),"F")="F","F","T")</f>
        <v>T</v>
      </c>
    </row>
    <row r="289" spans="2:15" x14ac:dyDescent="0.25">
      <c r="B289" s="42" t="str">
        <f t="shared" si="10"/>
        <v>AWO_02_NA/APPLIED-WATER</v>
      </c>
      <c r="C289" t="s">
        <v>2908</v>
      </c>
      <c r="D289" t="s">
        <v>2531</v>
      </c>
      <c r="E289" t="s">
        <v>2909</v>
      </c>
      <c r="F289">
        <v>1</v>
      </c>
      <c r="G289" t="s">
        <v>2910</v>
      </c>
      <c r="H289" t="s">
        <v>0</v>
      </c>
      <c r="I289" t="s">
        <v>304</v>
      </c>
      <c r="J289" t="s">
        <v>18</v>
      </c>
      <c r="L289" t="s">
        <v>3</v>
      </c>
      <c r="M289" t="s">
        <v>4</v>
      </c>
      <c r="N289" s="3" t="str">
        <f t="shared" si="9"/>
        <v>F</v>
      </c>
      <c r="O289" s="3" t="str">
        <f>IF(_xlfn.IFNA(MATCH(B289,Table1[UID],0),"F")="F","F","T")</f>
        <v>T</v>
      </c>
    </row>
    <row r="290" spans="2:15" x14ac:dyDescent="0.25">
      <c r="B290" s="42" t="str">
        <f t="shared" si="10"/>
        <v>AWO_02_PA/APPLIED-WATER</v>
      </c>
      <c r="C290" t="s">
        <v>2908</v>
      </c>
      <c r="D290" t="s">
        <v>2531</v>
      </c>
      <c r="E290" t="s">
        <v>2911</v>
      </c>
      <c r="F290">
        <v>2</v>
      </c>
      <c r="G290" t="s">
        <v>2912</v>
      </c>
      <c r="H290" t="s">
        <v>0</v>
      </c>
      <c r="I290" t="s">
        <v>307</v>
      </c>
      <c r="J290" t="s">
        <v>18</v>
      </c>
      <c r="L290" t="s">
        <v>3</v>
      </c>
      <c r="M290" t="s">
        <v>4</v>
      </c>
      <c r="N290" s="3" t="str">
        <f t="shared" si="9"/>
        <v>F</v>
      </c>
      <c r="O290" s="3" t="str">
        <f>IF(_xlfn.IFNA(MATCH(B290,Table1[UID],0),"F")="F","F","T")</f>
        <v>T</v>
      </c>
    </row>
    <row r="291" spans="2:15" x14ac:dyDescent="0.25">
      <c r="B291" s="42" t="str">
        <f t="shared" si="10"/>
        <v>AWO_02_SA/APPLIED-WATER</v>
      </c>
      <c r="C291" t="s">
        <v>2908</v>
      </c>
      <c r="D291" t="s">
        <v>2531</v>
      </c>
      <c r="E291" t="s">
        <v>2913</v>
      </c>
      <c r="F291">
        <v>3</v>
      </c>
      <c r="G291" t="s">
        <v>2914</v>
      </c>
      <c r="H291" t="s">
        <v>0</v>
      </c>
      <c r="I291" t="s">
        <v>308</v>
      </c>
      <c r="J291" t="s">
        <v>18</v>
      </c>
      <c r="L291" t="s">
        <v>3</v>
      </c>
      <c r="M291" t="s">
        <v>4</v>
      </c>
      <c r="N291" s="3" t="str">
        <f t="shared" si="9"/>
        <v>F</v>
      </c>
      <c r="O291" s="3" t="str">
        <f>IF(_xlfn.IFNA(MATCH(B291,Table1[UID],0),"F")="F","F","T")</f>
        <v>T</v>
      </c>
    </row>
    <row r="292" spans="2:15" x14ac:dyDescent="0.25">
      <c r="B292" s="42" t="str">
        <f t="shared" si="10"/>
        <v>AWO_03_NA/APPLIED-WATER</v>
      </c>
      <c r="C292" t="s">
        <v>2908</v>
      </c>
      <c r="D292" t="s">
        <v>2531</v>
      </c>
      <c r="E292" t="s">
        <v>2915</v>
      </c>
      <c r="F292">
        <v>4</v>
      </c>
      <c r="G292" t="s">
        <v>2916</v>
      </c>
      <c r="H292" t="s">
        <v>0</v>
      </c>
      <c r="I292" t="s">
        <v>309</v>
      </c>
      <c r="J292" t="s">
        <v>18</v>
      </c>
      <c r="L292" t="s">
        <v>3</v>
      </c>
      <c r="M292" t="s">
        <v>4</v>
      </c>
      <c r="N292" s="3" t="str">
        <f t="shared" si="9"/>
        <v>F</v>
      </c>
      <c r="O292" s="3" t="str">
        <f>IF(_xlfn.IFNA(MATCH(B292,Table1[UID],0),"F")="F","F","T")</f>
        <v>T</v>
      </c>
    </row>
    <row r="293" spans="2:15" x14ac:dyDescent="0.25">
      <c r="B293" s="42" t="str">
        <f t="shared" si="10"/>
        <v>AWO_03_PA/APPLIED-WATER</v>
      </c>
      <c r="C293" t="s">
        <v>2908</v>
      </c>
      <c r="D293" t="s">
        <v>2531</v>
      </c>
      <c r="E293" t="s">
        <v>2917</v>
      </c>
      <c r="F293">
        <v>5</v>
      </c>
      <c r="G293" t="s">
        <v>2918</v>
      </c>
      <c r="H293" t="s">
        <v>0</v>
      </c>
      <c r="I293" t="s">
        <v>310</v>
      </c>
      <c r="J293" t="s">
        <v>18</v>
      </c>
      <c r="L293" t="s">
        <v>3</v>
      </c>
      <c r="M293" t="s">
        <v>4</v>
      </c>
      <c r="N293" s="3" t="str">
        <f t="shared" si="9"/>
        <v>F</v>
      </c>
      <c r="O293" s="3" t="str">
        <f>IF(_xlfn.IFNA(MATCH(B293,Table1[UID],0),"F")="F","F","T")</f>
        <v>T</v>
      </c>
    </row>
    <row r="294" spans="2:15" x14ac:dyDescent="0.25">
      <c r="B294" s="42" t="str">
        <f t="shared" si="10"/>
        <v>AWO_03_SA/APPLIED-WATER</v>
      </c>
      <c r="C294" t="s">
        <v>2908</v>
      </c>
      <c r="D294" t="s">
        <v>2531</v>
      </c>
      <c r="E294" t="s">
        <v>2919</v>
      </c>
      <c r="F294">
        <v>6</v>
      </c>
      <c r="G294" t="s">
        <v>2920</v>
      </c>
      <c r="H294" t="s">
        <v>0</v>
      </c>
      <c r="I294" t="s">
        <v>311</v>
      </c>
      <c r="J294" t="s">
        <v>18</v>
      </c>
      <c r="L294" t="s">
        <v>3</v>
      </c>
      <c r="M294" t="s">
        <v>4</v>
      </c>
      <c r="N294" s="3" t="str">
        <f t="shared" si="9"/>
        <v>F</v>
      </c>
      <c r="O294" s="3" t="str">
        <f>IF(_xlfn.IFNA(MATCH(B294,Table1[UID],0),"F")="F","F","T")</f>
        <v>T</v>
      </c>
    </row>
    <row r="295" spans="2:15" x14ac:dyDescent="0.25">
      <c r="B295" s="42" t="str">
        <f t="shared" si="10"/>
        <v>AWO_04_NA/APPLIED-WATER</v>
      </c>
      <c r="C295" t="s">
        <v>2908</v>
      </c>
      <c r="D295" t="s">
        <v>2531</v>
      </c>
      <c r="E295" t="s">
        <v>2921</v>
      </c>
      <c r="F295">
        <v>7</v>
      </c>
      <c r="G295" t="s">
        <v>2922</v>
      </c>
      <c r="H295" t="s">
        <v>0</v>
      </c>
      <c r="I295" t="s">
        <v>312</v>
      </c>
      <c r="J295" t="s">
        <v>18</v>
      </c>
      <c r="L295" t="s">
        <v>3</v>
      </c>
      <c r="M295" t="s">
        <v>4</v>
      </c>
      <c r="N295" s="3" t="str">
        <f t="shared" si="9"/>
        <v>F</v>
      </c>
      <c r="O295" s="3" t="str">
        <f>IF(_xlfn.IFNA(MATCH(B295,Table1[UID],0),"F")="F","F","T")</f>
        <v>T</v>
      </c>
    </row>
    <row r="296" spans="2:15" x14ac:dyDescent="0.25">
      <c r="B296" s="42" t="str">
        <f t="shared" si="10"/>
        <v>AWO_04_PA1/APPLIED-WATER</v>
      </c>
      <c r="C296" t="s">
        <v>2908</v>
      </c>
      <c r="D296" t="s">
        <v>2531</v>
      </c>
      <c r="E296" t="s">
        <v>2923</v>
      </c>
      <c r="F296">
        <v>8</v>
      </c>
      <c r="G296" t="s">
        <v>2924</v>
      </c>
      <c r="H296" t="s">
        <v>0</v>
      </c>
      <c r="I296" t="s">
        <v>313</v>
      </c>
      <c r="J296" t="s">
        <v>18</v>
      </c>
      <c r="L296" t="s">
        <v>3</v>
      </c>
      <c r="M296" t="s">
        <v>4</v>
      </c>
      <c r="N296" s="3" t="str">
        <f t="shared" si="9"/>
        <v>F</v>
      </c>
      <c r="O296" s="3" t="str">
        <f>IF(_xlfn.IFNA(MATCH(B296,Table1[UID],0),"F")="F","F","T")</f>
        <v>T</v>
      </c>
    </row>
    <row r="297" spans="2:15" x14ac:dyDescent="0.25">
      <c r="B297" s="42" t="str">
        <f t="shared" si="10"/>
        <v>AWO_04_PA2/APPLIED-WATER</v>
      </c>
      <c r="C297" t="s">
        <v>2908</v>
      </c>
      <c r="D297" t="s">
        <v>2531</v>
      </c>
      <c r="E297" t="s">
        <v>2925</v>
      </c>
      <c r="F297">
        <v>9</v>
      </c>
      <c r="G297" t="s">
        <v>2926</v>
      </c>
      <c r="H297" t="s">
        <v>0</v>
      </c>
      <c r="I297" t="s">
        <v>314</v>
      </c>
      <c r="J297" t="s">
        <v>18</v>
      </c>
      <c r="L297" t="s">
        <v>3</v>
      </c>
      <c r="M297" t="s">
        <v>4</v>
      </c>
      <c r="N297" s="3" t="str">
        <f t="shared" si="9"/>
        <v>F</v>
      </c>
      <c r="O297" s="3" t="str">
        <f>IF(_xlfn.IFNA(MATCH(B297,Table1[UID],0),"F")="F","F","T")</f>
        <v>T</v>
      </c>
    </row>
    <row r="298" spans="2:15" x14ac:dyDescent="0.25">
      <c r="B298" s="42" t="str">
        <f t="shared" si="10"/>
        <v>AWO_05_NA/APPLIED-WATER</v>
      </c>
      <c r="C298" t="s">
        <v>2908</v>
      </c>
      <c r="D298" t="s">
        <v>2531</v>
      </c>
      <c r="E298" t="s">
        <v>2927</v>
      </c>
      <c r="F298">
        <v>10</v>
      </c>
      <c r="G298" t="s">
        <v>2928</v>
      </c>
      <c r="H298" t="s">
        <v>0</v>
      </c>
      <c r="I298" t="s">
        <v>315</v>
      </c>
      <c r="J298" t="s">
        <v>18</v>
      </c>
      <c r="L298" t="s">
        <v>3</v>
      </c>
      <c r="M298" t="s">
        <v>4</v>
      </c>
      <c r="N298" s="3" t="str">
        <f t="shared" si="9"/>
        <v>F</v>
      </c>
      <c r="O298" s="3" t="str">
        <f>IF(_xlfn.IFNA(MATCH(B298,Table1[UID],0),"F")="F","F","T")</f>
        <v>T</v>
      </c>
    </row>
    <row r="299" spans="2:15" x14ac:dyDescent="0.25">
      <c r="B299" s="42" t="str">
        <f t="shared" si="10"/>
        <v>AWO_06_NA/APPLIED-WATER</v>
      </c>
      <c r="C299" t="s">
        <v>2908</v>
      </c>
      <c r="D299" t="s">
        <v>2531</v>
      </c>
      <c r="E299" t="s">
        <v>2929</v>
      </c>
      <c r="F299">
        <v>11</v>
      </c>
      <c r="G299" t="s">
        <v>2930</v>
      </c>
      <c r="H299" t="s">
        <v>0</v>
      </c>
      <c r="I299" t="s">
        <v>316</v>
      </c>
      <c r="J299" t="s">
        <v>18</v>
      </c>
      <c r="L299" t="s">
        <v>3</v>
      </c>
      <c r="M299" t="s">
        <v>4</v>
      </c>
      <c r="N299" s="3" t="str">
        <f t="shared" si="9"/>
        <v>F</v>
      </c>
      <c r="O299" s="3" t="str">
        <f>IF(_xlfn.IFNA(MATCH(B299,Table1[UID],0),"F")="F","F","T")</f>
        <v>T</v>
      </c>
    </row>
    <row r="300" spans="2:15" x14ac:dyDescent="0.25">
      <c r="B300" s="42" t="str">
        <f t="shared" si="10"/>
        <v>AWO_06_PA/APPLIED-WATER</v>
      </c>
      <c r="C300" t="s">
        <v>2908</v>
      </c>
      <c r="D300" t="s">
        <v>2531</v>
      </c>
      <c r="E300" t="s">
        <v>2931</v>
      </c>
      <c r="F300">
        <v>12</v>
      </c>
      <c r="G300" t="s">
        <v>2932</v>
      </c>
      <c r="H300" t="s">
        <v>0</v>
      </c>
      <c r="I300" t="s">
        <v>317</v>
      </c>
      <c r="J300" t="s">
        <v>18</v>
      </c>
      <c r="L300" t="s">
        <v>3</v>
      </c>
      <c r="M300" t="s">
        <v>4</v>
      </c>
      <c r="N300" s="3" t="str">
        <f t="shared" si="9"/>
        <v>F</v>
      </c>
      <c r="O300" s="3" t="str">
        <f>IF(_xlfn.IFNA(MATCH(B300,Table1[UID],0),"F")="F","F","T")</f>
        <v>T</v>
      </c>
    </row>
    <row r="301" spans="2:15" x14ac:dyDescent="0.25">
      <c r="B301" s="42" t="str">
        <f t="shared" si="10"/>
        <v>AWO_07N_NA/APPLIED-WATER</v>
      </c>
      <c r="C301" t="s">
        <v>2908</v>
      </c>
      <c r="D301" t="s">
        <v>2531</v>
      </c>
      <c r="E301" t="s">
        <v>2933</v>
      </c>
      <c r="F301">
        <v>13</v>
      </c>
      <c r="G301" t="s">
        <v>2934</v>
      </c>
      <c r="H301" t="s">
        <v>0</v>
      </c>
      <c r="I301" t="s">
        <v>318</v>
      </c>
      <c r="J301" t="s">
        <v>18</v>
      </c>
      <c r="L301" t="s">
        <v>3</v>
      </c>
      <c r="M301" t="s">
        <v>4</v>
      </c>
      <c r="N301" s="3" t="str">
        <f t="shared" si="9"/>
        <v>F</v>
      </c>
      <c r="O301" s="3" t="str">
        <f>IF(_xlfn.IFNA(MATCH(B301,Table1[UID],0),"F")="F","F","T")</f>
        <v>T</v>
      </c>
    </row>
    <row r="302" spans="2:15" x14ac:dyDescent="0.25">
      <c r="B302" s="42" t="str">
        <f t="shared" si="10"/>
        <v>AWO_07N_PA/APPLIED-WATER</v>
      </c>
      <c r="C302" t="s">
        <v>2908</v>
      </c>
      <c r="D302" t="s">
        <v>2531</v>
      </c>
      <c r="E302" t="s">
        <v>2935</v>
      </c>
      <c r="F302">
        <v>14</v>
      </c>
      <c r="G302" t="s">
        <v>2936</v>
      </c>
      <c r="H302" t="s">
        <v>0</v>
      </c>
      <c r="I302" t="s">
        <v>319</v>
      </c>
      <c r="J302" t="s">
        <v>18</v>
      </c>
      <c r="L302" t="s">
        <v>3</v>
      </c>
      <c r="M302" t="s">
        <v>4</v>
      </c>
      <c r="N302" s="3" t="str">
        <f t="shared" si="9"/>
        <v>F</v>
      </c>
      <c r="O302" s="3" t="str">
        <f>IF(_xlfn.IFNA(MATCH(B302,Table1[UID],0),"F")="F","F","T")</f>
        <v>T</v>
      </c>
    </row>
    <row r="303" spans="2:15" x14ac:dyDescent="0.25">
      <c r="B303" s="42" t="str">
        <f t="shared" si="10"/>
        <v>AWO_07S_NA/APPLIED-WATER</v>
      </c>
      <c r="C303" t="s">
        <v>2908</v>
      </c>
      <c r="D303" t="s">
        <v>2531</v>
      </c>
      <c r="E303" t="s">
        <v>2937</v>
      </c>
      <c r="F303">
        <v>15</v>
      </c>
      <c r="G303" t="s">
        <v>2938</v>
      </c>
      <c r="H303" t="s">
        <v>0</v>
      </c>
      <c r="I303" t="s">
        <v>320</v>
      </c>
      <c r="J303" t="s">
        <v>18</v>
      </c>
      <c r="L303" t="s">
        <v>3</v>
      </c>
      <c r="M303" t="s">
        <v>4</v>
      </c>
      <c r="N303" s="3" t="str">
        <f t="shared" si="9"/>
        <v>F</v>
      </c>
      <c r="O303" s="3" t="str">
        <f>IF(_xlfn.IFNA(MATCH(B303,Table1[UID],0),"F")="F","F","T")</f>
        <v>T</v>
      </c>
    </row>
    <row r="304" spans="2:15" x14ac:dyDescent="0.25">
      <c r="B304" s="42" t="str">
        <f t="shared" si="10"/>
        <v>AWO_07S_PA/APPLIED-WATER</v>
      </c>
      <c r="C304" t="s">
        <v>2908</v>
      </c>
      <c r="D304" t="s">
        <v>2531</v>
      </c>
      <c r="E304" t="s">
        <v>2939</v>
      </c>
      <c r="F304">
        <v>16</v>
      </c>
      <c r="G304" t="s">
        <v>2940</v>
      </c>
      <c r="H304" t="s">
        <v>0</v>
      </c>
      <c r="I304" t="s">
        <v>321</v>
      </c>
      <c r="J304" t="s">
        <v>18</v>
      </c>
      <c r="L304" t="s">
        <v>3</v>
      </c>
      <c r="M304" t="s">
        <v>4</v>
      </c>
      <c r="N304" s="3" t="str">
        <f t="shared" si="9"/>
        <v>F</v>
      </c>
      <c r="O304" s="3" t="str">
        <f>IF(_xlfn.IFNA(MATCH(B304,Table1[UID],0),"F")="F","F","T")</f>
        <v>T</v>
      </c>
    </row>
    <row r="305" spans="2:15" x14ac:dyDescent="0.25">
      <c r="B305" s="42" t="str">
        <f t="shared" si="10"/>
        <v>AWO_08N_NA/APPLIED-WATER</v>
      </c>
      <c r="C305" t="s">
        <v>2908</v>
      </c>
      <c r="D305" t="s">
        <v>2531</v>
      </c>
      <c r="E305" t="s">
        <v>2941</v>
      </c>
      <c r="F305">
        <v>17</v>
      </c>
      <c r="G305" t="s">
        <v>2942</v>
      </c>
      <c r="H305" t="s">
        <v>0</v>
      </c>
      <c r="I305" t="s">
        <v>322</v>
      </c>
      <c r="J305" t="s">
        <v>18</v>
      </c>
      <c r="L305" t="s">
        <v>3</v>
      </c>
      <c r="M305" t="s">
        <v>4</v>
      </c>
      <c r="N305" s="3" t="str">
        <f t="shared" si="9"/>
        <v>F</v>
      </c>
      <c r="O305" s="3" t="str">
        <f>IF(_xlfn.IFNA(MATCH(B305,Table1[UID],0),"F")="F","F","T")</f>
        <v>T</v>
      </c>
    </row>
    <row r="306" spans="2:15" x14ac:dyDescent="0.25">
      <c r="B306" s="42" t="str">
        <f t="shared" si="10"/>
        <v>AWO_08N_PA/APPLIED-WATER</v>
      </c>
      <c r="C306" t="s">
        <v>2908</v>
      </c>
      <c r="D306" t="s">
        <v>2531</v>
      </c>
      <c r="E306" t="s">
        <v>2943</v>
      </c>
      <c r="F306">
        <v>18</v>
      </c>
      <c r="G306" t="s">
        <v>2944</v>
      </c>
      <c r="H306" t="s">
        <v>0</v>
      </c>
      <c r="I306" t="s">
        <v>323</v>
      </c>
      <c r="J306" t="s">
        <v>18</v>
      </c>
      <c r="L306" t="s">
        <v>3</v>
      </c>
      <c r="M306" t="s">
        <v>4</v>
      </c>
      <c r="N306" s="3" t="str">
        <f t="shared" si="9"/>
        <v>F</v>
      </c>
      <c r="O306" s="3" t="str">
        <f>IF(_xlfn.IFNA(MATCH(B306,Table1[UID],0),"F")="F","F","T")</f>
        <v>T</v>
      </c>
    </row>
    <row r="307" spans="2:15" x14ac:dyDescent="0.25">
      <c r="B307" s="42" t="str">
        <f t="shared" si="10"/>
        <v>AWO_08N_PR1/APPLIED-WATER</v>
      </c>
      <c r="C307" t="s">
        <v>2908</v>
      </c>
      <c r="D307" t="s">
        <v>2531</v>
      </c>
      <c r="E307" t="s">
        <v>2945</v>
      </c>
      <c r="F307">
        <v>19</v>
      </c>
      <c r="G307" t="s">
        <v>2946</v>
      </c>
      <c r="H307" t="s">
        <v>0</v>
      </c>
      <c r="I307" t="s">
        <v>324</v>
      </c>
      <c r="J307" t="s">
        <v>18</v>
      </c>
      <c r="L307" t="s">
        <v>3</v>
      </c>
      <c r="M307" t="s">
        <v>4</v>
      </c>
      <c r="N307" s="3" t="str">
        <f t="shared" si="9"/>
        <v>F</v>
      </c>
      <c r="O307" s="3" t="str">
        <f>IF(_xlfn.IFNA(MATCH(B307,Table1[UID],0),"F")="F","F","T")</f>
        <v>T</v>
      </c>
    </row>
    <row r="308" spans="2:15" x14ac:dyDescent="0.25">
      <c r="B308" s="42" t="str">
        <f t="shared" si="10"/>
        <v>AWO_08N_PR2/APPLIED-WATER</v>
      </c>
      <c r="C308" t="s">
        <v>2908</v>
      </c>
      <c r="D308" t="s">
        <v>2531</v>
      </c>
      <c r="E308" t="s">
        <v>2947</v>
      </c>
      <c r="F308">
        <v>20</v>
      </c>
      <c r="G308" t="s">
        <v>2948</v>
      </c>
      <c r="H308" t="s">
        <v>0</v>
      </c>
      <c r="I308" t="s">
        <v>325</v>
      </c>
      <c r="J308" t="s">
        <v>18</v>
      </c>
      <c r="L308" t="s">
        <v>3</v>
      </c>
      <c r="M308" t="s">
        <v>4</v>
      </c>
      <c r="N308" s="3" t="str">
        <f t="shared" si="9"/>
        <v>F</v>
      </c>
      <c r="O308" s="3" t="str">
        <f>IF(_xlfn.IFNA(MATCH(B308,Table1[UID],0),"F")="F","F","T")</f>
        <v>T</v>
      </c>
    </row>
    <row r="309" spans="2:15" x14ac:dyDescent="0.25">
      <c r="B309" s="42" t="str">
        <f t="shared" si="10"/>
        <v>AWO_08N_SA1/APPLIED-WATER</v>
      </c>
      <c r="C309" t="s">
        <v>2908</v>
      </c>
      <c r="D309" t="s">
        <v>2531</v>
      </c>
      <c r="E309" t="s">
        <v>2949</v>
      </c>
      <c r="F309">
        <v>21</v>
      </c>
      <c r="G309" t="s">
        <v>2950</v>
      </c>
      <c r="H309" t="s">
        <v>0</v>
      </c>
      <c r="I309" t="s">
        <v>326</v>
      </c>
      <c r="J309" t="s">
        <v>18</v>
      </c>
      <c r="L309" t="s">
        <v>3</v>
      </c>
      <c r="M309" t="s">
        <v>4</v>
      </c>
      <c r="N309" s="3" t="str">
        <f t="shared" si="9"/>
        <v>F</v>
      </c>
      <c r="O309" s="3" t="str">
        <f>IF(_xlfn.IFNA(MATCH(B309,Table1[UID],0),"F")="F","F","T")</f>
        <v>T</v>
      </c>
    </row>
    <row r="310" spans="2:15" x14ac:dyDescent="0.25">
      <c r="B310" s="42" t="str">
        <f t="shared" si="10"/>
        <v>AWO_08N_SA2/APPLIED-WATER</v>
      </c>
      <c r="C310" t="s">
        <v>2908</v>
      </c>
      <c r="D310" t="s">
        <v>2531</v>
      </c>
      <c r="E310" t="s">
        <v>2951</v>
      </c>
      <c r="F310">
        <v>22</v>
      </c>
      <c r="G310" t="s">
        <v>2952</v>
      </c>
      <c r="H310" t="s">
        <v>0</v>
      </c>
      <c r="I310" t="s">
        <v>327</v>
      </c>
      <c r="J310" t="s">
        <v>18</v>
      </c>
      <c r="L310" t="s">
        <v>3</v>
      </c>
      <c r="M310" t="s">
        <v>4</v>
      </c>
      <c r="N310" s="3" t="str">
        <f t="shared" si="9"/>
        <v>F</v>
      </c>
      <c r="O310" s="3" t="str">
        <f>IF(_xlfn.IFNA(MATCH(B310,Table1[UID],0),"F")="F","F","T")</f>
        <v>T</v>
      </c>
    </row>
    <row r="311" spans="2:15" x14ac:dyDescent="0.25">
      <c r="B311" s="42" t="str">
        <f t="shared" si="10"/>
        <v>AWO_08S_NA1/APPLIED-WATER</v>
      </c>
      <c r="C311" t="s">
        <v>2908</v>
      </c>
      <c r="D311" t="s">
        <v>2531</v>
      </c>
      <c r="E311" t="s">
        <v>2953</v>
      </c>
      <c r="F311">
        <v>23</v>
      </c>
      <c r="G311" t="s">
        <v>2954</v>
      </c>
      <c r="H311" t="s">
        <v>0</v>
      </c>
      <c r="I311" t="s">
        <v>328</v>
      </c>
      <c r="J311" t="s">
        <v>18</v>
      </c>
      <c r="L311" t="s">
        <v>3</v>
      </c>
      <c r="M311" t="s">
        <v>4</v>
      </c>
      <c r="N311" s="3" t="str">
        <f t="shared" si="9"/>
        <v>F</v>
      </c>
      <c r="O311" s="3" t="str">
        <f>IF(_xlfn.IFNA(MATCH(B311,Table1[UID],0),"F")="F","F","T")</f>
        <v>T</v>
      </c>
    </row>
    <row r="312" spans="2:15" x14ac:dyDescent="0.25">
      <c r="B312" s="42" t="str">
        <f t="shared" si="10"/>
        <v>AWO_08S_NA2/APPLIED-WATER</v>
      </c>
      <c r="C312" t="s">
        <v>2908</v>
      </c>
      <c r="D312" t="s">
        <v>2531</v>
      </c>
      <c r="E312" t="s">
        <v>2955</v>
      </c>
      <c r="F312">
        <v>24</v>
      </c>
      <c r="G312" t="s">
        <v>2956</v>
      </c>
      <c r="H312" t="s">
        <v>0</v>
      </c>
      <c r="I312" t="s">
        <v>329</v>
      </c>
      <c r="J312" t="s">
        <v>18</v>
      </c>
      <c r="L312" t="s">
        <v>3</v>
      </c>
      <c r="M312" t="s">
        <v>4</v>
      </c>
      <c r="N312" s="3" t="str">
        <f t="shared" si="9"/>
        <v>F</v>
      </c>
      <c r="O312" s="3" t="str">
        <f>IF(_xlfn.IFNA(MATCH(B312,Table1[UID],0),"F")="F","F","T")</f>
        <v>T</v>
      </c>
    </row>
    <row r="313" spans="2:15" x14ac:dyDescent="0.25">
      <c r="B313" s="42" t="str">
        <f t="shared" si="10"/>
        <v>AWO_08S_PA/APPLIED-WATER</v>
      </c>
      <c r="C313" t="s">
        <v>2908</v>
      </c>
      <c r="D313" t="s">
        <v>2531</v>
      </c>
      <c r="E313" t="s">
        <v>2957</v>
      </c>
      <c r="F313">
        <v>25</v>
      </c>
      <c r="G313" t="s">
        <v>2958</v>
      </c>
      <c r="H313" t="s">
        <v>0</v>
      </c>
      <c r="I313" t="s">
        <v>330</v>
      </c>
      <c r="J313" t="s">
        <v>18</v>
      </c>
      <c r="L313" t="s">
        <v>3</v>
      </c>
      <c r="M313" t="s">
        <v>4</v>
      </c>
      <c r="N313" s="3" t="str">
        <f t="shared" si="9"/>
        <v>F</v>
      </c>
      <c r="O313" s="3" t="str">
        <f>IF(_xlfn.IFNA(MATCH(B313,Table1[UID],0),"F")="F","F","T")</f>
        <v>T</v>
      </c>
    </row>
    <row r="314" spans="2:15" x14ac:dyDescent="0.25">
      <c r="B314" s="42" t="str">
        <f t="shared" si="10"/>
        <v>AWO_08S_PR/APPLIED-WATER</v>
      </c>
      <c r="C314" t="s">
        <v>2908</v>
      </c>
      <c r="D314" t="s">
        <v>2531</v>
      </c>
      <c r="E314" t="s">
        <v>2959</v>
      </c>
      <c r="F314">
        <v>26</v>
      </c>
      <c r="G314" t="s">
        <v>2960</v>
      </c>
      <c r="H314" t="s">
        <v>0</v>
      </c>
      <c r="I314" t="s">
        <v>331</v>
      </c>
      <c r="J314" t="s">
        <v>18</v>
      </c>
      <c r="L314" t="s">
        <v>3</v>
      </c>
      <c r="M314" t="s">
        <v>4</v>
      </c>
      <c r="N314" s="3" t="str">
        <f t="shared" si="9"/>
        <v>F</v>
      </c>
      <c r="O314" s="3" t="str">
        <f>IF(_xlfn.IFNA(MATCH(B314,Table1[UID],0),"F")="F","F","T")</f>
        <v>T</v>
      </c>
    </row>
    <row r="315" spans="2:15" x14ac:dyDescent="0.25">
      <c r="B315" s="42" t="str">
        <f t="shared" si="10"/>
        <v>AWO_08S_SA1/APPLIED-WATER</v>
      </c>
      <c r="C315" t="s">
        <v>2908</v>
      </c>
      <c r="D315" t="s">
        <v>2531</v>
      </c>
      <c r="E315" t="s">
        <v>2961</v>
      </c>
      <c r="F315">
        <v>27</v>
      </c>
      <c r="G315" t="s">
        <v>2962</v>
      </c>
      <c r="H315" t="s">
        <v>0</v>
      </c>
      <c r="I315" t="s">
        <v>332</v>
      </c>
      <c r="J315" t="s">
        <v>18</v>
      </c>
      <c r="L315" t="s">
        <v>3</v>
      </c>
      <c r="M315" t="s">
        <v>4</v>
      </c>
      <c r="N315" s="3" t="str">
        <f t="shared" si="9"/>
        <v>F</v>
      </c>
      <c r="O315" s="3" t="str">
        <f>IF(_xlfn.IFNA(MATCH(B315,Table1[UID],0),"F")="F","F","T")</f>
        <v>T</v>
      </c>
    </row>
    <row r="316" spans="2:15" x14ac:dyDescent="0.25">
      <c r="B316" s="42" t="str">
        <f t="shared" si="10"/>
        <v>AWO_08S_SA2/APPLIED-WATER</v>
      </c>
      <c r="C316" t="s">
        <v>2908</v>
      </c>
      <c r="D316" t="s">
        <v>2531</v>
      </c>
      <c r="E316" t="s">
        <v>2963</v>
      </c>
      <c r="F316">
        <v>28</v>
      </c>
      <c r="G316" t="s">
        <v>2964</v>
      </c>
      <c r="H316" t="s">
        <v>0</v>
      </c>
      <c r="I316" t="s">
        <v>333</v>
      </c>
      <c r="J316" t="s">
        <v>18</v>
      </c>
      <c r="L316" t="s">
        <v>3</v>
      </c>
      <c r="M316" t="s">
        <v>4</v>
      </c>
      <c r="N316" s="3" t="str">
        <f t="shared" si="9"/>
        <v>F</v>
      </c>
      <c r="O316" s="3" t="str">
        <f>IF(_xlfn.IFNA(MATCH(B316,Table1[UID],0),"F")="F","F","T")</f>
        <v>T</v>
      </c>
    </row>
    <row r="317" spans="2:15" x14ac:dyDescent="0.25">
      <c r="B317" s="42" t="str">
        <f t="shared" si="10"/>
        <v>AWO_08S_SA3/APPLIED-WATER</v>
      </c>
      <c r="C317" t="s">
        <v>2908</v>
      </c>
      <c r="D317" t="s">
        <v>2531</v>
      </c>
      <c r="E317" t="s">
        <v>2965</v>
      </c>
      <c r="F317">
        <v>29</v>
      </c>
      <c r="G317" t="s">
        <v>2966</v>
      </c>
      <c r="H317" t="s">
        <v>0</v>
      </c>
      <c r="I317" t="s">
        <v>334</v>
      </c>
      <c r="J317" t="s">
        <v>18</v>
      </c>
      <c r="L317" t="s">
        <v>3</v>
      </c>
      <c r="M317" t="s">
        <v>4</v>
      </c>
      <c r="N317" s="3" t="str">
        <f t="shared" si="9"/>
        <v>F</v>
      </c>
      <c r="O317" s="3" t="str">
        <f>IF(_xlfn.IFNA(MATCH(B317,Table1[UID],0),"F")="F","F","T")</f>
        <v>T</v>
      </c>
    </row>
    <row r="318" spans="2:15" x14ac:dyDescent="0.25">
      <c r="B318" s="42" t="str">
        <f t="shared" si="10"/>
        <v>AWO_09_NA/APPLIED-WATER</v>
      </c>
      <c r="C318" t="s">
        <v>2908</v>
      </c>
      <c r="D318" t="s">
        <v>2531</v>
      </c>
      <c r="E318" t="s">
        <v>2967</v>
      </c>
      <c r="F318">
        <v>30</v>
      </c>
      <c r="G318" t="s">
        <v>2968</v>
      </c>
      <c r="H318" t="s">
        <v>0</v>
      </c>
      <c r="I318" t="s">
        <v>335</v>
      </c>
      <c r="J318" t="s">
        <v>18</v>
      </c>
      <c r="L318" t="s">
        <v>3</v>
      </c>
      <c r="M318" t="s">
        <v>4</v>
      </c>
      <c r="N318" s="3" t="str">
        <f t="shared" si="9"/>
        <v>F</v>
      </c>
      <c r="O318" s="3" t="str">
        <f>IF(_xlfn.IFNA(MATCH(B318,Table1[UID],0),"F")="F","F","T")</f>
        <v>T</v>
      </c>
    </row>
    <row r="319" spans="2:15" x14ac:dyDescent="0.25">
      <c r="B319" s="42" t="str">
        <f t="shared" si="10"/>
        <v>AWO_09_PR/APPLIED-WATER</v>
      </c>
      <c r="C319" t="s">
        <v>2908</v>
      </c>
      <c r="D319" t="s">
        <v>2531</v>
      </c>
      <c r="E319" t="s">
        <v>2969</v>
      </c>
      <c r="F319">
        <v>31</v>
      </c>
      <c r="G319" t="s">
        <v>2970</v>
      </c>
      <c r="H319" t="s">
        <v>0</v>
      </c>
      <c r="I319" t="s">
        <v>336</v>
      </c>
      <c r="J319" t="s">
        <v>18</v>
      </c>
      <c r="L319" t="s">
        <v>3</v>
      </c>
      <c r="M319" t="s">
        <v>4</v>
      </c>
      <c r="N319" s="3" t="str">
        <f t="shared" si="9"/>
        <v>F</v>
      </c>
      <c r="O319" s="3" t="str">
        <f>IF(_xlfn.IFNA(MATCH(B319,Table1[UID],0),"F")="F","F","T")</f>
        <v>T</v>
      </c>
    </row>
    <row r="320" spans="2:15" x14ac:dyDescent="0.25">
      <c r="B320" s="42" t="str">
        <f t="shared" si="10"/>
        <v>AWO_09_SA1/APPLIED-WATER</v>
      </c>
      <c r="C320" t="s">
        <v>2908</v>
      </c>
      <c r="D320" t="s">
        <v>2531</v>
      </c>
      <c r="E320" t="s">
        <v>2971</v>
      </c>
      <c r="F320">
        <v>32</v>
      </c>
      <c r="G320" t="s">
        <v>2972</v>
      </c>
      <c r="H320" t="s">
        <v>0</v>
      </c>
      <c r="I320" t="s">
        <v>337</v>
      </c>
      <c r="J320" t="s">
        <v>18</v>
      </c>
      <c r="L320" t="s">
        <v>3</v>
      </c>
      <c r="M320" t="s">
        <v>4</v>
      </c>
      <c r="N320" s="3" t="str">
        <f t="shared" si="9"/>
        <v>F</v>
      </c>
      <c r="O320" s="3" t="str">
        <f>IF(_xlfn.IFNA(MATCH(B320,Table1[UID],0),"F")="F","F","T")</f>
        <v>T</v>
      </c>
    </row>
    <row r="321" spans="2:15" x14ac:dyDescent="0.25">
      <c r="B321" s="42" t="str">
        <f t="shared" si="10"/>
        <v>AWO_09_SA2/APPLIED-WATER</v>
      </c>
      <c r="C321" t="s">
        <v>2908</v>
      </c>
      <c r="D321" t="s">
        <v>2531</v>
      </c>
      <c r="E321" t="s">
        <v>2973</v>
      </c>
      <c r="F321">
        <v>33</v>
      </c>
      <c r="G321" t="s">
        <v>2974</v>
      </c>
      <c r="H321" t="s">
        <v>0</v>
      </c>
      <c r="I321" t="s">
        <v>338</v>
      </c>
      <c r="J321" t="s">
        <v>18</v>
      </c>
      <c r="L321" t="s">
        <v>3</v>
      </c>
      <c r="M321" t="s">
        <v>4</v>
      </c>
      <c r="N321" s="3" t="str">
        <f t="shared" si="9"/>
        <v>F</v>
      </c>
      <c r="O321" s="3" t="str">
        <f>IF(_xlfn.IFNA(MATCH(B321,Table1[UID],0),"F")="F","F","T")</f>
        <v>T</v>
      </c>
    </row>
    <row r="322" spans="2:15" x14ac:dyDescent="0.25">
      <c r="B322" s="42" t="str">
        <f t="shared" si="10"/>
        <v>AWO_10_NA/APPLIED-WATER</v>
      </c>
      <c r="C322" t="s">
        <v>2908</v>
      </c>
      <c r="D322" t="s">
        <v>2531</v>
      </c>
      <c r="E322" t="s">
        <v>2975</v>
      </c>
      <c r="F322">
        <v>34</v>
      </c>
      <c r="G322" t="s">
        <v>2976</v>
      </c>
      <c r="H322" t="s">
        <v>0</v>
      </c>
      <c r="I322" t="s">
        <v>339</v>
      </c>
      <c r="J322" t="s">
        <v>18</v>
      </c>
      <c r="L322" t="s">
        <v>3</v>
      </c>
      <c r="M322" t="s">
        <v>4</v>
      </c>
      <c r="N322" s="3" t="str">
        <f t="shared" si="9"/>
        <v>F</v>
      </c>
      <c r="O322" s="3" t="str">
        <f>IF(_xlfn.IFNA(MATCH(B322,Table1[UID],0),"F")="F","F","T")</f>
        <v>T</v>
      </c>
    </row>
    <row r="323" spans="2:15" x14ac:dyDescent="0.25">
      <c r="B323" s="42" t="str">
        <f t="shared" si="10"/>
        <v>AWO_11_NA/APPLIED-WATER</v>
      </c>
      <c r="C323" t="s">
        <v>2908</v>
      </c>
      <c r="D323" t="s">
        <v>2531</v>
      </c>
      <c r="E323" t="s">
        <v>2977</v>
      </c>
      <c r="F323">
        <v>35</v>
      </c>
      <c r="G323" t="s">
        <v>2978</v>
      </c>
      <c r="H323" t="s">
        <v>0</v>
      </c>
      <c r="I323" t="s">
        <v>340</v>
      </c>
      <c r="J323" t="s">
        <v>18</v>
      </c>
      <c r="L323" t="s">
        <v>3</v>
      </c>
      <c r="M323" t="s">
        <v>4</v>
      </c>
      <c r="N323" s="3" t="str">
        <f t="shared" ref="N323:N386" si="11">IF(COUNTIF($B$3:$B$1760,"="&amp;B323)&gt;1,"T","F")</f>
        <v>F</v>
      </c>
      <c r="O323" s="3" t="str">
        <f>IF(_xlfn.IFNA(MATCH(B323,Table1[UID],0),"F")="F","F","T")</f>
        <v>T</v>
      </c>
    </row>
    <row r="324" spans="2:15" x14ac:dyDescent="0.25">
      <c r="B324" s="42" t="str">
        <f t="shared" si="10"/>
        <v>AWO_11_PR/APPLIED-WATER</v>
      </c>
      <c r="C324" t="s">
        <v>2908</v>
      </c>
      <c r="D324" t="s">
        <v>2531</v>
      </c>
      <c r="E324" t="s">
        <v>2979</v>
      </c>
      <c r="F324">
        <v>36</v>
      </c>
      <c r="G324" t="s">
        <v>2980</v>
      </c>
      <c r="H324" t="s">
        <v>0</v>
      </c>
      <c r="I324" t="s">
        <v>341</v>
      </c>
      <c r="J324" t="s">
        <v>18</v>
      </c>
      <c r="L324" t="s">
        <v>3</v>
      </c>
      <c r="M324" t="s">
        <v>4</v>
      </c>
      <c r="N324" s="3" t="str">
        <f t="shared" si="11"/>
        <v>F</v>
      </c>
      <c r="O324" s="3" t="str">
        <f>IF(_xlfn.IFNA(MATCH(B324,Table1[UID],0),"F")="F","F","T")</f>
        <v>T</v>
      </c>
    </row>
    <row r="325" spans="2:15" x14ac:dyDescent="0.25">
      <c r="B325" s="42" t="str">
        <f t="shared" si="10"/>
        <v>AWO_11_SA1/APPLIED-WATER</v>
      </c>
      <c r="C325" t="s">
        <v>2908</v>
      </c>
      <c r="D325" t="s">
        <v>2531</v>
      </c>
      <c r="E325" t="s">
        <v>2981</v>
      </c>
      <c r="F325">
        <v>37</v>
      </c>
      <c r="G325" t="s">
        <v>2982</v>
      </c>
      <c r="H325" t="s">
        <v>0</v>
      </c>
      <c r="I325" t="s">
        <v>342</v>
      </c>
      <c r="J325" t="s">
        <v>18</v>
      </c>
      <c r="L325" t="s">
        <v>3</v>
      </c>
      <c r="M325" t="s">
        <v>4</v>
      </c>
      <c r="N325" s="3" t="str">
        <f t="shared" si="11"/>
        <v>F</v>
      </c>
      <c r="O325" s="3" t="str">
        <f>IF(_xlfn.IFNA(MATCH(B325,Table1[UID],0),"F")="F","F","T")</f>
        <v>T</v>
      </c>
    </row>
    <row r="326" spans="2:15" x14ac:dyDescent="0.25">
      <c r="B326" s="42" t="str">
        <f t="shared" si="10"/>
        <v>AWO_11_SA2/APPLIED-WATER</v>
      </c>
      <c r="C326" t="s">
        <v>2908</v>
      </c>
      <c r="D326" t="s">
        <v>2531</v>
      </c>
      <c r="E326" t="s">
        <v>2983</v>
      </c>
      <c r="F326">
        <v>38</v>
      </c>
      <c r="G326" t="s">
        <v>2984</v>
      </c>
      <c r="H326" t="s">
        <v>0</v>
      </c>
      <c r="I326" t="s">
        <v>343</v>
      </c>
      <c r="J326" t="s">
        <v>18</v>
      </c>
      <c r="L326" t="s">
        <v>3</v>
      </c>
      <c r="M326" t="s">
        <v>4</v>
      </c>
      <c r="N326" s="3" t="str">
        <f t="shared" si="11"/>
        <v>F</v>
      </c>
      <c r="O326" s="3" t="str">
        <f>IF(_xlfn.IFNA(MATCH(B326,Table1[UID],0),"F")="F","F","T")</f>
        <v>T</v>
      </c>
    </row>
    <row r="327" spans="2:15" x14ac:dyDescent="0.25">
      <c r="B327" s="42" t="str">
        <f t="shared" si="10"/>
        <v>AWO_11_SA3/APPLIED-WATER</v>
      </c>
      <c r="C327" t="s">
        <v>2908</v>
      </c>
      <c r="D327" t="s">
        <v>2531</v>
      </c>
      <c r="E327" t="s">
        <v>2985</v>
      </c>
      <c r="F327">
        <v>39</v>
      </c>
      <c r="G327" t="s">
        <v>2986</v>
      </c>
      <c r="H327" t="s">
        <v>0</v>
      </c>
      <c r="I327" t="s">
        <v>344</v>
      </c>
      <c r="J327" t="s">
        <v>18</v>
      </c>
      <c r="L327" t="s">
        <v>3</v>
      </c>
      <c r="M327" t="s">
        <v>4</v>
      </c>
      <c r="N327" s="3" t="str">
        <f t="shared" si="11"/>
        <v>F</v>
      </c>
      <c r="O327" s="3" t="str">
        <f>IF(_xlfn.IFNA(MATCH(B327,Table1[UID],0),"F")="F","F","T")</f>
        <v>T</v>
      </c>
    </row>
    <row r="328" spans="2:15" x14ac:dyDescent="0.25">
      <c r="B328" s="42" t="str">
        <f t="shared" si="10"/>
        <v>AWO_11_SA4/APPLIED-WATER</v>
      </c>
      <c r="C328" t="s">
        <v>2908</v>
      </c>
      <c r="D328" t="s">
        <v>2531</v>
      </c>
      <c r="E328" t="s">
        <v>2987</v>
      </c>
      <c r="F328">
        <v>40</v>
      </c>
      <c r="G328" t="s">
        <v>2988</v>
      </c>
      <c r="H328" t="s">
        <v>0</v>
      </c>
      <c r="I328" t="s">
        <v>345</v>
      </c>
      <c r="J328" t="s">
        <v>18</v>
      </c>
      <c r="L328" t="s">
        <v>3</v>
      </c>
      <c r="M328" t="s">
        <v>4</v>
      </c>
      <c r="N328" s="3" t="str">
        <f t="shared" si="11"/>
        <v>F</v>
      </c>
      <c r="O328" s="3" t="str">
        <f>IF(_xlfn.IFNA(MATCH(B328,Table1[UID],0),"F")="F","F","T")</f>
        <v>T</v>
      </c>
    </row>
    <row r="329" spans="2:15" x14ac:dyDescent="0.25">
      <c r="B329" s="42" t="str">
        <f t="shared" si="10"/>
        <v>AWO_12_NA/APPLIED-WATER</v>
      </c>
      <c r="C329" t="s">
        <v>2908</v>
      </c>
      <c r="D329" t="s">
        <v>2531</v>
      </c>
      <c r="E329" t="s">
        <v>2989</v>
      </c>
      <c r="F329">
        <v>41</v>
      </c>
      <c r="G329" t="s">
        <v>2990</v>
      </c>
      <c r="H329" t="s">
        <v>0</v>
      </c>
      <c r="I329" t="s">
        <v>346</v>
      </c>
      <c r="J329" t="s">
        <v>18</v>
      </c>
      <c r="L329" t="s">
        <v>3</v>
      </c>
      <c r="M329" t="s">
        <v>4</v>
      </c>
      <c r="N329" s="3" t="str">
        <f t="shared" si="11"/>
        <v>F</v>
      </c>
      <c r="O329" s="3" t="str">
        <f>IF(_xlfn.IFNA(MATCH(B329,Table1[UID],0),"F")="F","F","T")</f>
        <v>T</v>
      </c>
    </row>
    <row r="330" spans="2:15" x14ac:dyDescent="0.25">
      <c r="B330" s="42" t="str">
        <f t="shared" ref="B330:B393" si="12">_xlfn.CONCAT(I330,"/",J330)</f>
        <v>AWO_12_SA/APPLIED-WATER</v>
      </c>
      <c r="C330" t="s">
        <v>2908</v>
      </c>
      <c r="D330" t="s">
        <v>2531</v>
      </c>
      <c r="E330" t="s">
        <v>2991</v>
      </c>
      <c r="F330">
        <v>42</v>
      </c>
      <c r="G330" t="s">
        <v>2992</v>
      </c>
      <c r="H330" t="s">
        <v>0</v>
      </c>
      <c r="I330" t="s">
        <v>347</v>
      </c>
      <c r="J330" t="s">
        <v>18</v>
      </c>
      <c r="L330" t="s">
        <v>3</v>
      </c>
      <c r="M330" t="s">
        <v>4</v>
      </c>
      <c r="N330" s="3" t="str">
        <f t="shared" si="11"/>
        <v>F</v>
      </c>
      <c r="O330" s="3" t="str">
        <f>IF(_xlfn.IFNA(MATCH(B330,Table1[UID],0),"F")="F","F","T")</f>
        <v>T</v>
      </c>
    </row>
    <row r="331" spans="2:15" x14ac:dyDescent="0.25">
      <c r="B331" s="42" t="str">
        <f t="shared" si="12"/>
        <v>AWO_13_NA/APPLIED-WATER</v>
      </c>
      <c r="C331" t="s">
        <v>2908</v>
      </c>
      <c r="D331" t="s">
        <v>2531</v>
      </c>
      <c r="E331" t="s">
        <v>2993</v>
      </c>
      <c r="F331">
        <v>43</v>
      </c>
      <c r="G331" t="s">
        <v>2994</v>
      </c>
      <c r="H331" t="s">
        <v>0</v>
      </c>
      <c r="I331" t="s">
        <v>348</v>
      </c>
      <c r="J331" t="s">
        <v>18</v>
      </c>
      <c r="L331" t="s">
        <v>3</v>
      </c>
      <c r="M331" t="s">
        <v>4</v>
      </c>
      <c r="N331" s="3" t="str">
        <f t="shared" si="11"/>
        <v>F</v>
      </c>
      <c r="O331" s="3" t="str">
        <f>IF(_xlfn.IFNA(MATCH(B331,Table1[UID],0),"F")="F","F","T")</f>
        <v>T</v>
      </c>
    </row>
    <row r="332" spans="2:15" x14ac:dyDescent="0.25">
      <c r="B332" s="42" t="str">
        <f t="shared" si="12"/>
        <v>AWO_14_NA/APPLIED-WATER</v>
      </c>
      <c r="C332" t="s">
        <v>2908</v>
      </c>
      <c r="D332" t="s">
        <v>2531</v>
      </c>
      <c r="E332" t="s">
        <v>2995</v>
      </c>
      <c r="F332">
        <v>44</v>
      </c>
      <c r="G332" t="s">
        <v>2996</v>
      </c>
      <c r="H332" t="s">
        <v>0</v>
      </c>
      <c r="I332" t="s">
        <v>349</v>
      </c>
      <c r="J332" t="s">
        <v>18</v>
      </c>
      <c r="L332" t="s">
        <v>3</v>
      </c>
      <c r="M332" t="s">
        <v>4</v>
      </c>
      <c r="N332" s="3" t="str">
        <f t="shared" si="11"/>
        <v>F</v>
      </c>
      <c r="O332" s="3" t="str">
        <f>IF(_xlfn.IFNA(MATCH(B332,Table1[UID],0),"F")="F","F","T")</f>
        <v>T</v>
      </c>
    </row>
    <row r="333" spans="2:15" x14ac:dyDescent="0.25">
      <c r="B333" s="42" t="str">
        <f t="shared" si="12"/>
        <v>AWO_15N_NA1/APPLIED-WATER</v>
      </c>
      <c r="C333" t="s">
        <v>2908</v>
      </c>
      <c r="D333" t="s">
        <v>2531</v>
      </c>
      <c r="E333" t="s">
        <v>2997</v>
      </c>
      <c r="F333">
        <v>45</v>
      </c>
      <c r="G333" t="s">
        <v>2998</v>
      </c>
      <c r="H333" t="s">
        <v>0</v>
      </c>
      <c r="I333" t="s">
        <v>350</v>
      </c>
      <c r="J333" t="s">
        <v>18</v>
      </c>
      <c r="L333" t="s">
        <v>3</v>
      </c>
      <c r="M333" t="s">
        <v>4</v>
      </c>
      <c r="N333" s="3" t="str">
        <f t="shared" si="11"/>
        <v>F</v>
      </c>
      <c r="O333" s="3" t="str">
        <f>IF(_xlfn.IFNA(MATCH(B333,Table1[UID],0),"F")="F","F","T")</f>
        <v>T</v>
      </c>
    </row>
    <row r="334" spans="2:15" x14ac:dyDescent="0.25">
      <c r="B334" s="42" t="str">
        <f t="shared" si="12"/>
        <v>AWO_15N_NA2/APPLIED-WATER</v>
      </c>
      <c r="C334" t="s">
        <v>2908</v>
      </c>
      <c r="D334" t="s">
        <v>2531</v>
      </c>
      <c r="E334" t="s">
        <v>2999</v>
      </c>
      <c r="F334">
        <v>46</v>
      </c>
      <c r="G334" t="s">
        <v>3000</v>
      </c>
      <c r="H334" t="s">
        <v>0</v>
      </c>
      <c r="I334" t="s">
        <v>351</v>
      </c>
      <c r="J334" t="s">
        <v>18</v>
      </c>
      <c r="L334" t="s">
        <v>3</v>
      </c>
      <c r="M334" t="s">
        <v>4</v>
      </c>
      <c r="N334" s="3" t="str">
        <f t="shared" si="11"/>
        <v>F</v>
      </c>
      <c r="O334" s="3" t="str">
        <f>IF(_xlfn.IFNA(MATCH(B334,Table1[UID],0),"F")="F","F","T")</f>
        <v>T</v>
      </c>
    </row>
    <row r="335" spans="2:15" x14ac:dyDescent="0.25">
      <c r="B335" s="42" t="str">
        <f t="shared" si="12"/>
        <v>AWO_15N_SA/APPLIED-WATER</v>
      </c>
      <c r="C335" t="s">
        <v>2908</v>
      </c>
      <c r="D335" t="s">
        <v>2531</v>
      </c>
      <c r="E335" t="s">
        <v>3001</v>
      </c>
      <c r="F335">
        <v>47</v>
      </c>
      <c r="G335" t="s">
        <v>3002</v>
      </c>
      <c r="H335" t="s">
        <v>0</v>
      </c>
      <c r="I335" t="s">
        <v>352</v>
      </c>
      <c r="J335" t="s">
        <v>18</v>
      </c>
      <c r="L335" t="s">
        <v>3</v>
      </c>
      <c r="M335" t="s">
        <v>4</v>
      </c>
      <c r="N335" s="3" t="str">
        <f t="shared" si="11"/>
        <v>F</v>
      </c>
      <c r="O335" s="3" t="str">
        <f>IF(_xlfn.IFNA(MATCH(B335,Table1[UID],0),"F")="F","F","T")</f>
        <v>T</v>
      </c>
    </row>
    <row r="336" spans="2:15" x14ac:dyDescent="0.25">
      <c r="B336" s="42" t="str">
        <f t="shared" si="12"/>
        <v>AWO_15S_NA1/APPLIED-WATER</v>
      </c>
      <c r="C336" t="s">
        <v>2908</v>
      </c>
      <c r="D336" t="s">
        <v>2531</v>
      </c>
      <c r="E336" t="s">
        <v>3003</v>
      </c>
      <c r="F336">
        <v>48</v>
      </c>
      <c r="G336" t="s">
        <v>3004</v>
      </c>
      <c r="H336" t="s">
        <v>0</v>
      </c>
      <c r="I336" t="s">
        <v>353</v>
      </c>
      <c r="J336" t="s">
        <v>18</v>
      </c>
      <c r="L336" t="s">
        <v>3</v>
      </c>
      <c r="M336" t="s">
        <v>4</v>
      </c>
      <c r="N336" s="3" t="str">
        <f t="shared" si="11"/>
        <v>F</v>
      </c>
      <c r="O336" s="3" t="str">
        <f>IF(_xlfn.IFNA(MATCH(B336,Table1[UID],0),"F")="F","F","T")</f>
        <v>T</v>
      </c>
    </row>
    <row r="337" spans="2:15" x14ac:dyDescent="0.25">
      <c r="B337" s="42" t="str">
        <f t="shared" si="12"/>
        <v>AWO_15S_NA2/APPLIED-WATER</v>
      </c>
      <c r="C337" t="s">
        <v>2908</v>
      </c>
      <c r="D337" t="s">
        <v>2531</v>
      </c>
      <c r="E337" t="s">
        <v>3005</v>
      </c>
      <c r="F337">
        <v>49</v>
      </c>
      <c r="G337" t="s">
        <v>3006</v>
      </c>
      <c r="H337" t="s">
        <v>0</v>
      </c>
      <c r="I337" t="s">
        <v>354</v>
      </c>
      <c r="J337" t="s">
        <v>18</v>
      </c>
      <c r="L337" t="s">
        <v>3</v>
      </c>
      <c r="M337" t="s">
        <v>4</v>
      </c>
      <c r="N337" s="3" t="str">
        <f t="shared" si="11"/>
        <v>F</v>
      </c>
      <c r="O337" s="3" t="str">
        <f>IF(_xlfn.IFNA(MATCH(B337,Table1[UID],0),"F")="F","F","T")</f>
        <v>T</v>
      </c>
    </row>
    <row r="338" spans="2:15" x14ac:dyDescent="0.25">
      <c r="B338" s="42" t="str">
        <f t="shared" si="12"/>
        <v>AWO_15S_SA/APPLIED-WATER</v>
      </c>
      <c r="C338" t="s">
        <v>2908</v>
      </c>
      <c r="D338" t="s">
        <v>2531</v>
      </c>
      <c r="E338" t="s">
        <v>3007</v>
      </c>
      <c r="F338">
        <v>50</v>
      </c>
      <c r="G338" t="s">
        <v>3008</v>
      </c>
      <c r="H338" t="s">
        <v>0</v>
      </c>
      <c r="I338" t="s">
        <v>355</v>
      </c>
      <c r="J338" t="s">
        <v>18</v>
      </c>
      <c r="L338" t="s">
        <v>3</v>
      </c>
      <c r="M338" t="s">
        <v>4</v>
      </c>
      <c r="N338" s="3" t="str">
        <f t="shared" si="11"/>
        <v>F</v>
      </c>
      <c r="O338" s="3" t="str">
        <f>IF(_xlfn.IFNA(MATCH(B338,Table1[UID],0),"F")="F","F","T")</f>
        <v>T</v>
      </c>
    </row>
    <row r="339" spans="2:15" x14ac:dyDescent="0.25">
      <c r="B339" s="42" t="str">
        <f t="shared" si="12"/>
        <v>AWO_16_NA1/APPLIED-WATER</v>
      </c>
      <c r="C339" t="s">
        <v>2908</v>
      </c>
      <c r="D339" t="s">
        <v>2531</v>
      </c>
      <c r="E339" t="s">
        <v>3009</v>
      </c>
      <c r="F339">
        <v>51</v>
      </c>
      <c r="G339" t="s">
        <v>3010</v>
      </c>
      <c r="H339" t="s">
        <v>0</v>
      </c>
      <c r="I339" t="s">
        <v>356</v>
      </c>
      <c r="J339" t="s">
        <v>18</v>
      </c>
      <c r="L339" t="s">
        <v>3</v>
      </c>
      <c r="M339" t="s">
        <v>4</v>
      </c>
      <c r="N339" s="3" t="str">
        <f t="shared" si="11"/>
        <v>F</v>
      </c>
      <c r="O339" s="3" t="str">
        <f>IF(_xlfn.IFNA(MATCH(B339,Table1[UID],0),"F")="F","F","T")</f>
        <v>T</v>
      </c>
    </row>
    <row r="340" spans="2:15" x14ac:dyDescent="0.25">
      <c r="B340" s="42" t="str">
        <f t="shared" si="12"/>
        <v>AWO_16_NA2/APPLIED-WATER</v>
      </c>
      <c r="C340" t="s">
        <v>2908</v>
      </c>
      <c r="D340" t="s">
        <v>2531</v>
      </c>
      <c r="E340" t="s">
        <v>3011</v>
      </c>
      <c r="F340">
        <v>52</v>
      </c>
      <c r="G340" t="s">
        <v>3012</v>
      </c>
      <c r="H340" t="s">
        <v>0</v>
      </c>
      <c r="I340" t="s">
        <v>357</v>
      </c>
      <c r="J340" t="s">
        <v>18</v>
      </c>
      <c r="L340" t="s">
        <v>3</v>
      </c>
      <c r="M340" t="s">
        <v>4</v>
      </c>
      <c r="N340" s="3" t="str">
        <f t="shared" si="11"/>
        <v>F</v>
      </c>
      <c r="O340" s="3" t="str">
        <f>IF(_xlfn.IFNA(MATCH(B340,Table1[UID],0),"F")="F","F","T")</f>
        <v>T</v>
      </c>
    </row>
    <row r="341" spans="2:15" x14ac:dyDescent="0.25">
      <c r="B341" s="42" t="str">
        <f t="shared" si="12"/>
        <v>AWO_16_PA/APPLIED-WATER</v>
      </c>
      <c r="C341" t="s">
        <v>2908</v>
      </c>
      <c r="D341" t="s">
        <v>2531</v>
      </c>
      <c r="E341" t="s">
        <v>3013</v>
      </c>
      <c r="F341">
        <v>53</v>
      </c>
      <c r="G341" t="s">
        <v>3014</v>
      </c>
      <c r="H341" t="s">
        <v>0</v>
      </c>
      <c r="I341" t="s">
        <v>358</v>
      </c>
      <c r="J341" t="s">
        <v>18</v>
      </c>
      <c r="L341" t="s">
        <v>3</v>
      </c>
      <c r="M341" t="s">
        <v>4</v>
      </c>
      <c r="N341" s="3" t="str">
        <f t="shared" si="11"/>
        <v>F</v>
      </c>
      <c r="O341" s="3" t="str">
        <f>IF(_xlfn.IFNA(MATCH(B341,Table1[UID],0),"F")="F","F","T")</f>
        <v>T</v>
      </c>
    </row>
    <row r="342" spans="2:15" x14ac:dyDescent="0.25">
      <c r="B342" s="42" t="str">
        <f t="shared" si="12"/>
        <v>AWO_16_SA/APPLIED-WATER</v>
      </c>
      <c r="C342" t="s">
        <v>2908</v>
      </c>
      <c r="D342" t="s">
        <v>2531</v>
      </c>
      <c r="E342" t="s">
        <v>3015</v>
      </c>
      <c r="F342">
        <v>54</v>
      </c>
      <c r="G342" t="s">
        <v>3016</v>
      </c>
      <c r="H342" t="s">
        <v>0</v>
      </c>
      <c r="I342" t="s">
        <v>359</v>
      </c>
      <c r="J342" t="s">
        <v>18</v>
      </c>
      <c r="L342" t="s">
        <v>3</v>
      </c>
      <c r="M342" t="s">
        <v>4</v>
      </c>
      <c r="N342" s="3" t="str">
        <f t="shared" si="11"/>
        <v>F</v>
      </c>
      <c r="O342" s="3" t="str">
        <f>IF(_xlfn.IFNA(MATCH(B342,Table1[UID],0),"F")="F","F","T")</f>
        <v>T</v>
      </c>
    </row>
    <row r="343" spans="2:15" x14ac:dyDescent="0.25">
      <c r="B343" s="42" t="str">
        <f t="shared" si="12"/>
        <v>AWO_17N_NA/APPLIED-WATER</v>
      </c>
      <c r="C343" t="s">
        <v>2908</v>
      </c>
      <c r="D343" t="s">
        <v>2531</v>
      </c>
      <c r="E343" t="s">
        <v>3017</v>
      </c>
      <c r="F343">
        <v>55</v>
      </c>
      <c r="G343" t="s">
        <v>3018</v>
      </c>
      <c r="H343" t="s">
        <v>0</v>
      </c>
      <c r="I343" t="s">
        <v>360</v>
      </c>
      <c r="J343" t="s">
        <v>18</v>
      </c>
      <c r="L343" t="s">
        <v>3</v>
      </c>
      <c r="M343" t="s">
        <v>4</v>
      </c>
      <c r="N343" s="3" t="str">
        <f t="shared" si="11"/>
        <v>F</v>
      </c>
      <c r="O343" s="3" t="str">
        <f>IF(_xlfn.IFNA(MATCH(B343,Table1[UID],0),"F")="F","F","T")</f>
        <v>T</v>
      </c>
    </row>
    <row r="344" spans="2:15" x14ac:dyDescent="0.25">
      <c r="B344" s="42" t="str">
        <f t="shared" si="12"/>
        <v>AWO_17N_NR/APPLIED-WATER</v>
      </c>
      <c r="C344" t="s">
        <v>2908</v>
      </c>
      <c r="D344" t="s">
        <v>2531</v>
      </c>
      <c r="E344" t="s">
        <v>3019</v>
      </c>
      <c r="F344">
        <v>56</v>
      </c>
      <c r="G344" t="s">
        <v>3020</v>
      </c>
      <c r="H344" t="s">
        <v>0</v>
      </c>
      <c r="I344" t="s">
        <v>361</v>
      </c>
      <c r="J344" t="s">
        <v>18</v>
      </c>
      <c r="L344" t="s">
        <v>3</v>
      </c>
      <c r="M344" t="s">
        <v>4</v>
      </c>
      <c r="N344" s="3" t="str">
        <f t="shared" si="11"/>
        <v>F</v>
      </c>
      <c r="O344" s="3" t="str">
        <f>IF(_xlfn.IFNA(MATCH(B344,Table1[UID],0),"F")="F","F","T")</f>
        <v>T</v>
      </c>
    </row>
    <row r="345" spans="2:15" x14ac:dyDescent="0.25">
      <c r="B345" s="42" t="str">
        <f t="shared" si="12"/>
        <v>AWO_17N_PR/APPLIED-WATER</v>
      </c>
      <c r="C345" t="s">
        <v>2908</v>
      </c>
      <c r="D345" t="s">
        <v>2531</v>
      </c>
      <c r="E345" t="s">
        <v>3021</v>
      </c>
      <c r="F345">
        <v>57</v>
      </c>
      <c r="G345" t="s">
        <v>3022</v>
      </c>
      <c r="H345" t="s">
        <v>0</v>
      </c>
      <c r="I345" t="s">
        <v>362</v>
      </c>
      <c r="J345" t="s">
        <v>18</v>
      </c>
      <c r="L345" t="s">
        <v>3</v>
      </c>
      <c r="M345" t="s">
        <v>4</v>
      </c>
      <c r="N345" s="3" t="str">
        <f t="shared" si="11"/>
        <v>F</v>
      </c>
      <c r="O345" s="3" t="str">
        <f>IF(_xlfn.IFNA(MATCH(B345,Table1[UID],0),"F")="F","F","T")</f>
        <v>T</v>
      </c>
    </row>
    <row r="346" spans="2:15" x14ac:dyDescent="0.25">
      <c r="B346" s="42" t="str">
        <f t="shared" si="12"/>
        <v>AWO_17S_NA/APPLIED-WATER</v>
      </c>
      <c r="C346" t="s">
        <v>2908</v>
      </c>
      <c r="D346" t="s">
        <v>2531</v>
      </c>
      <c r="E346" t="s">
        <v>3023</v>
      </c>
      <c r="F346">
        <v>58</v>
      </c>
      <c r="G346" t="s">
        <v>3024</v>
      </c>
      <c r="H346" t="s">
        <v>0</v>
      </c>
      <c r="I346" t="s">
        <v>363</v>
      </c>
      <c r="J346" t="s">
        <v>18</v>
      </c>
      <c r="L346" t="s">
        <v>3</v>
      </c>
      <c r="M346" t="s">
        <v>4</v>
      </c>
      <c r="N346" s="3" t="str">
        <f t="shared" si="11"/>
        <v>F</v>
      </c>
      <c r="O346" s="3" t="str">
        <f>IF(_xlfn.IFNA(MATCH(B346,Table1[UID],0),"F")="F","F","T")</f>
        <v>T</v>
      </c>
    </row>
    <row r="347" spans="2:15" x14ac:dyDescent="0.25">
      <c r="B347" s="42" t="str">
        <f t="shared" si="12"/>
        <v>AWO_17S_PR/APPLIED-WATER</v>
      </c>
      <c r="C347" t="s">
        <v>2908</v>
      </c>
      <c r="D347" t="s">
        <v>2531</v>
      </c>
      <c r="E347" t="s">
        <v>3025</v>
      </c>
      <c r="F347">
        <v>59</v>
      </c>
      <c r="G347" t="s">
        <v>3026</v>
      </c>
      <c r="H347" t="s">
        <v>0</v>
      </c>
      <c r="I347" t="s">
        <v>364</v>
      </c>
      <c r="J347" t="s">
        <v>18</v>
      </c>
      <c r="L347" t="s">
        <v>3</v>
      </c>
      <c r="M347" t="s">
        <v>4</v>
      </c>
      <c r="N347" s="3" t="str">
        <f t="shared" si="11"/>
        <v>F</v>
      </c>
      <c r="O347" s="3" t="str">
        <f>IF(_xlfn.IFNA(MATCH(B347,Table1[UID],0),"F")="F","F","T")</f>
        <v>T</v>
      </c>
    </row>
    <row r="348" spans="2:15" x14ac:dyDescent="0.25">
      <c r="B348" s="42" t="str">
        <f t="shared" si="12"/>
        <v>AWO_17S_SA/APPLIED-WATER</v>
      </c>
      <c r="C348" t="s">
        <v>2908</v>
      </c>
      <c r="D348" t="s">
        <v>2531</v>
      </c>
      <c r="E348" t="s">
        <v>3027</v>
      </c>
      <c r="F348">
        <v>60</v>
      </c>
      <c r="G348" t="s">
        <v>3028</v>
      </c>
      <c r="H348" t="s">
        <v>0</v>
      </c>
      <c r="I348" t="s">
        <v>365</v>
      </c>
      <c r="J348" t="s">
        <v>18</v>
      </c>
      <c r="L348" t="s">
        <v>3</v>
      </c>
      <c r="M348" t="s">
        <v>4</v>
      </c>
      <c r="N348" s="3" t="str">
        <f t="shared" si="11"/>
        <v>F</v>
      </c>
      <c r="O348" s="3" t="str">
        <f>IF(_xlfn.IFNA(MATCH(B348,Table1[UID],0),"F")="F","F","T")</f>
        <v>T</v>
      </c>
    </row>
    <row r="349" spans="2:15" x14ac:dyDescent="0.25">
      <c r="B349" s="42" t="str">
        <f t="shared" si="12"/>
        <v>AWO_18_NA/APPLIED-WATER</v>
      </c>
      <c r="C349" t="s">
        <v>2908</v>
      </c>
      <c r="D349" t="s">
        <v>2531</v>
      </c>
      <c r="E349" t="s">
        <v>3029</v>
      </c>
      <c r="F349">
        <v>61</v>
      </c>
      <c r="G349" t="s">
        <v>3030</v>
      </c>
      <c r="H349" t="s">
        <v>0</v>
      </c>
      <c r="I349" t="s">
        <v>366</v>
      </c>
      <c r="J349" t="s">
        <v>18</v>
      </c>
      <c r="L349" t="s">
        <v>3</v>
      </c>
      <c r="M349" t="s">
        <v>4</v>
      </c>
      <c r="N349" s="3" t="str">
        <f t="shared" si="11"/>
        <v>F</v>
      </c>
      <c r="O349" s="3" t="str">
        <f>IF(_xlfn.IFNA(MATCH(B349,Table1[UID],0),"F")="F","F","T")</f>
        <v>T</v>
      </c>
    </row>
    <row r="350" spans="2:15" x14ac:dyDescent="0.25">
      <c r="B350" s="42" t="str">
        <f t="shared" si="12"/>
        <v>AWO_18_SA/APPLIED-WATER</v>
      </c>
      <c r="C350" t="s">
        <v>2908</v>
      </c>
      <c r="D350" t="s">
        <v>2531</v>
      </c>
      <c r="E350" t="s">
        <v>3031</v>
      </c>
      <c r="F350">
        <v>62</v>
      </c>
      <c r="G350" t="s">
        <v>3032</v>
      </c>
      <c r="H350" t="s">
        <v>0</v>
      </c>
      <c r="I350" t="s">
        <v>367</v>
      </c>
      <c r="J350" t="s">
        <v>18</v>
      </c>
      <c r="L350" t="s">
        <v>3</v>
      </c>
      <c r="M350" t="s">
        <v>4</v>
      </c>
      <c r="N350" s="3" t="str">
        <f t="shared" si="11"/>
        <v>F</v>
      </c>
      <c r="O350" s="3" t="str">
        <f>IF(_xlfn.IFNA(MATCH(B350,Table1[UID],0),"F")="F","F","T")</f>
        <v>T</v>
      </c>
    </row>
    <row r="351" spans="2:15" x14ac:dyDescent="0.25">
      <c r="B351" s="42" t="str">
        <f t="shared" si="12"/>
        <v>AWO_19_SA/APPLIED-WATER</v>
      </c>
      <c r="C351" t="s">
        <v>2908</v>
      </c>
      <c r="D351" t="s">
        <v>2531</v>
      </c>
      <c r="E351" t="s">
        <v>3033</v>
      </c>
      <c r="F351">
        <v>63</v>
      </c>
      <c r="G351" t="s">
        <v>3034</v>
      </c>
      <c r="H351" t="s">
        <v>0</v>
      </c>
      <c r="I351" t="s">
        <v>368</v>
      </c>
      <c r="J351" t="s">
        <v>18</v>
      </c>
      <c r="L351" t="s">
        <v>3</v>
      </c>
      <c r="M351" t="s">
        <v>4</v>
      </c>
      <c r="N351" s="3" t="str">
        <f t="shared" si="11"/>
        <v>F</v>
      </c>
      <c r="O351" s="3" t="str">
        <f>IF(_xlfn.IFNA(MATCH(B351,Table1[UID],0),"F")="F","F","T")</f>
        <v>T</v>
      </c>
    </row>
    <row r="352" spans="2:15" x14ac:dyDescent="0.25">
      <c r="B352" s="42" t="str">
        <f t="shared" si="12"/>
        <v>AWO_20_NA1/APPLIED-WATER</v>
      </c>
      <c r="C352" t="s">
        <v>2908</v>
      </c>
      <c r="D352" t="s">
        <v>2531</v>
      </c>
      <c r="E352" t="s">
        <v>3035</v>
      </c>
      <c r="F352">
        <v>64</v>
      </c>
      <c r="G352" t="s">
        <v>3036</v>
      </c>
      <c r="H352" t="s">
        <v>0</v>
      </c>
      <c r="I352" t="s">
        <v>369</v>
      </c>
      <c r="J352" t="s">
        <v>18</v>
      </c>
      <c r="L352" t="s">
        <v>3</v>
      </c>
      <c r="M352" t="s">
        <v>4</v>
      </c>
      <c r="N352" s="3" t="str">
        <f t="shared" si="11"/>
        <v>F</v>
      </c>
      <c r="O352" s="3" t="str">
        <f>IF(_xlfn.IFNA(MATCH(B352,Table1[UID],0),"F")="F","F","T")</f>
        <v>T</v>
      </c>
    </row>
    <row r="353" spans="2:15" x14ac:dyDescent="0.25">
      <c r="B353" s="42" t="str">
        <f t="shared" si="12"/>
        <v>AWO_20_NA2/APPLIED-WATER</v>
      </c>
      <c r="C353" t="s">
        <v>2908</v>
      </c>
      <c r="D353" t="s">
        <v>2531</v>
      </c>
      <c r="E353" t="s">
        <v>3037</v>
      </c>
      <c r="F353">
        <v>65</v>
      </c>
      <c r="G353" t="s">
        <v>3038</v>
      </c>
      <c r="H353" t="s">
        <v>0</v>
      </c>
      <c r="I353" t="s">
        <v>370</v>
      </c>
      <c r="J353" t="s">
        <v>18</v>
      </c>
      <c r="L353" t="s">
        <v>3</v>
      </c>
      <c r="M353" t="s">
        <v>4</v>
      </c>
      <c r="N353" s="3" t="str">
        <f t="shared" si="11"/>
        <v>F</v>
      </c>
      <c r="O353" s="3" t="str">
        <f>IF(_xlfn.IFNA(MATCH(B353,Table1[UID],0),"F")="F","F","T")</f>
        <v>T</v>
      </c>
    </row>
    <row r="354" spans="2:15" x14ac:dyDescent="0.25">
      <c r="B354" s="42" t="str">
        <f t="shared" si="12"/>
        <v>AWO_20_PA/APPLIED-WATER</v>
      </c>
      <c r="C354" t="s">
        <v>2908</v>
      </c>
      <c r="D354" t="s">
        <v>2531</v>
      </c>
      <c r="E354" t="s">
        <v>3039</v>
      </c>
      <c r="F354">
        <v>66</v>
      </c>
      <c r="G354" t="s">
        <v>3040</v>
      </c>
      <c r="H354" t="s">
        <v>0</v>
      </c>
      <c r="I354" t="s">
        <v>371</v>
      </c>
      <c r="J354" t="s">
        <v>18</v>
      </c>
      <c r="L354" t="s">
        <v>3</v>
      </c>
      <c r="M354" t="s">
        <v>4</v>
      </c>
      <c r="N354" s="3" t="str">
        <f t="shared" si="11"/>
        <v>F</v>
      </c>
      <c r="O354" s="3" t="str">
        <f>IF(_xlfn.IFNA(MATCH(B354,Table1[UID],0),"F")="F","F","T")</f>
        <v>T</v>
      </c>
    </row>
    <row r="355" spans="2:15" x14ac:dyDescent="0.25">
      <c r="B355" s="42" t="str">
        <f t="shared" si="12"/>
        <v>AWO_21_NA/APPLIED-WATER</v>
      </c>
      <c r="C355" t="s">
        <v>2908</v>
      </c>
      <c r="D355" t="s">
        <v>2531</v>
      </c>
      <c r="E355" t="s">
        <v>3041</v>
      </c>
      <c r="F355">
        <v>67</v>
      </c>
      <c r="G355" t="s">
        <v>3042</v>
      </c>
      <c r="H355" t="s">
        <v>0</v>
      </c>
      <c r="I355" t="s">
        <v>372</v>
      </c>
      <c r="J355" t="s">
        <v>18</v>
      </c>
      <c r="L355" t="s">
        <v>3</v>
      </c>
      <c r="M355" t="s">
        <v>4</v>
      </c>
      <c r="N355" s="3" t="str">
        <f t="shared" si="11"/>
        <v>F</v>
      </c>
      <c r="O355" s="3" t="str">
        <f>IF(_xlfn.IFNA(MATCH(B355,Table1[UID],0),"F")="F","F","T")</f>
        <v>T</v>
      </c>
    </row>
    <row r="356" spans="2:15" x14ac:dyDescent="0.25">
      <c r="B356" s="42" t="str">
        <f t="shared" si="12"/>
        <v>AWO_21_PA/APPLIED-WATER</v>
      </c>
      <c r="C356" t="s">
        <v>2908</v>
      </c>
      <c r="D356" t="s">
        <v>2531</v>
      </c>
      <c r="E356" t="s">
        <v>3043</v>
      </c>
      <c r="F356">
        <v>68</v>
      </c>
      <c r="G356" t="s">
        <v>3044</v>
      </c>
      <c r="H356" t="s">
        <v>0</v>
      </c>
      <c r="I356" t="s">
        <v>373</v>
      </c>
      <c r="J356" t="s">
        <v>18</v>
      </c>
      <c r="L356" t="s">
        <v>3</v>
      </c>
      <c r="M356" t="s">
        <v>4</v>
      </c>
      <c r="N356" s="3" t="str">
        <f t="shared" si="11"/>
        <v>F</v>
      </c>
      <c r="O356" s="3" t="str">
        <f>IF(_xlfn.IFNA(MATCH(B356,Table1[UID],0),"F")="F","F","T")</f>
        <v>T</v>
      </c>
    </row>
    <row r="357" spans="2:15" x14ac:dyDescent="0.25">
      <c r="B357" s="42" t="str">
        <f t="shared" si="12"/>
        <v>AWO_21_SA/APPLIED-WATER</v>
      </c>
      <c r="C357" t="s">
        <v>2908</v>
      </c>
      <c r="D357" t="s">
        <v>2531</v>
      </c>
      <c r="E357" t="s">
        <v>3045</v>
      </c>
      <c r="F357">
        <v>69</v>
      </c>
      <c r="G357" t="s">
        <v>3046</v>
      </c>
      <c r="H357" t="s">
        <v>0</v>
      </c>
      <c r="I357" t="s">
        <v>374</v>
      </c>
      <c r="J357" t="s">
        <v>18</v>
      </c>
      <c r="L357" t="s">
        <v>3</v>
      </c>
      <c r="M357" t="s">
        <v>4</v>
      </c>
      <c r="N357" s="3" t="str">
        <f t="shared" si="11"/>
        <v>F</v>
      </c>
      <c r="O357" s="3" t="str">
        <f>IF(_xlfn.IFNA(MATCH(B357,Table1[UID],0),"F")="F","F","T")</f>
        <v>T</v>
      </c>
    </row>
    <row r="358" spans="2:15" x14ac:dyDescent="0.25">
      <c r="B358" s="42" t="str">
        <f t="shared" si="12"/>
        <v>AWO_22_NA/APPLIED-WATER</v>
      </c>
      <c r="C358" t="s">
        <v>2908</v>
      </c>
      <c r="D358" t="s">
        <v>2531</v>
      </c>
      <c r="E358" t="s">
        <v>3047</v>
      </c>
      <c r="F358">
        <v>70</v>
      </c>
      <c r="G358" t="s">
        <v>3048</v>
      </c>
      <c r="H358" t="s">
        <v>0</v>
      </c>
      <c r="I358" t="s">
        <v>375</v>
      </c>
      <c r="J358" t="s">
        <v>18</v>
      </c>
      <c r="L358" t="s">
        <v>3</v>
      </c>
      <c r="M358" t="s">
        <v>4</v>
      </c>
      <c r="N358" s="3" t="str">
        <f t="shared" si="11"/>
        <v>F</v>
      </c>
      <c r="O358" s="3" t="str">
        <f>IF(_xlfn.IFNA(MATCH(B358,Table1[UID],0),"F")="F","F","T")</f>
        <v>T</v>
      </c>
    </row>
    <row r="359" spans="2:15" x14ac:dyDescent="0.25">
      <c r="B359" s="42" t="str">
        <f t="shared" si="12"/>
        <v>AWO_22_SA1/APPLIED-WATER</v>
      </c>
      <c r="C359" t="s">
        <v>2908</v>
      </c>
      <c r="D359" t="s">
        <v>2531</v>
      </c>
      <c r="E359" t="s">
        <v>3049</v>
      </c>
      <c r="F359">
        <v>71</v>
      </c>
      <c r="G359" t="s">
        <v>3050</v>
      </c>
      <c r="H359" t="s">
        <v>0</v>
      </c>
      <c r="I359" t="s">
        <v>376</v>
      </c>
      <c r="J359" t="s">
        <v>18</v>
      </c>
      <c r="L359" t="s">
        <v>3</v>
      </c>
      <c r="M359" t="s">
        <v>4</v>
      </c>
      <c r="N359" s="3" t="str">
        <f t="shared" si="11"/>
        <v>F</v>
      </c>
      <c r="O359" s="3" t="str">
        <f>IF(_xlfn.IFNA(MATCH(B359,Table1[UID],0),"F")="F","F","T")</f>
        <v>T</v>
      </c>
    </row>
    <row r="360" spans="2:15" x14ac:dyDescent="0.25">
      <c r="B360" s="42" t="str">
        <f t="shared" si="12"/>
        <v>AWO_22_SA2/APPLIED-WATER</v>
      </c>
      <c r="C360" t="s">
        <v>2908</v>
      </c>
      <c r="D360" t="s">
        <v>2531</v>
      </c>
      <c r="E360" t="s">
        <v>3051</v>
      </c>
      <c r="F360">
        <v>72</v>
      </c>
      <c r="G360" t="s">
        <v>3052</v>
      </c>
      <c r="H360" t="s">
        <v>0</v>
      </c>
      <c r="I360" t="s">
        <v>377</v>
      </c>
      <c r="J360" t="s">
        <v>18</v>
      </c>
      <c r="L360" t="s">
        <v>3</v>
      </c>
      <c r="M360" t="s">
        <v>4</v>
      </c>
      <c r="N360" s="3" t="str">
        <f t="shared" si="11"/>
        <v>F</v>
      </c>
      <c r="O360" s="3" t="str">
        <f>IF(_xlfn.IFNA(MATCH(B360,Table1[UID],0),"F")="F","F","T")</f>
        <v>T</v>
      </c>
    </row>
    <row r="361" spans="2:15" x14ac:dyDescent="0.25">
      <c r="B361" s="42" t="str">
        <f t="shared" si="12"/>
        <v>AWO_23_NA/APPLIED-WATER</v>
      </c>
      <c r="C361" t="s">
        <v>2908</v>
      </c>
      <c r="D361" t="s">
        <v>2531</v>
      </c>
      <c r="E361" t="s">
        <v>3053</v>
      </c>
      <c r="F361">
        <v>73</v>
      </c>
      <c r="G361" t="s">
        <v>3054</v>
      </c>
      <c r="H361" t="s">
        <v>0</v>
      </c>
      <c r="I361" t="s">
        <v>378</v>
      </c>
      <c r="J361" t="s">
        <v>18</v>
      </c>
      <c r="L361" t="s">
        <v>3</v>
      </c>
      <c r="M361" t="s">
        <v>4</v>
      </c>
      <c r="N361" s="3" t="str">
        <f t="shared" si="11"/>
        <v>F</v>
      </c>
      <c r="O361" s="3" t="str">
        <f>IF(_xlfn.IFNA(MATCH(B361,Table1[UID],0),"F")="F","F","T")</f>
        <v>T</v>
      </c>
    </row>
    <row r="362" spans="2:15" x14ac:dyDescent="0.25">
      <c r="B362" s="42" t="str">
        <f t="shared" si="12"/>
        <v>AWO_24_NA1/APPLIED-WATER</v>
      </c>
      <c r="C362" t="s">
        <v>2908</v>
      </c>
      <c r="D362" t="s">
        <v>2531</v>
      </c>
      <c r="E362" t="s">
        <v>3055</v>
      </c>
      <c r="F362">
        <v>74</v>
      </c>
      <c r="G362" t="s">
        <v>3056</v>
      </c>
      <c r="H362" t="s">
        <v>0</v>
      </c>
      <c r="I362" t="s">
        <v>379</v>
      </c>
      <c r="J362" t="s">
        <v>18</v>
      </c>
      <c r="L362" t="s">
        <v>3</v>
      </c>
      <c r="M362" t="s">
        <v>4</v>
      </c>
      <c r="N362" s="3" t="str">
        <f t="shared" si="11"/>
        <v>F</v>
      </c>
      <c r="O362" s="3" t="str">
        <f>IF(_xlfn.IFNA(MATCH(B362,Table1[UID],0),"F")="F","F","T")</f>
        <v>T</v>
      </c>
    </row>
    <row r="363" spans="2:15" x14ac:dyDescent="0.25">
      <c r="B363" s="42" t="str">
        <f t="shared" si="12"/>
        <v>AWO_24_NA2/APPLIED-WATER</v>
      </c>
      <c r="C363" t="s">
        <v>2908</v>
      </c>
      <c r="D363" t="s">
        <v>2531</v>
      </c>
      <c r="E363" t="s">
        <v>3057</v>
      </c>
      <c r="F363">
        <v>75</v>
      </c>
      <c r="G363" t="s">
        <v>3058</v>
      </c>
      <c r="H363" t="s">
        <v>0</v>
      </c>
      <c r="I363" t="s">
        <v>380</v>
      </c>
      <c r="J363" t="s">
        <v>18</v>
      </c>
      <c r="L363" t="s">
        <v>3</v>
      </c>
      <c r="M363" t="s">
        <v>4</v>
      </c>
      <c r="N363" s="3" t="str">
        <f t="shared" si="11"/>
        <v>F</v>
      </c>
      <c r="O363" s="3" t="str">
        <f>IF(_xlfn.IFNA(MATCH(B363,Table1[UID],0),"F")="F","F","T")</f>
        <v>T</v>
      </c>
    </row>
    <row r="364" spans="2:15" x14ac:dyDescent="0.25">
      <c r="B364" s="42" t="str">
        <f t="shared" si="12"/>
        <v>AWO_24_NA3/APPLIED-WATER</v>
      </c>
      <c r="C364" t="s">
        <v>2908</v>
      </c>
      <c r="D364" t="s">
        <v>2531</v>
      </c>
      <c r="E364" t="s">
        <v>3059</v>
      </c>
      <c r="F364">
        <v>76</v>
      </c>
      <c r="G364" t="s">
        <v>3060</v>
      </c>
      <c r="H364" t="s">
        <v>0</v>
      </c>
      <c r="I364" t="s">
        <v>381</v>
      </c>
      <c r="J364" t="s">
        <v>18</v>
      </c>
      <c r="L364" t="s">
        <v>3</v>
      </c>
      <c r="M364" t="s">
        <v>4</v>
      </c>
      <c r="N364" s="3" t="str">
        <f t="shared" si="11"/>
        <v>F</v>
      </c>
      <c r="O364" s="3" t="str">
        <f>IF(_xlfn.IFNA(MATCH(B364,Table1[UID],0),"F")="F","F","T")</f>
        <v>T</v>
      </c>
    </row>
    <row r="365" spans="2:15" x14ac:dyDescent="0.25">
      <c r="B365" s="42" t="str">
        <f t="shared" si="12"/>
        <v>AWO_25_NA/APPLIED-WATER</v>
      </c>
      <c r="C365" t="s">
        <v>2908</v>
      </c>
      <c r="D365" t="s">
        <v>2531</v>
      </c>
      <c r="E365" t="s">
        <v>3061</v>
      </c>
      <c r="F365">
        <v>77</v>
      </c>
      <c r="G365" t="s">
        <v>3062</v>
      </c>
      <c r="H365" t="s">
        <v>0</v>
      </c>
      <c r="I365" t="s">
        <v>382</v>
      </c>
      <c r="J365" t="s">
        <v>18</v>
      </c>
      <c r="L365" t="s">
        <v>3</v>
      </c>
      <c r="M365" t="s">
        <v>4</v>
      </c>
      <c r="N365" s="3" t="str">
        <f t="shared" si="11"/>
        <v>F</v>
      </c>
      <c r="O365" s="3" t="str">
        <f>IF(_xlfn.IFNA(MATCH(B365,Table1[UID],0),"F")="F","F","T")</f>
        <v>T</v>
      </c>
    </row>
    <row r="366" spans="2:15" x14ac:dyDescent="0.25">
      <c r="B366" s="42" t="str">
        <f t="shared" si="12"/>
        <v>AWO_25_PA1/APPLIED-WATER</v>
      </c>
      <c r="C366" t="s">
        <v>2908</v>
      </c>
      <c r="D366" t="s">
        <v>2531</v>
      </c>
      <c r="E366" t="s">
        <v>3063</v>
      </c>
      <c r="F366">
        <v>78</v>
      </c>
      <c r="G366" t="s">
        <v>3064</v>
      </c>
      <c r="H366" t="s">
        <v>0</v>
      </c>
      <c r="I366" t="s">
        <v>383</v>
      </c>
      <c r="J366" t="s">
        <v>18</v>
      </c>
      <c r="L366" t="s">
        <v>3</v>
      </c>
      <c r="M366" t="s">
        <v>4</v>
      </c>
      <c r="N366" s="3" t="str">
        <f t="shared" si="11"/>
        <v>F</v>
      </c>
      <c r="O366" s="3" t="str">
        <f>IF(_xlfn.IFNA(MATCH(B366,Table1[UID],0),"F")="F","F","T")</f>
        <v>T</v>
      </c>
    </row>
    <row r="367" spans="2:15" x14ac:dyDescent="0.25">
      <c r="B367" s="42" t="str">
        <f t="shared" si="12"/>
        <v>AWO_25_PA2/APPLIED-WATER</v>
      </c>
      <c r="C367" t="s">
        <v>2908</v>
      </c>
      <c r="D367" t="s">
        <v>2531</v>
      </c>
      <c r="E367" t="s">
        <v>3065</v>
      </c>
      <c r="F367">
        <v>79</v>
      </c>
      <c r="G367" t="s">
        <v>3066</v>
      </c>
      <c r="H367" t="s">
        <v>0</v>
      </c>
      <c r="I367" t="s">
        <v>384</v>
      </c>
      <c r="J367" t="s">
        <v>18</v>
      </c>
      <c r="L367" t="s">
        <v>3</v>
      </c>
      <c r="M367" t="s">
        <v>4</v>
      </c>
      <c r="N367" s="3" t="str">
        <f t="shared" si="11"/>
        <v>F</v>
      </c>
      <c r="O367" s="3" t="str">
        <f>IF(_xlfn.IFNA(MATCH(B367,Table1[UID],0),"F")="F","F","T")</f>
        <v>T</v>
      </c>
    </row>
    <row r="368" spans="2:15" x14ac:dyDescent="0.25">
      <c r="B368" s="42" t="str">
        <f t="shared" si="12"/>
        <v>AWO_26N_NA/APPLIED-WATER</v>
      </c>
      <c r="C368" t="s">
        <v>2908</v>
      </c>
      <c r="D368" t="s">
        <v>2531</v>
      </c>
      <c r="E368" t="s">
        <v>3067</v>
      </c>
      <c r="F368">
        <v>80</v>
      </c>
      <c r="G368" t="s">
        <v>3068</v>
      </c>
      <c r="H368" t="s">
        <v>0</v>
      </c>
      <c r="I368" t="s">
        <v>385</v>
      </c>
      <c r="J368" t="s">
        <v>18</v>
      </c>
      <c r="L368" t="s">
        <v>3</v>
      </c>
      <c r="M368" t="s">
        <v>4</v>
      </c>
      <c r="N368" s="3" t="str">
        <f t="shared" si="11"/>
        <v>F</v>
      </c>
      <c r="O368" s="3" t="str">
        <f>IF(_xlfn.IFNA(MATCH(B368,Table1[UID],0),"F")="F","F","T")</f>
        <v>T</v>
      </c>
    </row>
    <row r="369" spans="2:15" x14ac:dyDescent="0.25">
      <c r="B369" s="42" t="str">
        <f t="shared" si="12"/>
        <v>AWO_26S_NA/APPLIED-WATER</v>
      </c>
      <c r="C369" t="s">
        <v>2908</v>
      </c>
      <c r="D369" t="s">
        <v>2531</v>
      </c>
      <c r="E369" t="s">
        <v>3069</v>
      </c>
      <c r="F369">
        <v>81</v>
      </c>
      <c r="G369" t="s">
        <v>3070</v>
      </c>
      <c r="H369" t="s">
        <v>0</v>
      </c>
      <c r="I369" t="s">
        <v>386</v>
      </c>
      <c r="J369" t="s">
        <v>18</v>
      </c>
      <c r="L369" t="s">
        <v>3</v>
      </c>
      <c r="M369" t="s">
        <v>4</v>
      </c>
      <c r="N369" s="3" t="str">
        <f t="shared" si="11"/>
        <v>F</v>
      </c>
      <c r="O369" s="3" t="str">
        <f>IF(_xlfn.IFNA(MATCH(B369,Table1[UID],0),"F")="F","F","T")</f>
        <v>T</v>
      </c>
    </row>
    <row r="370" spans="2:15" x14ac:dyDescent="0.25">
      <c r="B370" s="42" t="str">
        <f t="shared" si="12"/>
        <v>AWR_02_NA/APPLIED-WATER</v>
      </c>
      <c r="C370" t="s">
        <v>2908</v>
      </c>
      <c r="D370" t="s">
        <v>2531</v>
      </c>
      <c r="E370" t="s">
        <v>3071</v>
      </c>
      <c r="F370">
        <v>82</v>
      </c>
      <c r="G370" t="s">
        <v>3072</v>
      </c>
      <c r="H370" t="s">
        <v>0</v>
      </c>
      <c r="I370" t="s">
        <v>459</v>
      </c>
      <c r="J370" t="s">
        <v>18</v>
      </c>
      <c r="L370" t="s">
        <v>3</v>
      </c>
      <c r="M370" t="s">
        <v>4</v>
      </c>
      <c r="N370" s="3" t="str">
        <f t="shared" si="11"/>
        <v>F</v>
      </c>
      <c r="O370" s="3" t="str">
        <f>IF(_xlfn.IFNA(MATCH(B370,Table1[UID],0),"F")="F","F","T")</f>
        <v>T</v>
      </c>
    </row>
    <row r="371" spans="2:15" x14ac:dyDescent="0.25">
      <c r="B371" s="42" t="str">
        <f t="shared" si="12"/>
        <v>AWR_02_PA/APPLIED-WATER</v>
      </c>
      <c r="C371" t="s">
        <v>2908</v>
      </c>
      <c r="D371" t="s">
        <v>2531</v>
      </c>
      <c r="E371" t="s">
        <v>3073</v>
      </c>
      <c r="F371">
        <v>83</v>
      </c>
      <c r="G371" t="s">
        <v>3074</v>
      </c>
      <c r="H371" t="s">
        <v>0</v>
      </c>
      <c r="I371" t="s">
        <v>460</v>
      </c>
      <c r="J371" t="s">
        <v>18</v>
      </c>
      <c r="L371" t="s">
        <v>3</v>
      </c>
      <c r="M371" t="s">
        <v>4</v>
      </c>
      <c r="N371" s="3" t="str">
        <f t="shared" si="11"/>
        <v>F</v>
      </c>
      <c r="O371" s="3" t="str">
        <f>IF(_xlfn.IFNA(MATCH(B371,Table1[UID],0),"F")="F","F","T")</f>
        <v>T</v>
      </c>
    </row>
    <row r="372" spans="2:15" x14ac:dyDescent="0.25">
      <c r="B372" s="42" t="str">
        <f t="shared" si="12"/>
        <v>AWR_02_SA/APPLIED-WATER</v>
      </c>
      <c r="C372" t="s">
        <v>2908</v>
      </c>
      <c r="D372" t="s">
        <v>2531</v>
      </c>
      <c r="E372" t="s">
        <v>3075</v>
      </c>
      <c r="F372">
        <v>84</v>
      </c>
      <c r="G372" t="s">
        <v>3076</v>
      </c>
      <c r="H372" t="s">
        <v>0</v>
      </c>
      <c r="I372" t="s">
        <v>461</v>
      </c>
      <c r="J372" t="s">
        <v>18</v>
      </c>
      <c r="L372" t="s">
        <v>3</v>
      </c>
      <c r="M372" t="s">
        <v>4</v>
      </c>
      <c r="N372" s="3" t="str">
        <f t="shared" si="11"/>
        <v>F</v>
      </c>
      <c r="O372" s="3" t="str">
        <f>IF(_xlfn.IFNA(MATCH(B372,Table1[UID],0),"F")="F","F","T")</f>
        <v>T</v>
      </c>
    </row>
    <row r="373" spans="2:15" x14ac:dyDescent="0.25">
      <c r="B373" s="42" t="str">
        <f t="shared" si="12"/>
        <v>AWR_03_NA/APPLIED-WATER</v>
      </c>
      <c r="C373" t="s">
        <v>2908</v>
      </c>
      <c r="D373" t="s">
        <v>2531</v>
      </c>
      <c r="E373" t="s">
        <v>3077</v>
      </c>
      <c r="F373">
        <v>85</v>
      </c>
      <c r="G373" t="s">
        <v>3078</v>
      </c>
      <c r="H373" t="s">
        <v>0</v>
      </c>
      <c r="I373" t="s">
        <v>462</v>
      </c>
      <c r="J373" t="s">
        <v>18</v>
      </c>
      <c r="L373" t="s">
        <v>3</v>
      </c>
      <c r="M373" t="s">
        <v>4</v>
      </c>
      <c r="N373" s="3" t="str">
        <f t="shared" si="11"/>
        <v>F</v>
      </c>
      <c r="O373" s="3" t="str">
        <f>IF(_xlfn.IFNA(MATCH(B373,Table1[UID],0),"F")="F","F","T")</f>
        <v>T</v>
      </c>
    </row>
    <row r="374" spans="2:15" x14ac:dyDescent="0.25">
      <c r="B374" s="42" t="str">
        <f t="shared" si="12"/>
        <v>AWR_03_PA/APPLIED-WATER</v>
      </c>
      <c r="C374" t="s">
        <v>2908</v>
      </c>
      <c r="D374" t="s">
        <v>2531</v>
      </c>
      <c r="E374" t="s">
        <v>3079</v>
      </c>
      <c r="F374">
        <v>86</v>
      </c>
      <c r="G374" t="s">
        <v>3080</v>
      </c>
      <c r="H374" t="s">
        <v>0</v>
      </c>
      <c r="I374" t="s">
        <v>463</v>
      </c>
      <c r="J374" t="s">
        <v>18</v>
      </c>
      <c r="L374" t="s">
        <v>3</v>
      </c>
      <c r="M374" t="s">
        <v>4</v>
      </c>
      <c r="N374" s="3" t="str">
        <f t="shared" si="11"/>
        <v>F</v>
      </c>
      <c r="O374" s="3" t="str">
        <f>IF(_xlfn.IFNA(MATCH(B374,Table1[UID],0),"F")="F","F","T")</f>
        <v>T</v>
      </c>
    </row>
    <row r="375" spans="2:15" x14ac:dyDescent="0.25">
      <c r="B375" s="42" t="str">
        <f t="shared" si="12"/>
        <v>AWR_03_SA/APPLIED-WATER</v>
      </c>
      <c r="C375" t="s">
        <v>2908</v>
      </c>
      <c r="D375" t="s">
        <v>2531</v>
      </c>
      <c r="E375" t="s">
        <v>3081</v>
      </c>
      <c r="F375">
        <v>87</v>
      </c>
      <c r="G375" t="s">
        <v>3082</v>
      </c>
      <c r="H375" t="s">
        <v>0</v>
      </c>
      <c r="I375" t="s">
        <v>464</v>
      </c>
      <c r="J375" t="s">
        <v>18</v>
      </c>
      <c r="L375" t="s">
        <v>3</v>
      </c>
      <c r="M375" t="s">
        <v>4</v>
      </c>
      <c r="N375" s="3" t="str">
        <f t="shared" si="11"/>
        <v>F</v>
      </c>
      <c r="O375" s="3" t="str">
        <f>IF(_xlfn.IFNA(MATCH(B375,Table1[UID],0),"F")="F","F","T")</f>
        <v>T</v>
      </c>
    </row>
    <row r="376" spans="2:15" x14ac:dyDescent="0.25">
      <c r="B376" s="42" t="str">
        <f t="shared" si="12"/>
        <v>AWR_04_NA/APPLIED-WATER</v>
      </c>
      <c r="C376" t="s">
        <v>2908</v>
      </c>
      <c r="D376" t="s">
        <v>2531</v>
      </c>
      <c r="E376" t="s">
        <v>3083</v>
      </c>
      <c r="F376">
        <v>88</v>
      </c>
      <c r="G376" t="s">
        <v>3084</v>
      </c>
      <c r="H376" t="s">
        <v>0</v>
      </c>
      <c r="I376" t="s">
        <v>465</v>
      </c>
      <c r="J376" t="s">
        <v>18</v>
      </c>
      <c r="L376" t="s">
        <v>3</v>
      </c>
      <c r="M376" t="s">
        <v>4</v>
      </c>
      <c r="N376" s="3" t="str">
        <f t="shared" si="11"/>
        <v>F</v>
      </c>
      <c r="O376" s="3" t="str">
        <f>IF(_xlfn.IFNA(MATCH(B376,Table1[UID],0),"F")="F","F","T")</f>
        <v>T</v>
      </c>
    </row>
    <row r="377" spans="2:15" x14ac:dyDescent="0.25">
      <c r="B377" s="42" t="str">
        <f t="shared" si="12"/>
        <v>AWR_04_PA1/APPLIED-WATER</v>
      </c>
      <c r="C377" t="s">
        <v>2908</v>
      </c>
      <c r="D377" t="s">
        <v>2531</v>
      </c>
      <c r="E377" t="s">
        <v>3085</v>
      </c>
      <c r="F377">
        <v>89</v>
      </c>
      <c r="G377" t="s">
        <v>3086</v>
      </c>
      <c r="H377" t="s">
        <v>0</v>
      </c>
      <c r="I377" t="s">
        <v>466</v>
      </c>
      <c r="J377" t="s">
        <v>18</v>
      </c>
      <c r="L377" t="s">
        <v>3</v>
      </c>
      <c r="M377" t="s">
        <v>4</v>
      </c>
      <c r="N377" s="3" t="str">
        <f t="shared" si="11"/>
        <v>F</v>
      </c>
      <c r="O377" s="3" t="str">
        <f>IF(_xlfn.IFNA(MATCH(B377,Table1[UID],0),"F")="F","F","T")</f>
        <v>T</v>
      </c>
    </row>
    <row r="378" spans="2:15" x14ac:dyDescent="0.25">
      <c r="B378" s="42" t="str">
        <f t="shared" si="12"/>
        <v>AWR_04_PA2/APPLIED-WATER</v>
      </c>
      <c r="C378" t="s">
        <v>2908</v>
      </c>
      <c r="D378" t="s">
        <v>2531</v>
      </c>
      <c r="E378" t="s">
        <v>3087</v>
      </c>
      <c r="F378">
        <v>90</v>
      </c>
      <c r="G378" t="s">
        <v>3088</v>
      </c>
      <c r="H378" t="s">
        <v>0</v>
      </c>
      <c r="I378" t="s">
        <v>467</v>
      </c>
      <c r="J378" t="s">
        <v>18</v>
      </c>
      <c r="L378" t="s">
        <v>3</v>
      </c>
      <c r="M378" t="s">
        <v>4</v>
      </c>
      <c r="N378" s="3" t="str">
        <f t="shared" si="11"/>
        <v>F</v>
      </c>
      <c r="O378" s="3" t="str">
        <f>IF(_xlfn.IFNA(MATCH(B378,Table1[UID],0),"F")="F","F","T")</f>
        <v>T</v>
      </c>
    </row>
    <row r="379" spans="2:15" x14ac:dyDescent="0.25">
      <c r="B379" s="42" t="str">
        <f t="shared" si="12"/>
        <v>AWR_05_NA/APPLIED-WATER</v>
      </c>
      <c r="C379" t="s">
        <v>2908</v>
      </c>
      <c r="D379" t="s">
        <v>2531</v>
      </c>
      <c r="E379" t="s">
        <v>3089</v>
      </c>
      <c r="F379">
        <v>91</v>
      </c>
      <c r="G379" t="s">
        <v>3090</v>
      </c>
      <c r="H379" t="s">
        <v>0</v>
      </c>
      <c r="I379" t="s">
        <v>468</v>
      </c>
      <c r="J379" t="s">
        <v>18</v>
      </c>
      <c r="L379" t="s">
        <v>3</v>
      </c>
      <c r="M379" t="s">
        <v>4</v>
      </c>
      <c r="N379" s="3" t="str">
        <f t="shared" si="11"/>
        <v>F</v>
      </c>
      <c r="O379" s="3" t="str">
        <f>IF(_xlfn.IFNA(MATCH(B379,Table1[UID],0),"F")="F","F","T")</f>
        <v>T</v>
      </c>
    </row>
    <row r="380" spans="2:15" x14ac:dyDescent="0.25">
      <c r="B380" s="42" t="str">
        <f t="shared" si="12"/>
        <v>AWR_06_NA/APPLIED-WATER</v>
      </c>
      <c r="C380" t="s">
        <v>2908</v>
      </c>
      <c r="D380" t="s">
        <v>2531</v>
      </c>
      <c r="E380" t="s">
        <v>3091</v>
      </c>
      <c r="F380">
        <v>92</v>
      </c>
      <c r="G380" t="s">
        <v>3092</v>
      </c>
      <c r="H380" t="s">
        <v>0</v>
      </c>
      <c r="I380" t="s">
        <v>469</v>
      </c>
      <c r="J380" t="s">
        <v>18</v>
      </c>
      <c r="L380" t="s">
        <v>3</v>
      </c>
      <c r="M380" t="s">
        <v>4</v>
      </c>
      <c r="N380" s="3" t="str">
        <f t="shared" si="11"/>
        <v>F</v>
      </c>
      <c r="O380" s="3" t="str">
        <f>IF(_xlfn.IFNA(MATCH(B380,Table1[UID],0),"F")="F","F","T")</f>
        <v>T</v>
      </c>
    </row>
    <row r="381" spans="2:15" x14ac:dyDescent="0.25">
      <c r="B381" s="42" t="str">
        <f t="shared" si="12"/>
        <v>AWR_06_PA/APPLIED-WATER</v>
      </c>
      <c r="C381" t="s">
        <v>2908</v>
      </c>
      <c r="D381" t="s">
        <v>2531</v>
      </c>
      <c r="E381" t="s">
        <v>3093</v>
      </c>
      <c r="F381">
        <v>93</v>
      </c>
      <c r="G381" t="s">
        <v>3094</v>
      </c>
      <c r="H381" t="s">
        <v>0</v>
      </c>
      <c r="I381" t="s">
        <v>470</v>
      </c>
      <c r="J381" t="s">
        <v>18</v>
      </c>
      <c r="L381" t="s">
        <v>3</v>
      </c>
      <c r="M381" t="s">
        <v>4</v>
      </c>
      <c r="N381" s="3" t="str">
        <f t="shared" si="11"/>
        <v>F</v>
      </c>
      <c r="O381" s="3" t="str">
        <f>IF(_xlfn.IFNA(MATCH(B381,Table1[UID],0),"F")="F","F","T")</f>
        <v>T</v>
      </c>
    </row>
    <row r="382" spans="2:15" x14ac:dyDescent="0.25">
      <c r="B382" s="42" t="str">
        <f t="shared" si="12"/>
        <v>AWR_07N_NA/APPLIED-WATER</v>
      </c>
      <c r="C382" t="s">
        <v>2908</v>
      </c>
      <c r="D382" t="s">
        <v>2531</v>
      </c>
      <c r="E382" t="s">
        <v>3095</v>
      </c>
      <c r="F382">
        <v>94</v>
      </c>
      <c r="G382" t="s">
        <v>3096</v>
      </c>
      <c r="H382" t="s">
        <v>0</v>
      </c>
      <c r="I382" t="s">
        <v>471</v>
      </c>
      <c r="J382" t="s">
        <v>18</v>
      </c>
      <c r="L382" t="s">
        <v>3</v>
      </c>
      <c r="M382" t="s">
        <v>4</v>
      </c>
      <c r="N382" s="3" t="str">
        <f t="shared" si="11"/>
        <v>F</v>
      </c>
      <c r="O382" s="3" t="str">
        <f>IF(_xlfn.IFNA(MATCH(B382,Table1[UID],0),"F")="F","F","T")</f>
        <v>T</v>
      </c>
    </row>
    <row r="383" spans="2:15" x14ac:dyDescent="0.25">
      <c r="B383" s="42" t="str">
        <f t="shared" si="12"/>
        <v>AWR_07N_PA/APPLIED-WATER</v>
      </c>
      <c r="C383" t="s">
        <v>2908</v>
      </c>
      <c r="D383" t="s">
        <v>2531</v>
      </c>
      <c r="E383" t="s">
        <v>3097</v>
      </c>
      <c r="F383">
        <v>95</v>
      </c>
      <c r="G383" t="s">
        <v>3098</v>
      </c>
      <c r="H383" t="s">
        <v>0</v>
      </c>
      <c r="I383" t="s">
        <v>472</v>
      </c>
      <c r="J383" t="s">
        <v>18</v>
      </c>
      <c r="L383" t="s">
        <v>3</v>
      </c>
      <c r="M383" t="s">
        <v>4</v>
      </c>
      <c r="N383" s="3" t="str">
        <f t="shared" si="11"/>
        <v>F</v>
      </c>
      <c r="O383" s="3" t="str">
        <f>IF(_xlfn.IFNA(MATCH(B383,Table1[UID],0),"F")="F","F","T")</f>
        <v>T</v>
      </c>
    </row>
    <row r="384" spans="2:15" x14ac:dyDescent="0.25">
      <c r="B384" s="42" t="str">
        <f t="shared" si="12"/>
        <v>AWR_07S_NA/APPLIED-WATER</v>
      </c>
      <c r="C384" t="s">
        <v>2908</v>
      </c>
      <c r="D384" t="s">
        <v>2531</v>
      </c>
      <c r="E384" t="s">
        <v>3099</v>
      </c>
      <c r="F384">
        <v>96</v>
      </c>
      <c r="G384" t="s">
        <v>3100</v>
      </c>
      <c r="H384" t="s">
        <v>0</v>
      </c>
      <c r="I384" t="s">
        <v>473</v>
      </c>
      <c r="J384" t="s">
        <v>18</v>
      </c>
      <c r="L384" t="s">
        <v>3</v>
      </c>
      <c r="M384" t="s">
        <v>4</v>
      </c>
      <c r="N384" s="3" t="str">
        <f t="shared" si="11"/>
        <v>F</v>
      </c>
      <c r="O384" s="3" t="str">
        <f>IF(_xlfn.IFNA(MATCH(B384,Table1[UID],0),"F")="F","F","T")</f>
        <v>T</v>
      </c>
    </row>
    <row r="385" spans="2:15" x14ac:dyDescent="0.25">
      <c r="B385" s="42" t="str">
        <f t="shared" si="12"/>
        <v>AWR_07S_PA/APPLIED-WATER</v>
      </c>
      <c r="C385" t="s">
        <v>2908</v>
      </c>
      <c r="D385" t="s">
        <v>2531</v>
      </c>
      <c r="E385" t="s">
        <v>3101</v>
      </c>
      <c r="F385">
        <v>97</v>
      </c>
      <c r="G385" t="s">
        <v>3102</v>
      </c>
      <c r="H385" t="s">
        <v>0</v>
      </c>
      <c r="I385" t="s">
        <v>474</v>
      </c>
      <c r="J385" t="s">
        <v>18</v>
      </c>
      <c r="L385" t="s">
        <v>3</v>
      </c>
      <c r="M385" t="s">
        <v>4</v>
      </c>
      <c r="N385" s="3" t="str">
        <f t="shared" si="11"/>
        <v>F</v>
      </c>
      <c r="O385" s="3" t="str">
        <f>IF(_xlfn.IFNA(MATCH(B385,Table1[UID],0),"F")="F","F","T")</f>
        <v>T</v>
      </c>
    </row>
    <row r="386" spans="2:15" x14ac:dyDescent="0.25">
      <c r="B386" s="42" t="str">
        <f t="shared" si="12"/>
        <v>AWR_08N_NA/APPLIED-WATER</v>
      </c>
      <c r="C386" t="s">
        <v>2908</v>
      </c>
      <c r="D386" t="s">
        <v>2531</v>
      </c>
      <c r="E386" t="s">
        <v>3103</v>
      </c>
      <c r="F386">
        <v>98</v>
      </c>
      <c r="G386" t="s">
        <v>3104</v>
      </c>
      <c r="H386" t="s">
        <v>0</v>
      </c>
      <c r="I386" t="s">
        <v>475</v>
      </c>
      <c r="J386" t="s">
        <v>18</v>
      </c>
      <c r="L386" t="s">
        <v>3</v>
      </c>
      <c r="M386" t="s">
        <v>4</v>
      </c>
      <c r="N386" s="3" t="str">
        <f t="shared" si="11"/>
        <v>F</v>
      </c>
      <c r="O386" s="3" t="str">
        <f>IF(_xlfn.IFNA(MATCH(B386,Table1[UID],0),"F")="F","F","T")</f>
        <v>T</v>
      </c>
    </row>
    <row r="387" spans="2:15" x14ac:dyDescent="0.25">
      <c r="B387" s="42" t="str">
        <f t="shared" si="12"/>
        <v>AWR_08N_PA/APPLIED-WATER</v>
      </c>
      <c r="C387" t="s">
        <v>2908</v>
      </c>
      <c r="D387" t="s">
        <v>2531</v>
      </c>
      <c r="E387" t="s">
        <v>3105</v>
      </c>
      <c r="F387">
        <v>99</v>
      </c>
      <c r="G387" t="s">
        <v>3106</v>
      </c>
      <c r="H387" t="s">
        <v>0</v>
      </c>
      <c r="I387" t="s">
        <v>476</v>
      </c>
      <c r="J387" t="s">
        <v>18</v>
      </c>
      <c r="L387" t="s">
        <v>3</v>
      </c>
      <c r="M387" t="s">
        <v>4</v>
      </c>
      <c r="N387" s="3" t="str">
        <f t="shared" ref="N387:N450" si="13">IF(COUNTIF($B$3:$B$1760,"="&amp;B387)&gt;1,"T","F")</f>
        <v>F</v>
      </c>
      <c r="O387" s="3" t="str">
        <f>IF(_xlfn.IFNA(MATCH(B387,Table1[UID],0),"F")="F","F","T")</f>
        <v>T</v>
      </c>
    </row>
    <row r="388" spans="2:15" x14ac:dyDescent="0.25">
      <c r="B388" s="42" t="str">
        <f t="shared" si="12"/>
        <v>AWR_08N_PR1/APPLIED-WATER</v>
      </c>
      <c r="C388" t="s">
        <v>2908</v>
      </c>
      <c r="D388" t="s">
        <v>2531</v>
      </c>
      <c r="E388" t="s">
        <v>3107</v>
      </c>
      <c r="F388">
        <v>100</v>
      </c>
      <c r="G388" t="s">
        <v>3108</v>
      </c>
      <c r="H388" t="s">
        <v>0</v>
      </c>
      <c r="I388" t="s">
        <v>477</v>
      </c>
      <c r="J388" t="s">
        <v>18</v>
      </c>
      <c r="L388" t="s">
        <v>3</v>
      </c>
      <c r="M388" t="s">
        <v>4</v>
      </c>
      <c r="N388" s="3" t="str">
        <f t="shared" si="13"/>
        <v>F</v>
      </c>
      <c r="O388" s="3" t="str">
        <f>IF(_xlfn.IFNA(MATCH(B388,Table1[UID],0),"F")="F","F","T")</f>
        <v>T</v>
      </c>
    </row>
    <row r="389" spans="2:15" x14ac:dyDescent="0.25">
      <c r="B389" s="42" t="str">
        <f t="shared" si="12"/>
        <v>AWR_08N_PR2/APPLIED-WATER</v>
      </c>
      <c r="C389" t="s">
        <v>2908</v>
      </c>
      <c r="D389" t="s">
        <v>2531</v>
      </c>
      <c r="E389" t="s">
        <v>3109</v>
      </c>
      <c r="F389">
        <v>101</v>
      </c>
      <c r="G389" t="s">
        <v>3110</v>
      </c>
      <c r="H389" t="s">
        <v>0</v>
      </c>
      <c r="I389" t="s">
        <v>478</v>
      </c>
      <c r="J389" t="s">
        <v>18</v>
      </c>
      <c r="L389" t="s">
        <v>3</v>
      </c>
      <c r="M389" t="s">
        <v>4</v>
      </c>
      <c r="N389" s="3" t="str">
        <f t="shared" si="13"/>
        <v>F</v>
      </c>
      <c r="O389" s="3" t="str">
        <f>IF(_xlfn.IFNA(MATCH(B389,Table1[UID],0),"F")="F","F","T")</f>
        <v>T</v>
      </c>
    </row>
    <row r="390" spans="2:15" x14ac:dyDescent="0.25">
      <c r="B390" s="42" t="str">
        <f t="shared" si="12"/>
        <v>AWR_08N_SA1/APPLIED-WATER</v>
      </c>
      <c r="C390" t="s">
        <v>2908</v>
      </c>
      <c r="D390" t="s">
        <v>2531</v>
      </c>
      <c r="E390" t="s">
        <v>3111</v>
      </c>
      <c r="F390">
        <v>102</v>
      </c>
      <c r="G390" t="s">
        <v>3112</v>
      </c>
      <c r="H390" t="s">
        <v>0</v>
      </c>
      <c r="I390" t="s">
        <v>479</v>
      </c>
      <c r="J390" t="s">
        <v>18</v>
      </c>
      <c r="L390" t="s">
        <v>3</v>
      </c>
      <c r="M390" t="s">
        <v>4</v>
      </c>
      <c r="N390" s="3" t="str">
        <f t="shared" si="13"/>
        <v>F</v>
      </c>
      <c r="O390" s="3" t="str">
        <f>IF(_xlfn.IFNA(MATCH(B390,Table1[UID],0),"F")="F","F","T")</f>
        <v>T</v>
      </c>
    </row>
    <row r="391" spans="2:15" x14ac:dyDescent="0.25">
      <c r="B391" s="42" t="str">
        <f t="shared" si="12"/>
        <v>AWR_08N_SA2/APPLIED-WATER</v>
      </c>
      <c r="C391" t="s">
        <v>2908</v>
      </c>
      <c r="D391" t="s">
        <v>2531</v>
      </c>
      <c r="E391" t="s">
        <v>3113</v>
      </c>
      <c r="F391">
        <v>103</v>
      </c>
      <c r="G391" t="s">
        <v>3114</v>
      </c>
      <c r="H391" t="s">
        <v>0</v>
      </c>
      <c r="I391" t="s">
        <v>480</v>
      </c>
      <c r="J391" t="s">
        <v>18</v>
      </c>
      <c r="L391" t="s">
        <v>3</v>
      </c>
      <c r="M391" t="s">
        <v>4</v>
      </c>
      <c r="N391" s="3" t="str">
        <f t="shared" si="13"/>
        <v>F</v>
      </c>
      <c r="O391" s="3" t="str">
        <f>IF(_xlfn.IFNA(MATCH(B391,Table1[UID],0),"F")="F","F","T")</f>
        <v>T</v>
      </c>
    </row>
    <row r="392" spans="2:15" x14ac:dyDescent="0.25">
      <c r="B392" s="42" t="str">
        <f t="shared" si="12"/>
        <v>AWR_08S_NA1/APPLIED-WATER</v>
      </c>
      <c r="C392" t="s">
        <v>2908</v>
      </c>
      <c r="D392" t="s">
        <v>2531</v>
      </c>
      <c r="E392" t="s">
        <v>3115</v>
      </c>
      <c r="F392">
        <v>104</v>
      </c>
      <c r="G392" t="s">
        <v>3116</v>
      </c>
      <c r="H392" t="s">
        <v>0</v>
      </c>
      <c r="I392" t="s">
        <v>481</v>
      </c>
      <c r="J392" t="s">
        <v>18</v>
      </c>
      <c r="L392" t="s">
        <v>3</v>
      </c>
      <c r="M392" t="s">
        <v>4</v>
      </c>
      <c r="N392" s="3" t="str">
        <f t="shared" si="13"/>
        <v>F</v>
      </c>
      <c r="O392" s="3" t="str">
        <f>IF(_xlfn.IFNA(MATCH(B392,Table1[UID],0),"F")="F","F","T")</f>
        <v>T</v>
      </c>
    </row>
    <row r="393" spans="2:15" x14ac:dyDescent="0.25">
      <c r="B393" s="42" t="str">
        <f t="shared" si="12"/>
        <v>AWR_08S_NA2/APPLIED-WATER</v>
      </c>
      <c r="C393" t="s">
        <v>2908</v>
      </c>
      <c r="D393" t="s">
        <v>2531</v>
      </c>
      <c r="E393" t="s">
        <v>3117</v>
      </c>
      <c r="F393">
        <v>105</v>
      </c>
      <c r="G393" t="s">
        <v>3118</v>
      </c>
      <c r="H393" t="s">
        <v>0</v>
      </c>
      <c r="I393" t="s">
        <v>482</v>
      </c>
      <c r="J393" t="s">
        <v>18</v>
      </c>
      <c r="L393" t="s">
        <v>3</v>
      </c>
      <c r="M393" t="s">
        <v>4</v>
      </c>
      <c r="N393" s="3" t="str">
        <f t="shared" si="13"/>
        <v>F</v>
      </c>
      <c r="O393" s="3" t="str">
        <f>IF(_xlfn.IFNA(MATCH(B393,Table1[UID],0),"F")="F","F","T")</f>
        <v>T</v>
      </c>
    </row>
    <row r="394" spans="2:15" x14ac:dyDescent="0.25">
      <c r="B394" s="42" t="str">
        <f t="shared" ref="B394:B457" si="14">_xlfn.CONCAT(I394,"/",J394)</f>
        <v>AWR_08S_PA/APPLIED-WATER</v>
      </c>
      <c r="C394" t="s">
        <v>2908</v>
      </c>
      <c r="D394" t="s">
        <v>2531</v>
      </c>
      <c r="E394" t="s">
        <v>3119</v>
      </c>
      <c r="F394">
        <v>106</v>
      </c>
      <c r="G394" t="s">
        <v>3120</v>
      </c>
      <c r="H394" t="s">
        <v>0</v>
      </c>
      <c r="I394" t="s">
        <v>483</v>
      </c>
      <c r="J394" t="s">
        <v>18</v>
      </c>
      <c r="L394" t="s">
        <v>3</v>
      </c>
      <c r="M394" t="s">
        <v>4</v>
      </c>
      <c r="N394" s="3" t="str">
        <f t="shared" si="13"/>
        <v>F</v>
      </c>
      <c r="O394" s="3" t="str">
        <f>IF(_xlfn.IFNA(MATCH(B394,Table1[UID],0),"F")="F","F","T")</f>
        <v>T</v>
      </c>
    </row>
    <row r="395" spans="2:15" x14ac:dyDescent="0.25">
      <c r="B395" s="42" t="str">
        <f t="shared" si="14"/>
        <v>AWR_08S_PR/APPLIED-WATER</v>
      </c>
      <c r="C395" t="s">
        <v>2908</v>
      </c>
      <c r="D395" t="s">
        <v>2531</v>
      </c>
      <c r="E395" t="s">
        <v>3121</v>
      </c>
      <c r="F395">
        <v>107</v>
      </c>
      <c r="G395" t="s">
        <v>3122</v>
      </c>
      <c r="H395" t="s">
        <v>0</v>
      </c>
      <c r="I395" t="s">
        <v>484</v>
      </c>
      <c r="J395" t="s">
        <v>18</v>
      </c>
      <c r="L395" t="s">
        <v>3</v>
      </c>
      <c r="M395" t="s">
        <v>4</v>
      </c>
      <c r="N395" s="3" t="str">
        <f t="shared" si="13"/>
        <v>F</v>
      </c>
      <c r="O395" s="3" t="str">
        <f>IF(_xlfn.IFNA(MATCH(B395,Table1[UID],0),"F")="F","F","T")</f>
        <v>T</v>
      </c>
    </row>
    <row r="396" spans="2:15" x14ac:dyDescent="0.25">
      <c r="B396" s="42" t="str">
        <f t="shared" si="14"/>
        <v>AWR_08S_SA1/APPLIED-WATER</v>
      </c>
      <c r="C396" t="s">
        <v>2908</v>
      </c>
      <c r="D396" t="s">
        <v>2531</v>
      </c>
      <c r="E396" t="s">
        <v>3123</v>
      </c>
      <c r="F396">
        <v>108</v>
      </c>
      <c r="G396" t="s">
        <v>3124</v>
      </c>
      <c r="H396" t="s">
        <v>0</v>
      </c>
      <c r="I396" t="s">
        <v>485</v>
      </c>
      <c r="J396" t="s">
        <v>18</v>
      </c>
      <c r="L396" t="s">
        <v>3</v>
      </c>
      <c r="M396" t="s">
        <v>4</v>
      </c>
      <c r="N396" s="3" t="str">
        <f t="shared" si="13"/>
        <v>F</v>
      </c>
      <c r="O396" s="3" t="str">
        <f>IF(_xlfn.IFNA(MATCH(B396,Table1[UID],0),"F")="F","F","T")</f>
        <v>T</v>
      </c>
    </row>
    <row r="397" spans="2:15" x14ac:dyDescent="0.25">
      <c r="B397" s="42" t="str">
        <f t="shared" si="14"/>
        <v>AWR_08S_SA2/APPLIED-WATER</v>
      </c>
      <c r="C397" t="s">
        <v>2908</v>
      </c>
      <c r="D397" t="s">
        <v>2531</v>
      </c>
      <c r="E397" t="s">
        <v>3125</v>
      </c>
      <c r="F397">
        <v>109</v>
      </c>
      <c r="G397" t="s">
        <v>3126</v>
      </c>
      <c r="H397" t="s">
        <v>0</v>
      </c>
      <c r="I397" t="s">
        <v>486</v>
      </c>
      <c r="J397" t="s">
        <v>18</v>
      </c>
      <c r="L397" t="s">
        <v>3</v>
      </c>
      <c r="M397" t="s">
        <v>4</v>
      </c>
      <c r="N397" s="3" t="str">
        <f t="shared" si="13"/>
        <v>F</v>
      </c>
      <c r="O397" s="3" t="str">
        <f>IF(_xlfn.IFNA(MATCH(B397,Table1[UID],0),"F")="F","F","T")</f>
        <v>T</v>
      </c>
    </row>
    <row r="398" spans="2:15" x14ac:dyDescent="0.25">
      <c r="B398" s="42" t="str">
        <f t="shared" si="14"/>
        <v>AWR_08S_SA3/APPLIED-WATER</v>
      </c>
      <c r="C398" t="s">
        <v>2908</v>
      </c>
      <c r="D398" t="s">
        <v>2531</v>
      </c>
      <c r="E398" t="s">
        <v>3127</v>
      </c>
      <c r="F398">
        <v>110</v>
      </c>
      <c r="G398" t="s">
        <v>3128</v>
      </c>
      <c r="H398" t="s">
        <v>0</v>
      </c>
      <c r="I398" t="s">
        <v>487</v>
      </c>
      <c r="J398" t="s">
        <v>18</v>
      </c>
      <c r="L398" t="s">
        <v>3</v>
      </c>
      <c r="M398" t="s">
        <v>4</v>
      </c>
      <c r="N398" s="3" t="str">
        <f t="shared" si="13"/>
        <v>F</v>
      </c>
      <c r="O398" s="3" t="str">
        <f>IF(_xlfn.IFNA(MATCH(B398,Table1[UID],0),"F")="F","F","T")</f>
        <v>T</v>
      </c>
    </row>
    <row r="399" spans="2:15" x14ac:dyDescent="0.25">
      <c r="B399" s="42" t="str">
        <f t="shared" si="14"/>
        <v>AWR_09_NA/APPLIED-WATER</v>
      </c>
      <c r="C399" t="s">
        <v>2908</v>
      </c>
      <c r="D399" t="s">
        <v>2531</v>
      </c>
      <c r="E399" t="s">
        <v>3129</v>
      </c>
      <c r="F399">
        <v>111</v>
      </c>
      <c r="G399" t="s">
        <v>3130</v>
      </c>
      <c r="H399" t="s">
        <v>0</v>
      </c>
      <c r="I399" t="s">
        <v>488</v>
      </c>
      <c r="J399" t="s">
        <v>18</v>
      </c>
      <c r="L399" t="s">
        <v>3</v>
      </c>
      <c r="M399" t="s">
        <v>4</v>
      </c>
      <c r="N399" s="3" t="str">
        <f t="shared" si="13"/>
        <v>F</v>
      </c>
      <c r="O399" s="3" t="str">
        <f>IF(_xlfn.IFNA(MATCH(B399,Table1[UID],0),"F")="F","F","T")</f>
        <v>T</v>
      </c>
    </row>
    <row r="400" spans="2:15" x14ac:dyDescent="0.25">
      <c r="B400" s="42" t="str">
        <f t="shared" si="14"/>
        <v>AWR_09_PR/APPLIED-WATER</v>
      </c>
      <c r="C400" t="s">
        <v>2908</v>
      </c>
      <c r="D400" t="s">
        <v>2531</v>
      </c>
      <c r="E400" t="s">
        <v>3131</v>
      </c>
      <c r="F400">
        <v>112</v>
      </c>
      <c r="G400" t="s">
        <v>3132</v>
      </c>
      <c r="H400" t="s">
        <v>0</v>
      </c>
      <c r="I400" t="s">
        <v>489</v>
      </c>
      <c r="J400" t="s">
        <v>18</v>
      </c>
      <c r="L400" t="s">
        <v>3</v>
      </c>
      <c r="M400" t="s">
        <v>4</v>
      </c>
      <c r="N400" s="3" t="str">
        <f t="shared" si="13"/>
        <v>F</v>
      </c>
      <c r="O400" s="3" t="str">
        <f>IF(_xlfn.IFNA(MATCH(B400,Table1[UID],0),"F")="F","F","T")</f>
        <v>T</v>
      </c>
    </row>
    <row r="401" spans="2:15" x14ac:dyDescent="0.25">
      <c r="B401" s="42" t="str">
        <f t="shared" si="14"/>
        <v>AWR_09_SA1/APPLIED-WATER</v>
      </c>
      <c r="C401" t="s">
        <v>2908</v>
      </c>
      <c r="D401" t="s">
        <v>2531</v>
      </c>
      <c r="E401" t="s">
        <v>3133</v>
      </c>
      <c r="F401">
        <v>113</v>
      </c>
      <c r="G401" t="s">
        <v>3134</v>
      </c>
      <c r="H401" t="s">
        <v>0</v>
      </c>
      <c r="I401" t="s">
        <v>490</v>
      </c>
      <c r="J401" t="s">
        <v>18</v>
      </c>
      <c r="L401" t="s">
        <v>3</v>
      </c>
      <c r="M401" t="s">
        <v>4</v>
      </c>
      <c r="N401" s="3" t="str">
        <f t="shared" si="13"/>
        <v>F</v>
      </c>
      <c r="O401" s="3" t="str">
        <f>IF(_xlfn.IFNA(MATCH(B401,Table1[UID],0),"F")="F","F","T")</f>
        <v>T</v>
      </c>
    </row>
    <row r="402" spans="2:15" x14ac:dyDescent="0.25">
      <c r="B402" s="42" t="str">
        <f t="shared" si="14"/>
        <v>AWR_09_SA2/APPLIED-WATER</v>
      </c>
      <c r="C402" t="s">
        <v>2908</v>
      </c>
      <c r="D402" t="s">
        <v>2531</v>
      </c>
      <c r="E402" t="s">
        <v>3135</v>
      </c>
      <c r="F402">
        <v>114</v>
      </c>
      <c r="G402" t="s">
        <v>3136</v>
      </c>
      <c r="H402" t="s">
        <v>0</v>
      </c>
      <c r="I402" t="s">
        <v>491</v>
      </c>
      <c r="J402" t="s">
        <v>18</v>
      </c>
      <c r="L402" t="s">
        <v>3</v>
      </c>
      <c r="M402" t="s">
        <v>4</v>
      </c>
      <c r="N402" s="3" t="str">
        <f t="shared" si="13"/>
        <v>F</v>
      </c>
      <c r="O402" s="3" t="str">
        <f>IF(_xlfn.IFNA(MATCH(B402,Table1[UID],0),"F")="F","F","T")</f>
        <v>T</v>
      </c>
    </row>
    <row r="403" spans="2:15" x14ac:dyDescent="0.25">
      <c r="B403" s="42" t="str">
        <f t="shared" si="14"/>
        <v>AWR_10_NA/APPLIED-WATER</v>
      </c>
      <c r="C403" t="s">
        <v>2908</v>
      </c>
      <c r="D403" t="s">
        <v>2531</v>
      </c>
      <c r="E403" t="s">
        <v>3137</v>
      </c>
      <c r="F403">
        <v>115</v>
      </c>
      <c r="G403" t="s">
        <v>3138</v>
      </c>
      <c r="H403" t="s">
        <v>0</v>
      </c>
      <c r="I403" t="s">
        <v>492</v>
      </c>
      <c r="J403" t="s">
        <v>18</v>
      </c>
      <c r="L403" t="s">
        <v>3</v>
      </c>
      <c r="M403" t="s">
        <v>4</v>
      </c>
      <c r="N403" s="3" t="str">
        <f t="shared" si="13"/>
        <v>F</v>
      </c>
      <c r="O403" s="3" t="str">
        <f>IF(_xlfn.IFNA(MATCH(B403,Table1[UID],0),"F")="F","F","T")</f>
        <v>T</v>
      </c>
    </row>
    <row r="404" spans="2:15" x14ac:dyDescent="0.25">
      <c r="B404" s="42" t="str">
        <f t="shared" si="14"/>
        <v>AWR_11_NA/APPLIED-WATER</v>
      </c>
      <c r="C404" t="s">
        <v>2908</v>
      </c>
      <c r="D404" t="s">
        <v>2531</v>
      </c>
      <c r="E404" t="s">
        <v>3139</v>
      </c>
      <c r="F404">
        <v>116</v>
      </c>
      <c r="G404" t="s">
        <v>3140</v>
      </c>
      <c r="H404" t="s">
        <v>0</v>
      </c>
      <c r="I404" t="s">
        <v>493</v>
      </c>
      <c r="J404" t="s">
        <v>18</v>
      </c>
      <c r="L404" t="s">
        <v>3</v>
      </c>
      <c r="M404" t="s">
        <v>4</v>
      </c>
      <c r="N404" s="3" t="str">
        <f t="shared" si="13"/>
        <v>F</v>
      </c>
      <c r="O404" s="3" t="str">
        <f>IF(_xlfn.IFNA(MATCH(B404,Table1[UID],0),"F")="F","F","T")</f>
        <v>T</v>
      </c>
    </row>
    <row r="405" spans="2:15" x14ac:dyDescent="0.25">
      <c r="B405" s="42" t="str">
        <f t="shared" si="14"/>
        <v>AWR_11_PR/APPLIED-WATER</v>
      </c>
      <c r="C405" t="s">
        <v>2908</v>
      </c>
      <c r="D405" t="s">
        <v>2531</v>
      </c>
      <c r="E405" t="s">
        <v>3141</v>
      </c>
      <c r="F405">
        <v>117</v>
      </c>
      <c r="G405" t="s">
        <v>3142</v>
      </c>
      <c r="H405" t="s">
        <v>0</v>
      </c>
      <c r="I405" t="s">
        <v>494</v>
      </c>
      <c r="J405" t="s">
        <v>18</v>
      </c>
      <c r="L405" t="s">
        <v>3</v>
      </c>
      <c r="M405" t="s">
        <v>4</v>
      </c>
      <c r="N405" s="3" t="str">
        <f t="shared" si="13"/>
        <v>F</v>
      </c>
      <c r="O405" s="3" t="str">
        <f>IF(_xlfn.IFNA(MATCH(B405,Table1[UID],0),"F")="F","F","T")</f>
        <v>T</v>
      </c>
    </row>
    <row r="406" spans="2:15" x14ac:dyDescent="0.25">
      <c r="B406" s="42" t="str">
        <f t="shared" si="14"/>
        <v>AWR_11_SA1/APPLIED-WATER</v>
      </c>
      <c r="C406" t="s">
        <v>2908</v>
      </c>
      <c r="D406" t="s">
        <v>2531</v>
      </c>
      <c r="E406" t="s">
        <v>3143</v>
      </c>
      <c r="F406">
        <v>118</v>
      </c>
      <c r="G406" t="s">
        <v>3144</v>
      </c>
      <c r="H406" t="s">
        <v>0</v>
      </c>
      <c r="I406" t="s">
        <v>495</v>
      </c>
      <c r="J406" t="s">
        <v>18</v>
      </c>
      <c r="L406" t="s">
        <v>3</v>
      </c>
      <c r="M406" t="s">
        <v>4</v>
      </c>
      <c r="N406" s="3" t="str">
        <f t="shared" si="13"/>
        <v>F</v>
      </c>
      <c r="O406" s="3" t="str">
        <f>IF(_xlfn.IFNA(MATCH(B406,Table1[UID],0),"F")="F","F","T")</f>
        <v>T</v>
      </c>
    </row>
    <row r="407" spans="2:15" x14ac:dyDescent="0.25">
      <c r="B407" s="42" t="str">
        <f t="shared" si="14"/>
        <v>AWR_11_SA2/APPLIED-WATER</v>
      </c>
      <c r="C407" t="s">
        <v>2908</v>
      </c>
      <c r="D407" t="s">
        <v>2531</v>
      </c>
      <c r="E407" t="s">
        <v>3145</v>
      </c>
      <c r="F407">
        <v>119</v>
      </c>
      <c r="G407" t="s">
        <v>3146</v>
      </c>
      <c r="H407" t="s">
        <v>0</v>
      </c>
      <c r="I407" t="s">
        <v>496</v>
      </c>
      <c r="J407" t="s">
        <v>18</v>
      </c>
      <c r="L407" t="s">
        <v>3</v>
      </c>
      <c r="M407" t="s">
        <v>4</v>
      </c>
      <c r="N407" s="3" t="str">
        <f t="shared" si="13"/>
        <v>F</v>
      </c>
      <c r="O407" s="3" t="str">
        <f>IF(_xlfn.IFNA(MATCH(B407,Table1[UID],0),"F")="F","F","T")</f>
        <v>T</v>
      </c>
    </row>
    <row r="408" spans="2:15" x14ac:dyDescent="0.25">
      <c r="B408" s="42" t="str">
        <f t="shared" si="14"/>
        <v>AWR_11_SA3/APPLIED-WATER</v>
      </c>
      <c r="C408" t="s">
        <v>2908</v>
      </c>
      <c r="D408" t="s">
        <v>2531</v>
      </c>
      <c r="E408" t="s">
        <v>3147</v>
      </c>
      <c r="F408">
        <v>120</v>
      </c>
      <c r="G408" t="s">
        <v>3148</v>
      </c>
      <c r="H408" t="s">
        <v>0</v>
      </c>
      <c r="I408" t="s">
        <v>497</v>
      </c>
      <c r="J408" t="s">
        <v>18</v>
      </c>
      <c r="L408" t="s">
        <v>3</v>
      </c>
      <c r="M408" t="s">
        <v>4</v>
      </c>
      <c r="N408" s="3" t="str">
        <f t="shared" si="13"/>
        <v>F</v>
      </c>
      <c r="O408" s="3" t="str">
        <f>IF(_xlfn.IFNA(MATCH(B408,Table1[UID],0),"F")="F","F","T")</f>
        <v>T</v>
      </c>
    </row>
    <row r="409" spans="2:15" x14ac:dyDescent="0.25">
      <c r="B409" s="42" t="str">
        <f t="shared" si="14"/>
        <v>AWR_11_SA4/APPLIED-WATER</v>
      </c>
      <c r="C409" t="s">
        <v>2908</v>
      </c>
      <c r="D409" t="s">
        <v>2531</v>
      </c>
      <c r="E409" t="s">
        <v>3149</v>
      </c>
      <c r="F409">
        <v>121</v>
      </c>
      <c r="G409" t="s">
        <v>3150</v>
      </c>
      <c r="H409" t="s">
        <v>0</v>
      </c>
      <c r="I409" t="s">
        <v>498</v>
      </c>
      <c r="J409" t="s">
        <v>18</v>
      </c>
      <c r="L409" t="s">
        <v>3</v>
      </c>
      <c r="M409" t="s">
        <v>4</v>
      </c>
      <c r="N409" s="3" t="str">
        <f t="shared" si="13"/>
        <v>F</v>
      </c>
      <c r="O409" s="3" t="str">
        <f>IF(_xlfn.IFNA(MATCH(B409,Table1[UID],0),"F")="F","F","T")</f>
        <v>T</v>
      </c>
    </row>
    <row r="410" spans="2:15" x14ac:dyDescent="0.25">
      <c r="B410" s="42" t="str">
        <f t="shared" si="14"/>
        <v>AWR_12_NA/APPLIED-WATER</v>
      </c>
      <c r="C410" t="s">
        <v>2908</v>
      </c>
      <c r="D410" t="s">
        <v>2531</v>
      </c>
      <c r="E410" t="s">
        <v>3151</v>
      </c>
      <c r="F410">
        <v>122</v>
      </c>
      <c r="G410" t="s">
        <v>3152</v>
      </c>
      <c r="H410" t="s">
        <v>0</v>
      </c>
      <c r="I410" t="s">
        <v>499</v>
      </c>
      <c r="J410" t="s">
        <v>18</v>
      </c>
      <c r="L410" t="s">
        <v>3</v>
      </c>
      <c r="M410" t="s">
        <v>4</v>
      </c>
      <c r="N410" s="3" t="str">
        <f t="shared" si="13"/>
        <v>F</v>
      </c>
      <c r="O410" s="3" t="str">
        <f>IF(_xlfn.IFNA(MATCH(B410,Table1[UID],0),"F")="F","F","T")</f>
        <v>T</v>
      </c>
    </row>
    <row r="411" spans="2:15" x14ac:dyDescent="0.25">
      <c r="B411" s="42" t="str">
        <f t="shared" si="14"/>
        <v>AWR_12_SA/APPLIED-WATER</v>
      </c>
      <c r="C411" t="s">
        <v>2908</v>
      </c>
      <c r="D411" t="s">
        <v>2531</v>
      </c>
      <c r="E411" t="s">
        <v>3153</v>
      </c>
      <c r="F411">
        <v>123</v>
      </c>
      <c r="G411" t="s">
        <v>3154</v>
      </c>
      <c r="H411" t="s">
        <v>0</v>
      </c>
      <c r="I411" t="s">
        <v>500</v>
      </c>
      <c r="J411" t="s">
        <v>18</v>
      </c>
      <c r="L411" t="s">
        <v>3</v>
      </c>
      <c r="M411" t="s">
        <v>4</v>
      </c>
      <c r="N411" s="3" t="str">
        <f t="shared" si="13"/>
        <v>F</v>
      </c>
      <c r="O411" s="3" t="str">
        <f>IF(_xlfn.IFNA(MATCH(B411,Table1[UID],0),"F")="F","F","T")</f>
        <v>T</v>
      </c>
    </row>
    <row r="412" spans="2:15" x14ac:dyDescent="0.25">
      <c r="B412" s="42" t="str">
        <f t="shared" si="14"/>
        <v>AWR_13_NA/APPLIED-WATER</v>
      </c>
      <c r="C412" t="s">
        <v>2908</v>
      </c>
      <c r="D412" t="s">
        <v>2531</v>
      </c>
      <c r="E412" t="s">
        <v>3155</v>
      </c>
      <c r="F412">
        <v>124</v>
      </c>
      <c r="G412" t="s">
        <v>3156</v>
      </c>
      <c r="H412" t="s">
        <v>0</v>
      </c>
      <c r="I412" t="s">
        <v>501</v>
      </c>
      <c r="J412" t="s">
        <v>18</v>
      </c>
      <c r="L412" t="s">
        <v>3</v>
      </c>
      <c r="M412" t="s">
        <v>4</v>
      </c>
      <c r="N412" s="3" t="str">
        <f t="shared" si="13"/>
        <v>F</v>
      </c>
      <c r="O412" s="3" t="str">
        <f>IF(_xlfn.IFNA(MATCH(B412,Table1[UID],0),"F")="F","F","T")</f>
        <v>T</v>
      </c>
    </row>
    <row r="413" spans="2:15" x14ac:dyDescent="0.25">
      <c r="B413" s="42" t="str">
        <f t="shared" si="14"/>
        <v>AWR_14_NA/APPLIED-WATER</v>
      </c>
      <c r="C413" t="s">
        <v>2908</v>
      </c>
      <c r="D413" t="s">
        <v>2531</v>
      </c>
      <c r="E413" t="s">
        <v>3157</v>
      </c>
      <c r="F413">
        <v>125</v>
      </c>
      <c r="G413" t="s">
        <v>3158</v>
      </c>
      <c r="H413" t="s">
        <v>0</v>
      </c>
      <c r="I413" t="s">
        <v>502</v>
      </c>
      <c r="J413" t="s">
        <v>18</v>
      </c>
      <c r="L413" t="s">
        <v>3</v>
      </c>
      <c r="M413" t="s">
        <v>4</v>
      </c>
      <c r="N413" s="3" t="str">
        <f t="shared" si="13"/>
        <v>F</v>
      </c>
      <c r="O413" s="3" t="str">
        <f>IF(_xlfn.IFNA(MATCH(B413,Table1[UID],0),"F")="F","F","T")</f>
        <v>T</v>
      </c>
    </row>
    <row r="414" spans="2:15" x14ac:dyDescent="0.25">
      <c r="B414" s="42" t="str">
        <f t="shared" si="14"/>
        <v>AWR_15N_NA1/APPLIED-WATER</v>
      </c>
      <c r="C414" t="s">
        <v>2908</v>
      </c>
      <c r="D414" t="s">
        <v>2531</v>
      </c>
      <c r="E414" t="s">
        <v>3159</v>
      </c>
      <c r="F414">
        <v>126</v>
      </c>
      <c r="G414" t="s">
        <v>3160</v>
      </c>
      <c r="H414" t="s">
        <v>0</v>
      </c>
      <c r="I414" t="s">
        <v>503</v>
      </c>
      <c r="J414" t="s">
        <v>18</v>
      </c>
      <c r="L414" t="s">
        <v>3</v>
      </c>
      <c r="M414" t="s">
        <v>4</v>
      </c>
      <c r="N414" s="3" t="str">
        <f t="shared" si="13"/>
        <v>F</v>
      </c>
      <c r="O414" s="3" t="str">
        <f>IF(_xlfn.IFNA(MATCH(B414,Table1[UID],0),"F")="F","F","T")</f>
        <v>T</v>
      </c>
    </row>
    <row r="415" spans="2:15" x14ac:dyDescent="0.25">
      <c r="B415" s="42" t="str">
        <f t="shared" si="14"/>
        <v>AWR_15N_NA2/APPLIED-WATER</v>
      </c>
      <c r="C415" t="s">
        <v>2908</v>
      </c>
      <c r="D415" t="s">
        <v>2531</v>
      </c>
      <c r="E415" t="s">
        <v>3161</v>
      </c>
      <c r="F415">
        <v>127</v>
      </c>
      <c r="G415" t="s">
        <v>3162</v>
      </c>
      <c r="H415" t="s">
        <v>0</v>
      </c>
      <c r="I415" t="s">
        <v>504</v>
      </c>
      <c r="J415" t="s">
        <v>18</v>
      </c>
      <c r="L415" t="s">
        <v>3</v>
      </c>
      <c r="M415" t="s">
        <v>4</v>
      </c>
      <c r="N415" s="3" t="str">
        <f t="shared" si="13"/>
        <v>F</v>
      </c>
      <c r="O415" s="3" t="str">
        <f>IF(_xlfn.IFNA(MATCH(B415,Table1[UID],0),"F")="F","F","T")</f>
        <v>T</v>
      </c>
    </row>
    <row r="416" spans="2:15" x14ac:dyDescent="0.25">
      <c r="B416" s="42" t="str">
        <f t="shared" si="14"/>
        <v>AWR_15N_SA/APPLIED-WATER</v>
      </c>
      <c r="C416" t="s">
        <v>2908</v>
      </c>
      <c r="D416" t="s">
        <v>2531</v>
      </c>
      <c r="E416" t="s">
        <v>3163</v>
      </c>
      <c r="F416">
        <v>128</v>
      </c>
      <c r="G416" t="s">
        <v>3164</v>
      </c>
      <c r="H416" t="s">
        <v>0</v>
      </c>
      <c r="I416" t="s">
        <v>505</v>
      </c>
      <c r="J416" t="s">
        <v>18</v>
      </c>
      <c r="L416" t="s">
        <v>3</v>
      </c>
      <c r="M416" t="s">
        <v>4</v>
      </c>
      <c r="N416" s="3" t="str">
        <f t="shared" si="13"/>
        <v>F</v>
      </c>
      <c r="O416" s="3" t="str">
        <f>IF(_xlfn.IFNA(MATCH(B416,Table1[UID],0),"F")="F","F","T")</f>
        <v>T</v>
      </c>
    </row>
    <row r="417" spans="2:15" x14ac:dyDescent="0.25">
      <c r="B417" s="42" t="str">
        <f t="shared" si="14"/>
        <v>AWR_15S_NA1/APPLIED-WATER</v>
      </c>
      <c r="C417" t="s">
        <v>2908</v>
      </c>
      <c r="D417" t="s">
        <v>2531</v>
      </c>
      <c r="E417" t="s">
        <v>3165</v>
      </c>
      <c r="F417">
        <v>129</v>
      </c>
      <c r="G417" t="s">
        <v>3166</v>
      </c>
      <c r="H417" t="s">
        <v>0</v>
      </c>
      <c r="I417" t="s">
        <v>506</v>
      </c>
      <c r="J417" t="s">
        <v>18</v>
      </c>
      <c r="L417" t="s">
        <v>3</v>
      </c>
      <c r="M417" t="s">
        <v>4</v>
      </c>
      <c r="N417" s="3" t="str">
        <f t="shared" si="13"/>
        <v>F</v>
      </c>
      <c r="O417" s="3" t="str">
        <f>IF(_xlfn.IFNA(MATCH(B417,Table1[UID],0),"F")="F","F","T")</f>
        <v>T</v>
      </c>
    </row>
    <row r="418" spans="2:15" x14ac:dyDescent="0.25">
      <c r="B418" s="42" t="str">
        <f t="shared" si="14"/>
        <v>AWR_15S_NA2/APPLIED-WATER</v>
      </c>
      <c r="C418" t="s">
        <v>2908</v>
      </c>
      <c r="D418" t="s">
        <v>2531</v>
      </c>
      <c r="E418" t="s">
        <v>3167</v>
      </c>
      <c r="F418">
        <v>130</v>
      </c>
      <c r="G418" t="s">
        <v>3168</v>
      </c>
      <c r="H418" t="s">
        <v>0</v>
      </c>
      <c r="I418" t="s">
        <v>507</v>
      </c>
      <c r="J418" t="s">
        <v>18</v>
      </c>
      <c r="L418" t="s">
        <v>3</v>
      </c>
      <c r="M418" t="s">
        <v>4</v>
      </c>
      <c r="N418" s="3" t="str">
        <f t="shared" si="13"/>
        <v>F</v>
      </c>
      <c r="O418" s="3" t="str">
        <f>IF(_xlfn.IFNA(MATCH(B418,Table1[UID],0),"F")="F","F","T")</f>
        <v>T</v>
      </c>
    </row>
    <row r="419" spans="2:15" x14ac:dyDescent="0.25">
      <c r="B419" s="42" t="str">
        <f t="shared" si="14"/>
        <v>AWR_15S_SA/APPLIED-WATER</v>
      </c>
      <c r="C419" t="s">
        <v>2908</v>
      </c>
      <c r="D419" t="s">
        <v>2531</v>
      </c>
      <c r="E419" t="s">
        <v>3169</v>
      </c>
      <c r="F419">
        <v>131</v>
      </c>
      <c r="G419" t="s">
        <v>3170</v>
      </c>
      <c r="H419" t="s">
        <v>0</v>
      </c>
      <c r="I419" t="s">
        <v>508</v>
      </c>
      <c r="J419" t="s">
        <v>18</v>
      </c>
      <c r="L419" t="s">
        <v>3</v>
      </c>
      <c r="M419" t="s">
        <v>4</v>
      </c>
      <c r="N419" s="3" t="str">
        <f t="shared" si="13"/>
        <v>F</v>
      </c>
      <c r="O419" s="3" t="str">
        <f>IF(_xlfn.IFNA(MATCH(B419,Table1[UID],0),"F")="F","F","T")</f>
        <v>T</v>
      </c>
    </row>
    <row r="420" spans="2:15" x14ac:dyDescent="0.25">
      <c r="B420" s="42" t="str">
        <f t="shared" si="14"/>
        <v>AWR_16_NA1/APPLIED-WATER</v>
      </c>
      <c r="C420" t="s">
        <v>2908</v>
      </c>
      <c r="D420" t="s">
        <v>2531</v>
      </c>
      <c r="E420" t="s">
        <v>3171</v>
      </c>
      <c r="F420">
        <v>132</v>
      </c>
      <c r="G420" t="s">
        <v>3172</v>
      </c>
      <c r="H420" t="s">
        <v>0</v>
      </c>
      <c r="I420" t="s">
        <v>509</v>
      </c>
      <c r="J420" t="s">
        <v>18</v>
      </c>
      <c r="L420" t="s">
        <v>3</v>
      </c>
      <c r="M420" t="s">
        <v>4</v>
      </c>
      <c r="N420" s="3" t="str">
        <f t="shared" si="13"/>
        <v>F</v>
      </c>
      <c r="O420" s="3" t="str">
        <f>IF(_xlfn.IFNA(MATCH(B420,Table1[UID],0),"F")="F","F","T")</f>
        <v>T</v>
      </c>
    </row>
    <row r="421" spans="2:15" x14ac:dyDescent="0.25">
      <c r="B421" s="42" t="str">
        <f t="shared" si="14"/>
        <v>AWR_16_NA2/APPLIED-WATER</v>
      </c>
      <c r="C421" t="s">
        <v>2908</v>
      </c>
      <c r="D421" t="s">
        <v>2531</v>
      </c>
      <c r="E421" t="s">
        <v>3173</v>
      </c>
      <c r="F421">
        <v>133</v>
      </c>
      <c r="G421" t="s">
        <v>3174</v>
      </c>
      <c r="H421" t="s">
        <v>0</v>
      </c>
      <c r="I421" t="s">
        <v>510</v>
      </c>
      <c r="J421" t="s">
        <v>18</v>
      </c>
      <c r="L421" t="s">
        <v>3</v>
      </c>
      <c r="M421" t="s">
        <v>4</v>
      </c>
      <c r="N421" s="3" t="str">
        <f t="shared" si="13"/>
        <v>F</v>
      </c>
      <c r="O421" s="3" t="str">
        <f>IF(_xlfn.IFNA(MATCH(B421,Table1[UID],0),"F")="F","F","T")</f>
        <v>T</v>
      </c>
    </row>
    <row r="422" spans="2:15" x14ac:dyDescent="0.25">
      <c r="B422" s="42" t="str">
        <f t="shared" si="14"/>
        <v>AWR_16_PA/APPLIED-WATER</v>
      </c>
      <c r="C422" t="s">
        <v>2908</v>
      </c>
      <c r="D422" t="s">
        <v>2531</v>
      </c>
      <c r="E422" t="s">
        <v>3175</v>
      </c>
      <c r="F422">
        <v>134</v>
      </c>
      <c r="G422" t="s">
        <v>3176</v>
      </c>
      <c r="H422" t="s">
        <v>0</v>
      </c>
      <c r="I422" t="s">
        <v>511</v>
      </c>
      <c r="J422" t="s">
        <v>18</v>
      </c>
      <c r="L422" t="s">
        <v>3</v>
      </c>
      <c r="M422" t="s">
        <v>4</v>
      </c>
      <c r="N422" s="3" t="str">
        <f t="shared" si="13"/>
        <v>F</v>
      </c>
      <c r="O422" s="3" t="str">
        <f>IF(_xlfn.IFNA(MATCH(B422,Table1[UID],0),"F")="F","F","T")</f>
        <v>T</v>
      </c>
    </row>
    <row r="423" spans="2:15" x14ac:dyDescent="0.25">
      <c r="B423" s="42" t="str">
        <f t="shared" si="14"/>
        <v>AWR_16_SA/APPLIED-WATER</v>
      </c>
      <c r="C423" t="s">
        <v>2908</v>
      </c>
      <c r="D423" t="s">
        <v>2531</v>
      </c>
      <c r="E423" t="s">
        <v>3177</v>
      </c>
      <c r="F423">
        <v>135</v>
      </c>
      <c r="G423" t="s">
        <v>3178</v>
      </c>
      <c r="H423" t="s">
        <v>0</v>
      </c>
      <c r="I423" t="s">
        <v>512</v>
      </c>
      <c r="J423" t="s">
        <v>18</v>
      </c>
      <c r="L423" t="s">
        <v>3</v>
      </c>
      <c r="M423" t="s">
        <v>4</v>
      </c>
      <c r="N423" s="3" t="str">
        <f t="shared" si="13"/>
        <v>F</v>
      </c>
      <c r="O423" s="3" t="str">
        <f>IF(_xlfn.IFNA(MATCH(B423,Table1[UID],0),"F")="F","F","T")</f>
        <v>T</v>
      </c>
    </row>
    <row r="424" spans="2:15" x14ac:dyDescent="0.25">
      <c r="B424" s="42" t="str">
        <f t="shared" si="14"/>
        <v>AWR_17N_NA/APPLIED-WATER</v>
      </c>
      <c r="C424" t="s">
        <v>2908</v>
      </c>
      <c r="D424" t="s">
        <v>2531</v>
      </c>
      <c r="E424" t="s">
        <v>3179</v>
      </c>
      <c r="F424">
        <v>136</v>
      </c>
      <c r="G424" t="s">
        <v>3180</v>
      </c>
      <c r="H424" t="s">
        <v>0</v>
      </c>
      <c r="I424" t="s">
        <v>513</v>
      </c>
      <c r="J424" t="s">
        <v>18</v>
      </c>
      <c r="L424" t="s">
        <v>3</v>
      </c>
      <c r="M424" t="s">
        <v>4</v>
      </c>
      <c r="N424" s="3" t="str">
        <f t="shared" si="13"/>
        <v>F</v>
      </c>
      <c r="O424" s="3" t="str">
        <f>IF(_xlfn.IFNA(MATCH(B424,Table1[UID],0),"F")="F","F","T")</f>
        <v>T</v>
      </c>
    </row>
    <row r="425" spans="2:15" x14ac:dyDescent="0.25">
      <c r="B425" s="42" t="str">
        <f t="shared" si="14"/>
        <v>AWR_17N_NR/APPLIED-WATER</v>
      </c>
      <c r="C425" t="s">
        <v>2908</v>
      </c>
      <c r="D425" t="s">
        <v>2531</v>
      </c>
      <c r="E425" t="s">
        <v>3181</v>
      </c>
      <c r="F425">
        <v>137</v>
      </c>
      <c r="G425" t="s">
        <v>3182</v>
      </c>
      <c r="H425" t="s">
        <v>0</v>
      </c>
      <c r="I425" t="s">
        <v>514</v>
      </c>
      <c r="J425" t="s">
        <v>18</v>
      </c>
      <c r="L425" t="s">
        <v>3</v>
      </c>
      <c r="M425" t="s">
        <v>4</v>
      </c>
      <c r="N425" s="3" t="str">
        <f t="shared" si="13"/>
        <v>F</v>
      </c>
      <c r="O425" s="3" t="str">
        <f>IF(_xlfn.IFNA(MATCH(B425,Table1[UID],0),"F")="F","F","T")</f>
        <v>T</v>
      </c>
    </row>
    <row r="426" spans="2:15" x14ac:dyDescent="0.25">
      <c r="B426" s="42" t="str">
        <f t="shared" si="14"/>
        <v>AWR_17N_PR/APPLIED-WATER</v>
      </c>
      <c r="C426" t="s">
        <v>2908</v>
      </c>
      <c r="D426" t="s">
        <v>2531</v>
      </c>
      <c r="E426" t="s">
        <v>3183</v>
      </c>
      <c r="F426">
        <v>138</v>
      </c>
      <c r="G426" t="s">
        <v>3184</v>
      </c>
      <c r="H426" t="s">
        <v>0</v>
      </c>
      <c r="I426" t="s">
        <v>515</v>
      </c>
      <c r="J426" t="s">
        <v>18</v>
      </c>
      <c r="L426" t="s">
        <v>3</v>
      </c>
      <c r="M426" t="s">
        <v>4</v>
      </c>
      <c r="N426" s="3" t="str">
        <f t="shared" si="13"/>
        <v>F</v>
      </c>
      <c r="O426" s="3" t="str">
        <f>IF(_xlfn.IFNA(MATCH(B426,Table1[UID],0),"F")="F","F","T")</f>
        <v>T</v>
      </c>
    </row>
    <row r="427" spans="2:15" x14ac:dyDescent="0.25">
      <c r="B427" s="42" t="str">
        <f t="shared" si="14"/>
        <v>AWR_17S_NA/APPLIED-WATER</v>
      </c>
      <c r="C427" t="s">
        <v>2908</v>
      </c>
      <c r="D427" t="s">
        <v>2531</v>
      </c>
      <c r="E427" t="s">
        <v>3185</v>
      </c>
      <c r="F427">
        <v>139</v>
      </c>
      <c r="G427" t="s">
        <v>3186</v>
      </c>
      <c r="H427" t="s">
        <v>0</v>
      </c>
      <c r="I427" t="s">
        <v>516</v>
      </c>
      <c r="J427" t="s">
        <v>18</v>
      </c>
      <c r="L427" t="s">
        <v>3</v>
      </c>
      <c r="M427" t="s">
        <v>4</v>
      </c>
      <c r="N427" s="3" t="str">
        <f t="shared" si="13"/>
        <v>F</v>
      </c>
      <c r="O427" s="3" t="str">
        <f>IF(_xlfn.IFNA(MATCH(B427,Table1[UID],0),"F")="F","F","T")</f>
        <v>T</v>
      </c>
    </row>
    <row r="428" spans="2:15" x14ac:dyDescent="0.25">
      <c r="B428" s="42" t="str">
        <f t="shared" si="14"/>
        <v>AWR_17S_PR/APPLIED-WATER</v>
      </c>
      <c r="C428" t="s">
        <v>2908</v>
      </c>
      <c r="D428" t="s">
        <v>2531</v>
      </c>
      <c r="E428" t="s">
        <v>3187</v>
      </c>
      <c r="F428">
        <v>140</v>
      </c>
      <c r="G428" t="s">
        <v>3188</v>
      </c>
      <c r="H428" t="s">
        <v>0</v>
      </c>
      <c r="I428" t="s">
        <v>517</v>
      </c>
      <c r="J428" t="s">
        <v>18</v>
      </c>
      <c r="L428" t="s">
        <v>3</v>
      </c>
      <c r="M428" t="s">
        <v>4</v>
      </c>
      <c r="N428" s="3" t="str">
        <f t="shared" si="13"/>
        <v>F</v>
      </c>
      <c r="O428" s="3" t="str">
        <f>IF(_xlfn.IFNA(MATCH(B428,Table1[UID],0),"F")="F","F","T")</f>
        <v>T</v>
      </c>
    </row>
    <row r="429" spans="2:15" x14ac:dyDescent="0.25">
      <c r="B429" s="42" t="str">
        <f t="shared" si="14"/>
        <v>AWR_17S_SA/APPLIED-WATER</v>
      </c>
      <c r="C429" t="s">
        <v>2908</v>
      </c>
      <c r="D429" t="s">
        <v>2531</v>
      </c>
      <c r="E429" t="s">
        <v>3189</v>
      </c>
      <c r="F429">
        <v>141</v>
      </c>
      <c r="G429" t="s">
        <v>3190</v>
      </c>
      <c r="H429" t="s">
        <v>0</v>
      </c>
      <c r="I429" t="s">
        <v>518</v>
      </c>
      <c r="J429" t="s">
        <v>18</v>
      </c>
      <c r="L429" t="s">
        <v>3</v>
      </c>
      <c r="M429" t="s">
        <v>4</v>
      </c>
      <c r="N429" s="3" t="str">
        <f t="shared" si="13"/>
        <v>F</v>
      </c>
      <c r="O429" s="3" t="str">
        <f>IF(_xlfn.IFNA(MATCH(B429,Table1[UID],0),"F")="F","F","T")</f>
        <v>T</v>
      </c>
    </row>
    <row r="430" spans="2:15" x14ac:dyDescent="0.25">
      <c r="B430" s="42" t="str">
        <f t="shared" si="14"/>
        <v>AWR_18_NA/APPLIED-WATER</v>
      </c>
      <c r="C430" t="s">
        <v>2908</v>
      </c>
      <c r="D430" t="s">
        <v>2531</v>
      </c>
      <c r="E430" t="s">
        <v>3191</v>
      </c>
      <c r="F430">
        <v>142</v>
      </c>
      <c r="G430" t="s">
        <v>3192</v>
      </c>
      <c r="H430" t="s">
        <v>0</v>
      </c>
      <c r="I430" t="s">
        <v>519</v>
      </c>
      <c r="J430" t="s">
        <v>18</v>
      </c>
      <c r="L430" t="s">
        <v>3</v>
      </c>
      <c r="M430" t="s">
        <v>4</v>
      </c>
      <c r="N430" s="3" t="str">
        <f t="shared" si="13"/>
        <v>F</v>
      </c>
      <c r="O430" s="3" t="str">
        <f>IF(_xlfn.IFNA(MATCH(B430,Table1[UID],0),"F")="F","F","T")</f>
        <v>T</v>
      </c>
    </row>
    <row r="431" spans="2:15" x14ac:dyDescent="0.25">
      <c r="B431" s="42" t="str">
        <f t="shared" si="14"/>
        <v>AWR_18_SA/APPLIED-WATER</v>
      </c>
      <c r="C431" t="s">
        <v>2908</v>
      </c>
      <c r="D431" t="s">
        <v>2531</v>
      </c>
      <c r="E431" t="s">
        <v>3193</v>
      </c>
      <c r="F431">
        <v>143</v>
      </c>
      <c r="G431" t="s">
        <v>3194</v>
      </c>
      <c r="H431" t="s">
        <v>0</v>
      </c>
      <c r="I431" t="s">
        <v>520</v>
      </c>
      <c r="J431" t="s">
        <v>18</v>
      </c>
      <c r="L431" t="s">
        <v>3</v>
      </c>
      <c r="M431" t="s">
        <v>4</v>
      </c>
      <c r="N431" s="3" t="str">
        <f t="shared" si="13"/>
        <v>F</v>
      </c>
      <c r="O431" s="3" t="str">
        <f>IF(_xlfn.IFNA(MATCH(B431,Table1[UID],0),"F")="F","F","T")</f>
        <v>T</v>
      </c>
    </row>
    <row r="432" spans="2:15" x14ac:dyDescent="0.25">
      <c r="B432" s="42" t="str">
        <f t="shared" si="14"/>
        <v>AWR_19_SA/APPLIED-WATER</v>
      </c>
      <c r="C432" t="s">
        <v>2908</v>
      </c>
      <c r="D432" t="s">
        <v>2531</v>
      </c>
      <c r="E432" t="s">
        <v>3195</v>
      </c>
      <c r="F432">
        <v>144</v>
      </c>
      <c r="G432" t="s">
        <v>3196</v>
      </c>
      <c r="H432" t="s">
        <v>0</v>
      </c>
      <c r="I432" t="s">
        <v>521</v>
      </c>
      <c r="J432" t="s">
        <v>18</v>
      </c>
      <c r="L432" t="s">
        <v>3</v>
      </c>
      <c r="M432" t="s">
        <v>4</v>
      </c>
      <c r="N432" s="3" t="str">
        <f t="shared" si="13"/>
        <v>F</v>
      </c>
      <c r="O432" s="3" t="str">
        <f>IF(_xlfn.IFNA(MATCH(B432,Table1[UID],0),"F")="F","F","T")</f>
        <v>T</v>
      </c>
    </row>
    <row r="433" spans="2:15" x14ac:dyDescent="0.25">
      <c r="B433" s="42" t="str">
        <f t="shared" si="14"/>
        <v>AWR_20_NA1/APPLIED-WATER</v>
      </c>
      <c r="C433" t="s">
        <v>2908</v>
      </c>
      <c r="D433" t="s">
        <v>2531</v>
      </c>
      <c r="E433" t="s">
        <v>3197</v>
      </c>
      <c r="F433">
        <v>145</v>
      </c>
      <c r="G433" t="s">
        <v>3198</v>
      </c>
      <c r="H433" t="s">
        <v>0</v>
      </c>
      <c r="I433" t="s">
        <v>522</v>
      </c>
      <c r="J433" t="s">
        <v>18</v>
      </c>
      <c r="L433" t="s">
        <v>3</v>
      </c>
      <c r="M433" t="s">
        <v>4</v>
      </c>
      <c r="N433" s="3" t="str">
        <f t="shared" si="13"/>
        <v>F</v>
      </c>
      <c r="O433" s="3" t="str">
        <f>IF(_xlfn.IFNA(MATCH(B433,Table1[UID],0),"F")="F","F","T")</f>
        <v>T</v>
      </c>
    </row>
    <row r="434" spans="2:15" x14ac:dyDescent="0.25">
      <c r="B434" s="42" t="str">
        <f t="shared" si="14"/>
        <v>AWR_20_NA2/APPLIED-WATER</v>
      </c>
      <c r="C434" t="s">
        <v>2908</v>
      </c>
      <c r="D434" t="s">
        <v>2531</v>
      </c>
      <c r="E434" t="s">
        <v>3199</v>
      </c>
      <c r="F434">
        <v>146</v>
      </c>
      <c r="G434" t="s">
        <v>3200</v>
      </c>
      <c r="H434" t="s">
        <v>0</v>
      </c>
      <c r="I434" t="s">
        <v>523</v>
      </c>
      <c r="J434" t="s">
        <v>18</v>
      </c>
      <c r="L434" t="s">
        <v>3</v>
      </c>
      <c r="M434" t="s">
        <v>4</v>
      </c>
      <c r="N434" s="3" t="str">
        <f t="shared" si="13"/>
        <v>F</v>
      </c>
      <c r="O434" s="3" t="str">
        <f>IF(_xlfn.IFNA(MATCH(B434,Table1[UID],0),"F")="F","F","T")</f>
        <v>T</v>
      </c>
    </row>
    <row r="435" spans="2:15" x14ac:dyDescent="0.25">
      <c r="B435" s="42" t="str">
        <f t="shared" si="14"/>
        <v>AWR_20_PA/APPLIED-WATER</v>
      </c>
      <c r="C435" t="s">
        <v>2908</v>
      </c>
      <c r="D435" t="s">
        <v>2531</v>
      </c>
      <c r="E435" t="s">
        <v>3201</v>
      </c>
      <c r="F435">
        <v>147</v>
      </c>
      <c r="G435" t="s">
        <v>3202</v>
      </c>
      <c r="H435" t="s">
        <v>0</v>
      </c>
      <c r="I435" t="s">
        <v>524</v>
      </c>
      <c r="J435" t="s">
        <v>18</v>
      </c>
      <c r="L435" t="s">
        <v>3</v>
      </c>
      <c r="M435" t="s">
        <v>4</v>
      </c>
      <c r="N435" s="3" t="str">
        <f t="shared" si="13"/>
        <v>F</v>
      </c>
      <c r="O435" s="3" t="str">
        <f>IF(_xlfn.IFNA(MATCH(B435,Table1[UID],0),"F")="F","F","T")</f>
        <v>T</v>
      </c>
    </row>
    <row r="436" spans="2:15" x14ac:dyDescent="0.25">
      <c r="B436" s="42" t="str">
        <f t="shared" si="14"/>
        <v>AWR_21_NA/APPLIED-WATER</v>
      </c>
      <c r="C436" t="s">
        <v>2908</v>
      </c>
      <c r="D436" t="s">
        <v>2531</v>
      </c>
      <c r="E436" t="s">
        <v>3203</v>
      </c>
      <c r="F436">
        <v>148</v>
      </c>
      <c r="G436" t="s">
        <v>3204</v>
      </c>
      <c r="H436" t="s">
        <v>0</v>
      </c>
      <c r="I436" t="s">
        <v>525</v>
      </c>
      <c r="J436" t="s">
        <v>18</v>
      </c>
      <c r="L436" t="s">
        <v>3</v>
      </c>
      <c r="M436" t="s">
        <v>4</v>
      </c>
      <c r="N436" s="3" t="str">
        <f t="shared" si="13"/>
        <v>F</v>
      </c>
      <c r="O436" s="3" t="str">
        <f>IF(_xlfn.IFNA(MATCH(B436,Table1[UID],0),"F")="F","F","T")</f>
        <v>T</v>
      </c>
    </row>
    <row r="437" spans="2:15" x14ac:dyDescent="0.25">
      <c r="B437" s="42" t="str">
        <f t="shared" si="14"/>
        <v>AWR_21_PA/APPLIED-WATER</v>
      </c>
      <c r="C437" t="s">
        <v>2908</v>
      </c>
      <c r="D437" t="s">
        <v>2531</v>
      </c>
      <c r="E437" t="s">
        <v>3205</v>
      </c>
      <c r="F437">
        <v>149</v>
      </c>
      <c r="G437" t="s">
        <v>3206</v>
      </c>
      <c r="H437" t="s">
        <v>0</v>
      </c>
      <c r="I437" t="s">
        <v>526</v>
      </c>
      <c r="J437" t="s">
        <v>18</v>
      </c>
      <c r="L437" t="s">
        <v>3</v>
      </c>
      <c r="M437" t="s">
        <v>4</v>
      </c>
      <c r="N437" s="3" t="str">
        <f t="shared" si="13"/>
        <v>F</v>
      </c>
      <c r="O437" s="3" t="str">
        <f>IF(_xlfn.IFNA(MATCH(B437,Table1[UID],0),"F")="F","F","T")</f>
        <v>T</v>
      </c>
    </row>
    <row r="438" spans="2:15" x14ac:dyDescent="0.25">
      <c r="B438" s="42" t="str">
        <f t="shared" si="14"/>
        <v>AWR_21_SA/APPLIED-WATER</v>
      </c>
      <c r="C438" t="s">
        <v>2908</v>
      </c>
      <c r="D438" t="s">
        <v>2531</v>
      </c>
      <c r="E438" t="s">
        <v>3207</v>
      </c>
      <c r="F438">
        <v>150</v>
      </c>
      <c r="G438" t="s">
        <v>3208</v>
      </c>
      <c r="H438" t="s">
        <v>0</v>
      </c>
      <c r="I438" t="s">
        <v>527</v>
      </c>
      <c r="J438" t="s">
        <v>18</v>
      </c>
      <c r="L438" t="s">
        <v>3</v>
      </c>
      <c r="M438" t="s">
        <v>4</v>
      </c>
      <c r="N438" s="3" t="str">
        <f t="shared" si="13"/>
        <v>F</v>
      </c>
      <c r="O438" s="3" t="str">
        <f>IF(_xlfn.IFNA(MATCH(B438,Table1[UID],0),"F")="F","F","T")</f>
        <v>T</v>
      </c>
    </row>
    <row r="439" spans="2:15" x14ac:dyDescent="0.25">
      <c r="B439" s="42" t="str">
        <f t="shared" si="14"/>
        <v>AWR_22_NA/APPLIED-WATER</v>
      </c>
      <c r="C439" t="s">
        <v>2908</v>
      </c>
      <c r="D439" t="s">
        <v>2531</v>
      </c>
      <c r="E439" t="s">
        <v>3209</v>
      </c>
      <c r="F439">
        <v>151</v>
      </c>
      <c r="G439" t="s">
        <v>3210</v>
      </c>
      <c r="H439" t="s">
        <v>0</v>
      </c>
      <c r="I439" t="s">
        <v>528</v>
      </c>
      <c r="J439" t="s">
        <v>18</v>
      </c>
      <c r="L439" t="s">
        <v>3</v>
      </c>
      <c r="M439" t="s">
        <v>4</v>
      </c>
      <c r="N439" s="3" t="str">
        <f t="shared" si="13"/>
        <v>F</v>
      </c>
      <c r="O439" s="3" t="str">
        <f>IF(_xlfn.IFNA(MATCH(B439,Table1[UID],0),"F")="F","F","T")</f>
        <v>T</v>
      </c>
    </row>
    <row r="440" spans="2:15" x14ac:dyDescent="0.25">
      <c r="B440" s="42" t="str">
        <f t="shared" si="14"/>
        <v>AWR_22_SA1/APPLIED-WATER</v>
      </c>
      <c r="C440" t="s">
        <v>2908</v>
      </c>
      <c r="D440" t="s">
        <v>2531</v>
      </c>
      <c r="E440" t="s">
        <v>3211</v>
      </c>
      <c r="F440">
        <v>152</v>
      </c>
      <c r="G440" t="s">
        <v>3212</v>
      </c>
      <c r="H440" t="s">
        <v>0</v>
      </c>
      <c r="I440" t="s">
        <v>529</v>
      </c>
      <c r="J440" t="s">
        <v>18</v>
      </c>
      <c r="L440" t="s">
        <v>3</v>
      </c>
      <c r="M440" t="s">
        <v>4</v>
      </c>
      <c r="N440" s="3" t="str">
        <f t="shared" si="13"/>
        <v>F</v>
      </c>
      <c r="O440" s="3" t="str">
        <f>IF(_xlfn.IFNA(MATCH(B440,Table1[UID],0),"F")="F","F","T")</f>
        <v>T</v>
      </c>
    </row>
    <row r="441" spans="2:15" x14ac:dyDescent="0.25">
      <c r="B441" s="42" t="str">
        <f t="shared" si="14"/>
        <v>AWR_22_SA2/APPLIED-WATER</v>
      </c>
      <c r="C441" t="s">
        <v>2908</v>
      </c>
      <c r="D441" t="s">
        <v>2531</v>
      </c>
      <c r="E441" t="s">
        <v>3213</v>
      </c>
      <c r="F441">
        <v>153</v>
      </c>
      <c r="G441" t="s">
        <v>3214</v>
      </c>
      <c r="H441" t="s">
        <v>0</v>
      </c>
      <c r="I441" t="s">
        <v>530</v>
      </c>
      <c r="J441" t="s">
        <v>18</v>
      </c>
      <c r="L441" t="s">
        <v>3</v>
      </c>
      <c r="M441" t="s">
        <v>4</v>
      </c>
      <c r="N441" s="3" t="str">
        <f t="shared" si="13"/>
        <v>F</v>
      </c>
      <c r="O441" s="3" t="str">
        <f>IF(_xlfn.IFNA(MATCH(B441,Table1[UID],0),"F")="F","F","T")</f>
        <v>T</v>
      </c>
    </row>
    <row r="442" spans="2:15" x14ac:dyDescent="0.25">
      <c r="B442" s="42" t="str">
        <f t="shared" si="14"/>
        <v>AWR_23_NA/APPLIED-WATER</v>
      </c>
      <c r="C442" t="s">
        <v>2908</v>
      </c>
      <c r="D442" t="s">
        <v>2531</v>
      </c>
      <c r="E442" t="s">
        <v>3215</v>
      </c>
      <c r="F442">
        <v>154</v>
      </c>
      <c r="G442" t="s">
        <v>3216</v>
      </c>
      <c r="H442" t="s">
        <v>0</v>
      </c>
      <c r="I442" t="s">
        <v>531</v>
      </c>
      <c r="J442" t="s">
        <v>18</v>
      </c>
      <c r="L442" t="s">
        <v>3</v>
      </c>
      <c r="M442" t="s">
        <v>4</v>
      </c>
      <c r="N442" s="3" t="str">
        <f t="shared" si="13"/>
        <v>F</v>
      </c>
      <c r="O442" s="3" t="str">
        <f>IF(_xlfn.IFNA(MATCH(B442,Table1[UID],0),"F")="F","F","T")</f>
        <v>T</v>
      </c>
    </row>
    <row r="443" spans="2:15" x14ac:dyDescent="0.25">
      <c r="B443" s="42" t="str">
        <f t="shared" si="14"/>
        <v>AWR_24_NA1/APPLIED-WATER</v>
      </c>
      <c r="C443" t="s">
        <v>2908</v>
      </c>
      <c r="D443" t="s">
        <v>2531</v>
      </c>
      <c r="E443" t="s">
        <v>3217</v>
      </c>
      <c r="F443">
        <v>155</v>
      </c>
      <c r="G443" t="s">
        <v>3218</v>
      </c>
      <c r="H443" t="s">
        <v>0</v>
      </c>
      <c r="I443" t="s">
        <v>532</v>
      </c>
      <c r="J443" t="s">
        <v>18</v>
      </c>
      <c r="L443" t="s">
        <v>3</v>
      </c>
      <c r="M443" t="s">
        <v>4</v>
      </c>
      <c r="N443" s="3" t="str">
        <f t="shared" si="13"/>
        <v>F</v>
      </c>
      <c r="O443" s="3" t="str">
        <f>IF(_xlfn.IFNA(MATCH(B443,Table1[UID],0),"F")="F","F","T")</f>
        <v>T</v>
      </c>
    </row>
    <row r="444" spans="2:15" x14ac:dyDescent="0.25">
      <c r="B444" s="42" t="str">
        <f t="shared" si="14"/>
        <v>AWR_24_NA2/APPLIED-WATER</v>
      </c>
      <c r="C444" t="s">
        <v>2908</v>
      </c>
      <c r="D444" t="s">
        <v>2531</v>
      </c>
      <c r="E444" t="s">
        <v>3219</v>
      </c>
      <c r="F444">
        <v>156</v>
      </c>
      <c r="G444" t="s">
        <v>3220</v>
      </c>
      <c r="H444" t="s">
        <v>0</v>
      </c>
      <c r="I444" t="s">
        <v>533</v>
      </c>
      <c r="J444" t="s">
        <v>18</v>
      </c>
      <c r="L444" t="s">
        <v>3</v>
      </c>
      <c r="M444" t="s">
        <v>4</v>
      </c>
      <c r="N444" s="3" t="str">
        <f t="shared" si="13"/>
        <v>F</v>
      </c>
      <c r="O444" s="3" t="str">
        <f>IF(_xlfn.IFNA(MATCH(B444,Table1[UID],0),"F")="F","F","T")</f>
        <v>T</v>
      </c>
    </row>
    <row r="445" spans="2:15" x14ac:dyDescent="0.25">
      <c r="B445" s="42" t="str">
        <f t="shared" si="14"/>
        <v>AWR_24_NA3/APPLIED-WATER</v>
      </c>
      <c r="C445" t="s">
        <v>2908</v>
      </c>
      <c r="D445" t="s">
        <v>2531</v>
      </c>
      <c r="E445" t="s">
        <v>3221</v>
      </c>
      <c r="F445">
        <v>157</v>
      </c>
      <c r="G445" t="s">
        <v>3222</v>
      </c>
      <c r="H445" t="s">
        <v>0</v>
      </c>
      <c r="I445" t="s">
        <v>534</v>
      </c>
      <c r="J445" t="s">
        <v>18</v>
      </c>
      <c r="L445" t="s">
        <v>3</v>
      </c>
      <c r="M445" t="s">
        <v>4</v>
      </c>
      <c r="N445" s="3" t="str">
        <f t="shared" si="13"/>
        <v>F</v>
      </c>
      <c r="O445" s="3" t="str">
        <f>IF(_xlfn.IFNA(MATCH(B445,Table1[UID],0),"F")="F","F","T")</f>
        <v>T</v>
      </c>
    </row>
    <row r="446" spans="2:15" x14ac:dyDescent="0.25">
      <c r="B446" s="42" t="str">
        <f t="shared" si="14"/>
        <v>AWR_25_NA/APPLIED-WATER</v>
      </c>
      <c r="C446" t="s">
        <v>2908</v>
      </c>
      <c r="D446" t="s">
        <v>2531</v>
      </c>
      <c r="E446" t="s">
        <v>3223</v>
      </c>
      <c r="F446">
        <v>158</v>
      </c>
      <c r="G446" t="s">
        <v>3224</v>
      </c>
      <c r="H446" t="s">
        <v>0</v>
      </c>
      <c r="I446" t="s">
        <v>535</v>
      </c>
      <c r="J446" t="s">
        <v>18</v>
      </c>
      <c r="L446" t="s">
        <v>3</v>
      </c>
      <c r="M446" t="s">
        <v>4</v>
      </c>
      <c r="N446" s="3" t="str">
        <f t="shared" si="13"/>
        <v>F</v>
      </c>
      <c r="O446" s="3" t="str">
        <f>IF(_xlfn.IFNA(MATCH(B446,Table1[UID],0),"F")="F","F","T")</f>
        <v>T</v>
      </c>
    </row>
    <row r="447" spans="2:15" x14ac:dyDescent="0.25">
      <c r="B447" s="42" t="str">
        <f t="shared" si="14"/>
        <v>AWR_25_PA1/APPLIED-WATER</v>
      </c>
      <c r="C447" t="s">
        <v>2908</v>
      </c>
      <c r="D447" t="s">
        <v>2531</v>
      </c>
      <c r="E447" t="s">
        <v>3225</v>
      </c>
      <c r="F447">
        <v>159</v>
      </c>
      <c r="G447" t="s">
        <v>3226</v>
      </c>
      <c r="H447" t="s">
        <v>0</v>
      </c>
      <c r="I447" t="s">
        <v>536</v>
      </c>
      <c r="J447" t="s">
        <v>18</v>
      </c>
      <c r="L447" t="s">
        <v>3</v>
      </c>
      <c r="M447" t="s">
        <v>4</v>
      </c>
      <c r="N447" s="3" t="str">
        <f t="shared" si="13"/>
        <v>F</v>
      </c>
      <c r="O447" s="3" t="str">
        <f>IF(_xlfn.IFNA(MATCH(B447,Table1[UID],0),"F")="F","F","T")</f>
        <v>T</v>
      </c>
    </row>
    <row r="448" spans="2:15" x14ac:dyDescent="0.25">
      <c r="B448" s="42" t="str">
        <f t="shared" si="14"/>
        <v>AWR_25_PA2/APPLIED-WATER</v>
      </c>
      <c r="C448" t="s">
        <v>2908</v>
      </c>
      <c r="D448" t="s">
        <v>2531</v>
      </c>
      <c r="E448" t="s">
        <v>3227</v>
      </c>
      <c r="F448">
        <v>160</v>
      </c>
      <c r="G448" t="s">
        <v>3228</v>
      </c>
      <c r="H448" t="s">
        <v>0</v>
      </c>
      <c r="I448" t="s">
        <v>537</v>
      </c>
      <c r="J448" t="s">
        <v>18</v>
      </c>
      <c r="L448" t="s">
        <v>3</v>
      </c>
      <c r="M448" t="s">
        <v>4</v>
      </c>
      <c r="N448" s="3" t="str">
        <f t="shared" si="13"/>
        <v>F</v>
      </c>
      <c r="O448" s="3" t="str">
        <f>IF(_xlfn.IFNA(MATCH(B448,Table1[UID],0),"F")="F","F","T")</f>
        <v>T</v>
      </c>
    </row>
    <row r="449" spans="2:15" x14ac:dyDescent="0.25">
      <c r="B449" s="42" t="str">
        <f t="shared" si="14"/>
        <v>AWR_26N_NA/APPLIED-WATER</v>
      </c>
      <c r="C449" t="s">
        <v>2908</v>
      </c>
      <c r="D449" t="s">
        <v>2531</v>
      </c>
      <c r="E449" t="s">
        <v>3229</v>
      </c>
      <c r="F449">
        <v>161</v>
      </c>
      <c r="G449" t="s">
        <v>3230</v>
      </c>
      <c r="H449" t="s">
        <v>0</v>
      </c>
      <c r="I449" t="s">
        <v>538</v>
      </c>
      <c r="J449" t="s">
        <v>18</v>
      </c>
      <c r="L449" t="s">
        <v>3</v>
      </c>
      <c r="M449" t="s">
        <v>4</v>
      </c>
      <c r="N449" s="3" t="str">
        <f t="shared" si="13"/>
        <v>F</v>
      </c>
      <c r="O449" s="3" t="str">
        <f>IF(_xlfn.IFNA(MATCH(B449,Table1[UID],0),"F")="F","F","T")</f>
        <v>T</v>
      </c>
    </row>
    <row r="450" spans="2:15" x14ac:dyDescent="0.25">
      <c r="B450" s="42" t="str">
        <f t="shared" si="14"/>
        <v>AWR_26S_NA/APPLIED-WATER</v>
      </c>
      <c r="C450" t="s">
        <v>2908</v>
      </c>
      <c r="D450" t="s">
        <v>2531</v>
      </c>
      <c r="E450" t="s">
        <v>3231</v>
      </c>
      <c r="F450">
        <v>162</v>
      </c>
      <c r="G450" t="s">
        <v>3232</v>
      </c>
      <c r="H450" t="s">
        <v>0</v>
      </c>
      <c r="I450" t="s">
        <v>539</v>
      </c>
      <c r="J450" t="s">
        <v>18</v>
      </c>
      <c r="L450" t="s">
        <v>3</v>
      </c>
      <c r="M450" t="s">
        <v>4</v>
      </c>
      <c r="N450" s="3" t="str">
        <f t="shared" si="13"/>
        <v>F</v>
      </c>
      <c r="O450" s="3" t="str">
        <f>IF(_xlfn.IFNA(MATCH(B450,Table1[UID],0),"F")="F","F","T")</f>
        <v>T</v>
      </c>
    </row>
    <row r="451" spans="2:15" x14ac:dyDescent="0.25">
      <c r="B451" s="42" t="str">
        <f t="shared" si="14"/>
        <v>AWW_05_NA/APPLIED-WATER</v>
      </c>
      <c r="C451" t="s">
        <v>2908</v>
      </c>
      <c r="D451" t="s">
        <v>2531</v>
      </c>
      <c r="E451" t="s">
        <v>3233</v>
      </c>
      <c r="F451">
        <v>163</v>
      </c>
      <c r="G451" t="s">
        <v>3234</v>
      </c>
      <c r="H451" t="s">
        <v>0</v>
      </c>
      <c r="I451" t="s">
        <v>612</v>
      </c>
      <c r="J451" t="s">
        <v>18</v>
      </c>
      <c r="L451" t="s">
        <v>3</v>
      </c>
      <c r="M451" t="s">
        <v>4</v>
      </c>
      <c r="N451" s="3" t="str">
        <f t="shared" ref="N451:N514" si="15">IF(COUNTIF($B$3:$B$1760,"="&amp;B451)&gt;1,"T","F")</f>
        <v>F</v>
      </c>
      <c r="O451" s="3" t="str">
        <f>IF(_xlfn.IFNA(MATCH(B451,Table1[UID],0),"F")="F","F","T")</f>
        <v>T</v>
      </c>
    </row>
    <row r="452" spans="2:15" x14ac:dyDescent="0.25">
      <c r="B452" s="42" t="str">
        <f t="shared" si="14"/>
        <v>AWW_08N_PA/APPLIED-WATER</v>
      </c>
      <c r="C452" t="s">
        <v>2908</v>
      </c>
      <c r="D452" t="s">
        <v>2531</v>
      </c>
      <c r="E452" t="s">
        <v>3235</v>
      </c>
      <c r="F452">
        <v>164</v>
      </c>
      <c r="G452" t="s">
        <v>3236</v>
      </c>
      <c r="H452" t="s">
        <v>0</v>
      </c>
      <c r="I452" t="s">
        <v>613</v>
      </c>
      <c r="J452" t="s">
        <v>18</v>
      </c>
      <c r="L452" t="s">
        <v>3</v>
      </c>
      <c r="M452" t="s">
        <v>4</v>
      </c>
      <c r="N452" s="3" t="str">
        <f t="shared" si="15"/>
        <v>F</v>
      </c>
      <c r="O452" s="3" t="str">
        <f>IF(_xlfn.IFNA(MATCH(B452,Table1[UID],0),"F")="F","F","T")</f>
        <v>T</v>
      </c>
    </row>
    <row r="453" spans="2:15" x14ac:dyDescent="0.25">
      <c r="B453" s="42" t="str">
        <f t="shared" si="14"/>
        <v>AWW_08N_PR1/APPLIED-WATER</v>
      </c>
      <c r="C453" t="s">
        <v>2908</v>
      </c>
      <c r="D453" t="s">
        <v>2531</v>
      </c>
      <c r="E453" t="s">
        <v>3237</v>
      </c>
      <c r="F453">
        <v>165</v>
      </c>
      <c r="G453" t="s">
        <v>3238</v>
      </c>
      <c r="H453" t="s">
        <v>0</v>
      </c>
      <c r="I453" t="s">
        <v>614</v>
      </c>
      <c r="J453" t="s">
        <v>18</v>
      </c>
      <c r="L453" t="s">
        <v>3</v>
      </c>
      <c r="M453" t="s">
        <v>4</v>
      </c>
      <c r="N453" s="3" t="str">
        <f t="shared" si="15"/>
        <v>F</v>
      </c>
      <c r="O453" s="3" t="str">
        <f>IF(_xlfn.IFNA(MATCH(B453,Table1[UID],0),"F")="F","F","T")</f>
        <v>T</v>
      </c>
    </row>
    <row r="454" spans="2:15" x14ac:dyDescent="0.25">
      <c r="B454" s="42" t="str">
        <f t="shared" si="14"/>
        <v>AWW_08N_PR2/APPLIED-WATER</v>
      </c>
      <c r="C454" t="s">
        <v>2908</v>
      </c>
      <c r="D454" t="s">
        <v>2531</v>
      </c>
      <c r="E454" t="s">
        <v>3239</v>
      </c>
      <c r="F454">
        <v>166</v>
      </c>
      <c r="G454" t="s">
        <v>3240</v>
      </c>
      <c r="H454" t="s">
        <v>0</v>
      </c>
      <c r="I454" t="s">
        <v>615</v>
      </c>
      <c r="J454" t="s">
        <v>18</v>
      </c>
      <c r="L454" t="s">
        <v>3</v>
      </c>
      <c r="M454" t="s">
        <v>4</v>
      </c>
      <c r="N454" s="3" t="str">
        <f t="shared" si="15"/>
        <v>F</v>
      </c>
      <c r="O454" s="3" t="str">
        <f>IF(_xlfn.IFNA(MATCH(B454,Table1[UID],0),"F")="F","F","T")</f>
        <v>T</v>
      </c>
    </row>
    <row r="455" spans="2:15" x14ac:dyDescent="0.25">
      <c r="B455" s="42" t="str">
        <f t="shared" si="14"/>
        <v>AWW_08N_SA1/APPLIED-WATER</v>
      </c>
      <c r="C455" t="s">
        <v>2908</v>
      </c>
      <c r="D455" t="s">
        <v>2531</v>
      </c>
      <c r="E455" t="s">
        <v>3241</v>
      </c>
      <c r="F455">
        <v>167</v>
      </c>
      <c r="G455" t="s">
        <v>3242</v>
      </c>
      <c r="H455" t="s">
        <v>0</v>
      </c>
      <c r="I455" t="s">
        <v>616</v>
      </c>
      <c r="J455" t="s">
        <v>18</v>
      </c>
      <c r="L455" t="s">
        <v>3</v>
      </c>
      <c r="M455" t="s">
        <v>4</v>
      </c>
      <c r="N455" s="3" t="str">
        <f t="shared" si="15"/>
        <v>F</v>
      </c>
      <c r="O455" s="3" t="str">
        <f>IF(_xlfn.IFNA(MATCH(B455,Table1[UID],0),"F")="F","F","T")</f>
        <v>T</v>
      </c>
    </row>
    <row r="456" spans="2:15" x14ac:dyDescent="0.25">
      <c r="B456" s="42" t="str">
        <f t="shared" si="14"/>
        <v>AWW_08N_SA2/APPLIED-WATER</v>
      </c>
      <c r="C456" t="s">
        <v>2908</v>
      </c>
      <c r="D456" t="s">
        <v>2531</v>
      </c>
      <c r="E456" t="s">
        <v>3243</v>
      </c>
      <c r="F456">
        <v>168</v>
      </c>
      <c r="G456" t="s">
        <v>3244</v>
      </c>
      <c r="H456" t="s">
        <v>0</v>
      </c>
      <c r="I456" t="s">
        <v>617</v>
      </c>
      <c r="J456" t="s">
        <v>18</v>
      </c>
      <c r="L456" t="s">
        <v>3</v>
      </c>
      <c r="M456" t="s">
        <v>4</v>
      </c>
      <c r="N456" s="3" t="str">
        <f t="shared" si="15"/>
        <v>F</v>
      </c>
      <c r="O456" s="3" t="str">
        <f>IF(_xlfn.IFNA(MATCH(B456,Table1[UID],0),"F")="F","F","T")</f>
        <v>T</v>
      </c>
    </row>
    <row r="457" spans="2:15" x14ac:dyDescent="0.25">
      <c r="B457" s="42" t="str">
        <f t="shared" si="14"/>
        <v>AWW_08S_PA/APPLIED-WATER</v>
      </c>
      <c r="C457" t="s">
        <v>2908</v>
      </c>
      <c r="D457" t="s">
        <v>2531</v>
      </c>
      <c r="E457" t="s">
        <v>3245</v>
      </c>
      <c r="F457">
        <v>169</v>
      </c>
      <c r="G457" t="s">
        <v>3246</v>
      </c>
      <c r="H457" t="s">
        <v>0</v>
      </c>
      <c r="I457" t="s">
        <v>618</v>
      </c>
      <c r="J457" t="s">
        <v>18</v>
      </c>
      <c r="L457" t="s">
        <v>3</v>
      </c>
      <c r="M457" t="s">
        <v>4</v>
      </c>
      <c r="N457" s="3" t="str">
        <f t="shared" si="15"/>
        <v>F</v>
      </c>
      <c r="O457" s="3" t="str">
        <f>IF(_xlfn.IFNA(MATCH(B457,Table1[UID],0),"F")="F","F","T")</f>
        <v>T</v>
      </c>
    </row>
    <row r="458" spans="2:15" x14ac:dyDescent="0.25">
      <c r="B458" s="42" t="str">
        <f t="shared" ref="B458:B521" si="16">_xlfn.CONCAT(I458,"/",J458)</f>
        <v>AWW_08S_PR/APPLIED-WATER</v>
      </c>
      <c r="C458" t="s">
        <v>2908</v>
      </c>
      <c r="D458" t="s">
        <v>2531</v>
      </c>
      <c r="E458" t="s">
        <v>3247</v>
      </c>
      <c r="F458">
        <v>170</v>
      </c>
      <c r="G458" t="s">
        <v>3248</v>
      </c>
      <c r="H458" t="s">
        <v>0</v>
      </c>
      <c r="I458" t="s">
        <v>619</v>
      </c>
      <c r="J458" t="s">
        <v>18</v>
      </c>
      <c r="L458" t="s">
        <v>3</v>
      </c>
      <c r="M458" t="s">
        <v>4</v>
      </c>
      <c r="N458" s="3" t="str">
        <f t="shared" si="15"/>
        <v>F</v>
      </c>
      <c r="O458" s="3" t="str">
        <f>IF(_xlfn.IFNA(MATCH(B458,Table1[UID],0),"F")="F","F","T")</f>
        <v>T</v>
      </c>
    </row>
    <row r="459" spans="2:15" x14ac:dyDescent="0.25">
      <c r="B459" s="42" t="str">
        <f t="shared" si="16"/>
        <v>AWW_08S_SA1/APPLIED-WATER</v>
      </c>
      <c r="C459" t="s">
        <v>2908</v>
      </c>
      <c r="D459" t="s">
        <v>2531</v>
      </c>
      <c r="E459" t="s">
        <v>3249</v>
      </c>
      <c r="F459">
        <v>171</v>
      </c>
      <c r="G459" t="s">
        <v>3250</v>
      </c>
      <c r="H459" t="s">
        <v>0</v>
      </c>
      <c r="I459" t="s">
        <v>620</v>
      </c>
      <c r="J459" t="s">
        <v>18</v>
      </c>
      <c r="L459" t="s">
        <v>3</v>
      </c>
      <c r="M459" t="s">
        <v>4</v>
      </c>
      <c r="N459" s="3" t="str">
        <f t="shared" si="15"/>
        <v>F</v>
      </c>
      <c r="O459" s="3" t="str">
        <f>IF(_xlfn.IFNA(MATCH(B459,Table1[UID],0),"F")="F","F","T")</f>
        <v>T</v>
      </c>
    </row>
    <row r="460" spans="2:15" x14ac:dyDescent="0.25">
      <c r="B460" s="42" t="str">
        <f t="shared" si="16"/>
        <v>AWW_08S_SA2/APPLIED-WATER</v>
      </c>
      <c r="C460" t="s">
        <v>2908</v>
      </c>
      <c r="D460" t="s">
        <v>2531</v>
      </c>
      <c r="E460" t="s">
        <v>3251</v>
      </c>
      <c r="F460">
        <v>172</v>
      </c>
      <c r="G460" t="s">
        <v>3252</v>
      </c>
      <c r="H460" t="s">
        <v>0</v>
      </c>
      <c r="I460" t="s">
        <v>621</v>
      </c>
      <c r="J460" t="s">
        <v>18</v>
      </c>
      <c r="L460" t="s">
        <v>3</v>
      </c>
      <c r="M460" t="s">
        <v>4</v>
      </c>
      <c r="N460" s="3" t="str">
        <f t="shared" si="15"/>
        <v>F</v>
      </c>
      <c r="O460" s="3" t="str">
        <f>IF(_xlfn.IFNA(MATCH(B460,Table1[UID],0),"F")="F","F","T")</f>
        <v>T</v>
      </c>
    </row>
    <row r="461" spans="2:15" x14ac:dyDescent="0.25">
      <c r="B461" s="42" t="str">
        <f t="shared" si="16"/>
        <v>AWW_09_NA/APPLIED-WATER</v>
      </c>
      <c r="C461" t="s">
        <v>2908</v>
      </c>
      <c r="D461" t="s">
        <v>2531</v>
      </c>
      <c r="E461" t="s">
        <v>3253</v>
      </c>
      <c r="F461">
        <v>173</v>
      </c>
      <c r="G461" t="s">
        <v>3254</v>
      </c>
      <c r="H461" t="s">
        <v>0</v>
      </c>
      <c r="I461" t="s">
        <v>622</v>
      </c>
      <c r="J461" t="s">
        <v>18</v>
      </c>
      <c r="L461" t="s">
        <v>3</v>
      </c>
      <c r="M461" t="s">
        <v>4</v>
      </c>
      <c r="N461" s="3" t="str">
        <f t="shared" si="15"/>
        <v>F</v>
      </c>
      <c r="O461" s="3" t="str">
        <f>IF(_xlfn.IFNA(MATCH(B461,Table1[UID],0),"F")="F","F","T")</f>
        <v>T</v>
      </c>
    </row>
    <row r="462" spans="2:15" x14ac:dyDescent="0.25">
      <c r="B462" s="42" t="str">
        <f t="shared" si="16"/>
        <v>AWW_09_PR/APPLIED-WATER</v>
      </c>
      <c r="C462" t="s">
        <v>2908</v>
      </c>
      <c r="D462" t="s">
        <v>2531</v>
      </c>
      <c r="E462" t="s">
        <v>3255</v>
      </c>
      <c r="F462">
        <v>174</v>
      </c>
      <c r="G462" t="s">
        <v>3256</v>
      </c>
      <c r="H462" t="s">
        <v>0</v>
      </c>
      <c r="I462" t="s">
        <v>623</v>
      </c>
      <c r="J462" t="s">
        <v>18</v>
      </c>
      <c r="L462" t="s">
        <v>3</v>
      </c>
      <c r="M462" t="s">
        <v>4</v>
      </c>
      <c r="N462" s="3" t="str">
        <f t="shared" si="15"/>
        <v>F</v>
      </c>
      <c r="O462" s="3" t="str">
        <f>IF(_xlfn.IFNA(MATCH(B462,Table1[UID],0),"F")="F","F","T")</f>
        <v>T</v>
      </c>
    </row>
    <row r="463" spans="2:15" x14ac:dyDescent="0.25">
      <c r="B463" s="42" t="str">
        <f t="shared" si="16"/>
        <v>AWW_09_SA2/APPLIED-WATER</v>
      </c>
      <c r="C463" t="s">
        <v>2908</v>
      </c>
      <c r="D463" t="s">
        <v>2531</v>
      </c>
      <c r="E463" t="s">
        <v>3257</v>
      </c>
      <c r="F463">
        <v>175</v>
      </c>
      <c r="G463" t="s">
        <v>3258</v>
      </c>
      <c r="H463" t="s">
        <v>0</v>
      </c>
      <c r="I463" t="s">
        <v>624</v>
      </c>
      <c r="J463" t="s">
        <v>18</v>
      </c>
      <c r="L463" t="s">
        <v>3</v>
      </c>
      <c r="M463" t="s">
        <v>4</v>
      </c>
      <c r="N463" s="3" t="str">
        <f t="shared" si="15"/>
        <v>F</v>
      </c>
      <c r="O463" s="3" t="str">
        <f>IF(_xlfn.IFNA(MATCH(B463,Table1[UID],0),"F")="F","F","T")</f>
        <v>T</v>
      </c>
    </row>
    <row r="464" spans="2:15" x14ac:dyDescent="0.25">
      <c r="B464" s="42" t="str">
        <f t="shared" si="16"/>
        <v>AWW_10_NA/APPLIED-WATER</v>
      </c>
      <c r="C464" t="s">
        <v>2908</v>
      </c>
      <c r="D464" t="s">
        <v>2531</v>
      </c>
      <c r="E464" t="s">
        <v>3259</v>
      </c>
      <c r="F464">
        <v>176</v>
      </c>
      <c r="G464" t="s">
        <v>3260</v>
      </c>
      <c r="H464" t="s">
        <v>0</v>
      </c>
      <c r="I464" t="s">
        <v>625</v>
      </c>
      <c r="J464" t="s">
        <v>18</v>
      </c>
      <c r="L464" t="s">
        <v>3</v>
      </c>
      <c r="M464" t="s">
        <v>4</v>
      </c>
      <c r="N464" s="3" t="str">
        <f t="shared" si="15"/>
        <v>F</v>
      </c>
      <c r="O464" s="3" t="str">
        <f>IF(_xlfn.IFNA(MATCH(B464,Table1[UID],0),"F")="F","F","T")</f>
        <v>T</v>
      </c>
    </row>
    <row r="465" spans="2:15" x14ac:dyDescent="0.25">
      <c r="B465" s="42" t="str">
        <f t="shared" si="16"/>
        <v>AWW_11_NA/APPLIED-WATER</v>
      </c>
      <c r="C465" t="s">
        <v>2908</v>
      </c>
      <c r="D465" t="s">
        <v>2531</v>
      </c>
      <c r="E465" t="s">
        <v>3261</v>
      </c>
      <c r="F465">
        <v>177</v>
      </c>
      <c r="G465" t="s">
        <v>3262</v>
      </c>
      <c r="H465" t="s">
        <v>0</v>
      </c>
      <c r="I465" t="s">
        <v>626</v>
      </c>
      <c r="J465" t="s">
        <v>18</v>
      </c>
      <c r="L465" t="s">
        <v>3</v>
      </c>
      <c r="M465" t="s">
        <v>4</v>
      </c>
      <c r="N465" s="3" t="str">
        <f t="shared" si="15"/>
        <v>F</v>
      </c>
      <c r="O465" s="3" t="str">
        <f>IF(_xlfn.IFNA(MATCH(B465,Table1[UID],0),"F")="F","F","T")</f>
        <v>T</v>
      </c>
    </row>
    <row r="466" spans="2:15" x14ac:dyDescent="0.25">
      <c r="B466" s="42" t="str">
        <f t="shared" si="16"/>
        <v>AWW_11_PR/APPLIED-WATER</v>
      </c>
      <c r="C466" t="s">
        <v>2908</v>
      </c>
      <c r="D466" t="s">
        <v>2531</v>
      </c>
      <c r="E466" t="s">
        <v>3263</v>
      </c>
      <c r="F466">
        <v>178</v>
      </c>
      <c r="G466" t="s">
        <v>3264</v>
      </c>
      <c r="H466" t="s">
        <v>0</v>
      </c>
      <c r="I466" t="s">
        <v>627</v>
      </c>
      <c r="J466" t="s">
        <v>18</v>
      </c>
      <c r="L466" t="s">
        <v>3</v>
      </c>
      <c r="M466" t="s">
        <v>4</v>
      </c>
      <c r="N466" s="3" t="str">
        <f t="shared" si="15"/>
        <v>F</v>
      </c>
      <c r="O466" s="3" t="str">
        <f>IF(_xlfn.IFNA(MATCH(B466,Table1[UID],0),"F")="F","F","T")</f>
        <v>T</v>
      </c>
    </row>
    <row r="467" spans="2:15" x14ac:dyDescent="0.25">
      <c r="B467" s="42" t="str">
        <f t="shared" si="16"/>
        <v>AWW_11_SA1/APPLIED-WATER</v>
      </c>
      <c r="C467" t="s">
        <v>2908</v>
      </c>
      <c r="D467" t="s">
        <v>2531</v>
      </c>
      <c r="E467" t="s">
        <v>3265</v>
      </c>
      <c r="F467">
        <v>179</v>
      </c>
      <c r="G467" t="s">
        <v>3266</v>
      </c>
      <c r="H467" t="s">
        <v>0</v>
      </c>
      <c r="I467" t="s">
        <v>628</v>
      </c>
      <c r="J467" t="s">
        <v>18</v>
      </c>
      <c r="L467" t="s">
        <v>3</v>
      </c>
      <c r="M467" t="s">
        <v>4</v>
      </c>
      <c r="N467" s="3" t="str">
        <f t="shared" si="15"/>
        <v>F</v>
      </c>
      <c r="O467" s="3" t="str">
        <f>IF(_xlfn.IFNA(MATCH(B467,Table1[UID],0),"F")="F","F","T")</f>
        <v>T</v>
      </c>
    </row>
    <row r="468" spans="2:15" x14ac:dyDescent="0.25">
      <c r="B468" s="42" t="str">
        <f t="shared" si="16"/>
        <v>AWW_11_SA2/APPLIED-WATER</v>
      </c>
      <c r="C468" t="s">
        <v>2908</v>
      </c>
      <c r="D468" t="s">
        <v>2531</v>
      </c>
      <c r="E468" t="s">
        <v>3267</v>
      </c>
      <c r="F468">
        <v>180</v>
      </c>
      <c r="G468" t="s">
        <v>3268</v>
      </c>
      <c r="H468" t="s">
        <v>0</v>
      </c>
      <c r="I468" t="s">
        <v>629</v>
      </c>
      <c r="J468" t="s">
        <v>18</v>
      </c>
      <c r="L468" t="s">
        <v>3</v>
      </c>
      <c r="M468" t="s">
        <v>4</v>
      </c>
      <c r="N468" s="3" t="str">
        <f t="shared" si="15"/>
        <v>F</v>
      </c>
      <c r="O468" s="3" t="str">
        <f>IF(_xlfn.IFNA(MATCH(B468,Table1[UID],0),"F")="F","F","T")</f>
        <v>T</v>
      </c>
    </row>
    <row r="469" spans="2:15" x14ac:dyDescent="0.25">
      <c r="B469" s="42" t="str">
        <f t="shared" si="16"/>
        <v>AWW_11_SA3/APPLIED-WATER</v>
      </c>
      <c r="C469" t="s">
        <v>2908</v>
      </c>
      <c r="D469" t="s">
        <v>2531</v>
      </c>
      <c r="E469" t="s">
        <v>3269</v>
      </c>
      <c r="F469">
        <v>181</v>
      </c>
      <c r="G469" t="s">
        <v>3270</v>
      </c>
      <c r="H469" t="s">
        <v>0</v>
      </c>
      <c r="I469" t="s">
        <v>630</v>
      </c>
      <c r="J469" t="s">
        <v>18</v>
      </c>
      <c r="L469" t="s">
        <v>3</v>
      </c>
      <c r="M469" t="s">
        <v>4</v>
      </c>
      <c r="N469" s="3" t="str">
        <f t="shared" si="15"/>
        <v>F</v>
      </c>
      <c r="O469" s="3" t="str">
        <f>IF(_xlfn.IFNA(MATCH(B469,Table1[UID],0),"F")="F","F","T")</f>
        <v>T</v>
      </c>
    </row>
    <row r="470" spans="2:15" x14ac:dyDescent="0.25">
      <c r="B470" s="42" t="str">
        <f t="shared" si="16"/>
        <v>AWW_11_SA4/APPLIED-WATER</v>
      </c>
      <c r="C470" t="s">
        <v>2908</v>
      </c>
      <c r="D470" t="s">
        <v>2531</v>
      </c>
      <c r="E470" t="s">
        <v>3271</v>
      </c>
      <c r="F470">
        <v>182</v>
      </c>
      <c r="G470" t="s">
        <v>3272</v>
      </c>
      <c r="H470" t="s">
        <v>0</v>
      </c>
      <c r="I470" t="s">
        <v>631</v>
      </c>
      <c r="J470" t="s">
        <v>18</v>
      </c>
      <c r="L470" t="s">
        <v>3</v>
      </c>
      <c r="M470" t="s">
        <v>4</v>
      </c>
      <c r="N470" s="3" t="str">
        <f t="shared" si="15"/>
        <v>F</v>
      </c>
      <c r="O470" s="3" t="str">
        <f>IF(_xlfn.IFNA(MATCH(B470,Table1[UID],0),"F")="F","F","T")</f>
        <v>T</v>
      </c>
    </row>
    <row r="471" spans="2:15" x14ac:dyDescent="0.25">
      <c r="B471" s="42" t="str">
        <f t="shared" si="16"/>
        <v>AWW_12_NA/APPLIED-WATER</v>
      </c>
      <c r="C471" t="s">
        <v>2908</v>
      </c>
      <c r="D471" t="s">
        <v>2531</v>
      </c>
      <c r="E471" t="s">
        <v>3273</v>
      </c>
      <c r="F471">
        <v>183</v>
      </c>
      <c r="G471" t="s">
        <v>3274</v>
      </c>
      <c r="H471" t="s">
        <v>0</v>
      </c>
      <c r="I471" t="s">
        <v>632</v>
      </c>
      <c r="J471" t="s">
        <v>18</v>
      </c>
      <c r="L471" t="s">
        <v>3</v>
      </c>
      <c r="M471" t="s">
        <v>4</v>
      </c>
      <c r="N471" s="3" t="str">
        <f t="shared" si="15"/>
        <v>F</v>
      </c>
      <c r="O471" s="3" t="str">
        <f>IF(_xlfn.IFNA(MATCH(B471,Table1[UID],0),"F")="F","F","T")</f>
        <v>T</v>
      </c>
    </row>
    <row r="472" spans="2:15" x14ac:dyDescent="0.25">
      <c r="B472" s="42" t="str">
        <f t="shared" si="16"/>
        <v>AWW_17N_NR/APPLIED-WATER</v>
      </c>
      <c r="C472" t="s">
        <v>2908</v>
      </c>
      <c r="D472" t="s">
        <v>2531</v>
      </c>
      <c r="E472" t="s">
        <v>3275</v>
      </c>
      <c r="F472">
        <v>184</v>
      </c>
      <c r="G472" t="s">
        <v>3276</v>
      </c>
      <c r="H472" t="s">
        <v>0</v>
      </c>
      <c r="I472" t="s">
        <v>633</v>
      </c>
      <c r="J472" t="s">
        <v>18</v>
      </c>
      <c r="L472" t="s">
        <v>3</v>
      </c>
      <c r="M472" t="s">
        <v>4</v>
      </c>
      <c r="N472" s="3" t="str">
        <f t="shared" si="15"/>
        <v>F</v>
      </c>
      <c r="O472" s="3" t="str">
        <f>IF(_xlfn.IFNA(MATCH(B472,Table1[UID],0),"F")="F","F","T")</f>
        <v>T</v>
      </c>
    </row>
    <row r="473" spans="2:15" x14ac:dyDescent="0.25">
      <c r="B473" s="42" t="str">
        <f t="shared" si="16"/>
        <v>AWW_17N_PR/APPLIED-WATER</v>
      </c>
      <c r="C473" t="s">
        <v>2908</v>
      </c>
      <c r="D473" t="s">
        <v>2531</v>
      </c>
      <c r="E473" t="s">
        <v>3277</v>
      </c>
      <c r="F473">
        <v>185</v>
      </c>
      <c r="G473" t="s">
        <v>3278</v>
      </c>
      <c r="H473" t="s">
        <v>0</v>
      </c>
      <c r="I473" t="s">
        <v>634</v>
      </c>
      <c r="J473" t="s">
        <v>18</v>
      </c>
      <c r="L473" t="s">
        <v>3</v>
      </c>
      <c r="M473" t="s">
        <v>4</v>
      </c>
      <c r="N473" s="3" t="str">
        <f t="shared" si="15"/>
        <v>F</v>
      </c>
      <c r="O473" s="3" t="str">
        <f>IF(_xlfn.IFNA(MATCH(B473,Table1[UID],0),"F")="F","F","T")</f>
        <v>T</v>
      </c>
    </row>
    <row r="474" spans="2:15" x14ac:dyDescent="0.25">
      <c r="B474" s="42" t="str">
        <f t="shared" si="16"/>
        <v>AWW_17S_PR/APPLIED-WATER</v>
      </c>
      <c r="C474" t="s">
        <v>2908</v>
      </c>
      <c r="D474" t="s">
        <v>2531</v>
      </c>
      <c r="E474" t="s">
        <v>3279</v>
      </c>
      <c r="F474">
        <v>186</v>
      </c>
      <c r="G474" t="s">
        <v>3280</v>
      </c>
      <c r="H474" t="s">
        <v>0</v>
      </c>
      <c r="I474" t="s">
        <v>635</v>
      </c>
      <c r="J474" t="s">
        <v>18</v>
      </c>
      <c r="L474" t="s">
        <v>3</v>
      </c>
      <c r="M474" t="s">
        <v>4</v>
      </c>
      <c r="N474" s="3" t="str">
        <f t="shared" si="15"/>
        <v>F</v>
      </c>
      <c r="O474" s="3" t="str">
        <f>IF(_xlfn.IFNA(MATCH(B474,Table1[UID],0),"F")="F","F","T")</f>
        <v>T</v>
      </c>
    </row>
    <row r="475" spans="2:15" x14ac:dyDescent="0.25">
      <c r="B475" s="42" t="str">
        <f t="shared" si="16"/>
        <v>AWW_21_PA/APPLIED-WATER</v>
      </c>
      <c r="C475" t="s">
        <v>2908</v>
      </c>
      <c r="D475" t="s">
        <v>2531</v>
      </c>
      <c r="E475" t="s">
        <v>3281</v>
      </c>
      <c r="F475">
        <v>187</v>
      </c>
      <c r="G475" t="s">
        <v>3282</v>
      </c>
      <c r="H475" t="s">
        <v>0</v>
      </c>
      <c r="I475" t="s">
        <v>636</v>
      </c>
      <c r="J475" t="s">
        <v>18</v>
      </c>
      <c r="L475" t="s">
        <v>3</v>
      </c>
      <c r="M475" t="s">
        <v>4</v>
      </c>
      <c r="N475" s="3" t="str">
        <f t="shared" si="15"/>
        <v>F</v>
      </c>
      <c r="O475" s="3" t="str">
        <f>IF(_xlfn.IFNA(MATCH(B475,Table1[UID],0),"F")="F","F","T")</f>
        <v>T</v>
      </c>
    </row>
    <row r="476" spans="2:15" x14ac:dyDescent="0.25">
      <c r="B476" s="42" t="str">
        <f t="shared" si="16"/>
        <v>DP_02_INT/DEEP-PERCOLATION</v>
      </c>
      <c r="C476" t="s">
        <v>2908</v>
      </c>
      <c r="D476" t="s">
        <v>2531</v>
      </c>
      <c r="E476" t="s">
        <v>3283</v>
      </c>
      <c r="F476">
        <v>188</v>
      </c>
      <c r="G476" t="s">
        <v>3284</v>
      </c>
      <c r="H476" t="s">
        <v>0</v>
      </c>
      <c r="I476" t="s">
        <v>647</v>
      </c>
      <c r="J476" t="s">
        <v>51</v>
      </c>
      <c r="L476" t="s">
        <v>3</v>
      </c>
      <c r="M476" t="s">
        <v>4</v>
      </c>
      <c r="N476" s="3" t="str">
        <f t="shared" si="15"/>
        <v>F</v>
      </c>
      <c r="O476" s="3" t="str">
        <f>IF(_xlfn.IFNA(MATCH(B476,Table1[UID],0),"F")="F","F","T")</f>
        <v>T</v>
      </c>
    </row>
    <row r="477" spans="2:15" x14ac:dyDescent="0.25">
      <c r="B477" s="42" t="str">
        <f t="shared" si="16"/>
        <v>DP_03_INT/DEEP-PERCOLATION</v>
      </c>
      <c r="C477" t="s">
        <v>2908</v>
      </c>
      <c r="D477" t="s">
        <v>2531</v>
      </c>
      <c r="E477" t="s">
        <v>3285</v>
      </c>
      <c r="F477">
        <v>189</v>
      </c>
      <c r="G477" t="s">
        <v>3286</v>
      </c>
      <c r="H477" t="s">
        <v>0</v>
      </c>
      <c r="I477" t="s">
        <v>648</v>
      </c>
      <c r="J477" t="s">
        <v>51</v>
      </c>
      <c r="L477" t="s">
        <v>3</v>
      </c>
      <c r="M477" t="s">
        <v>4</v>
      </c>
      <c r="N477" s="3" t="str">
        <f t="shared" si="15"/>
        <v>F</v>
      </c>
      <c r="O477" s="3" t="str">
        <f>IF(_xlfn.IFNA(MATCH(B477,Table1[UID],0),"F")="F","F","T")</f>
        <v>T</v>
      </c>
    </row>
    <row r="478" spans="2:15" x14ac:dyDescent="0.25">
      <c r="B478" s="42" t="str">
        <f t="shared" si="16"/>
        <v>DP_04_INT/DEEP-PERCOLATION</v>
      </c>
      <c r="C478" t="s">
        <v>2908</v>
      </c>
      <c r="D478" t="s">
        <v>2531</v>
      </c>
      <c r="E478" t="s">
        <v>3287</v>
      </c>
      <c r="F478">
        <v>190</v>
      </c>
      <c r="G478" t="s">
        <v>3288</v>
      </c>
      <c r="H478" t="s">
        <v>0</v>
      </c>
      <c r="I478" t="s">
        <v>649</v>
      </c>
      <c r="J478" t="s">
        <v>51</v>
      </c>
      <c r="L478" t="s">
        <v>3</v>
      </c>
      <c r="M478" t="s">
        <v>4</v>
      </c>
      <c r="N478" s="3" t="str">
        <f t="shared" si="15"/>
        <v>F</v>
      </c>
      <c r="O478" s="3" t="str">
        <f>IF(_xlfn.IFNA(MATCH(B478,Table1[UID],0),"F")="F","F","T")</f>
        <v>T</v>
      </c>
    </row>
    <row r="479" spans="2:15" x14ac:dyDescent="0.25">
      <c r="B479" s="42" t="str">
        <f t="shared" si="16"/>
        <v>DP_05_INT/DEEP-PERCOLATION</v>
      </c>
      <c r="C479" t="s">
        <v>2908</v>
      </c>
      <c r="D479" t="s">
        <v>2531</v>
      </c>
      <c r="E479" t="s">
        <v>3289</v>
      </c>
      <c r="F479">
        <v>191</v>
      </c>
      <c r="G479" t="s">
        <v>3290</v>
      </c>
      <c r="H479" t="s">
        <v>0</v>
      </c>
      <c r="I479" t="s">
        <v>650</v>
      </c>
      <c r="J479" t="s">
        <v>51</v>
      </c>
      <c r="L479" t="s">
        <v>3</v>
      </c>
      <c r="M479" t="s">
        <v>4</v>
      </c>
      <c r="N479" s="3" t="str">
        <f t="shared" si="15"/>
        <v>F</v>
      </c>
      <c r="O479" s="3" t="str">
        <f>IF(_xlfn.IFNA(MATCH(B479,Table1[UID],0),"F")="F","F","T")</f>
        <v>T</v>
      </c>
    </row>
    <row r="480" spans="2:15" x14ac:dyDescent="0.25">
      <c r="B480" s="42" t="str">
        <f t="shared" si="16"/>
        <v>DP_06_INT/DEEP-PERCOLATION</v>
      </c>
      <c r="C480" t="s">
        <v>2908</v>
      </c>
      <c r="D480" t="s">
        <v>2531</v>
      </c>
      <c r="E480" t="s">
        <v>3291</v>
      </c>
      <c r="F480">
        <v>192</v>
      </c>
      <c r="G480" t="s">
        <v>3292</v>
      </c>
      <c r="H480" t="s">
        <v>0</v>
      </c>
      <c r="I480" t="s">
        <v>651</v>
      </c>
      <c r="J480" t="s">
        <v>51</v>
      </c>
      <c r="L480" t="s">
        <v>3</v>
      </c>
      <c r="M480" t="s">
        <v>4</v>
      </c>
      <c r="N480" s="3" t="str">
        <f t="shared" si="15"/>
        <v>F</v>
      </c>
      <c r="O480" s="3" t="str">
        <f>IF(_xlfn.IFNA(MATCH(B480,Table1[UID],0),"F")="F","F","T")</f>
        <v>T</v>
      </c>
    </row>
    <row r="481" spans="2:15" x14ac:dyDescent="0.25">
      <c r="B481" s="42" t="str">
        <f t="shared" si="16"/>
        <v>DP_07N_INT/DEEP-PERCOLATION</v>
      </c>
      <c r="C481" t="s">
        <v>2908</v>
      </c>
      <c r="D481" t="s">
        <v>2531</v>
      </c>
      <c r="E481" t="s">
        <v>3293</v>
      </c>
      <c r="F481">
        <v>193</v>
      </c>
      <c r="G481" t="s">
        <v>3294</v>
      </c>
      <c r="H481" t="s">
        <v>0</v>
      </c>
      <c r="I481" t="s">
        <v>652</v>
      </c>
      <c r="J481" t="s">
        <v>51</v>
      </c>
      <c r="L481" t="s">
        <v>3</v>
      </c>
      <c r="M481" t="s">
        <v>4</v>
      </c>
      <c r="N481" s="3" t="str">
        <f t="shared" si="15"/>
        <v>F</v>
      </c>
      <c r="O481" s="3" t="str">
        <f>IF(_xlfn.IFNA(MATCH(B481,Table1[UID],0),"F")="F","F","T")</f>
        <v>T</v>
      </c>
    </row>
    <row r="482" spans="2:15" x14ac:dyDescent="0.25">
      <c r="B482" s="42" t="str">
        <f t="shared" si="16"/>
        <v>DP_07S_INT/DEEP-PERCOLATION</v>
      </c>
      <c r="C482" t="s">
        <v>2908</v>
      </c>
      <c r="D482" t="s">
        <v>2531</v>
      </c>
      <c r="E482" t="s">
        <v>3295</v>
      </c>
      <c r="F482">
        <v>194</v>
      </c>
      <c r="G482" t="s">
        <v>3296</v>
      </c>
      <c r="H482" t="s">
        <v>0</v>
      </c>
      <c r="I482" t="s">
        <v>653</v>
      </c>
      <c r="J482" t="s">
        <v>51</v>
      </c>
      <c r="L482" t="s">
        <v>3</v>
      </c>
      <c r="M482" t="s">
        <v>4</v>
      </c>
      <c r="N482" s="3" t="str">
        <f t="shared" si="15"/>
        <v>F</v>
      </c>
      <c r="O482" s="3" t="str">
        <f>IF(_xlfn.IFNA(MATCH(B482,Table1[UID],0),"F")="F","F","T")</f>
        <v>T</v>
      </c>
    </row>
    <row r="483" spans="2:15" x14ac:dyDescent="0.25">
      <c r="B483" s="42" t="str">
        <f t="shared" si="16"/>
        <v>DP_08N_INT/DEEP-PERCOLATION</v>
      </c>
      <c r="C483" t="s">
        <v>2908</v>
      </c>
      <c r="D483" t="s">
        <v>2531</v>
      </c>
      <c r="E483" t="s">
        <v>3297</v>
      </c>
      <c r="F483">
        <v>195</v>
      </c>
      <c r="G483" t="s">
        <v>3298</v>
      </c>
      <c r="H483" t="s">
        <v>0</v>
      </c>
      <c r="I483" t="s">
        <v>654</v>
      </c>
      <c r="J483" t="s">
        <v>51</v>
      </c>
      <c r="L483" t="s">
        <v>3</v>
      </c>
      <c r="M483" t="s">
        <v>4</v>
      </c>
      <c r="N483" s="3" t="str">
        <f t="shared" si="15"/>
        <v>F</v>
      </c>
      <c r="O483" s="3" t="str">
        <f>IF(_xlfn.IFNA(MATCH(B483,Table1[UID],0),"F")="F","F","T")</f>
        <v>T</v>
      </c>
    </row>
    <row r="484" spans="2:15" x14ac:dyDescent="0.25">
      <c r="B484" s="42" t="str">
        <f t="shared" si="16"/>
        <v>DP_08S_INT/DEEP-PERCOLATION</v>
      </c>
      <c r="C484" t="s">
        <v>2908</v>
      </c>
      <c r="D484" t="s">
        <v>2531</v>
      </c>
      <c r="E484" t="s">
        <v>3299</v>
      </c>
      <c r="F484">
        <v>196</v>
      </c>
      <c r="G484" t="s">
        <v>3300</v>
      </c>
      <c r="H484" t="s">
        <v>0</v>
      </c>
      <c r="I484" t="s">
        <v>655</v>
      </c>
      <c r="J484" t="s">
        <v>51</v>
      </c>
      <c r="L484" t="s">
        <v>3</v>
      </c>
      <c r="M484" t="s">
        <v>4</v>
      </c>
      <c r="N484" s="3" t="str">
        <f t="shared" si="15"/>
        <v>F</v>
      </c>
      <c r="O484" s="3" t="str">
        <f>IF(_xlfn.IFNA(MATCH(B484,Table1[UID],0),"F")="F","F","T")</f>
        <v>T</v>
      </c>
    </row>
    <row r="485" spans="2:15" x14ac:dyDescent="0.25">
      <c r="B485" s="42" t="str">
        <f t="shared" si="16"/>
        <v>DP_09_INT/DEEP-PERCOLATION</v>
      </c>
      <c r="C485" t="s">
        <v>2908</v>
      </c>
      <c r="D485" t="s">
        <v>2531</v>
      </c>
      <c r="E485" t="s">
        <v>3301</v>
      </c>
      <c r="F485">
        <v>197</v>
      </c>
      <c r="G485" t="s">
        <v>3302</v>
      </c>
      <c r="H485" t="s">
        <v>0</v>
      </c>
      <c r="I485" t="s">
        <v>656</v>
      </c>
      <c r="J485" t="s">
        <v>51</v>
      </c>
      <c r="L485" t="s">
        <v>3</v>
      </c>
      <c r="M485" t="s">
        <v>4</v>
      </c>
      <c r="N485" s="3" t="str">
        <f t="shared" si="15"/>
        <v>F</v>
      </c>
      <c r="O485" s="3" t="str">
        <f>IF(_xlfn.IFNA(MATCH(B485,Table1[UID],0),"F")="F","F","T")</f>
        <v>T</v>
      </c>
    </row>
    <row r="486" spans="2:15" x14ac:dyDescent="0.25">
      <c r="B486" s="42" t="str">
        <f t="shared" si="16"/>
        <v>DP_10_INT/DEEP-PERCOLATION</v>
      </c>
      <c r="C486" t="s">
        <v>2908</v>
      </c>
      <c r="D486" t="s">
        <v>2531</v>
      </c>
      <c r="E486" t="s">
        <v>3303</v>
      </c>
      <c r="F486">
        <v>198</v>
      </c>
      <c r="G486" t="s">
        <v>3304</v>
      </c>
      <c r="H486" t="s">
        <v>0</v>
      </c>
      <c r="I486" t="s">
        <v>657</v>
      </c>
      <c r="J486" t="s">
        <v>51</v>
      </c>
      <c r="L486" t="s">
        <v>3</v>
      </c>
      <c r="M486" t="s">
        <v>4</v>
      </c>
      <c r="N486" s="3" t="str">
        <f t="shared" si="15"/>
        <v>F</v>
      </c>
      <c r="O486" s="3" t="str">
        <f>IF(_xlfn.IFNA(MATCH(B486,Table1[UID],0),"F")="F","F","T")</f>
        <v>T</v>
      </c>
    </row>
    <row r="487" spans="2:15" x14ac:dyDescent="0.25">
      <c r="B487" s="42" t="str">
        <f t="shared" si="16"/>
        <v>DP_11_INT/DEEP-PERCOLATION</v>
      </c>
      <c r="C487" t="s">
        <v>2908</v>
      </c>
      <c r="D487" t="s">
        <v>2531</v>
      </c>
      <c r="E487" t="s">
        <v>3305</v>
      </c>
      <c r="F487">
        <v>199</v>
      </c>
      <c r="G487" t="s">
        <v>3306</v>
      </c>
      <c r="H487" t="s">
        <v>0</v>
      </c>
      <c r="I487" t="s">
        <v>658</v>
      </c>
      <c r="J487" t="s">
        <v>51</v>
      </c>
      <c r="L487" t="s">
        <v>3</v>
      </c>
      <c r="M487" t="s">
        <v>4</v>
      </c>
      <c r="N487" s="3" t="str">
        <f t="shared" si="15"/>
        <v>F</v>
      </c>
      <c r="O487" s="3" t="str">
        <f>IF(_xlfn.IFNA(MATCH(B487,Table1[UID],0),"F")="F","F","T")</f>
        <v>T</v>
      </c>
    </row>
    <row r="488" spans="2:15" x14ac:dyDescent="0.25">
      <c r="B488" s="42" t="str">
        <f t="shared" si="16"/>
        <v>DP_12_INT/DEEP-PERCOLATION</v>
      </c>
      <c r="C488" t="s">
        <v>2908</v>
      </c>
      <c r="D488" t="s">
        <v>2531</v>
      </c>
      <c r="E488" t="s">
        <v>3307</v>
      </c>
      <c r="F488">
        <v>200</v>
      </c>
      <c r="G488" t="s">
        <v>3308</v>
      </c>
      <c r="H488" t="s">
        <v>0</v>
      </c>
      <c r="I488" t="s">
        <v>659</v>
      </c>
      <c r="J488" t="s">
        <v>51</v>
      </c>
      <c r="L488" t="s">
        <v>3</v>
      </c>
      <c r="M488" t="s">
        <v>4</v>
      </c>
      <c r="N488" s="3" t="str">
        <f t="shared" si="15"/>
        <v>F</v>
      </c>
      <c r="O488" s="3" t="str">
        <f>IF(_xlfn.IFNA(MATCH(B488,Table1[UID],0),"F")="F","F","T")</f>
        <v>T</v>
      </c>
    </row>
    <row r="489" spans="2:15" x14ac:dyDescent="0.25">
      <c r="B489" s="42" t="str">
        <f t="shared" si="16"/>
        <v>DP_13_INT/DEEP-PERCOLATION</v>
      </c>
      <c r="C489" t="s">
        <v>2908</v>
      </c>
      <c r="D489" t="s">
        <v>2531</v>
      </c>
      <c r="E489" t="s">
        <v>3309</v>
      </c>
      <c r="F489">
        <v>201</v>
      </c>
      <c r="G489" t="s">
        <v>3310</v>
      </c>
      <c r="H489" t="s">
        <v>0</v>
      </c>
      <c r="I489" t="s">
        <v>660</v>
      </c>
      <c r="J489" t="s">
        <v>51</v>
      </c>
      <c r="L489" t="s">
        <v>3</v>
      </c>
      <c r="M489" t="s">
        <v>4</v>
      </c>
      <c r="N489" s="3" t="str">
        <f t="shared" si="15"/>
        <v>F</v>
      </c>
      <c r="O489" s="3" t="str">
        <f>IF(_xlfn.IFNA(MATCH(B489,Table1[UID],0),"F")="F","F","T")</f>
        <v>T</v>
      </c>
    </row>
    <row r="490" spans="2:15" x14ac:dyDescent="0.25">
      <c r="B490" s="42" t="str">
        <f t="shared" si="16"/>
        <v>DP_14_INT/DEEP-PERCOLATION</v>
      </c>
      <c r="C490" t="s">
        <v>2908</v>
      </c>
      <c r="D490" t="s">
        <v>2531</v>
      </c>
      <c r="E490" t="s">
        <v>3311</v>
      </c>
      <c r="F490">
        <v>202</v>
      </c>
      <c r="G490" t="s">
        <v>3312</v>
      </c>
      <c r="H490" t="s">
        <v>0</v>
      </c>
      <c r="I490" t="s">
        <v>661</v>
      </c>
      <c r="J490" t="s">
        <v>51</v>
      </c>
      <c r="L490" t="s">
        <v>3</v>
      </c>
      <c r="M490" t="s">
        <v>4</v>
      </c>
      <c r="N490" s="3" t="str">
        <f t="shared" si="15"/>
        <v>F</v>
      </c>
      <c r="O490" s="3" t="str">
        <f>IF(_xlfn.IFNA(MATCH(B490,Table1[UID],0),"F")="F","F","T")</f>
        <v>T</v>
      </c>
    </row>
    <row r="491" spans="2:15" x14ac:dyDescent="0.25">
      <c r="B491" s="42" t="str">
        <f t="shared" si="16"/>
        <v>DP_15N_INT/DEEP-PERCOLATION</v>
      </c>
      <c r="C491" t="s">
        <v>2908</v>
      </c>
      <c r="D491" t="s">
        <v>2531</v>
      </c>
      <c r="E491" t="s">
        <v>3313</v>
      </c>
      <c r="F491">
        <v>203</v>
      </c>
      <c r="G491" t="s">
        <v>3314</v>
      </c>
      <c r="H491" t="s">
        <v>0</v>
      </c>
      <c r="I491" t="s">
        <v>662</v>
      </c>
      <c r="J491" t="s">
        <v>51</v>
      </c>
      <c r="L491" t="s">
        <v>3</v>
      </c>
      <c r="M491" t="s">
        <v>4</v>
      </c>
      <c r="N491" s="3" t="str">
        <f t="shared" si="15"/>
        <v>F</v>
      </c>
      <c r="O491" s="3" t="str">
        <f>IF(_xlfn.IFNA(MATCH(B491,Table1[UID],0),"F")="F","F","T")</f>
        <v>T</v>
      </c>
    </row>
    <row r="492" spans="2:15" x14ac:dyDescent="0.25">
      <c r="B492" s="42" t="str">
        <f t="shared" si="16"/>
        <v>DP_15S_INT/DEEP-PERCOLATION</v>
      </c>
      <c r="C492" t="s">
        <v>2908</v>
      </c>
      <c r="D492" t="s">
        <v>2531</v>
      </c>
      <c r="E492" t="s">
        <v>3315</v>
      </c>
      <c r="F492">
        <v>204</v>
      </c>
      <c r="G492" t="s">
        <v>3316</v>
      </c>
      <c r="H492" t="s">
        <v>0</v>
      </c>
      <c r="I492" t="s">
        <v>663</v>
      </c>
      <c r="J492" t="s">
        <v>51</v>
      </c>
      <c r="L492" t="s">
        <v>3</v>
      </c>
      <c r="M492" t="s">
        <v>4</v>
      </c>
      <c r="N492" s="3" t="str">
        <f t="shared" si="15"/>
        <v>F</v>
      </c>
      <c r="O492" s="3" t="str">
        <f>IF(_xlfn.IFNA(MATCH(B492,Table1[UID],0),"F")="F","F","T")</f>
        <v>T</v>
      </c>
    </row>
    <row r="493" spans="2:15" x14ac:dyDescent="0.25">
      <c r="B493" s="42" t="str">
        <f t="shared" si="16"/>
        <v>DP_16_INT/DEEP-PERCOLATION</v>
      </c>
      <c r="C493" t="s">
        <v>2908</v>
      </c>
      <c r="D493" t="s">
        <v>2531</v>
      </c>
      <c r="E493" t="s">
        <v>3317</v>
      </c>
      <c r="F493">
        <v>205</v>
      </c>
      <c r="G493" t="s">
        <v>3318</v>
      </c>
      <c r="H493" t="s">
        <v>0</v>
      </c>
      <c r="I493" t="s">
        <v>664</v>
      </c>
      <c r="J493" t="s">
        <v>51</v>
      </c>
      <c r="L493" t="s">
        <v>3</v>
      </c>
      <c r="M493" t="s">
        <v>4</v>
      </c>
      <c r="N493" s="3" t="str">
        <f t="shared" si="15"/>
        <v>F</v>
      </c>
      <c r="O493" s="3" t="str">
        <f>IF(_xlfn.IFNA(MATCH(B493,Table1[UID],0),"F")="F","F","T")</f>
        <v>T</v>
      </c>
    </row>
    <row r="494" spans="2:15" x14ac:dyDescent="0.25">
      <c r="B494" s="42" t="str">
        <f t="shared" si="16"/>
        <v>DP_17N_INT/DEEP-PERCOLATION</v>
      </c>
      <c r="C494" t="s">
        <v>2908</v>
      </c>
      <c r="D494" t="s">
        <v>2531</v>
      </c>
      <c r="E494" t="s">
        <v>3319</v>
      </c>
      <c r="F494">
        <v>206</v>
      </c>
      <c r="G494" t="s">
        <v>3320</v>
      </c>
      <c r="H494" t="s">
        <v>0</v>
      </c>
      <c r="I494" t="s">
        <v>665</v>
      </c>
      <c r="J494" t="s">
        <v>51</v>
      </c>
      <c r="L494" t="s">
        <v>3</v>
      </c>
      <c r="M494" t="s">
        <v>4</v>
      </c>
      <c r="N494" s="3" t="str">
        <f t="shared" si="15"/>
        <v>F</v>
      </c>
      <c r="O494" s="3" t="str">
        <f>IF(_xlfn.IFNA(MATCH(B494,Table1[UID],0),"F")="F","F","T")</f>
        <v>T</v>
      </c>
    </row>
    <row r="495" spans="2:15" x14ac:dyDescent="0.25">
      <c r="B495" s="42" t="str">
        <f t="shared" si="16"/>
        <v>DP_17S_INT/DEEP-PERCOLATION</v>
      </c>
      <c r="C495" t="s">
        <v>2908</v>
      </c>
      <c r="D495" t="s">
        <v>2531</v>
      </c>
      <c r="E495" t="s">
        <v>3321</v>
      </c>
      <c r="F495">
        <v>207</v>
      </c>
      <c r="G495" t="s">
        <v>3322</v>
      </c>
      <c r="H495" t="s">
        <v>0</v>
      </c>
      <c r="I495" t="s">
        <v>666</v>
      </c>
      <c r="J495" t="s">
        <v>51</v>
      </c>
      <c r="L495" t="s">
        <v>3</v>
      </c>
      <c r="M495" t="s">
        <v>4</v>
      </c>
      <c r="N495" s="3" t="str">
        <f t="shared" si="15"/>
        <v>F</v>
      </c>
      <c r="O495" s="3" t="str">
        <f>IF(_xlfn.IFNA(MATCH(B495,Table1[UID],0),"F")="F","F","T")</f>
        <v>T</v>
      </c>
    </row>
    <row r="496" spans="2:15" x14ac:dyDescent="0.25">
      <c r="B496" s="42" t="str">
        <f t="shared" si="16"/>
        <v>DP_18_INT/DEEP-PERCOLATION</v>
      </c>
      <c r="C496" t="s">
        <v>2908</v>
      </c>
      <c r="D496" t="s">
        <v>2531</v>
      </c>
      <c r="E496" t="s">
        <v>3323</v>
      </c>
      <c r="F496">
        <v>208</v>
      </c>
      <c r="G496" t="s">
        <v>3324</v>
      </c>
      <c r="H496" t="s">
        <v>0</v>
      </c>
      <c r="I496" t="s">
        <v>667</v>
      </c>
      <c r="J496" t="s">
        <v>51</v>
      </c>
      <c r="L496" t="s">
        <v>3</v>
      </c>
      <c r="M496" t="s">
        <v>4</v>
      </c>
      <c r="N496" s="3" t="str">
        <f t="shared" si="15"/>
        <v>F</v>
      </c>
      <c r="O496" s="3" t="str">
        <f>IF(_xlfn.IFNA(MATCH(B496,Table1[UID],0),"F")="F","F","T")</f>
        <v>T</v>
      </c>
    </row>
    <row r="497" spans="2:15" x14ac:dyDescent="0.25">
      <c r="B497" s="42" t="str">
        <f t="shared" si="16"/>
        <v>DP_19_INT/DEEP-PERCOLATION</v>
      </c>
      <c r="C497" t="s">
        <v>2908</v>
      </c>
      <c r="D497" t="s">
        <v>2531</v>
      </c>
      <c r="E497" t="s">
        <v>3325</v>
      </c>
      <c r="F497">
        <v>209</v>
      </c>
      <c r="G497" t="s">
        <v>3326</v>
      </c>
      <c r="H497" t="s">
        <v>0</v>
      </c>
      <c r="I497" t="s">
        <v>668</v>
      </c>
      <c r="J497" t="s">
        <v>51</v>
      </c>
      <c r="L497" t="s">
        <v>3</v>
      </c>
      <c r="M497" t="s">
        <v>4</v>
      </c>
      <c r="N497" s="3" t="str">
        <f t="shared" si="15"/>
        <v>F</v>
      </c>
      <c r="O497" s="3" t="str">
        <f>IF(_xlfn.IFNA(MATCH(B497,Table1[UID],0),"F")="F","F","T")</f>
        <v>T</v>
      </c>
    </row>
    <row r="498" spans="2:15" x14ac:dyDescent="0.25">
      <c r="B498" s="42" t="str">
        <f t="shared" si="16"/>
        <v>DP_20_INT/DEEP-PERCOLATION</v>
      </c>
      <c r="C498" t="s">
        <v>2908</v>
      </c>
      <c r="D498" t="s">
        <v>2531</v>
      </c>
      <c r="E498" t="s">
        <v>3327</v>
      </c>
      <c r="F498">
        <v>210</v>
      </c>
      <c r="G498" t="s">
        <v>3328</v>
      </c>
      <c r="H498" t="s">
        <v>0</v>
      </c>
      <c r="I498" t="s">
        <v>669</v>
      </c>
      <c r="J498" t="s">
        <v>51</v>
      </c>
      <c r="L498" t="s">
        <v>3</v>
      </c>
      <c r="M498" t="s">
        <v>4</v>
      </c>
      <c r="N498" s="3" t="str">
        <f t="shared" si="15"/>
        <v>F</v>
      </c>
      <c r="O498" s="3" t="str">
        <f>IF(_xlfn.IFNA(MATCH(B498,Table1[UID],0),"F")="F","F","T")</f>
        <v>T</v>
      </c>
    </row>
    <row r="499" spans="2:15" x14ac:dyDescent="0.25">
      <c r="B499" s="42" t="str">
        <f t="shared" si="16"/>
        <v>DP_21_INT/DEEP-PERCOLATION</v>
      </c>
      <c r="C499" t="s">
        <v>2908</v>
      </c>
      <c r="D499" t="s">
        <v>2531</v>
      </c>
      <c r="E499" t="s">
        <v>3329</v>
      </c>
      <c r="F499">
        <v>211</v>
      </c>
      <c r="G499" t="s">
        <v>3330</v>
      </c>
      <c r="H499" t="s">
        <v>0</v>
      </c>
      <c r="I499" t="s">
        <v>670</v>
      </c>
      <c r="J499" t="s">
        <v>51</v>
      </c>
      <c r="L499" t="s">
        <v>3</v>
      </c>
      <c r="M499" t="s">
        <v>4</v>
      </c>
      <c r="N499" s="3" t="str">
        <f t="shared" si="15"/>
        <v>F</v>
      </c>
      <c r="O499" s="3" t="str">
        <f>IF(_xlfn.IFNA(MATCH(B499,Table1[UID],0),"F")="F","F","T")</f>
        <v>T</v>
      </c>
    </row>
    <row r="500" spans="2:15" x14ac:dyDescent="0.25">
      <c r="B500" s="42" t="str">
        <f t="shared" si="16"/>
        <v>DP_22_INT/DEEP-PERCOLATION</v>
      </c>
      <c r="C500" t="s">
        <v>2908</v>
      </c>
      <c r="D500" t="s">
        <v>2531</v>
      </c>
      <c r="E500" t="s">
        <v>3331</v>
      </c>
      <c r="F500">
        <v>212</v>
      </c>
      <c r="G500" t="s">
        <v>3332</v>
      </c>
      <c r="H500" t="s">
        <v>0</v>
      </c>
      <c r="I500" t="s">
        <v>671</v>
      </c>
      <c r="J500" t="s">
        <v>51</v>
      </c>
      <c r="L500" t="s">
        <v>3</v>
      </c>
      <c r="M500" t="s">
        <v>4</v>
      </c>
      <c r="N500" s="3" t="str">
        <f t="shared" si="15"/>
        <v>F</v>
      </c>
      <c r="O500" s="3" t="str">
        <f>IF(_xlfn.IFNA(MATCH(B500,Table1[UID],0),"F")="F","F","T")</f>
        <v>T</v>
      </c>
    </row>
    <row r="501" spans="2:15" x14ac:dyDescent="0.25">
      <c r="B501" s="42" t="str">
        <f t="shared" si="16"/>
        <v>DP_23_INT/DEEP-PERCOLATION</v>
      </c>
      <c r="C501" t="s">
        <v>2908</v>
      </c>
      <c r="D501" t="s">
        <v>2531</v>
      </c>
      <c r="E501" t="s">
        <v>3333</v>
      </c>
      <c r="F501">
        <v>213</v>
      </c>
      <c r="G501" t="s">
        <v>3334</v>
      </c>
      <c r="H501" t="s">
        <v>0</v>
      </c>
      <c r="I501" t="s">
        <v>672</v>
      </c>
      <c r="J501" t="s">
        <v>51</v>
      </c>
      <c r="L501" t="s">
        <v>3</v>
      </c>
      <c r="M501" t="s">
        <v>4</v>
      </c>
      <c r="N501" s="3" t="str">
        <f t="shared" si="15"/>
        <v>F</v>
      </c>
      <c r="O501" s="3" t="str">
        <f>IF(_xlfn.IFNA(MATCH(B501,Table1[UID],0),"F")="F","F","T")</f>
        <v>T</v>
      </c>
    </row>
    <row r="502" spans="2:15" x14ac:dyDescent="0.25">
      <c r="B502" s="42" t="str">
        <f t="shared" si="16"/>
        <v>DP_24_INT/DEEP-PERCOLATION</v>
      </c>
      <c r="C502" t="s">
        <v>2908</v>
      </c>
      <c r="D502" t="s">
        <v>2531</v>
      </c>
      <c r="E502" t="s">
        <v>3335</v>
      </c>
      <c r="F502">
        <v>214</v>
      </c>
      <c r="G502" t="s">
        <v>3336</v>
      </c>
      <c r="H502" t="s">
        <v>0</v>
      </c>
      <c r="I502" t="s">
        <v>673</v>
      </c>
      <c r="J502" t="s">
        <v>51</v>
      </c>
      <c r="L502" t="s">
        <v>3</v>
      </c>
      <c r="M502" t="s">
        <v>4</v>
      </c>
      <c r="N502" s="3" t="str">
        <f t="shared" si="15"/>
        <v>F</v>
      </c>
      <c r="O502" s="3" t="str">
        <f>IF(_xlfn.IFNA(MATCH(B502,Table1[UID],0),"F")="F","F","T")</f>
        <v>T</v>
      </c>
    </row>
    <row r="503" spans="2:15" x14ac:dyDescent="0.25">
      <c r="B503" s="42" t="str">
        <f t="shared" si="16"/>
        <v>DP_25_INT/DEEP-PERCOLATION</v>
      </c>
      <c r="C503" t="s">
        <v>2908</v>
      </c>
      <c r="D503" t="s">
        <v>2531</v>
      </c>
      <c r="E503" t="s">
        <v>3337</v>
      </c>
      <c r="F503">
        <v>215</v>
      </c>
      <c r="G503" t="s">
        <v>3338</v>
      </c>
      <c r="H503" t="s">
        <v>0</v>
      </c>
      <c r="I503" t="s">
        <v>674</v>
      </c>
      <c r="J503" t="s">
        <v>51</v>
      </c>
      <c r="L503" t="s">
        <v>3</v>
      </c>
      <c r="M503" t="s">
        <v>4</v>
      </c>
      <c r="N503" s="3" t="str">
        <f t="shared" si="15"/>
        <v>F</v>
      </c>
      <c r="O503" s="3" t="str">
        <f>IF(_xlfn.IFNA(MATCH(B503,Table1[UID],0),"F")="F","F","T")</f>
        <v>T</v>
      </c>
    </row>
    <row r="504" spans="2:15" x14ac:dyDescent="0.25">
      <c r="B504" s="42" t="str">
        <f t="shared" si="16"/>
        <v>DP_26N_INT/DEEP-PERCOLATION</v>
      </c>
      <c r="C504" t="s">
        <v>2908</v>
      </c>
      <c r="D504" t="s">
        <v>2531</v>
      </c>
      <c r="E504" t="s">
        <v>3339</v>
      </c>
      <c r="F504">
        <v>216</v>
      </c>
      <c r="G504" t="s">
        <v>3340</v>
      </c>
      <c r="H504" t="s">
        <v>0</v>
      </c>
      <c r="I504" t="s">
        <v>675</v>
      </c>
      <c r="J504" t="s">
        <v>51</v>
      </c>
      <c r="L504" t="s">
        <v>3</v>
      </c>
      <c r="M504" t="s">
        <v>4</v>
      </c>
      <c r="N504" s="3" t="str">
        <f t="shared" si="15"/>
        <v>F</v>
      </c>
      <c r="O504" s="3" t="str">
        <f>IF(_xlfn.IFNA(MATCH(B504,Table1[UID],0),"F")="F","F","T")</f>
        <v>T</v>
      </c>
    </row>
    <row r="505" spans="2:15" x14ac:dyDescent="0.25">
      <c r="B505" s="42" t="str">
        <f t="shared" si="16"/>
        <v>DP_26S_INT/DEEP-PERCOLATION</v>
      </c>
      <c r="C505" t="s">
        <v>2908</v>
      </c>
      <c r="D505" t="s">
        <v>2531</v>
      </c>
      <c r="E505" t="s">
        <v>3341</v>
      </c>
      <c r="F505">
        <v>217</v>
      </c>
      <c r="G505" t="s">
        <v>3342</v>
      </c>
      <c r="H505" t="s">
        <v>0</v>
      </c>
      <c r="I505" t="s">
        <v>676</v>
      </c>
      <c r="J505" t="s">
        <v>51</v>
      </c>
      <c r="L505" t="s">
        <v>3</v>
      </c>
      <c r="M505" t="s">
        <v>4</v>
      </c>
      <c r="N505" s="3" t="str">
        <f t="shared" si="15"/>
        <v>F</v>
      </c>
      <c r="O505" s="3" t="str">
        <f>IF(_xlfn.IFNA(MATCH(B505,Table1[UID],0),"F")="F","F","T")</f>
        <v>T</v>
      </c>
    </row>
    <row r="506" spans="2:15" x14ac:dyDescent="0.25">
      <c r="B506" s="42" t="str">
        <f t="shared" si="16"/>
        <v>SR_02/SURFACE-RUNOFF</v>
      </c>
      <c r="C506" t="s">
        <v>2908</v>
      </c>
      <c r="D506" t="s">
        <v>2531</v>
      </c>
      <c r="E506" t="s">
        <v>3343</v>
      </c>
      <c r="F506">
        <v>218</v>
      </c>
      <c r="G506" t="s">
        <v>3344</v>
      </c>
      <c r="H506" t="s">
        <v>0</v>
      </c>
      <c r="I506" t="s">
        <v>694</v>
      </c>
      <c r="J506" t="s">
        <v>695</v>
      </c>
      <c r="L506" t="s">
        <v>3</v>
      </c>
      <c r="M506" t="s">
        <v>4</v>
      </c>
      <c r="N506" s="3" t="str">
        <f t="shared" si="15"/>
        <v>F</v>
      </c>
      <c r="O506" s="3" t="str">
        <f>IF(_xlfn.IFNA(MATCH(B506,Table1[UID],0),"F")="F","F","T")</f>
        <v>T</v>
      </c>
    </row>
    <row r="507" spans="2:15" x14ac:dyDescent="0.25">
      <c r="B507" s="42" t="str">
        <f t="shared" si="16"/>
        <v>SR_03/SURFACE-RUNOFF</v>
      </c>
      <c r="C507" t="s">
        <v>2908</v>
      </c>
      <c r="D507" t="s">
        <v>2531</v>
      </c>
      <c r="E507" t="s">
        <v>3345</v>
      </c>
      <c r="F507">
        <v>219</v>
      </c>
      <c r="G507" t="s">
        <v>3346</v>
      </c>
      <c r="H507" t="s">
        <v>0</v>
      </c>
      <c r="I507" t="s">
        <v>696</v>
      </c>
      <c r="J507" t="s">
        <v>695</v>
      </c>
      <c r="L507" t="s">
        <v>3</v>
      </c>
      <c r="M507" t="s">
        <v>4</v>
      </c>
      <c r="N507" s="3" t="str">
        <f t="shared" si="15"/>
        <v>F</v>
      </c>
      <c r="O507" s="3" t="str">
        <f>IF(_xlfn.IFNA(MATCH(B507,Table1[UID],0),"F")="F","F","T")</f>
        <v>T</v>
      </c>
    </row>
    <row r="508" spans="2:15" x14ac:dyDescent="0.25">
      <c r="B508" s="42" t="str">
        <f t="shared" si="16"/>
        <v>SR_04/SURFACE-RUNOFF</v>
      </c>
      <c r="C508" t="s">
        <v>2908</v>
      </c>
      <c r="D508" t="s">
        <v>2531</v>
      </c>
      <c r="E508" t="s">
        <v>3347</v>
      </c>
      <c r="F508">
        <v>220</v>
      </c>
      <c r="G508" t="s">
        <v>3348</v>
      </c>
      <c r="H508" t="s">
        <v>0</v>
      </c>
      <c r="I508" t="s">
        <v>697</v>
      </c>
      <c r="J508" t="s">
        <v>695</v>
      </c>
      <c r="L508" t="s">
        <v>3</v>
      </c>
      <c r="M508" t="s">
        <v>4</v>
      </c>
      <c r="N508" s="3" t="str">
        <f t="shared" si="15"/>
        <v>F</v>
      </c>
      <c r="O508" s="3" t="str">
        <f>IF(_xlfn.IFNA(MATCH(B508,Table1[UID],0),"F")="F","F","T")</f>
        <v>T</v>
      </c>
    </row>
    <row r="509" spans="2:15" x14ac:dyDescent="0.25">
      <c r="B509" s="42" t="str">
        <f t="shared" si="16"/>
        <v>SR_05/SURFACE-RUNOFF</v>
      </c>
      <c r="C509" t="s">
        <v>2908</v>
      </c>
      <c r="D509" t="s">
        <v>2531</v>
      </c>
      <c r="E509" t="s">
        <v>3349</v>
      </c>
      <c r="F509">
        <v>221</v>
      </c>
      <c r="G509" t="s">
        <v>3350</v>
      </c>
      <c r="H509" t="s">
        <v>0</v>
      </c>
      <c r="I509" t="s">
        <v>698</v>
      </c>
      <c r="J509" t="s">
        <v>695</v>
      </c>
      <c r="L509" t="s">
        <v>3</v>
      </c>
      <c r="M509" t="s">
        <v>4</v>
      </c>
      <c r="N509" s="3" t="str">
        <f t="shared" si="15"/>
        <v>F</v>
      </c>
      <c r="O509" s="3" t="str">
        <f>IF(_xlfn.IFNA(MATCH(B509,Table1[UID],0),"F")="F","F","T")</f>
        <v>T</v>
      </c>
    </row>
    <row r="510" spans="2:15" x14ac:dyDescent="0.25">
      <c r="B510" s="42" t="str">
        <f t="shared" si="16"/>
        <v>SR_06/SURFACE-RUNOFF</v>
      </c>
      <c r="C510" t="s">
        <v>2908</v>
      </c>
      <c r="D510" t="s">
        <v>2531</v>
      </c>
      <c r="E510" t="s">
        <v>3351</v>
      </c>
      <c r="F510">
        <v>222</v>
      </c>
      <c r="G510" t="s">
        <v>3352</v>
      </c>
      <c r="H510" t="s">
        <v>0</v>
      </c>
      <c r="I510" t="s">
        <v>699</v>
      </c>
      <c r="J510" t="s">
        <v>695</v>
      </c>
      <c r="L510" t="s">
        <v>3</v>
      </c>
      <c r="M510" t="s">
        <v>4</v>
      </c>
      <c r="N510" s="3" t="str">
        <f t="shared" si="15"/>
        <v>F</v>
      </c>
      <c r="O510" s="3" t="str">
        <f>IF(_xlfn.IFNA(MATCH(B510,Table1[UID],0),"F")="F","F","T")</f>
        <v>T</v>
      </c>
    </row>
    <row r="511" spans="2:15" x14ac:dyDescent="0.25">
      <c r="B511" s="42" t="str">
        <f t="shared" si="16"/>
        <v>SR_07N/SURFACE-RUNOFF</v>
      </c>
      <c r="C511" t="s">
        <v>2908</v>
      </c>
      <c r="D511" t="s">
        <v>2531</v>
      </c>
      <c r="E511" t="s">
        <v>3353</v>
      </c>
      <c r="F511">
        <v>223</v>
      </c>
      <c r="G511" t="s">
        <v>3354</v>
      </c>
      <c r="H511" t="s">
        <v>0</v>
      </c>
      <c r="I511" t="s">
        <v>700</v>
      </c>
      <c r="J511" t="s">
        <v>695</v>
      </c>
      <c r="L511" t="s">
        <v>3</v>
      </c>
      <c r="M511" t="s">
        <v>4</v>
      </c>
      <c r="N511" s="3" t="str">
        <f t="shared" si="15"/>
        <v>F</v>
      </c>
      <c r="O511" s="3" t="str">
        <f>IF(_xlfn.IFNA(MATCH(B511,Table1[UID],0),"F")="F","F","T")</f>
        <v>T</v>
      </c>
    </row>
    <row r="512" spans="2:15" x14ac:dyDescent="0.25">
      <c r="B512" s="42" t="str">
        <f t="shared" si="16"/>
        <v>SR_07S/SURFACE-RUNOFF</v>
      </c>
      <c r="C512" t="s">
        <v>2908</v>
      </c>
      <c r="D512" t="s">
        <v>2531</v>
      </c>
      <c r="E512" t="s">
        <v>3355</v>
      </c>
      <c r="F512">
        <v>224</v>
      </c>
      <c r="G512" t="s">
        <v>3356</v>
      </c>
      <c r="H512" t="s">
        <v>0</v>
      </c>
      <c r="I512" t="s">
        <v>701</v>
      </c>
      <c r="J512" t="s">
        <v>695</v>
      </c>
      <c r="L512" t="s">
        <v>3</v>
      </c>
      <c r="M512" t="s">
        <v>4</v>
      </c>
      <c r="N512" s="3" t="str">
        <f t="shared" si="15"/>
        <v>F</v>
      </c>
      <c r="O512" s="3" t="str">
        <f>IF(_xlfn.IFNA(MATCH(B512,Table1[UID],0),"F")="F","F","T")</f>
        <v>T</v>
      </c>
    </row>
    <row r="513" spans="2:15" x14ac:dyDescent="0.25">
      <c r="B513" s="42" t="str">
        <f t="shared" si="16"/>
        <v>SR_08N/SURFACE-RUNOFF</v>
      </c>
      <c r="C513" t="s">
        <v>2908</v>
      </c>
      <c r="D513" t="s">
        <v>2531</v>
      </c>
      <c r="E513" t="s">
        <v>3357</v>
      </c>
      <c r="F513">
        <v>225</v>
      </c>
      <c r="G513" t="s">
        <v>3358</v>
      </c>
      <c r="H513" t="s">
        <v>0</v>
      </c>
      <c r="I513" t="s">
        <v>702</v>
      </c>
      <c r="J513" t="s">
        <v>695</v>
      </c>
      <c r="L513" t="s">
        <v>3</v>
      </c>
      <c r="M513" t="s">
        <v>4</v>
      </c>
      <c r="N513" s="3" t="str">
        <f t="shared" si="15"/>
        <v>F</v>
      </c>
      <c r="O513" s="3" t="str">
        <f>IF(_xlfn.IFNA(MATCH(B513,Table1[UID],0),"F")="F","F","T")</f>
        <v>T</v>
      </c>
    </row>
    <row r="514" spans="2:15" x14ac:dyDescent="0.25">
      <c r="B514" s="42" t="str">
        <f t="shared" si="16"/>
        <v>SR_08S/SURFACE-RUNOFF</v>
      </c>
      <c r="C514" t="s">
        <v>2908</v>
      </c>
      <c r="D514" t="s">
        <v>2531</v>
      </c>
      <c r="E514" t="s">
        <v>3359</v>
      </c>
      <c r="F514">
        <v>226</v>
      </c>
      <c r="G514" t="s">
        <v>3360</v>
      </c>
      <c r="H514" t="s">
        <v>0</v>
      </c>
      <c r="I514" t="s">
        <v>703</v>
      </c>
      <c r="J514" t="s">
        <v>695</v>
      </c>
      <c r="L514" t="s">
        <v>3</v>
      </c>
      <c r="M514" t="s">
        <v>4</v>
      </c>
      <c r="N514" s="3" t="str">
        <f t="shared" si="15"/>
        <v>F</v>
      </c>
      <c r="O514" s="3" t="str">
        <f>IF(_xlfn.IFNA(MATCH(B514,Table1[UID],0),"F")="F","F","T")</f>
        <v>T</v>
      </c>
    </row>
    <row r="515" spans="2:15" x14ac:dyDescent="0.25">
      <c r="B515" s="42" t="str">
        <f t="shared" si="16"/>
        <v>SR_09/SURFACE-RUNOFF</v>
      </c>
      <c r="C515" t="s">
        <v>2908</v>
      </c>
      <c r="D515" t="s">
        <v>2531</v>
      </c>
      <c r="E515" t="s">
        <v>3361</v>
      </c>
      <c r="F515">
        <v>227</v>
      </c>
      <c r="G515" t="s">
        <v>3362</v>
      </c>
      <c r="H515" t="s">
        <v>0</v>
      </c>
      <c r="I515" t="s">
        <v>704</v>
      </c>
      <c r="J515" t="s">
        <v>695</v>
      </c>
      <c r="L515" t="s">
        <v>3</v>
      </c>
      <c r="M515" t="s">
        <v>4</v>
      </c>
      <c r="N515" s="3" t="str">
        <f t="shared" ref="N515:N578" si="17">IF(COUNTIF($B$3:$B$1760,"="&amp;B515)&gt;1,"T","F")</f>
        <v>F</v>
      </c>
      <c r="O515" s="3" t="str">
        <f>IF(_xlfn.IFNA(MATCH(B515,Table1[UID],0),"F")="F","F","T")</f>
        <v>T</v>
      </c>
    </row>
    <row r="516" spans="2:15" x14ac:dyDescent="0.25">
      <c r="B516" s="42" t="str">
        <f t="shared" si="16"/>
        <v>SR_10/SURFACE-RUNOFF</v>
      </c>
      <c r="C516" t="s">
        <v>2908</v>
      </c>
      <c r="D516" t="s">
        <v>2531</v>
      </c>
      <c r="E516" t="s">
        <v>3363</v>
      </c>
      <c r="F516">
        <v>228</v>
      </c>
      <c r="G516" t="s">
        <v>3364</v>
      </c>
      <c r="H516" t="s">
        <v>0</v>
      </c>
      <c r="I516" t="s">
        <v>705</v>
      </c>
      <c r="J516" t="s">
        <v>695</v>
      </c>
      <c r="L516" t="s">
        <v>3</v>
      </c>
      <c r="M516" t="s">
        <v>4</v>
      </c>
      <c r="N516" s="3" t="str">
        <f t="shared" si="17"/>
        <v>F</v>
      </c>
      <c r="O516" s="3" t="str">
        <f>IF(_xlfn.IFNA(MATCH(B516,Table1[UID],0),"F")="F","F","T")</f>
        <v>T</v>
      </c>
    </row>
    <row r="517" spans="2:15" x14ac:dyDescent="0.25">
      <c r="B517" s="42" t="str">
        <f t="shared" si="16"/>
        <v>SR_11/SURFACE-RUNOFF</v>
      </c>
      <c r="C517" t="s">
        <v>2908</v>
      </c>
      <c r="D517" t="s">
        <v>2531</v>
      </c>
      <c r="E517" t="s">
        <v>3365</v>
      </c>
      <c r="F517">
        <v>229</v>
      </c>
      <c r="G517" t="s">
        <v>3366</v>
      </c>
      <c r="H517" t="s">
        <v>0</v>
      </c>
      <c r="I517" t="s">
        <v>706</v>
      </c>
      <c r="J517" t="s">
        <v>695</v>
      </c>
      <c r="L517" t="s">
        <v>3</v>
      </c>
      <c r="M517" t="s">
        <v>4</v>
      </c>
      <c r="N517" s="3" t="str">
        <f t="shared" si="17"/>
        <v>F</v>
      </c>
      <c r="O517" s="3" t="str">
        <f>IF(_xlfn.IFNA(MATCH(B517,Table1[UID],0),"F")="F","F","T")</f>
        <v>T</v>
      </c>
    </row>
    <row r="518" spans="2:15" x14ac:dyDescent="0.25">
      <c r="B518" s="42" t="str">
        <f t="shared" si="16"/>
        <v>SR_12/SURFACE-RUNOFF</v>
      </c>
      <c r="C518" t="s">
        <v>2908</v>
      </c>
      <c r="D518" t="s">
        <v>2531</v>
      </c>
      <c r="E518" t="s">
        <v>3367</v>
      </c>
      <c r="F518">
        <v>230</v>
      </c>
      <c r="G518" t="s">
        <v>3368</v>
      </c>
      <c r="H518" t="s">
        <v>0</v>
      </c>
      <c r="I518" t="s">
        <v>707</v>
      </c>
      <c r="J518" t="s">
        <v>695</v>
      </c>
      <c r="L518" t="s">
        <v>3</v>
      </c>
      <c r="M518" t="s">
        <v>4</v>
      </c>
      <c r="N518" s="3" t="str">
        <f t="shared" si="17"/>
        <v>F</v>
      </c>
      <c r="O518" s="3" t="str">
        <f>IF(_xlfn.IFNA(MATCH(B518,Table1[UID],0),"F")="F","F","T")</f>
        <v>T</v>
      </c>
    </row>
    <row r="519" spans="2:15" x14ac:dyDescent="0.25">
      <c r="B519" s="42" t="str">
        <f t="shared" si="16"/>
        <v>SR_13/SURFACE-RUNOFF</v>
      </c>
      <c r="C519" t="s">
        <v>2908</v>
      </c>
      <c r="D519" t="s">
        <v>2531</v>
      </c>
      <c r="E519" t="s">
        <v>3369</v>
      </c>
      <c r="F519">
        <v>231</v>
      </c>
      <c r="G519" t="s">
        <v>3370</v>
      </c>
      <c r="H519" t="s">
        <v>0</v>
      </c>
      <c r="I519" t="s">
        <v>708</v>
      </c>
      <c r="J519" t="s">
        <v>695</v>
      </c>
      <c r="L519" t="s">
        <v>3</v>
      </c>
      <c r="M519" t="s">
        <v>4</v>
      </c>
      <c r="N519" s="3" t="str">
        <f t="shared" si="17"/>
        <v>F</v>
      </c>
      <c r="O519" s="3" t="str">
        <f>IF(_xlfn.IFNA(MATCH(B519,Table1[UID],0),"F")="F","F","T")</f>
        <v>T</v>
      </c>
    </row>
    <row r="520" spans="2:15" x14ac:dyDescent="0.25">
      <c r="B520" s="42" t="str">
        <f t="shared" si="16"/>
        <v>SR_14/SURFACE-RUNOFF</v>
      </c>
      <c r="C520" t="s">
        <v>2908</v>
      </c>
      <c r="D520" t="s">
        <v>2531</v>
      </c>
      <c r="E520" t="s">
        <v>3371</v>
      </c>
      <c r="F520">
        <v>232</v>
      </c>
      <c r="G520" t="s">
        <v>3372</v>
      </c>
      <c r="H520" t="s">
        <v>0</v>
      </c>
      <c r="I520" t="s">
        <v>709</v>
      </c>
      <c r="J520" t="s">
        <v>695</v>
      </c>
      <c r="L520" t="s">
        <v>3</v>
      </c>
      <c r="M520" t="s">
        <v>4</v>
      </c>
      <c r="N520" s="3" t="str">
        <f t="shared" si="17"/>
        <v>F</v>
      </c>
      <c r="O520" s="3" t="str">
        <f>IF(_xlfn.IFNA(MATCH(B520,Table1[UID],0),"F")="F","F","T")</f>
        <v>T</v>
      </c>
    </row>
    <row r="521" spans="2:15" x14ac:dyDescent="0.25">
      <c r="B521" s="42" t="str">
        <f t="shared" si="16"/>
        <v>SR_15N/SURFACE-RUNOFF</v>
      </c>
      <c r="C521" t="s">
        <v>2908</v>
      </c>
      <c r="D521" t="s">
        <v>2531</v>
      </c>
      <c r="E521" t="s">
        <v>3373</v>
      </c>
      <c r="F521">
        <v>233</v>
      </c>
      <c r="G521" t="s">
        <v>3374</v>
      </c>
      <c r="H521" t="s">
        <v>0</v>
      </c>
      <c r="I521" t="s">
        <v>710</v>
      </c>
      <c r="J521" t="s">
        <v>695</v>
      </c>
      <c r="L521" t="s">
        <v>3</v>
      </c>
      <c r="M521" t="s">
        <v>4</v>
      </c>
      <c r="N521" s="3" t="str">
        <f t="shared" si="17"/>
        <v>F</v>
      </c>
      <c r="O521" s="3" t="str">
        <f>IF(_xlfn.IFNA(MATCH(B521,Table1[UID],0),"F")="F","F","T")</f>
        <v>T</v>
      </c>
    </row>
    <row r="522" spans="2:15" x14ac:dyDescent="0.25">
      <c r="B522" s="42" t="str">
        <f t="shared" ref="B522:B585" si="18">_xlfn.CONCAT(I522,"/",J522)</f>
        <v>SR_15S/SURFACE-RUNOFF</v>
      </c>
      <c r="C522" t="s">
        <v>2908</v>
      </c>
      <c r="D522" t="s">
        <v>2531</v>
      </c>
      <c r="E522" t="s">
        <v>3375</v>
      </c>
      <c r="F522">
        <v>234</v>
      </c>
      <c r="G522" t="s">
        <v>3376</v>
      </c>
      <c r="H522" t="s">
        <v>0</v>
      </c>
      <c r="I522" t="s">
        <v>711</v>
      </c>
      <c r="J522" t="s">
        <v>695</v>
      </c>
      <c r="L522" t="s">
        <v>3</v>
      </c>
      <c r="M522" t="s">
        <v>4</v>
      </c>
      <c r="N522" s="3" t="str">
        <f t="shared" si="17"/>
        <v>F</v>
      </c>
      <c r="O522" s="3" t="str">
        <f>IF(_xlfn.IFNA(MATCH(B522,Table1[UID],0),"F")="F","F","T")</f>
        <v>T</v>
      </c>
    </row>
    <row r="523" spans="2:15" x14ac:dyDescent="0.25">
      <c r="B523" s="42" t="str">
        <f t="shared" si="18"/>
        <v>SR_16/SURFACE-RUNOFF</v>
      </c>
      <c r="C523" t="s">
        <v>2908</v>
      </c>
      <c r="D523" t="s">
        <v>2531</v>
      </c>
      <c r="E523" t="s">
        <v>3377</v>
      </c>
      <c r="F523">
        <v>235</v>
      </c>
      <c r="G523" t="s">
        <v>3378</v>
      </c>
      <c r="H523" t="s">
        <v>0</v>
      </c>
      <c r="I523" t="s">
        <v>712</v>
      </c>
      <c r="J523" t="s">
        <v>695</v>
      </c>
      <c r="L523" t="s">
        <v>3</v>
      </c>
      <c r="M523" t="s">
        <v>4</v>
      </c>
      <c r="N523" s="3" t="str">
        <f t="shared" si="17"/>
        <v>F</v>
      </c>
      <c r="O523" s="3" t="str">
        <f>IF(_xlfn.IFNA(MATCH(B523,Table1[UID],0),"F")="F","F","T")</f>
        <v>T</v>
      </c>
    </row>
    <row r="524" spans="2:15" x14ac:dyDescent="0.25">
      <c r="B524" s="42" t="str">
        <f t="shared" si="18"/>
        <v>SR_17N/SURFACE-RUNOFF</v>
      </c>
      <c r="C524" t="s">
        <v>2908</v>
      </c>
      <c r="D524" t="s">
        <v>2531</v>
      </c>
      <c r="E524" t="s">
        <v>3379</v>
      </c>
      <c r="F524">
        <v>236</v>
      </c>
      <c r="G524" t="s">
        <v>3380</v>
      </c>
      <c r="H524" t="s">
        <v>0</v>
      </c>
      <c r="I524" t="s">
        <v>713</v>
      </c>
      <c r="J524" t="s">
        <v>695</v>
      </c>
      <c r="L524" t="s">
        <v>3</v>
      </c>
      <c r="M524" t="s">
        <v>4</v>
      </c>
      <c r="N524" s="3" t="str">
        <f t="shared" si="17"/>
        <v>F</v>
      </c>
      <c r="O524" s="3" t="str">
        <f>IF(_xlfn.IFNA(MATCH(B524,Table1[UID],0),"F")="F","F","T")</f>
        <v>T</v>
      </c>
    </row>
    <row r="525" spans="2:15" x14ac:dyDescent="0.25">
      <c r="B525" s="42" t="str">
        <f t="shared" si="18"/>
        <v>SR_17S/SURFACE-RUNOFF</v>
      </c>
      <c r="C525" t="s">
        <v>2908</v>
      </c>
      <c r="D525" t="s">
        <v>2531</v>
      </c>
      <c r="E525" t="s">
        <v>3381</v>
      </c>
      <c r="F525">
        <v>237</v>
      </c>
      <c r="G525" t="s">
        <v>3382</v>
      </c>
      <c r="H525" t="s">
        <v>0</v>
      </c>
      <c r="I525" t="s">
        <v>714</v>
      </c>
      <c r="J525" t="s">
        <v>695</v>
      </c>
      <c r="L525" t="s">
        <v>3</v>
      </c>
      <c r="M525" t="s">
        <v>4</v>
      </c>
      <c r="N525" s="3" t="str">
        <f t="shared" si="17"/>
        <v>F</v>
      </c>
      <c r="O525" s="3" t="str">
        <f>IF(_xlfn.IFNA(MATCH(B525,Table1[UID],0),"F")="F","F","T")</f>
        <v>T</v>
      </c>
    </row>
    <row r="526" spans="2:15" x14ac:dyDescent="0.25">
      <c r="B526" s="42" t="str">
        <f t="shared" si="18"/>
        <v>SR_18/SURFACE-RUNOFF</v>
      </c>
      <c r="C526" t="s">
        <v>2908</v>
      </c>
      <c r="D526" t="s">
        <v>2531</v>
      </c>
      <c r="E526" t="s">
        <v>3383</v>
      </c>
      <c r="F526">
        <v>238</v>
      </c>
      <c r="G526" t="s">
        <v>3384</v>
      </c>
      <c r="H526" t="s">
        <v>0</v>
      </c>
      <c r="I526" t="s">
        <v>715</v>
      </c>
      <c r="J526" t="s">
        <v>695</v>
      </c>
      <c r="L526" t="s">
        <v>3</v>
      </c>
      <c r="M526" t="s">
        <v>4</v>
      </c>
      <c r="N526" s="3" t="str">
        <f t="shared" si="17"/>
        <v>F</v>
      </c>
      <c r="O526" s="3" t="str">
        <f>IF(_xlfn.IFNA(MATCH(B526,Table1[UID],0),"F")="F","F","T")</f>
        <v>T</v>
      </c>
    </row>
    <row r="527" spans="2:15" x14ac:dyDescent="0.25">
      <c r="B527" s="42" t="str">
        <f t="shared" si="18"/>
        <v>SR_19/SURFACE-RUNOFF</v>
      </c>
      <c r="C527" t="s">
        <v>2908</v>
      </c>
      <c r="D527" t="s">
        <v>2531</v>
      </c>
      <c r="E527" t="s">
        <v>3385</v>
      </c>
      <c r="F527">
        <v>239</v>
      </c>
      <c r="G527" t="s">
        <v>3386</v>
      </c>
      <c r="H527" t="s">
        <v>0</v>
      </c>
      <c r="I527" t="s">
        <v>716</v>
      </c>
      <c r="J527" t="s">
        <v>695</v>
      </c>
      <c r="L527" t="s">
        <v>3</v>
      </c>
      <c r="M527" t="s">
        <v>4</v>
      </c>
      <c r="N527" s="3" t="str">
        <f t="shared" si="17"/>
        <v>F</v>
      </c>
      <c r="O527" s="3" t="str">
        <f>IF(_xlfn.IFNA(MATCH(B527,Table1[UID],0),"F")="F","F","T")</f>
        <v>T</v>
      </c>
    </row>
    <row r="528" spans="2:15" x14ac:dyDescent="0.25">
      <c r="B528" s="42" t="str">
        <f t="shared" si="18"/>
        <v>SR_20/SURFACE-RUNOFF</v>
      </c>
      <c r="C528" t="s">
        <v>2908</v>
      </c>
      <c r="D528" t="s">
        <v>2531</v>
      </c>
      <c r="E528" t="s">
        <v>3387</v>
      </c>
      <c r="F528">
        <v>240</v>
      </c>
      <c r="G528" t="s">
        <v>3388</v>
      </c>
      <c r="H528" t="s">
        <v>0</v>
      </c>
      <c r="I528" t="s">
        <v>717</v>
      </c>
      <c r="J528" t="s">
        <v>695</v>
      </c>
      <c r="L528" t="s">
        <v>3</v>
      </c>
      <c r="M528" t="s">
        <v>4</v>
      </c>
      <c r="N528" s="3" t="str">
        <f t="shared" si="17"/>
        <v>F</v>
      </c>
      <c r="O528" s="3" t="str">
        <f>IF(_xlfn.IFNA(MATCH(B528,Table1[UID],0),"F")="F","F","T")</f>
        <v>T</v>
      </c>
    </row>
    <row r="529" spans="2:15" x14ac:dyDescent="0.25">
      <c r="B529" s="42" t="str">
        <f t="shared" si="18"/>
        <v>SR_21/SURFACE-RUNOFF</v>
      </c>
      <c r="C529" t="s">
        <v>2908</v>
      </c>
      <c r="D529" t="s">
        <v>2531</v>
      </c>
      <c r="E529" t="s">
        <v>3389</v>
      </c>
      <c r="F529">
        <v>241</v>
      </c>
      <c r="G529" t="s">
        <v>3390</v>
      </c>
      <c r="H529" t="s">
        <v>0</v>
      </c>
      <c r="I529" t="s">
        <v>718</v>
      </c>
      <c r="J529" t="s">
        <v>695</v>
      </c>
      <c r="L529" t="s">
        <v>3</v>
      </c>
      <c r="M529" t="s">
        <v>4</v>
      </c>
      <c r="N529" s="3" t="str">
        <f t="shared" si="17"/>
        <v>F</v>
      </c>
      <c r="O529" s="3" t="str">
        <f>IF(_xlfn.IFNA(MATCH(B529,Table1[UID],0),"F")="F","F","T")</f>
        <v>T</v>
      </c>
    </row>
    <row r="530" spans="2:15" x14ac:dyDescent="0.25">
      <c r="B530" s="42" t="str">
        <f t="shared" si="18"/>
        <v>SR_22/SURFACE-RUNOFF</v>
      </c>
      <c r="C530" t="s">
        <v>2908</v>
      </c>
      <c r="D530" t="s">
        <v>2531</v>
      </c>
      <c r="E530" t="s">
        <v>3391</v>
      </c>
      <c r="F530">
        <v>242</v>
      </c>
      <c r="G530" t="s">
        <v>3392</v>
      </c>
      <c r="H530" t="s">
        <v>0</v>
      </c>
      <c r="I530" t="s">
        <v>719</v>
      </c>
      <c r="J530" t="s">
        <v>695</v>
      </c>
      <c r="L530" t="s">
        <v>3</v>
      </c>
      <c r="M530" t="s">
        <v>4</v>
      </c>
      <c r="N530" s="3" t="str">
        <f t="shared" si="17"/>
        <v>F</v>
      </c>
      <c r="O530" s="3" t="str">
        <f>IF(_xlfn.IFNA(MATCH(B530,Table1[UID],0),"F")="F","F","T")</f>
        <v>T</v>
      </c>
    </row>
    <row r="531" spans="2:15" x14ac:dyDescent="0.25">
      <c r="B531" s="42" t="str">
        <f t="shared" si="18"/>
        <v>SR_23/SURFACE-RUNOFF</v>
      </c>
      <c r="C531" t="s">
        <v>2908</v>
      </c>
      <c r="D531" t="s">
        <v>2531</v>
      </c>
      <c r="E531" t="s">
        <v>3393</v>
      </c>
      <c r="F531">
        <v>243</v>
      </c>
      <c r="G531" t="s">
        <v>3394</v>
      </c>
      <c r="H531" t="s">
        <v>0</v>
      </c>
      <c r="I531" t="s">
        <v>720</v>
      </c>
      <c r="J531" t="s">
        <v>695</v>
      </c>
      <c r="L531" t="s">
        <v>3</v>
      </c>
      <c r="M531" t="s">
        <v>4</v>
      </c>
      <c r="N531" s="3" t="str">
        <f t="shared" si="17"/>
        <v>F</v>
      </c>
      <c r="O531" s="3" t="str">
        <f>IF(_xlfn.IFNA(MATCH(B531,Table1[UID],0),"F")="F","F","T")</f>
        <v>T</v>
      </c>
    </row>
    <row r="532" spans="2:15" x14ac:dyDescent="0.25">
      <c r="B532" s="42" t="str">
        <f t="shared" si="18"/>
        <v>SR_24/SURFACE-RUNOFF</v>
      </c>
      <c r="C532" t="s">
        <v>2908</v>
      </c>
      <c r="D532" t="s">
        <v>2531</v>
      </c>
      <c r="E532" t="s">
        <v>3395</v>
      </c>
      <c r="F532">
        <v>244</v>
      </c>
      <c r="G532" t="s">
        <v>3396</v>
      </c>
      <c r="H532" t="s">
        <v>0</v>
      </c>
      <c r="I532" t="s">
        <v>721</v>
      </c>
      <c r="J532" t="s">
        <v>695</v>
      </c>
      <c r="L532" t="s">
        <v>3</v>
      </c>
      <c r="M532" t="s">
        <v>4</v>
      </c>
      <c r="N532" s="3" t="str">
        <f t="shared" si="17"/>
        <v>F</v>
      </c>
      <c r="O532" s="3" t="str">
        <f>IF(_xlfn.IFNA(MATCH(B532,Table1[UID],0),"F")="F","F","T")</f>
        <v>T</v>
      </c>
    </row>
    <row r="533" spans="2:15" x14ac:dyDescent="0.25">
      <c r="B533" s="42" t="str">
        <f t="shared" si="18"/>
        <v>SR_25/SURFACE-RUNOFF</v>
      </c>
      <c r="C533" t="s">
        <v>2908</v>
      </c>
      <c r="D533" t="s">
        <v>2531</v>
      </c>
      <c r="E533" t="s">
        <v>3397</v>
      </c>
      <c r="F533">
        <v>245</v>
      </c>
      <c r="G533" t="s">
        <v>3398</v>
      </c>
      <c r="H533" t="s">
        <v>0</v>
      </c>
      <c r="I533" t="s">
        <v>722</v>
      </c>
      <c r="J533" t="s">
        <v>695</v>
      </c>
      <c r="L533" t="s">
        <v>3</v>
      </c>
      <c r="M533" t="s">
        <v>4</v>
      </c>
      <c r="N533" s="3" t="str">
        <f t="shared" si="17"/>
        <v>F</v>
      </c>
      <c r="O533" s="3" t="str">
        <f>IF(_xlfn.IFNA(MATCH(B533,Table1[UID],0),"F")="F","F","T")</f>
        <v>T</v>
      </c>
    </row>
    <row r="534" spans="2:15" x14ac:dyDescent="0.25">
      <c r="B534" s="42" t="str">
        <f t="shared" si="18"/>
        <v>SR_26N/SURFACE-RUNOFF</v>
      </c>
      <c r="C534" t="s">
        <v>2908</v>
      </c>
      <c r="D534" t="s">
        <v>2531</v>
      </c>
      <c r="E534" t="s">
        <v>3399</v>
      </c>
      <c r="F534">
        <v>246</v>
      </c>
      <c r="G534" t="s">
        <v>3400</v>
      </c>
      <c r="H534" t="s">
        <v>0</v>
      </c>
      <c r="I534" t="s">
        <v>723</v>
      </c>
      <c r="J534" t="s">
        <v>695</v>
      </c>
      <c r="L534" t="s">
        <v>3</v>
      </c>
      <c r="M534" t="s">
        <v>4</v>
      </c>
      <c r="N534" s="3" t="str">
        <f t="shared" si="17"/>
        <v>F</v>
      </c>
      <c r="O534" s="3" t="str">
        <f>IF(_xlfn.IFNA(MATCH(B534,Table1[UID],0),"F")="F","F","T")</f>
        <v>T</v>
      </c>
    </row>
    <row r="535" spans="2:15" x14ac:dyDescent="0.25">
      <c r="B535" s="42" t="str">
        <f t="shared" si="18"/>
        <v>SR_26S/SURFACE-RUNOFF</v>
      </c>
      <c r="C535" t="s">
        <v>2908</v>
      </c>
      <c r="D535" t="s">
        <v>2531</v>
      </c>
      <c r="E535" t="s">
        <v>3401</v>
      </c>
      <c r="F535">
        <v>247</v>
      </c>
      <c r="G535" t="s">
        <v>3402</v>
      </c>
      <c r="H535" t="s">
        <v>0</v>
      </c>
      <c r="I535" t="s">
        <v>724</v>
      </c>
      <c r="J535" t="s">
        <v>695</v>
      </c>
      <c r="L535" t="s">
        <v>3</v>
      </c>
      <c r="M535" t="s">
        <v>4</v>
      </c>
      <c r="N535" s="3" t="str">
        <f t="shared" si="17"/>
        <v>F</v>
      </c>
      <c r="O535" s="3" t="str">
        <f>IF(_xlfn.IFNA(MATCH(B535,Table1[UID],0),"F")="F","F","T")</f>
        <v>T</v>
      </c>
    </row>
    <row r="536" spans="2:15" x14ac:dyDescent="0.25">
      <c r="B536" s="42" t="str">
        <f t="shared" si="18"/>
        <v>TW_02_NA/TAILWATER</v>
      </c>
      <c r="C536" t="s">
        <v>2908</v>
      </c>
      <c r="D536" t="s">
        <v>2531</v>
      </c>
      <c r="E536" t="s">
        <v>3403</v>
      </c>
      <c r="F536">
        <v>248</v>
      </c>
      <c r="G536" t="s">
        <v>3404</v>
      </c>
      <c r="H536" t="s">
        <v>0</v>
      </c>
      <c r="I536" t="s">
        <v>737</v>
      </c>
      <c r="J536" t="s">
        <v>738</v>
      </c>
      <c r="L536" t="s">
        <v>3</v>
      </c>
      <c r="M536" t="s">
        <v>4</v>
      </c>
      <c r="N536" s="3" t="str">
        <f t="shared" si="17"/>
        <v>F</v>
      </c>
      <c r="O536" s="3" t="str">
        <f>IF(_xlfn.IFNA(MATCH(B536,Table1[UID],0),"F")="F","F","T")</f>
        <v>T</v>
      </c>
    </row>
    <row r="537" spans="2:15" x14ac:dyDescent="0.25">
      <c r="B537" s="42" t="str">
        <f t="shared" si="18"/>
        <v>TW_02_PA/TAILWATER</v>
      </c>
      <c r="C537" t="s">
        <v>2908</v>
      </c>
      <c r="D537" t="s">
        <v>2531</v>
      </c>
      <c r="E537" t="s">
        <v>3405</v>
      </c>
      <c r="F537">
        <v>249</v>
      </c>
      <c r="G537" t="s">
        <v>3406</v>
      </c>
      <c r="H537" t="s">
        <v>0</v>
      </c>
      <c r="I537" t="s">
        <v>739</v>
      </c>
      <c r="J537" t="s">
        <v>738</v>
      </c>
      <c r="L537" t="s">
        <v>3</v>
      </c>
      <c r="M537" t="s">
        <v>4</v>
      </c>
      <c r="N537" s="3" t="str">
        <f t="shared" si="17"/>
        <v>F</v>
      </c>
      <c r="O537" s="3" t="str">
        <f>IF(_xlfn.IFNA(MATCH(B537,Table1[UID],0),"F")="F","F","T")</f>
        <v>T</v>
      </c>
    </row>
    <row r="538" spans="2:15" x14ac:dyDescent="0.25">
      <c r="B538" s="42" t="str">
        <f t="shared" si="18"/>
        <v>TW_02_SA/TAILWATER</v>
      </c>
      <c r="C538" t="s">
        <v>2908</v>
      </c>
      <c r="D538" t="s">
        <v>2531</v>
      </c>
      <c r="E538" t="s">
        <v>3407</v>
      </c>
      <c r="F538">
        <v>250</v>
      </c>
      <c r="G538" t="s">
        <v>3408</v>
      </c>
      <c r="H538" t="s">
        <v>0</v>
      </c>
      <c r="I538" t="s">
        <v>740</v>
      </c>
      <c r="J538" t="s">
        <v>738</v>
      </c>
      <c r="L538" t="s">
        <v>3</v>
      </c>
      <c r="M538" t="s">
        <v>4</v>
      </c>
      <c r="N538" s="3" t="str">
        <f t="shared" si="17"/>
        <v>F</v>
      </c>
      <c r="O538" s="3" t="str">
        <f>IF(_xlfn.IFNA(MATCH(B538,Table1[UID],0),"F")="F","F","T")</f>
        <v>T</v>
      </c>
    </row>
    <row r="539" spans="2:15" x14ac:dyDescent="0.25">
      <c r="B539" s="42" t="str">
        <f t="shared" si="18"/>
        <v>TW_03_NA/TAILWATER</v>
      </c>
      <c r="C539" t="s">
        <v>2908</v>
      </c>
      <c r="D539" t="s">
        <v>2531</v>
      </c>
      <c r="E539" t="s">
        <v>3409</v>
      </c>
      <c r="F539">
        <v>251</v>
      </c>
      <c r="G539" t="s">
        <v>3410</v>
      </c>
      <c r="H539" t="s">
        <v>0</v>
      </c>
      <c r="I539" t="s">
        <v>741</v>
      </c>
      <c r="J539" t="s">
        <v>738</v>
      </c>
      <c r="L539" t="s">
        <v>3</v>
      </c>
      <c r="M539" t="s">
        <v>4</v>
      </c>
      <c r="N539" s="3" t="str">
        <f t="shared" si="17"/>
        <v>F</v>
      </c>
      <c r="O539" s="3" t="str">
        <f>IF(_xlfn.IFNA(MATCH(B539,Table1[UID],0),"F")="F","F","T")</f>
        <v>T</v>
      </c>
    </row>
    <row r="540" spans="2:15" x14ac:dyDescent="0.25">
      <c r="B540" s="42" t="str">
        <f t="shared" si="18"/>
        <v>TW_03_PA/TAILWATER</v>
      </c>
      <c r="C540" t="s">
        <v>2908</v>
      </c>
      <c r="D540" t="s">
        <v>2531</v>
      </c>
      <c r="E540" t="s">
        <v>3411</v>
      </c>
      <c r="F540">
        <v>252</v>
      </c>
      <c r="G540" t="s">
        <v>3412</v>
      </c>
      <c r="H540" t="s">
        <v>0</v>
      </c>
      <c r="I540" t="s">
        <v>742</v>
      </c>
      <c r="J540" t="s">
        <v>738</v>
      </c>
      <c r="L540" t="s">
        <v>3</v>
      </c>
      <c r="M540" t="s">
        <v>4</v>
      </c>
      <c r="N540" s="3" t="str">
        <f t="shared" si="17"/>
        <v>F</v>
      </c>
      <c r="O540" s="3" t="str">
        <f>IF(_xlfn.IFNA(MATCH(B540,Table1[UID],0),"F")="F","F","T")</f>
        <v>T</v>
      </c>
    </row>
    <row r="541" spans="2:15" x14ac:dyDescent="0.25">
      <c r="B541" s="42" t="str">
        <f t="shared" si="18"/>
        <v>TW_03_SA/TAILWATER</v>
      </c>
      <c r="C541" t="s">
        <v>2908</v>
      </c>
      <c r="D541" t="s">
        <v>2531</v>
      </c>
      <c r="E541" t="s">
        <v>3413</v>
      </c>
      <c r="F541">
        <v>253</v>
      </c>
      <c r="G541" t="s">
        <v>3414</v>
      </c>
      <c r="H541" t="s">
        <v>0</v>
      </c>
      <c r="I541" t="s">
        <v>743</v>
      </c>
      <c r="J541" t="s">
        <v>738</v>
      </c>
      <c r="L541" t="s">
        <v>3</v>
      </c>
      <c r="M541" t="s">
        <v>4</v>
      </c>
      <c r="N541" s="3" t="str">
        <f t="shared" si="17"/>
        <v>F</v>
      </c>
      <c r="O541" s="3" t="str">
        <f>IF(_xlfn.IFNA(MATCH(B541,Table1[UID],0),"F")="F","F","T")</f>
        <v>T</v>
      </c>
    </row>
    <row r="542" spans="2:15" x14ac:dyDescent="0.25">
      <c r="B542" s="42" t="str">
        <f t="shared" si="18"/>
        <v>TW_04_NA/TAILWATER</v>
      </c>
      <c r="C542" t="s">
        <v>2908</v>
      </c>
      <c r="D542" t="s">
        <v>2531</v>
      </c>
      <c r="E542" t="s">
        <v>3415</v>
      </c>
      <c r="F542">
        <v>254</v>
      </c>
      <c r="G542" t="s">
        <v>3416</v>
      </c>
      <c r="H542" t="s">
        <v>0</v>
      </c>
      <c r="I542" t="s">
        <v>744</v>
      </c>
      <c r="J542" t="s">
        <v>738</v>
      </c>
      <c r="L542" t="s">
        <v>3</v>
      </c>
      <c r="M542" t="s">
        <v>4</v>
      </c>
      <c r="N542" s="3" t="str">
        <f t="shared" si="17"/>
        <v>F</v>
      </c>
      <c r="O542" s="3" t="str">
        <f>IF(_xlfn.IFNA(MATCH(B542,Table1[UID],0),"F")="F","F","T")</f>
        <v>T</v>
      </c>
    </row>
    <row r="543" spans="2:15" x14ac:dyDescent="0.25">
      <c r="B543" s="42" t="str">
        <f t="shared" si="18"/>
        <v>TW_04_PA1/TAILWATER</v>
      </c>
      <c r="C543" t="s">
        <v>2908</v>
      </c>
      <c r="D543" t="s">
        <v>2531</v>
      </c>
      <c r="E543" t="s">
        <v>3417</v>
      </c>
      <c r="F543">
        <v>255</v>
      </c>
      <c r="G543" t="s">
        <v>3418</v>
      </c>
      <c r="H543" t="s">
        <v>0</v>
      </c>
      <c r="I543" t="s">
        <v>745</v>
      </c>
      <c r="J543" t="s">
        <v>738</v>
      </c>
      <c r="L543" t="s">
        <v>3</v>
      </c>
      <c r="M543" t="s">
        <v>4</v>
      </c>
      <c r="N543" s="3" t="str">
        <f t="shared" si="17"/>
        <v>F</v>
      </c>
      <c r="O543" s="3" t="str">
        <f>IF(_xlfn.IFNA(MATCH(B543,Table1[UID],0),"F")="F","F","T")</f>
        <v>T</v>
      </c>
    </row>
    <row r="544" spans="2:15" x14ac:dyDescent="0.25">
      <c r="B544" s="42" t="str">
        <f t="shared" si="18"/>
        <v>TW_04_PA2/TAILWATER</v>
      </c>
      <c r="C544" t="s">
        <v>2908</v>
      </c>
      <c r="D544" t="s">
        <v>2531</v>
      </c>
      <c r="E544" t="s">
        <v>3419</v>
      </c>
      <c r="F544">
        <v>256</v>
      </c>
      <c r="G544" t="s">
        <v>3420</v>
      </c>
      <c r="H544" t="s">
        <v>0</v>
      </c>
      <c r="I544" t="s">
        <v>746</v>
      </c>
      <c r="J544" t="s">
        <v>738</v>
      </c>
      <c r="L544" t="s">
        <v>3</v>
      </c>
      <c r="M544" t="s">
        <v>4</v>
      </c>
      <c r="N544" s="3" t="str">
        <f t="shared" si="17"/>
        <v>F</v>
      </c>
      <c r="O544" s="3" t="str">
        <f>IF(_xlfn.IFNA(MATCH(B544,Table1[UID],0),"F")="F","F","T")</f>
        <v>T</v>
      </c>
    </row>
    <row r="545" spans="2:15" x14ac:dyDescent="0.25">
      <c r="B545" s="42" t="str">
        <f t="shared" si="18"/>
        <v>TW_05_NA/TAILWATER</v>
      </c>
      <c r="C545" t="s">
        <v>2908</v>
      </c>
      <c r="D545" t="s">
        <v>2531</v>
      </c>
      <c r="E545" t="s">
        <v>3421</v>
      </c>
      <c r="F545">
        <v>257</v>
      </c>
      <c r="G545" t="s">
        <v>3422</v>
      </c>
      <c r="H545" t="s">
        <v>0</v>
      </c>
      <c r="I545" t="s">
        <v>747</v>
      </c>
      <c r="J545" t="s">
        <v>738</v>
      </c>
      <c r="L545" t="s">
        <v>3</v>
      </c>
      <c r="M545" t="s">
        <v>4</v>
      </c>
      <c r="N545" s="3" t="str">
        <f t="shared" si="17"/>
        <v>F</v>
      </c>
      <c r="O545" s="3" t="str">
        <f>IF(_xlfn.IFNA(MATCH(B545,Table1[UID],0),"F")="F","F","T")</f>
        <v>T</v>
      </c>
    </row>
    <row r="546" spans="2:15" x14ac:dyDescent="0.25">
      <c r="B546" s="42" t="str">
        <f t="shared" si="18"/>
        <v>TW_06_NA/TAILWATER</v>
      </c>
      <c r="C546" t="s">
        <v>2908</v>
      </c>
      <c r="D546" t="s">
        <v>2531</v>
      </c>
      <c r="E546" t="s">
        <v>3423</v>
      </c>
      <c r="F546">
        <v>258</v>
      </c>
      <c r="G546" t="s">
        <v>3424</v>
      </c>
      <c r="H546" t="s">
        <v>0</v>
      </c>
      <c r="I546" t="s">
        <v>748</v>
      </c>
      <c r="J546" t="s">
        <v>738</v>
      </c>
      <c r="L546" t="s">
        <v>3</v>
      </c>
      <c r="M546" t="s">
        <v>4</v>
      </c>
      <c r="N546" s="3" t="str">
        <f t="shared" si="17"/>
        <v>F</v>
      </c>
      <c r="O546" s="3" t="str">
        <f>IF(_xlfn.IFNA(MATCH(B546,Table1[UID],0),"F")="F","F","T")</f>
        <v>T</v>
      </c>
    </row>
    <row r="547" spans="2:15" x14ac:dyDescent="0.25">
      <c r="B547" s="42" t="str">
        <f t="shared" si="18"/>
        <v>TW_06_PA/TAILWATER</v>
      </c>
      <c r="C547" t="s">
        <v>2908</v>
      </c>
      <c r="D547" t="s">
        <v>2531</v>
      </c>
      <c r="E547" t="s">
        <v>3425</v>
      </c>
      <c r="F547">
        <v>259</v>
      </c>
      <c r="G547" t="s">
        <v>3426</v>
      </c>
      <c r="H547" t="s">
        <v>0</v>
      </c>
      <c r="I547" t="s">
        <v>749</v>
      </c>
      <c r="J547" t="s">
        <v>738</v>
      </c>
      <c r="L547" t="s">
        <v>3</v>
      </c>
      <c r="M547" t="s">
        <v>4</v>
      </c>
      <c r="N547" s="3" t="str">
        <f t="shared" si="17"/>
        <v>F</v>
      </c>
      <c r="O547" s="3" t="str">
        <f>IF(_xlfn.IFNA(MATCH(B547,Table1[UID],0),"F")="F","F","T")</f>
        <v>T</v>
      </c>
    </row>
    <row r="548" spans="2:15" x14ac:dyDescent="0.25">
      <c r="B548" s="42" t="str">
        <f t="shared" si="18"/>
        <v>TW_07N_NA/TAILWATER</v>
      </c>
      <c r="C548" t="s">
        <v>2908</v>
      </c>
      <c r="D548" t="s">
        <v>2531</v>
      </c>
      <c r="E548" t="s">
        <v>3427</v>
      </c>
      <c r="F548">
        <v>260</v>
      </c>
      <c r="G548" t="s">
        <v>3428</v>
      </c>
      <c r="H548" t="s">
        <v>0</v>
      </c>
      <c r="I548" t="s">
        <v>750</v>
      </c>
      <c r="J548" t="s">
        <v>738</v>
      </c>
      <c r="L548" t="s">
        <v>3</v>
      </c>
      <c r="M548" t="s">
        <v>4</v>
      </c>
      <c r="N548" s="3" t="str">
        <f t="shared" si="17"/>
        <v>F</v>
      </c>
      <c r="O548" s="3" t="str">
        <f>IF(_xlfn.IFNA(MATCH(B548,Table1[UID],0),"F")="F","F","T")</f>
        <v>T</v>
      </c>
    </row>
    <row r="549" spans="2:15" x14ac:dyDescent="0.25">
      <c r="B549" s="42" t="str">
        <f t="shared" si="18"/>
        <v>TW_07N_PA/TAILWATER</v>
      </c>
      <c r="C549" t="s">
        <v>2908</v>
      </c>
      <c r="D549" t="s">
        <v>2531</v>
      </c>
      <c r="E549" t="s">
        <v>3429</v>
      </c>
      <c r="F549">
        <v>261</v>
      </c>
      <c r="G549" t="s">
        <v>3430</v>
      </c>
      <c r="H549" t="s">
        <v>0</v>
      </c>
      <c r="I549" t="s">
        <v>751</v>
      </c>
      <c r="J549" t="s">
        <v>738</v>
      </c>
      <c r="L549" t="s">
        <v>3</v>
      </c>
      <c r="M549" t="s">
        <v>4</v>
      </c>
      <c r="N549" s="3" t="str">
        <f t="shared" si="17"/>
        <v>F</v>
      </c>
      <c r="O549" s="3" t="str">
        <f>IF(_xlfn.IFNA(MATCH(B549,Table1[UID],0),"F")="F","F","T")</f>
        <v>T</v>
      </c>
    </row>
    <row r="550" spans="2:15" x14ac:dyDescent="0.25">
      <c r="B550" s="42" t="str">
        <f t="shared" si="18"/>
        <v>TW_07S_NA/TAILWATER</v>
      </c>
      <c r="C550" t="s">
        <v>2908</v>
      </c>
      <c r="D550" t="s">
        <v>2531</v>
      </c>
      <c r="E550" t="s">
        <v>3431</v>
      </c>
      <c r="F550">
        <v>262</v>
      </c>
      <c r="G550" t="s">
        <v>3432</v>
      </c>
      <c r="H550" t="s">
        <v>0</v>
      </c>
      <c r="I550" t="s">
        <v>752</v>
      </c>
      <c r="J550" t="s">
        <v>738</v>
      </c>
      <c r="L550" t="s">
        <v>3</v>
      </c>
      <c r="M550" t="s">
        <v>4</v>
      </c>
      <c r="N550" s="3" t="str">
        <f t="shared" si="17"/>
        <v>F</v>
      </c>
      <c r="O550" s="3" t="str">
        <f>IF(_xlfn.IFNA(MATCH(B550,Table1[UID],0),"F")="F","F","T")</f>
        <v>T</v>
      </c>
    </row>
    <row r="551" spans="2:15" x14ac:dyDescent="0.25">
      <c r="B551" s="42" t="str">
        <f t="shared" si="18"/>
        <v>TW_07S_PA/TAILWATER</v>
      </c>
      <c r="C551" t="s">
        <v>2908</v>
      </c>
      <c r="D551" t="s">
        <v>2531</v>
      </c>
      <c r="E551" t="s">
        <v>3433</v>
      </c>
      <c r="F551">
        <v>263</v>
      </c>
      <c r="G551" t="s">
        <v>3434</v>
      </c>
      <c r="H551" t="s">
        <v>0</v>
      </c>
      <c r="I551" t="s">
        <v>753</v>
      </c>
      <c r="J551" t="s">
        <v>738</v>
      </c>
      <c r="L551" t="s">
        <v>3</v>
      </c>
      <c r="M551" t="s">
        <v>4</v>
      </c>
      <c r="N551" s="3" t="str">
        <f t="shared" si="17"/>
        <v>F</v>
      </c>
      <c r="O551" s="3" t="str">
        <f>IF(_xlfn.IFNA(MATCH(B551,Table1[UID],0),"F")="F","F","T")</f>
        <v>T</v>
      </c>
    </row>
    <row r="552" spans="2:15" x14ac:dyDescent="0.25">
      <c r="B552" s="42" t="str">
        <f t="shared" si="18"/>
        <v>TW_08N_NA/TAILWATER</v>
      </c>
      <c r="C552" t="s">
        <v>2908</v>
      </c>
      <c r="D552" t="s">
        <v>2531</v>
      </c>
      <c r="E552" t="s">
        <v>3435</v>
      </c>
      <c r="F552">
        <v>264</v>
      </c>
      <c r="G552" t="s">
        <v>3436</v>
      </c>
      <c r="H552" t="s">
        <v>0</v>
      </c>
      <c r="I552" t="s">
        <v>754</v>
      </c>
      <c r="J552" t="s">
        <v>738</v>
      </c>
      <c r="L552" t="s">
        <v>3</v>
      </c>
      <c r="M552" t="s">
        <v>4</v>
      </c>
      <c r="N552" s="3" t="str">
        <f t="shared" si="17"/>
        <v>F</v>
      </c>
      <c r="O552" s="3" t="str">
        <f>IF(_xlfn.IFNA(MATCH(B552,Table1[UID],0),"F")="F","F","T")</f>
        <v>T</v>
      </c>
    </row>
    <row r="553" spans="2:15" x14ac:dyDescent="0.25">
      <c r="B553" s="42" t="str">
        <f t="shared" si="18"/>
        <v>TW_08N_PA/TAILWATER</v>
      </c>
      <c r="C553" t="s">
        <v>2908</v>
      </c>
      <c r="D553" t="s">
        <v>2531</v>
      </c>
      <c r="E553" t="s">
        <v>3437</v>
      </c>
      <c r="F553">
        <v>265</v>
      </c>
      <c r="G553" t="s">
        <v>3438</v>
      </c>
      <c r="H553" t="s">
        <v>0</v>
      </c>
      <c r="I553" t="s">
        <v>755</v>
      </c>
      <c r="J553" t="s">
        <v>738</v>
      </c>
      <c r="L553" t="s">
        <v>3</v>
      </c>
      <c r="M553" t="s">
        <v>4</v>
      </c>
      <c r="N553" s="3" t="str">
        <f t="shared" si="17"/>
        <v>F</v>
      </c>
      <c r="O553" s="3" t="str">
        <f>IF(_xlfn.IFNA(MATCH(B553,Table1[UID],0),"F")="F","F","T")</f>
        <v>T</v>
      </c>
    </row>
    <row r="554" spans="2:15" x14ac:dyDescent="0.25">
      <c r="B554" s="42" t="str">
        <f t="shared" si="18"/>
        <v>TW_08N_PR1/TAILWATER</v>
      </c>
      <c r="C554" t="s">
        <v>2908</v>
      </c>
      <c r="D554" t="s">
        <v>2531</v>
      </c>
      <c r="E554" t="s">
        <v>3439</v>
      </c>
      <c r="F554">
        <v>266</v>
      </c>
      <c r="G554" t="s">
        <v>3440</v>
      </c>
      <c r="H554" t="s">
        <v>0</v>
      </c>
      <c r="I554" t="s">
        <v>756</v>
      </c>
      <c r="J554" t="s">
        <v>738</v>
      </c>
      <c r="L554" t="s">
        <v>3</v>
      </c>
      <c r="M554" t="s">
        <v>4</v>
      </c>
      <c r="N554" s="3" t="str">
        <f t="shared" si="17"/>
        <v>F</v>
      </c>
      <c r="O554" s="3" t="str">
        <f>IF(_xlfn.IFNA(MATCH(B554,Table1[UID],0),"F")="F","F","T")</f>
        <v>T</v>
      </c>
    </row>
    <row r="555" spans="2:15" x14ac:dyDescent="0.25">
      <c r="B555" s="42" t="str">
        <f t="shared" si="18"/>
        <v>TW_08N_PR2/TAILWATER</v>
      </c>
      <c r="C555" t="s">
        <v>2908</v>
      </c>
      <c r="D555" t="s">
        <v>2531</v>
      </c>
      <c r="E555" t="s">
        <v>3441</v>
      </c>
      <c r="F555">
        <v>267</v>
      </c>
      <c r="G555" t="s">
        <v>3442</v>
      </c>
      <c r="H555" t="s">
        <v>0</v>
      </c>
      <c r="I555" t="s">
        <v>757</v>
      </c>
      <c r="J555" t="s">
        <v>738</v>
      </c>
      <c r="L555" t="s">
        <v>3</v>
      </c>
      <c r="M555" t="s">
        <v>4</v>
      </c>
      <c r="N555" s="3" t="str">
        <f t="shared" si="17"/>
        <v>F</v>
      </c>
      <c r="O555" s="3" t="str">
        <f>IF(_xlfn.IFNA(MATCH(B555,Table1[UID],0),"F")="F","F","T")</f>
        <v>T</v>
      </c>
    </row>
    <row r="556" spans="2:15" x14ac:dyDescent="0.25">
      <c r="B556" s="42" t="str">
        <f t="shared" si="18"/>
        <v>TW_08N_SA1/TAILWATER</v>
      </c>
      <c r="C556" t="s">
        <v>2908</v>
      </c>
      <c r="D556" t="s">
        <v>2531</v>
      </c>
      <c r="E556" t="s">
        <v>3443</v>
      </c>
      <c r="F556">
        <v>268</v>
      </c>
      <c r="G556" t="s">
        <v>3444</v>
      </c>
      <c r="H556" t="s">
        <v>0</v>
      </c>
      <c r="I556" t="s">
        <v>758</v>
      </c>
      <c r="J556" t="s">
        <v>738</v>
      </c>
      <c r="L556" t="s">
        <v>3</v>
      </c>
      <c r="M556" t="s">
        <v>4</v>
      </c>
      <c r="N556" s="3" t="str">
        <f t="shared" si="17"/>
        <v>F</v>
      </c>
      <c r="O556" s="3" t="str">
        <f>IF(_xlfn.IFNA(MATCH(B556,Table1[UID],0),"F")="F","F","T")</f>
        <v>T</v>
      </c>
    </row>
    <row r="557" spans="2:15" x14ac:dyDescent="0.25">
      <c r="B557" s="42" t="str">
        <f t="shared" si="18"/>
        <v>TW_08N_SA2/TAILWATER</v>
      </c>
      <c r="C557" t="s">
        <v>2908</v>
      </c>
      <c r="D557" t="s">
        <v>2531</v>
      </c>
      <c r="E557" t="s">
        <v>3445</v>
      </c>
      <c r="F557">
        <v>269</v>
      </c>
      <c r="G557" t="s">
        <v>3446</v>
      </c>
      <c r="H557" t="s">
        <v>0</v>
      </c>
      <c r="I557" t="s">
        <v>759</v>
      </c>
      <c r="J557" t="s">
        <v>738</v>
      </c>
      <c r="L557" t="s">
        <v>3</v>
      </c>
      <c r="M557" t="s">
        <v>4</v>
      </c>
      <c r="N557" s="3" t="str">
        <f t="shared" si="17"/>
        <v>F</v>
      </c>
      <c r="O557" s="3" t="str">
        <f>IF(_xlfn.IFNA(MATCH(B557,Table1[UID],0),"F")="F","F","T")</f>
        <v>T</v>
      </c>
    </row>
    <row r="558" spans="2:15" x14ac:dyDescent="0.25">
      <c r="B558" s="42" t="str">
        <f t="shared" si="18"/>
        <v>TW_08S_NA1/TAILWATER</v>
      </c>
      <c r="C558" t="s">
        <v>2908</v>
      </c>
      <c r="D558" t="s">
        <v>2531</v>
      </c>
      <c r="E558" t="s">
        <v>3447</v>
      </c>
      <c r="F558">
        <v>270</v>
      </c>
      <c r="G558" t="s">
        <v>3448</v>
      </c>
      <c r="H558" t="s">
        <v>0</v>
      </c>
      <c r="I558" t="s">
        <v>760</v>
      </c>
      <c r="J558" t="s">
        <v>738</v>
      </c>
      <c r="L558" t="s">
        <v>3</v>
      </c>
      <c r="M558" t="s">
        <v>4</v>
      </c>
      <c r="N558" s="3" t="str">
        <f t="shared" si="17"/>
        <v>F</v>
      </c>
      <c r="O558" s="3" t="str">
        <f>IF(_xlfn.IFNA(MATCH(B558,Table1[UID],0),"F")="F","F","T")</f>
        <v>T</v>
      </c>
    </row>
    <row r="559" spans="2:15" x14ac:dyDescent="0.25">
      <c r="B559" s="42" t="str">
        <f t="shared" si="18"/>
        <v>TW_08S_NA2/TAILWATER</v>
      </c>
      <c r="C559" t="s">
        <v>2908</v>
      </c>
      <c r="D559" t="s">
        <v>2531</v>
      </c>
      <c r="E559" t="s">
        <v>3449</v>
      </c>
      <c r="F559">
        <v>271</v>
      </c>
      <c r="G559" t="s">
        <v>3450</v>
      </c>
      <c r="H559" t="s">
        <v>0</v>
      </c>
      <c r="I559" t="s">
        <v>761</v>
      </c>
      <c r="J559" t="s">
        <v>738</v>
      </c>
      <c r="L559" t="s">
        <v>3</v>
      </c>
      <c r="M559" t="s">
        <v>4</v>
      </c>
      <c r="N559" s="3" t="str">
        <f t="shared" si="17"/>
        <v>F</v>
      </c>
      <c r="O559" s="3" t="str">
        <f>IF(_xlfn.IFNA(MATCH(B559,Table1[UID],0),"F")="F","F","T")</f>
        <v>T</v>
      </c>
    </row>
    <row r="560" spans="2:15" x14ac:dyDescent="0.25">
      <c r="B560" s="42" t="str">
        <f t="shared" si="18"/>
        <v>TW_08S_PA/TAILWATER</v>
      </c>
      <c r="C560" t="s">
        <v>2908</v>
      </c>
      <c r="D560" t="s">
        <v>2531</v>
      </c>
      <c r="E560" t="s">
        <v>3451</v>
      </c>
      <c r="F560">
        <v>272</v>
      </c>
      <c r="G560" t="s">
        <v>3452</v>
      </c>
      <c r="H560" t="s">
        <v>0</v>
      </c>
      <c r="I560" t="s">
        <v>762</v>
      </c>
      <c r="J560" t="s">
        <v>738</v>
      </c>
      <c r="L560" t="s">
        <v>3</v>
      </c>
      <c r="M560" t="s">
        <v>4</v>
      </c>
      <c r="N560" s="3" t="str">
        <f t="shared" si="17"/>
        <v>F</v>
      </c>
      <c r="O560" s="3" t="str">
        <f>IF(_xlfn.IFNA(MATCH(B560,Table1[UID],0),"F")="F","F","T")</f>
        <v>T</v>
      </c>
    </row>
    <row r="561" spans="2:15" x14ac:dyDescent="0.25">
      <c r="B561" s="42" t="str">
        <f t="shared" si="18"/>
        <v>TW_08S_PR/TAILWATER</v>
      </c>
      <c r="C561" t="s">
        <v>2908</v>
      </c>
      <c r="D561" t="s">
        <v>2531</v>
      </c>
      <c r="E561" t="s">
        <v>3453</v>
      </c>
      <c r="F561">
        <v>273</v>
      </c>
      <c r="G561" t="s">
        <v>3454</v>
      </c>
      <c r="H561" t="s">
        <v>0</v>
      </c>
      <c r="I561" t="s">
        <v>763</v>
      </c>
      <c r="J561" t="s">
        <v>738</v>
      </c>
      <c r="L561" t="s">
        <v>3</v>
      </c>
      <c r="M561" t="s">
        <v>4</v>
      </c>
      <c r="N561" s="3" t="str">
        <f t="shared" si="17"/>
        <v>F</v>
      </c>
      <c r="O561" s="3" t="str">
        <f>IF(_xlfn.IFNA(MATCH(B561,Table1[UID],0),"F")="F","F","T")</f>
        <v>T</v>
      </c>
    </row>
    <row r="562" spans="2:15" x14ac:dyDescent="0.25">
      <c r="B562" s="42" t="str">
        <f t="shared" si="18"/>
        <v>TW_08S_SA1/TAILWATER</v>
      </c>
      <c r="C562" t="s">
        <v>2908</v>
      </c>
      <c r="D562" t="s">
        <v>2531</v>
      </c>
      <c r="E562" t="s">
        <v>3455</v>
      </c>
      <c r="F562">
        <v>274</v>
      </c>
      <c r="G562" t="s">
        <v>3456</v>
      </c>
      <c r="H562" t="s">
        <v>0</v>
      </c>
      <c r="I562" t="s">
        <v>764</v>
      </c>
      <c r="J562" t="s">
        <v>738</v>
      </c>
      <c r="L562" t="s">
        <v>3</v>
      </c>
      <c r="M562" t="s">
        <v>4</v>
      </c>
      <c r="N562" s="3" t="str">
        <f t="shared" si="17"/>
        <v>F</v>
      </c>
      <c r="O562" s="3" t="str">
        <f>IF(_xlfn.IFNA(MATCH(B562,Table1[UID],0),"F")="F","F","T")</f>
        <v>T</v>
      </c>
    </row>
    <row r="563" spans="2:15" x14ac:dyDescent="0.25">
      <c r="B563" s="42" t="str">
        <f t="shared" si="18"/>
        <v>TW_08S_SA2/TAILWATER</v>
      </c>
      <c r="C563" t="s">
        <v>2908</v>
      </c>
      <c r="D563" t="s">
        <v>2531</v>
      </c>
      <c r="E563" t="s">
        <v>3457</v>
      </c>
      <c r="F563">
        <v>275</v>
      </c>
      <c r="G563" t="s">
        <v>3458</v>
      </c>
      <c r="H563" t="s">
        <v>0</v>
      </c>
      <c r="I563" t="s">
        <v>765</v>
      </c>
      <c r="J563" t="s">
        <v>738</v>
      </c>
      <c r="L563" t="s">
        <v>3</v>
      </c>
      <c r="M563" t="s">
        <v>4</v>
      </c>
      <c r="N563" s="3" t="str">
        <f t="shared" si="17"/>
        <v>F</v>
      </c>
      <c r="O563" s="3" t="str">
        <f>IF(_xlfn.IFNA(MATCH(B563,Table1[UID],0),"F")="F","F","T")</f>
        <v>T</v>
      </c>
    </row>
    <row r="564" spans="2:15" x14ac:dyDescent="0.25">
      <c r="B564" s="42" t="str">
        <f t="shared" si="18"/>
        <v>TW_08S_SA3/TAILWATER</v>
      </c>
      <c r="C564" t="s">
        <v>2908</v>
      </c>
      <c r="D564" t="s">
        <v>2531</v>
      </c>
      <c r="E564" t="s">
        <v>3459</v>
      </c>
      <c r="F564">
        <v>276</v>
      </c>
      <c r="G564" t="s">
        <v>3460</v>
      </c>
      <c r="H564" t="s">
        <v>0</v>
      </c>
      <c r="I564" t="s">
        <v>766</v>
      </c>
      <c r="J564" t="s">
        <v>738</v>
      </c>
      <c r="L564" t="s">
        <v>3</v>
      </c>
      <c r="M564" t="s">
        <v>4</v>
      </c>
      <c r="N564" s="3" t="str">
        <f t="shared" si="17"/>
        <v>F</v>
      </c>
      <c r="O564" s="3" t="str">
        <f>IF(_xlfn.IFNA(MATCH(B564,Table1[UID],0),"F")="F","F","T")</f>
        <v>T</v>
      </c>
    </row>
    <row r="565" spans="2:15" x14ac:dyDescent="0.25">
      <c r="B565" s="42" t="str">
        <f t="shared" si="18"/>
        <v>TW_09_NA/TAILWATER</v>
      </c>
      <c r="C565" t="s">
        <v>2908</v>
      </c>
      <c r="D565" t="s">
        <v>2531</v>
      </c>
      <c r="E565" t="s">
        <v>3461</v>
      </c>
      <c r="F565">
        <v>277</v>
      </c>
      <c r="G565" t="s">
        <v>3462</v>
      </c>
      <c r="H565" t="s">
        <v>0</v>
      </c>
      <c r="I565" t="s">
        <v>767</v>
      </c>
      <c r="J565" t="s">
        <v>738</v>
      </c>
      <c r="L565" t="s">
        <v>3</v>
      </c>
      <c r="M565" t="s">
        <v>4</v>
      </c>
      <c r="N565" s="3" t="str">
        <f t="shared" si="17"/>
        <v>F</v>
      </c>
      <c r="O565" s="3" t="str">
        <f>IF(_xlfn.IFNA(MATCH(B565,Table1[UID],0),"F")="F","F","T")</f>
        <v>T</v>
      </c>
    </row>
    <row r="566" spans="2:15" x14ac:dyDescent="0.25">
      <c r="B566" s="42" t="str">
        <f t="shared" si="18"/>
        <v>TW_09_PR/TAILWATER</v>
      </c>
      <c r="C566" t="s">
        <v>2908</v>
      </c>
      <c r="D566" t="s">
        <v>2531</v>
      </c>
      <c r="E566" t="s">
        <v>3463</v>
      </c>
      <c r="F566">
        <v>278</v>
      </c>
      <c r="G566" t="s">
        <v>3464</v>
      </c>
      <c r="H566" t="s">
        <v>0</v>
      </c>
      <c r="I566" t="s">
        <v>768</v>
      </c>
      <c r="J566" t="s">
        <v>738</v>
      </c>
      <c r="L566" t="s">
        <v>3</v>
      </c>
      <c r="M566" t="s">
        <v>4</v>
      </c>
      <c r="N566" s="3" t="str">
        <f t="shared" si="17"/>
        <v>F</v>
      </c>
      <c r="O566" s="3" t="str">
        <f>IF(_xlfn.IFNA(MATCH(B566,Table1[UID],0),"F")="F","F","T")</f>
        <v>T</v>
      </c>
    </row>
    <row r="567" spans="2:15" x14ac:dyDescent="0.25">
      <c r="B567" s="42" t="str">
        <f t="shared" si="18"/>
        <v>TW_09_SA1/TAILWATER</v>
      </c>
      <c r="C567" t="s">
        <v>2908</v>
      </c>
      <c r="D567" t="s">
        <v>2531</v>
      </c>
      <c r="E567" t="s">
        <v>3465</v>
      </c>
      <c r="F567">
        <v>279</v>
      </c>
      <c r="G567" t="s">
        <v>3466</v>
      </c>
      <c r="H567" t="s">
        <v>0</v>
      </c>
      <c r="I567" t="s">
        <v>769</v>
      </c>
      <c r="J567" t="s">
        <v>738</v>
      </c>
      <c r="L567" t="s">
        <v>3</v>
      </c>
      <c r="M567" t="s">
        <v>4</v>
      </c>
      <c r="N567" s="3" t="str">
        <f t="shared" si="17"/>
        <v>F</v>
      </c>
      <c r="O567" s="3" t="str">
        <f>IF(_xlfn.IFNA(MATCH(B567,Table1[UID],0),"F")="F","F","T")</f>
        <v>T</v>
      </c>
    </row>
    <row r="568" spans="2:15" x14ac:dyDescent="0.25">
      <c r="B568" s="42" t="str">
        <f t="shared" si="18"/>
        <v>TW_09_SA2/TAILWATER</v>
      </c>
      <c r="C568" t="s">
        <v>2908</v>
      </c>
      <c r="D568" t="s">
        <v>2531</v>
      </c>
      <c r="E568" t="s">
        <v>3467</v>
      </c>
      <c r="F568">
        <v>280</v>
      </c>
      <c r="G568" t="s">
        <v>3468</v>
      </c>
      <c r="H568" t="s">
        <v>0</v>
      </c>
      <c r="I568" t="s">
        <v>770</v>
      </c>
      <c r="J568" t="s">
        <v>738</v>
      </c>
      <c r="L568" t="s">
        <v>3</v>
      </c>
      <c r="M568" t="s">
        <v>4</v>
      </c>
      <c r="N568" s="3" t="str">
        <f t="shared" si="17"/>
        <v>F</v>
      </c>
      <c r="O568" s="3" t="str">
        <f>IF(_xlfn.IFNA(MATCH(B568,Table1[UID],0),"F")="F","F","T")</f>
        <v>T</v>
      </c>
    </row>
    <row r="569" spans="2:15" x14ac:dyDescent="0.25">
      <c r="B569" s="42" t="str">
        <f t="shared" si="18"/>
        <v>TW_10_NA/TAILWATER</v>
      </c>
      <c r="C569" t="s">
        <v>2908</v>
      </c>
      <c r="D569" t="s">
        <v>2531</v>
      </c>
      <c r="E569" t="s">
        <v>3469</v>
      </c>
      <c r="F569">
        <v>281</v>
      </c>
      <c r="G569" t="s">
        <v>3470</v>
      </c>
      <c r="H569" t="s">
        <v>0</v>
      </c>
      <c r="I569" t="s">
        <v>771</v>
      </c>
      <c r="J569" t="s">
        <v>738</v>
      </c>
      <c r="L569" t="s">
        <v>3</v>
      </c>
      <c r="M569" t="s">
        <v>4</v>
      </c>
      <c r="N569" s="3" t="str">
        <f t="shared" si="17"/>
        <v>F</v>
      </c>
      <c r="O569" s="3" t="str">
        <f>IF(_xlfn.IFNA(MATCH(B569,Table1[UID],0),"F")="F","F","T")</f>
        <v>T</v>
      </c>
    </row>
    <row r="570" spans="2:15" x14ac:dyDescent="0.25">
      <c r="B570" s="42" t="str">
        <f t="shared" si="18"/>
        <v>TW_11_NA/TAILWATER</v>
      </c>
      <c r="C570" t="s">
        <v>2908</v>
      </c>
      <c r="D570" t="s">
        <v>2531</v>
      </c>
      <c r="E570" t="s">
        <v>3471</v>
      </c>
      <c r="F570">
        <v>282</v>
      </c>
      <c r="G570" t="s">
        <v>3472</v>
      </c>
      <c r="H570" t="s">
        <v>0</v>
      </c>
      <c r="I570" t="s">
        <v>772</v>
      </c>
      <c r="J570" t="s">
        <v>738</v>
      </c>
      <c r="L570" t="s">
        <v>3</v>
      </c>
      <c r="M570" t="s">
        <v>4</v>
      </c>
      <c r="N570" s="3" t="str">
        <f t="shared" si="17"/>
        <v>F</v>
      </c>
      <c r="O570" s="3" t="str">
        <f>IF(_xlfn.IFNA(MATCH(B570,Table1[UID],0),"F")="F","F","T")</f>
        <v>T</v>
      </c>
    </row>
    <row r="571" spans="2:15" x14ac:dyDescent="0.25">
      <c r="B571" s="42" t="str">
        <f t="shared" si="18"/>
        <v>TW_11_PR/TAILWATER</v>
      </c>
      <c r="C571" t="s">
        <v>2908</v>
      </c>
      <c r="D571" t="s">
        <v>2531</v>
      </c>
      <c r="E571" t="s">
        <v>3473</v>
      </c>
      <c r="F571">
        <v>283</v>
      </c>
      <c r="G571" t="s">
        <v>3474</v>
      </c>
      <c r="H571" t="s">
        <v>0</v>
      </c>
      <c r="I571" t="s">
        <v>773</v>
      </c>
      <c r="J571" t="s">
        <v>738</v>
      </c>
      <c r="L571" t="s">
        <v>3</v>
      </c>
      <c r="M571" t="s">
        <v>4</v>
      </c>
      <c r="N571" s="3" t="str">
        <f t="shared" si="17"/>
        <v>F</v>
      </c>
      <c r="O571" s="3" t="str">
        <f>IF(_xlfn.IFNA(MATCH(B571,Table1[UID],0),"F")="F","F","T")</f>
        <v>T</v>
      </c>
    </row>
    <row r="572" spans="2:15" x14ac:dyDescent="0.25">
      <c r="B572" s="42" t="str">
        <f t="shared" si="18"/>
        <v>TW_11_SA1/TAILWATER</v>
      </c>
      <c r="C572" t="s">
        <v>2908</v>
      </c>
      <c r="D572" t="s">
        <v>2531</v>
      </c>
      <c r="E572" t="s">
        <v>3475</v>
      </c>
      <c r="F572">
        <v>284</v>
      </c>
      <c r="G572" t="s">
        <v>3476</v>
      </c>
      <c r="H572" t="s">
        <v>0</v>
      </c>
      <c r="I572" t="s">
        <v>774</v>
      </c>
      <c r="J572" t="s">
        <v>738</v>
      </c>
      <c r="L572" t="s">
        <v>3</v>
      </c>
      <c r="M572" t="s">
        <v>4</v>
      </c>
      <c r="N572" s="3" t="str">
        <f t="shared" si="17"/>
        <v>F</v>
      </c>
      <c r="O572" s="3" t="str">
        <f>IF(_xlfn.IFNA(MATCH(B572,Table1[UID],0),"F")="F","F","T")</f>
        <v>T</v>
      </c>
    </row>
    <row r="573" spans="2:15" x14ac:dyDescent="0.25">
      <c r="B573" s="42" t="str">
        <f t="shared" si="18"/>
        <v>TW_11_SA2/TAILWATER</v>
      </c>
      <c r="C573" t="s">
        <v>2908</v>
      </c>
      <c r="D573" t="s">
        <v>2531</v>
      </c>
      <c r="E573" t="s">
        <v>3477</v>
      </c>
      <c r="F573">
        <v>285</v>
      </c>
      <c r="G573" t="s">
        <v>3478</v>
      </c>
      <c r="H573" t="s">
        <v>0</v>
      </c>
      <c r="I573" t="s">
        <v>775</v>
      </c>
      <c r="J573" t="s">
        <v>738</v>
      </c>
      <c r="L573" t="s">
        <v>3</v>
      </c>
      <c r="M573" t="s">
        <v>4</v>
      </c>
      <c r="N573" s="3" t="str">
        <f t="shared" si="17"/>
        <v>F</v>
      </c>
      <c r="O573" s="3" t="str">
        <f>IF(_xlfn.IFNA(MATCH(B573,Table1[UID],0),"F")="F","F","T")</f>
        <v>T</v>
      </c>
    </row>
    <row r="574" spans="2:15" x14ac:dyDescent="0.25">
      <c r="B574" s="42" t="str">
        <f t="shared" si="18"/>
        <v>TW_11_SA3/TAILWATER</v>
      </c>
      <c r="C574" t="s">
        <v>2908</v>
      </c>
      <c r="D574" t="s">
        <v>2531</v>
      </c>
      <c r="E574" t="s">
        <v>3479</v>
      </c>
      <c r="F574">
        <v>286</v>
      </c>
      <c r="G574" t="s">
        <v>3480</v>
      </c>
      <c r="H574" t="s">
        <v>0</v>
      </c>
      <c r="I574" t="s">
        <v>776</v>
      </c>
      <c r="J574" t="s">
        <v>738</v>
      </c>
      <c r="L574" t="s">
        <v>3</v>
      </c>
      <c r="M574" t="s">
        <v>4</v>
      </c>
      <c r="N574" s="3" t="str">
        <f t="shared" si="17"/>
        <v>F</v>
      </c>
      <c r="O574" s="3" t="str">
        <f>IF(_xlfn.IFNA(MATCH(B574,Table1[UID],0),"F")="F","F","T")</f>
        <v>T</v>
      </c>
    </row>
    <row r="575" spans="2:15" x14ac:dyDescent="0.25">
      <c r="B575" s="42" t="str">
        <f t="shared" si="18"/>
        <v>TW_11_SA4/TAILWATER</v>
      </c>
      <c r="C575" t="s">
        <v>2908</v>
      </c>
      <c r="D575" t="s">
        <v>2531</v>
      </c>
      <c r="E575" t="s">
        <v>3481</v>
      </c>
      <c r="F575">
        <v>287</v>
      </c>
      <c r="G575" t="s">
        <v>3482</v>
      </c>
      <c r="H575" t="s">
        <v>0</v>
      </c>
      <c r="I575" t="s">
        <v>777</v>
      </c>
      <c r="J575" t="s">
        <v>738</v>
      </c>
      <c r="L575" t="s">
        <v>3</v>
      </c>
      <c r="M575" t="s">
        <v>4</v>
      </c>
      <c r="N575" s="3" t="str">
        <f t="shared" si="17"/>
        <v>F</v>
      </c>
      <c r="O575" s="3" t="str">
        <f>IF(_xlfn.IFNA(MATCH(B575,Table1[UID],0),"F")="F","F","T")</f>
        <v>T</v>
      </c>
    </row>
    <row r="576" spans="2:15" x14ac:dyDescent="0.25">
      <c r="B576" s="42" t="str">
        <f t="shared" si="18"/>
        <v>TW_12_NA/TAILWATER</v>
      </c>
      <c r="C576" t="s">
        <v>2908</v>
      </c>
      <c r="D576" t="s">
        <v>2531</v>
      </c>
      <c r="E576" t="s">
        <v>3483</v>
      </c>
      <c r="F576">
        <v>288</v>
      </c>
      <c r="G576" t="s">
        <v>3484</v>
      </c>
      <c r="H576" t="s">
        <v>0</v>
      </c>
      <c r="I576" t="s">
        <v>778</v>
      </c>
      <c r="J576" t="s">
        <v>738</v>
      </c>
      <c r="L576" t="s">
        <v>3</v>
      </c>
      <c r="M576" t="s">
        <v>4</v>
      </c>
      <c r="N576" s="3" t="str">
        <f t="shared" si="17"/>
        <v>F</v>
      </c>
      <c r="O576" s="3" t="str">
        <f>IF(_xlfn.IFNA(MATCH(B576,Table1[UID],0),"F")="F","F","T")</f>
        <v>T</v>
      </c>
    </row>
    <row r="577" spans="2:15" x14ac:dyDescent="0.25">
      <c r="B577" s="42" t="str">
        <f t="shared" si="18"/>
        <v>TW_12_SA/TAILWATER</v>
      </c>
      <c r="C577" t="s">
        <v>2908</v>
      </c>
      <c r="D577" t="s">
        <v>2531</v>
      </c>
      <c r="E577" t="s">
        <v>3485</v>
      </c>
      <c r="F577">
        <v>289</v>
      </c>
      <c r="G577" t="s">
        <v>3486</v>
      </c>
      <c r="H577" t="s">
        <v>0</v>
      </c>
      <c r="I577" t="s">
        <v>779</v>
      </c>
      <c r="J577" t="s">
        <v>738</v>
      </c>
      <c r="L577" t="s">
        <v>3</v>
      </c>
      <c r="M577" t="s">
        <v>4</v>
      </c>
      <c r="N577" s="3" t="str">
        <f t="shared" si="17"/>
        <v>F</v>
      </c>
      <c r="O577" s="3" t="str">
        <f>IF(_xlfn.IFNA(MATCH(B577,Table1[UID],0),"F")="F","F","T")</f>
        <v>T</v>
      </c>
    </row>
    <row r="578" spans="2:15" x14ac:dyDescent="0.25">
      <c r="B578" s="42" t="str">
        <f t="shared" si="18"/>
        <v>TW_13_NA/TAILWATER</v>
      </c>
      <c r="C578" t="s">
        <v>2908</v>
      </c>
      <c r="D578" t="s">
        <v>2531</v>
      </c>
      <c r="E578" t="s">
        <v>3487</v>
      </c>
      <c r="F578">
        <v>290</v>
      </c>
      <c r="G578" t="s">
        <v>3488</v>
      </c>
      <c r="H578" t="s">
        <v>0</v>
      </c>
      <c r="I578" t="s">
        <v>780</v>
      </c>
      <c r="J578" t="s">
        <v>738</v>
      </c>
      <c r="L578" t="s">
        <v>3</v>
      </c>
      <c r="M578" t="s">
        <v>4</v>
      </c>
      <c r="N578" s="3" t="str">
        <f t="shared" si="17"/>
        <v>F</v>
      </c>
      <c r="O578" s="3" t="str">
        <f>IF(_xlfn.IFNA(MATCH(B578,Table1[UID],0),"F")="F","F","T")</f>
        <v>T</v>
      </c>
    </row>
    <row r="579" spans="2:15" x14ac:dyDescent="0.25">
      <c r="B579" s="42" t="str">
        <f t="shared" si="18"/>
        <v>TW_14_NA/TAILWATER</v>
      </c>
      <c r="C579" t="s">
        <v>2908</v>
      </c>
      <c r="D579" t="s">
        <v>2531</v>
      </c>
      <c r="E579" t="s">
        <v>3489</v>
      </c>
      <c r="F579">
        <v>291</v>
      </c>
      <c r="G579" t="s">
        <v>3490</v>
      </c>
      <c r="H579" t="s">
        <v>0</v>
      </c>
      <c r="I579" t="s">
        <v>781</v>
      </c>
      <c r="J579" t="s">
        <v>738</v>
      </c>
      <c r="L579" t="s">
        <v>3</v>
      </c>
      <c r="M579" t="s">
        <v>4</v>
      </c>
      <c r="N579" s="3" t="str">
        <f t="shared" ref="N579:N642" si="19">IF(COUNTIF($B$3:$B$1760,"="&amp;B579)&gt;1,"T","F")</f>
        <v>F</v>
      </c>
      <c r="O579" s="3" t="str">
        <f>IF(_xlfn.IFNA(MATCH(B579,Table1[UID],0),"F")="F","F","T")</f>
        <v>T</v>
      </c>
    </row>
    <row r="580" spans="2:15" x14ac:dyDescent="0.25">
      <c r="B580" s="42" t="str">
        <f t="shared" si="18"/>
        <v>TW_15N_NA1/TAILWATER</v>
      </c>
      <c r="C580" t="s">
        <v>2908</v>
      </c>
      <c r="D580" t="s">
        <v>2531</v>
      </c>
      <c r="E580" t="s">
        <v>3491</v>
      </c>
      <c r="F580">
        <v>292</v>
      </c>
      <c r="G580" t="s">
        <v>3492</v>
      </c>
      <c r="H580" t="s">
        <v>0</v>
      </c>
      <c r="I580" t="s">
        <v>782</v>
      </c>
      <c r="J580" t="s">
        <v>738</v>
      </c>
      <c r="L580" t="s">
        <v>3</v>
      </c>
      <c r="M580" t="s">
        <v>4</v>
      </c>
      <c r="N580" s="3" t="str">
        <f t="shared" si="19"/>
        <v>F</v>
      </c>
      <c r="O580" s="3" t="str">
        <f>IF(_xlfn.IFNA(MATCH(B580,Table1[UID],0),"F")="F","F","T")</f>
        <v>T</v>
      </c>
    </row>
    <row r="581" spans="2:15" x14ac:dyDescent="0.25">
      <c r="B581" s="42" t="str">
        <f t="shared" si="18"/>
        <v>TW_15N_NA2/TAILWATER</v>
      </c>
      <c r="C581" t="s">
        <v>2908</v>
      </c>
      <c r="D581" t="s">
        <v>2531</v>
      </c>
      <c r="E581" t="s">
        <v>3493</v>
      </c>
      <c r="F581">
        <v>293</v>
      </c>
      <c r="G581" t="s">
        <v>3494</v>
      </c>
      <c r="H581" t="s">
        <v>0</v>
      </c>
      <c r="I581" t="s">
        <v>783</v>
      </c>
      <c r="J581" t="s">
        <v>738</v>
      </c>
      <c r="L581" t="s">
        <v>3</v>
      </c>
      <c r="M581" t="s">
        <v>4</v>
      </c>
      <c r="N581" s="3" t="str">
        <f t="shared" si="19"/>
        <v>F</v>
      </c>
      <c r="O581" s="3" t="str">
        <f>IF(_xlfn.IFNA(MATCH(B581,Table1[UID],0),"F")="F","F","T")</f>
        <v>T</v>
      </c>
    </row>
    <row r="582" spans="2:15" x14ac:dyDescent="0.25">
      <c r="B582" s="42" t="str">
        <f t="shared" si="18"/>
        <v>TW_15N_SA/TAILWATER</v>
      </c>
      <c r="C582" t="s">
        <v>2908</v>
      </c>
      <c r="D582" t="s">
        <v>2531</v>
      </c>
      <c r="E582" t="s">
        <v>3495</v>
      </c>
      <c r="F582">
        <v>294</v>
      </c>
      <c r="G582" t="s">
        <v>3496</v>
      </c>
      <c r="H582" t="s">
        <v>0</v>
      </c>
      <c r="I582" t="s">
        <v>784</v>
      </c>
      <c r="J582" t="s">
        <v>738</v>
      </c>
      <c r="L582" t="s">
        <v>3</v>
      </c>
      <c r="M582" t="s">
        <v>4</v>
      </c>
      <c r="N582" s="3" t="str">
        <f t="shared" si="19"/>
        <v>F</v>
      </c>
      <c r="O582" s="3" t="str">
        <f>IF(_xlfn.IFNA(MATCH(B582,Table1[UID],0),"F")="F","F","T")</f>
        <v>T</v>
      </c>
    </row>
    <row r="583" spans="2:15" x14ac:dyDescent="0.25">
      <c r="B583" s="42" t="str">
        <f t="shared" si="18"/>
        <v>TW_15S_NA1/TAILWATER</v>
      </c>
      <c r="C583" t="s">
        <v>2908</v>
      </c>
      <c r="D583" t="s">
        <v>2531</v>
      </c>
      <c r="E583" t="s">
        <v>3497</v>
      </c>
      <c r="F583">
        <v>295</v>
      </c>
      <c r="G583" t="s">
        <v>3498</v>
      </c>
      <c r="H583" t="s">
        <v>0</v>
      </c>
      <c r="I583" t="s">
        <v>785</v>
      </c>
      <c r="J583" t="s">
        <v>738</v>
      </c>
      <c r="L583" t="s">
        <v>3</v>
      </c>
      <c r="M583" t="s">
        <v>4</v>
      </c>
      <c r="N583" s="3" t="str">
        <f t="shared" si="19"/>
        <v>F</v>
      </c>
      <c r="O583" s="3" t="str">
        <f>IF(_xlfn.IFNA(MATCH(B583,Table1[UID],0),"F")="F","F","T")</f>
        <v>T</v>
      </c>
    </row>
    <row r="584" spans="2:15" x14ac:dyDescent="0.25">
      <c r="B584" s="42" t="str">
        <f t="shared" si="18"/>
        <v>TW_15S_NA2/TAILWATER</v>
      </c>
      <c r="C584" t="s">
        <v>2908</v>
      </c>
      <c r="D584" t="s">
        <v>2531</v>
      </c>
      <c r="E584" t="s">
        <v>3499</v>
      </c>
      <c r="F584">
        <v>296</v>
      </c>
      <c r="G584" t="s">
        <v>3500</v>
      </c>
      <c r="H584" t="s">
        <v>0</v>
      </c>
      <c r="I584" t="s">
        <v>786</v>
      </c>
      <c r="J584" t="s">
        <v>738</v>
      </c>
      <c r="L584" t="s">
        <v>3</v>
      </c>
      <c r="M584" t="s">
        <v>4</v>
      </c>
      <c r="N584" s="3" t="str">
        <f t="shared" si="19"/>
        <v>F</v>
      </c>
      <c r="O584" s="3" t="str">
        <f>IF(_xlfn.IFNA(MATCH(B584,Table1[UID],0),"F")="F","F","T")</f>
        <v>T</v>
      </c>
    </row>
    <row r="585" spans="2:15" x14ac:dyDescent="0.25">
      <c r="B585" s="42" t="str">
        <f t="shared" si="18"/>
        <v>TW_15S_SA/TAILWATER</v>
      </c>
      <c r="C585" t="s">
        <v>2908</v>
      </c>
      <c r="D585" t="s">
        <v>2531</v>
      </c>
      <c r="E585" t="s">
        <v>3501</v>
      </c>
      <c r="F585">
        <v>297</v>
      </c>
      <c r="G585" t="s">
        <v>3502</v>
      </c>
      <c r="H585" t="s">
        <v>0</v>
      </c>
      <c r="I585" t="s">
        <v>787</v>
      </c>
      <c r="J585" t="s">
        <v>738</v>
      </c>
      <c r="L585" t="s">
        <v>3</v>
      </c>
      <c r="M585" t="s">
        <v>4</v>
      </c>
      <c r="N585" s="3" t="str">
        <f t="shared" si="19"/>
        <v>F</v>
      </c>
      <c r="O585" s="3" t="str">
        <f>IF(_xlfn.IFNA(MATCH(B585,Table1[UID],0),"F")="F","F","T")</f>
        <v>T</v>
      </c>
    </row>
    <row r="586" spans="2:15" x14ac:dyDescent="0.25">
      <c r="B586" s="42" t="str">
        <f t="shared" ref="B586:B649" si="20">_xlfn.CONCAT(I586,"/",J586)</f>
        <v>TW_16_NA1/TAILWATER</v>
      </c>
      <c r="C586" t="s">
        <v>2908</v>
      </c>
      <c r="D586" t="s">
        <v>2531</v>
      </c>
      <c r="E586" t="s">
        <v>3503</v>
      </c>
      <c r="F586">
        <v>298</v>
      </c>
      <c r="G586" t="s">
        <v>3504</v>
      </c>
      <c r="H586" t="s">
        <v>0</v>
      </c>
      <c r="I586" t="s">
        <v>788</v>
      </c>
      <c r="J586" t="s">
        <v>738</v>
      </c>
      <c r="L586" t="s">
        <v>3</v>
      </c>
      <c r="M586" t="s">
        <v>4</v>
      </c>
      <c r="N586" s="3" t="str">
        <f t="shared" si="19"/>
        <v>F</v>
      </c>
      <c r="O586" s="3" t="str">
        <f>IF(_xlfn.IFNA(MATCH(B586,Table1[UID],0),"F")="F","F","T")</f>
        <v>T</v>
      </c>
    </row>
    <row r="587" spans="2:15" x14ac:dyDescent="0.25">
      <c r="B587" s="42" t="str">
        <f t="shared" si="20"/>
        <v>TW_16_NA2/TAILWATER</v>
      </c>
      <c r="C587" t="s">
        <v>2908</v>
      </c>
      <c r="D587" t="s">
        <v>2531</v>
      </c>
      <c r="E587" t="s">
        <v>3505</v>
      </c>
      <c r="F587">
        <v>299</v>
      </c>
      <c r="G587" t="s">
        <v>3506</v>
      </c>
      <c r="H587" t="s">
        <v>0</v>
      </c>
      <c r="I587" t="s">
        <v>789</v>
      </c>
      <c r="J587" t="s">
        <v>738</v>
      </c>
      <c r="L587" t="s">
        <v>3</v>
      </c>
      <c r="M587" t="s">
        <v>4</v>
      </c>
      <c r="N587" s="3" t="str">
        <f t="shared" si="19"/>
        <v>F</v>
      </c>
      <c r="O587" s="3" t="str">
        <f>IF(_xlfn.IFNA(MATCH(B587,Table1[UID],0),"F")="F","F","T")</f>
        <v>T</v>
      </c>
    </row>
    <row r="588" spans="2:15" x14ac:dyDescent="0.25">
      <c r="B588" s="42" t="str">
        <f t="shared" si="20"/>
        <v>TW_16_PA/TAILWATER</v>
      </c>
      <c r="C588" t="s">
        <v>2908</v>
      </c>
      <c r="D588" t="s">
        <v>2531</v>
      </c>
      <c r="E588" t="s">
        <v>3507</v>
      </c>
      <c r="F588">
        <v>300</v>
      </c>
      <c r="G588" t="s">
        <v>3508</v>
      </c>
      <c r="H588" t="s">
        <v>0</v>
      </c>
      <c r="I588" t="s">
        <v>790</v>
      </c>
      <c r="J588" t="s">
        <v>738</v>
      </c>
      <c r="L588" t="s">
        <v>3</v>
      </c>
      <c r="M588" t="s">
        <v>4</v>
      </c>
      <c r="N588" s="3" t="str">
        <f t="shared" si="19"/>
        <v>F</v>
      </c>
      <c r="O588" s="3" t="str">
        <f>IF(_xlfn.IFNA(MATCH(B588,Table1[UID],0),"F")="F","F","T")</f>
        <v>T</v>
      </c>
    </row>
    <row r="589" spans="2:15" x14ac:dyDescent="0.25">
      <c r="B589" s="42" t="str">
        <f t="shared" si="20"/>
        <v>TW_16_SA/TAILWATER</v>
      </c>
      <c r="C589" t="s">
        <v>2908</v>
      </c>
      <c r="D589" t="s">
        <v>2531</v>
      </c>
      <c r="E589" t="s">
        <v>3509</v>
      </c>
      <c r="F589">
        <v>301</v>
      </c>
      <c r="G589" t="s">
        <v>3510</v>
      </c>
      <c r="H589" t="s">
        <v>0</v>
      </c>
      <c r="I589" t="s">
        <v>791</v>
      </c>
      <c r="J589" t="s">
        <v>738</v>
      </c>
      <c r="L589" t="s">
        <v>3</v>
      </c>
      <c r="M589" t="s">
        <v>4</v>
      </c>
      <c r="N589" s="3" t="str">
        <f t="shared" si="19"/>
        <v>F</v>
      </c>
      <c r="O589" s="3" t="str">
        <f>IF(_xlfn.IFNA(MATCH(B589,Table1[UID],0),"F")="F","F","T")</f>
        <v>T</v>
      </c>
    </row>
    <row r="590" spans="2:15" x14ac:dyDescent="0.25">
      <c r="B590" s="42" t="str">
        <f t="shared" si="20"/>
        <v>TW_17N_NA/TAILWATER</v>
      </c>
      <c r="C590" t="s">
        <v>2908</v>
      </c>
      <c r="D590" t="s">
        <v>2531</v>
      </c>
      <c r="E590" t="s">
        <v>3511</v>
      </c>
      <c r="F590">
        <v>302</v>
      </c>
      <c r="G590" t="s">
        <v>3512</v>
      </c>
      <c r="H590" t="s">
        <v>0</v>
      </c>
      <c r="I590" t="s">
        <v>792</v>
      </c>
      <c r="J590" t="s">
        <v>738</v>
      </c>
      <c r="L590" t="s">
        <v>3</v>
      </c>
      <c r="M590" t="s">
        <v>4</v>
      </c>
      <c r="N590" s="3" t="str">
        <f t="shared" si="19"/>
        <v>F</v>
      </c>
      <c r="O590" s="3" t="str">
        <f>IF(_xlfn.IFNA(MATCH(B590,Table1[UID],0),"F")="F","F","T")</f>
        <v>T</v>
      </c>
    </row>
    <row r="591" spans="2:15" x14ac:dyDescent="0.25">
      <c r="B591" s="42" t="str">
        <f t="shared" si="20"/>
        <v>TW_17N_NR/TAILWATER</v>
      </c>
      <c r="C591" t="s">
        <v>2908</v>
      </c>
      <c r="D591" t="s">
        <v>2531</v>
      </c>
      <c r="E591" t="s">
        <v>3513</v>
      </c>
      <c r="F591">
        <v>303</v>
      </c>
      <c r="G591" t="s">
        <v>3514</v>
      </c>
      <c r="H591" t="s">
        <v>0</v>
      </c>
      <c r="I591" t="s">
        <v>793</v>
      </c>
      <c r="J591" t="s">
        <v>738</v>
      </c>
      <c r="L591" t="s">
        <v>3</v>
      </c>
      <c r="M591" t="s">
        <v>4</v>
      </c>
      <c r="N591" s="3" t="str">
        <f t="shared" si="19"/>
        <v>F</v>
      </c>
      <c r="O591" s="3" t="str">
        <f>IF(_xlfn.IFNA(MATCH(B591,Table1[UID],0),"F")="F","F","T")</f>
        <v>T</v>
      </c>
    </row>
    <row r="592" spans="2:15" x14ac:dyDescent="0.25">
      <c r="B592" s="42" t="str">
        <f t="shared" si="20"/>
        <v>TW_17N_PR/TAILWATER</v>
      </c>
      <c r="C592" t="s">
        <v>2908</v>
      </c>
      <c r="D592" t="s">
        <v>2531</v>
      </c>
      <c r="E592" t="s">
        <v>3515</v>
      </c>
      <c r="F592">
        <v>304</v>
      </c>
      <c r="G592" t="s">
        <v>3516</v>
      </c>
      <c r="H592" t="s">
        <v>0</v>
      </c>
      <c r="I592" t="s">
        <v>794</v>
      </c>
      <c r="J592" t="s">
        <v>738</v>
      </c>
      <c r="L592" t="s">
        <v>3</v>
      </c>
      <c r="M592" t="s">
        <v>4</v>
      </c>
      <c r="N592" s="3" t="str">
        <f t="shared" si="19"/>
        <v>F</v>
      </c>
      <c r="O592" s="3" t="str">
        <f>IF(_xlfn.IFNA(MATCH(B592,Table1[UID],0),"F")="F","F","T")</f>
        <v>T</v>
      </c>
    </row>
    <row r="593" spans="2:15" x14ac:dyDescent="0.25">
      <c r="B593" s="42" t="str">
        <f t="shared" si="20"/>
        <v>TW_17S_NA/TAILWATER</v>
      </c>
      <c r="C593" t="s">
        <v>2908</v>
      </c>
      <c r="D593" t="s">
        <v>2531</v>
      </c>
      <c r="E593" t="s">
        <v>3517</v>
      </c>
      <c r="F593">
        <v>305</v>
      </c>
      <c r="G593" t="s">
        <v>3518</v>
      </c>
      <c r="H593" t="s">
        <v>0</v>
      </c>
      <c r="I593" t="s">
        <v>795</v>
      </c>
      <c r="J593" t="s">
        <v>738</v>
      </c>
      <c r="L593" t="s">
        <v>3</v>
      </c>
      <c r="M593" t="s">
        <v>4</v>
      </c>
      <c r="N593" s="3" t="str">
        <f t="shared" si="19"/>
        <v>F</v>
      </c>
      <c r="O593" s="3" t="str">
        <f>IF(_xlfn.IFNA(MATCH(B593,Table1[UID],0),"F")="F","F","T")</f>
        <v>T</v>
      </c>
    </row>
    <row r="594" spans="2:15" x14ac:dyDescent="0.25">
      <c r="B594" s="42" t="str">
        <f t="shared" si="20"/>
        <v>TW_17S_PR/TAILWATER</v>
      </c>
      <c r="C594" t="s">
        <v>2908</v>
      </c>
      <c r="D594" t="s">
        <v>2531</v>
      </c>
      <c r="E594" t="s">
        <v>3519</v>
      </c>
      <c r="F594">
        <v>306</v>
      </c>
      <c r="G594" t="s">
        <v>3520</v>
      </c>
      <c r="H594" t="s">
        <v>0</v>
      </c>
      <c r="I594" t="s">
        <v>796</v>
      </c>
      <c r="J594" t="s">
        <v>738</v>
      </c>
      <c r="L594" t="s">
        <v>3</v>
      </c>
      <c r="M594" t="s">
        <v>4</v>
      </c>
      <c r="N594" s="3" t="str">
        <f t="shared" si="19"/>
        <v>F</v>
      </c>
      <c r="O594" s="3" t="str">
        <f>IF(_xlfn.IFNA(MATCH(B594,Table1[UID],0),"F")="F","F","T")</f>
        <v>T</v>
      </c>
    </row>
    <row r="595" spans="2:15" x14ac:dyDescent="0.25">
      <c r="B595" s="42" t="str">
        <f t="shared" si="20"/>
        <v>TW_17S_SA/TAILWATER</v>
      </c>
      <c r="C595" t="s">
        <v>2908</v>
      </c>
      <c r="D595" t="s">
        <v>2531</v>
      </c>
      <c r="E595" t="s">
        <v>3521</v>
      </c>
      <c r="F595">
        <v>307</v>
      </c>
      <c r="G595" t="s">
        <v>3522</v>
      </c>
      <c r="H595" t="s">
        <v>0</v>
      </c>
      <c r="I595" t="s">
        <v>797</v>
      </c>
      <c r="J595" t="s">
        <v>738</v>
      </c>
      <c r="L595" t="s">
        <v>3</v>
      </c>
      <c r="M595" t="s">
        <v>4</v>
      </c>
      <c r="N595" s="3" t="str">
        <f t="shared" si="19"/>
        <v>F</v>
      </c>
      <c r="O595" s="3" t="str">
        <f>IF(_xlfn.IFNA(MATCH(B595,Table1[UID],0),"F")="F","F","T")</f>
        <v>T</v>
      </c>
    </row>
    <row r="596" spans="2:15" x14ac:dyDescent="0.25">
      <c r="B596" s="42" t="str">
        <f t="shared" si="20"/>
        <v>TW_18_NA/TAILWATER</v>
      </c>
      <c r="C596" t="s">
        <v>2908</v>
      </c>
      <c r="D596" t="s">
        <v>2531</v>
      </c>
      <c r="E596" t="s">
        <v>3523</v>
      </c>
      <c r="F596">
        <v>308</v>
      </c>
      <c r="G596" t="s">
        <v>3524</v>
      </c>
      <c r="H596" t="s">
        <v>0</v>
      </c>
      <c r="I596" t="s">
        <v>798</v>
      </c>
      <c r="J596" t="s">
        <v>738</v>
      </c>
      <c r="L596" t="s">
        <v>3</v>
      </c>
      <c r="M596" t="s">
        <v>4</v>
      </c>
      <c r="N596" s="3" t="str">
        <f t="shared" si="19"/>
        <v>F</v>
      </c>
      <c r="O596" s="3" t="str">
        <f>IF(_xlfn.IFNA(MATCH(B596,Table1[UID],0),"F")="F","F","T")</f>
        <v>T</v>
      </c>
    </row>
    <row r="597" spans="2:15" x14ac:dyDescent="0.25">
      <c r="B597" s="42" t="str">
        <f t="shared" si="20"/>
        <v>TW_18_SA/TAILWATER</v>
      </c>
      <c r="C597" t="s">
        <v>2908</v>
      </c>
      <c r="D597" t="s">
        <v>2531</v>
      </c>
      <c r="E597" t="s">
        <v>3525</v>
      </c>
      <c r="F597">
        <v>309</v>
      </c>
      <c r="G597" t="s">
        <v>3526</v>
      </c>
      <c r="H597" t="s">
        <v>0</v>
      </c>
      <c r="I597" t="s">
        <v>799</v>
      </c>
      <c r="J597" t="s">
        <v>738</v>
      </c>
      <c r="L597" t="s">
        <v>3</v>
      </c>
      <c r="M597" t="s">
        <v>4</v>
      </c>
      <c r="N597" s="3" t="str">
        <f t="shared" si="19"/>
        <v>F</v>
      </c>
      <c r="O597" s="3" t="str">
        <f>IF(_xlfn.IFNA(MATCH(B597,Table1[UID],0),"F")="F","F","T")</f>
        <v>T</v>
      </c>
    </row>
    <row r="598" spans="2:15" x14ac:dyDescent="0.25">
      <c r="B598" s="42" t="str">
        <f t="shared" si="20"/>
        <v>TW_19_SA/TAILWATER</v>
      </c>
      <c r="C598" t="s">
        <v>2908</v>
      </c>
      <c r="D598" t="s">
        <v>2531</v>
      </c>
      <c r="E598" t="s">
        <v>3527</v>
      </c>
      <c r="F598">
        <v>310</v>
      </c>
      <c r="G598" t="s">
        <v>3528</v>
      </c>
      <c r="H598" t="s">
        <v>0</v>
      </c>
      <c r="I598" t="s">
        <v>800</v>
      </c>
      <c r="J598" t="s">
        <v>738</v>
      </c>
      <c r="L598" t="s">
        <v>3</v>
      </c>
      <c r="M598" t="s">
        <v>4</v>
      </c>
      <c r="N598" s="3" t="str">
        <f t="shared" si="19"/>
        <v>F</v>
      </c>
      <c r="O598" s="3" t="str">
        <f>IF(_xlfn.IFNA(MATCH(B598,Table1[UID],0),"F")="F","F","T")</f>
        <v>T</v>
      </c>
    </row>
    <row r="599" spans="2:15" x14ac:dyDescent="0.25">
      <c r="B599" s="42" t="str">
        <f t="shared" si="20"/>
        <v>TW_20_NA1/TAILWATER</v>
      </c>
      <c r="C599" t="s">
        <v>2908</v>
      </c>
      <c r="D599" t="s">
        <v>2531</v>
      </c>
      <c r="E599" t="s">
        <v>3529</v>
      </c>
      <c r="F599">
        <v>311</v>
      </c>
      <c r="G599" t="s">
        <v>3530</v>
      </c>
      <c r="H599" t="s">
        <v>0</v>
      </c>
      <c r="I599" t="s">
        <v>801</v>
      </c>
      <c r="J599" t="s">
        <v>738</v>
      </c>
      <c r="L599" t="s">
        <v>3</v>
      </c>
      <c r="M599" t="s">
        <v>4</v>
      </c>
      <c r="N599" s="3" t="str">
        <f t="shared" si="19"/>
        <v>F</v>
      </c>
      <c r="O599" s="3" t="str">
        <f>IF(_xlfn.IFNA(MATCH(B599,Table1[UID],0),"F")="F","F","T")</f>
        <v>T</v>
      </c>
    </row>
    <row r="600" spans="2:15" x14ac:dyDescent="0.25">
      <c r="B600" s="42" t="str">
        <f t="shared" si="20"/>
        <v>TW_20_NA2/TAILWATER</v>
      </c>
      <c r="C600" t="s">
        <v>2908</v>
      </c>
      <c r="D600" t="s">
        <v>2531</v>
      </c>
      <c r="E600" t="s">
        <v>3531</v>
      </c>
      <c r="F600">
        <v>312</v>
      </c>
      <c r="G600" t="s">
        <v>3532</v>
      </c>
      <c r="H600" t="s">
        <v>0</v>
      </c>
      <c r="I600" t="s">
        <v>802</v>
      </c>
      <c r="J600" t="s">
        <v>738</v>
      </c>
      <c r="L600" t="s">
        <v>3</v>
      </c>
      <c r="M600" t="s">
        <v>4</v>
      </c>
      <c r="N600" s="3" t="str">
        <f t="shared" si="19"/>
        <v>F</v>
      </c>
      <c r="O600" s="3" t="str">
        <f>IF(_xlfn.IFNA(MATCH(B600,Table1[UID],0),"F")="F","F","T")</f>
        <v>T</v>
      </c>
    </row>
    <row r="601" spans="2:15" x14ac:dyDescent="0.25">
      <c r="B601" s="42" t="str">
        <f t="shared" si="20"/>
        <v>TW_20_PA/TAILWATER</v>
      </c>
      <c r="C601" t="s">
        <v>2908</v>
      </c>
      <c r="D601" t="s">
        <v>2531</v>
      </c>
      <c r="E601" t="s">
        <v>3533</v>
      </c>
      <c r="F601">
        <v>313</v>
      </c>
      <c r="G601" t="s">
        <v>3534</v>
      </c>
      <c r="H601" t="s">
        <v>0</v>
      </c>
      <c r="I601" t="s">
        <v>803</v>
      </c>
      <c r="J601" t="s">
        <v>738</v>
      </c>
      <c r="L601" t="s">
        <v>3</v>
      </c>
      <c r="M601" t="s">
        <v>4</v>
      </c>
      <c r="N601" s="3" t="str">
        <f t="shared" si="19"/>
        <v>F</v>
      </c>
      <c r="O601" s="3" t="str">
        <f>IF(_xlfn.IFNA(MATCH(B601,Table1[UID],0),"F")="F","F","T")</f>
        <v>T</v>
      </c>
    </row>
    <row r="602" spans="2:15" x14ac:dyDescent="0.25">
      <c r="B602" s="42" t="str">
        <f t="shared" si="20"/>
        <v>TW_21_NA/TAILWATER</v>
      </c>
      <c r="C602" t="s">
        <v>2908</v>
      </c>
      <c r="D602" t="s">
        <v>2531</v>
      </c>
      <c r="E602" t="s">
        <v>3535</v>
      </c>
      <c r="F602">
        <v>314</v>
      </c>
      <c r="G602" t="s">
        <v>3536</v>
      </c>
      <c r="H602" t="s">
        <v>0</v>
      </c>
      <c r="I602" t="s">
        <v>804</v>
      </c>
      <c r="J602" t="s">
        <v>738</v>
      </c>
      <c r="L602" t="s">
        <v>3</v>
      </c>
      <c r="M602" t="s">
        <v>4</v>
      </c>
      <c r="N602" s="3" t="str">
        <f t="shared" si="19"/>
        <v>F</v>
      </c>
      <c r="O602" s="3" t="str">
        <f>IF(_xlfn.IFNA(MATCH(B602,Table1[UID],0),"F")="F","F","T")</f>
        <v>T</v>
      </c>
    </row>
    <row r="603" spans="2:15" x14ac:dyDescent="0.25">
      <c r="B603" s="42" t="str">
        <f t="shared" si="20"/>
        <v>TW_21_PA/TAILWATER</v>
      </c>
      <c r="C603" t="s">
        <v>2908</v>
      </c>
      <c r="D603" t="s">
        <v>2531</v>
      </c>
      <c r="E603" t="s">
        <v>3537</v>
      </c>
      <c r="F603">
        <v>315</v>
      </c>
      <c r="G603" t="s">
        <v>3538</v>
      </c>
      <c r="H603" t="s">
        <v>0</v>
      </c>
      <c r="I603" t="s">
        <v>805</v>
      </c>
      <c r="J603" t="s">
        <v>738</v>
      </c>
      <c r="L603" t="s">
        <v>3</v>
      </c>
      <c r="M603" t="s">
        <v>4</v>
      </c>
      <c r="N603" s="3" t="str">
        <f t="shared" si="19"/>
        <v>F</v>
      </c>
      <c r="O603" s="3" t="str">
        <f>IF(_xlfn.IFNA(MATCH(B603,Table1[UID],0),"F")="F","F","T")</f>
        <v>T</v>
      </c>
    </row>
    <row r="604" spans="2:15" x14ac:dyDescent="0.25">
      <c r="B604" s="42" t="str">
        <f t="shared" si="20"/>
        <v>TW_21_SA/TAILWATER</v>
      </c>
      <c r="C604" t="s">
        <v>2908</v>
      </c>
      <c r="D604" t="s">
        <v>2531</v>
      </c>
      <c r="E604" t="s">
        <v>3539</v>
      </c>
      <c r="F604">
        <v>316</v>
      </c>
      <c r="G604" t="s">
        <v>3540</v>
      </c>
      <c r="H604" t="s">
        <v>0</v>
      </c>
      <c r="I604" t="s">
        <v>806</v>
      </c>
      <c r="J604" t="s">
        <v>738</v>
      </c>
      <c r="L604" t="s">
        <v>3</v>
      </c>
      <c r="M604" t="s">
        <v>4</v>
      </c>
      <c r="N604" s="3" t="str">
        <f t="shared" si="19"/>
        <v>F</v>
      </c>
      <c r="O604" s="3" t="str">
        <f>IF(_xlfn.IFNA(MATCH(B604,Table1[UID],0),"F")="F","F","T")</f>
        <v>T</v>
      </c>
    </row>
    <row r="605" spans="2:15" x14ac:dyDescent="0.25">
      <c r="B605" s="42" t="str">
        <f t="shared" si="20"/>
        <v>TW_22_NA/TAILWATER</v>
      </c>
      <c r="C605" t="s">
        <v>2908</v>
      </c>
      <c r="D605" t="s">
        <v>2531</v>
      </c>
      <c r="E605" t="s">
        <v>3541</v>
      </c>
      <c r="F605">
        <v>317</v>
      </c>
      <c r="G605" t="s">
        <v>3542</v>
      </c>
      <c r="H605" t="s">
        <v>0</v>
      </c>
      <c r="I605" t="s">
        <v>807</v>
      </c>
      <c r="J605" t="s">
        <v>738</v>
      </c>
      <c r="L605" t="s">
        <v>3</v>
      </c>
      <c r="M605" t="s">
        <v>4</v>
      </c>
      <c r="N605" s="3" t="str">
        <f t="shared" si="19"/>
        <v>F</v>
      </c>
      <c r="O605" s="3" t="str">
        <f>IF(_xlfn.IFNA(MATCH(B605,Table1[UID],0),"F")="F","F","T")</f>
        <v>T</v>
      </c>
    </row>
    <row r="606" spans="2:15" x14ac:dyDescent="0.25">
      <c r="B606" s="42" t="str">
        <f t="shared" si="20"/>
        <v>TW_22_SA1/TAILWATER</v>
      </c>
      <c r="C606" t="s">
        <v>2908</v>
      </c>
      <c r="D606" t="s">
        <v>2531</v>
      </c>
      <c r="E606" t="s">
        <v>3543</v>
      </c>
      <c r="F606">
        <v>318</v>
      </c>
      <c r="G606" t="s">
        <v>3544</v>
      </c>
      <c r="H606" t="s">
        <v>0</v>
      </c>
      <c r="I606" t="s">
        <v>808</v>
      </c>
      <c r="J606" t="s">
        <v>738</v>
      </c>
      <c r="L606" t="s">
        <v>3</v>
      </c>
      <c r="M606" t="s">
        <v>4</v>
      </c>
      <c r="N606" s="3" t="str">
        <f t="shared" si="19"/>
        <v>F</v>
      </c>
      <c r="O606" s="3" t="str">
        <f>IF(_xlfn.IFNA(MATCH(B606,Table1[UID],0),"F")="F","F","T")</f>
        <v>T</v>
      </c>
    </row>
    <row r="607" spans="2:15" x14ac:dyDescent="0.25">
      <c r="B607" s="42" t="str">
        <f t="shared" si="20"/>
        <v>TW_22_SA2/TAILWATER</v>
      </c>
      <c r="C607" t="s">
        <v>2908</v>
      </c>
      <c r="D607" t="s">
        <v>2531</v>
      </c>
      <c r="E607" t="s">
        <v>3545</v>
      </c>
      <c r="F607">
        <v>319</v>
      </c>
      <c r="G607" t="s">
        <v>3546</v>
      </c>
      <c r="H607" t="s">
        <v>0</v>
      </c>
      <c r="I607" t="s">
        <v>809</v>
      </c>
      <c r="J607" t="s">
        <v>738</v>
      </c>
      <c r="L607" t="s">
        <v>3</v>
      </c>
      <c r="M607" t="s">
        <v>4</v>
      </c>
      <c r="N607" s="3" t="str">
        <f t="shared" si="19"/>
        <v>F</v>
      </c>
      <c r="O607" s="3" t="str">
        <f>IF(_xlfn.IFNA(MATCH(B607,Table1[UID],0),"F")="F","F","T")</f>
        <v>T</v>
      </c>
    </row>
    <row r="608" spans="2:15" x14ac:dyDescent="0.25">
      <c r="B608" s="42" t="str">
        <f t="shared" si="20"/>
        <v>TW_23_NA/TAILWATER</v>
      </c>
      <c r="C608" t="s">
        <v>2908</v>
      </c>
      <c r="D608" t="s">
        <v>2531</v>
      </c>
      <c r="E608" t="s">
        <v>3547</v>
      </c>
      <c r="F608">
        <v>320</v>
      </c>
      <c r="G608" t="s">
        <v>3548</v>
      </c>
      <c r="H608" t="s">
        <v>0</v>
      </c>
      <c r="I608" t="s">
        <v>810</v>
      </c>
      <c r="J608" t="s">
        <v>738</v>
      </c>
      <c r="L608" t="s">
        <v>3</v>
      </c>
      <c r="M608" t="s">
        <v>4</v>
      </c>
      <c r="N608" s="3" t="str">
        <f t="shared" si="19"/>
        <v>F</v>
      </c>
      <c r="O608" s="3" t="str">
        <f>IF(_xlfn.IFNA(MATCH(B608,Table1[UID],0),"F")="F","F","T")</f>
        <v>T</v>
      </c>
    </row>
    <row r="609" spans="2:15" x14ac:dyDescent="0.25">
      <c r="B609" s="42" t="str">
        <f t="shared" si="20"/>
        <v>TW_24_NA1/TAILWATER</v>
      </c>
      <c r="C609" t="s">
        <v>2908</v>
      </c>
      <c r="D609" t="s">
        <v>2531</v>
      </c>
      <c r="E609" t="s">
        <v>3549</v>
      </c>
      <c r="F609">
        <v>321</v>
      </c>
      <c r="G609" t="s">
        <v>3550</v>
      </c>
      <c r="H609" t="s">
        <v>0</v>
      </c>
      <c r="I609" t="s">
        <v>811</v>
      </c>
      <c r="J609" t="s">
        <v>738</v>
      </c>
      <c r="L609" t="s">
        <v>3</v>
      </c>
      <c r="M609" t="s">
        <v>4</v>
      </c>
      <c r="N609" s="3" t="str">
        <f t="shared" si="19"/>
        <v>F</v>
      </c>
      <c r="O609" s="3" t="str">
        <f>IF(_xlfn.IFNA(MATCH(B609,Table1[UID],0),"F")="F","F","T")</f>
        <v>T</v>
      </c>
    </row>
    <row r="610" spans="2:15" x14ac:dyDescent="0.25">
      <c r="B610" s="42" t="str">
        <f t="shared" si="20"/>
        <v>TW_24_NA2/TAILWATER</v>
      </c>
      <c r="C610" t="s">
        <v>2908</v>
      </c>
      <c r="D610" t="s">
        <v>2531</v>
      </c>
      <c r="E610" t="s">
        <v>3551</v>
      </c>
      <c r="F610">
        <v>322</v>
      </c>
      <c r="G610" t="s">
        <v>3552</v>
      </c>
      <c r="H610" t="s">
        <v>0</v>
      </c>
      <c r="I610" t="s">
        <v>812</v>
      </c>
      <c r="J610" t="s">
        <v>738</v>
      </c>
      <c r="L610" t="s">
        <v>3</v>
      </c>
      <c r="M610" t="s">
        <v>4</v>
      </c>
      <c r="N610" s="3" t="str">
        <f t="shared" si="19"/>
        <v>F</v>
      </c>
      <c r="O610" s="3" t="str">
        <f>IF(_xlfn.IFNA(MATCH(B610,Table1[UID],0),"F")="F","F","T")</f>
        <v>T</v>
      </c>
    </row>
    <row r="611" spans="2:15" x14ac:dyDescent="0.25">
      <c r="B611" s="42" t="str">
        <f t="shared" si="20"/>
        <v>TW_24_NA3/TAILWATER</v>
      </c>
      <c r="C611" t="s">
        <v>2908</v>
      </c>
      <c r="D611" t="s">
        <v>2531</v>
      </c>
      <c r="E611" t="s">
        <v>3553</v>
      </c>
      <c r="F611">
        <v>323</v>
      </c>
      <c r="G611" t="s">
        <v>3554</v>
      </c>
      <c r="H611" t="s">
        <v>0</v>
      </c>
      <c r="I611" t="s">
        <v>813</v>
      </c>
      <c r="J611" t="s">
        <v>738</v>
      </c>
      <c r="L611" t="s">
        <v>3</v>
      </c>
      <c r="M611" t="s">
        <v>4</v>
      </c>
      <c r="N611" s="3" t="str">
        <f t="shared" si="19"/>
        <v>F</v>
      </c>
      <c r="O611" s="3" t="str">
        <f>IF(_xlfn.IFNA(MATCH(B611,Table1[UID],0),"F")="F","F","T")</f>
        <v>T</v>
      </c>
    </row>
    <row r="612" spans="2:15" x14ac:dyDescent="0.25">
      <c r="B612" s="42" t="str">
        <f t="shared" si="20"/>
        <v>TW_25_NA/TAILWATER</v>
      </c>
      <c r="C612" t="s">
        <v>2908</v>
      </c>
      <c r="D612" t="s">
        <v>2531</v>
      </c>
      <c r="E612" t="s">
        <v>3555</v>
      </c>
      <c r="F612">
        <v>324</v>
      </c>
      <c r="G612" t="s">
        <v>3556</v>
      </c>
      <c r="H612" t="s">
        <v>0</v>
      </c>
      <c r="I612" t="s">
        <v>814</v>
      </c>
      <c r="J612" t="s">
        <v>738</v>
      </c>
      <c r="L612" t="s">
        <v>3</v>
      </c>
      <c r="M612" t="s">
        <v>4</v>
      </c>
      <c r="N612" s="3" t="str">
        <f t="shared" si="19"/>
        <v>F</v>
      </c>
      <c r="O612" s="3" t="str">
        <f>IF(_xlfn.IFNA(MATCH(B612,Table1[UID],0),"F")="F","F","T")</f>
        <v>T</v>
      </c>
    </row>
    <row r="613" spans="2:15" x14ac:dyDescent="0.25">
      <c r="B613" s="42" t="str">
        <f t="shared" si="20"/>
        <v>TW_25_PA1/TAILWATER</v>
      </c>
      <c r="C613" t="s">
        <v>2908</v>
      </c>
      <c r="D613" t="s">
        <v>2531</v>
      </c>
      <c r="E613" t="s">
        <v>3557</v>
      </c>
      <c r="F613">
        <v>325</v>
      </c>
      <c r="G613" t="s">
        <v>3558</v>
      </c>
      <c r="H613" t="s">
        <v>0</v>
      </c>
      <c r="I613" t="s">
        <v>815</v>
      </c>
      <c r="J613" t="s">
        <v>738</v>
      </c>
      <c r="L613" t="s">
        <v>3</v>
      </c>
      <c r="M613" t="s">
        <v>4</v>
      </c>
      <c r="N613" s="3" t="str">
        <f t="shared" si="19"/>
        <v>F</v>
      </c>
      <c r="O613" s="3" t="str">
        <f>IF(_xlfn.IFNA(MATCH(B613,Table1[UID],0),"F")="F","F","T")</f>
        <v>T</v>
      </c>
    </row>
    <row r="614" spans="2:15" x14ac:dyDescent="0.25">
      <c r="B614" s="42" t="str">
        <f t="shared" si="20"/>
        <v>TW_25_PA2/TAILWATER</v>
      </c>
      <c r="C614" t="s">
        <v>2908</v>
      </c>
      <c r="D614" t="s">
        <v>2531</v>
      </c>
      <c r="E614" t="s">
        <v>3559</v>
      </c>
      <c r="F614">
        <v>326</v>
      </c>
      <c r="G614" t="s">
        <v>3560</v>
      </c>
      <c r="H614" t="s">
        <v>0</v>
      </c>
      <c r="I614" t="s">
        <v>816</v>
      </c>
      <c r="J614" t="s">
        <v>738</v>
      </c>
      <c r="L614" t="s">
        <v>3</v>
      </c>
      <c r="M614" t="s">
        <v>4</v>
      </c>
      <c r="N614" s="3" t="str">
        <f t="shared" si="19"/>
        <v>F</v>
      </c>
      <c r="O614" s="3" t="str">
        <f>IF(_xlfn.IFNA(MATCH(B614,Table1[UID],0),"F")="F","F","T")</f>
        <v>T</v>
      </c>
    </row>
    <row r="615" spans="2:15" x14ac:dyDescent="0.25">
      <c r="B615" s="42" t="str">
        <f t="shared" si="20"/>
        <v>TW_26N_NA/TAILWATER</v>
      </c>
      <c r="C615" t="s">
        <v>2908</v>
      </c>
      <c r="D615" t="s">
        <v>2531</v>
      </c>
      <c r="E615" t="s">
        <v>3561</v>
      </c>
      <c r="F615">
        <v>327</v>
      </c>
      <c r="G615" t="s">
        <v>3562</v>
      </c>
      <c r="H615" t="s">
        <v>0</v>
      </c>
      <c r="I615" t="s">
        <v>817</v>
      </c>
      <c r="J615" t="s">
        <v>738</v>
      </c>
      <c r="L615" t="s">
        <v>3</v>
      </c>
      <c r="M615" t="s">
        <v>4</v>
      </c>
      <c r="N615" s="3" t="str">
        <f t="shared" si="19"/>
        <v>F</v>
      </c>
      <c r="O615" s="3" t="str">
        <f>IF(_xlfn.IFNA(MATCH(B615,Table1[UID],0),"F")="F","F","T")</f>
        <v>T</v>
      </c>
    </row>
    <row r="616" spans="2:15" x14ac:dyDescent="0.25">
      <c r="B616" s="42" t="str">
        <f t="shared" si="20"/>
        <v>TW_26S_NA/TAILWATER</v>
      </c>
      <c r="C616" t="s">
        <v>2908</v>
      </c>
      <c r="D616" t="s">
        <v>2531</v>
      </c>
      <c r="E616" t="s">
        <v>3563</v>
      </c>
      <c r="F616">
        <v>328</v>
      </c>
      <c r="G616" t="s">
        <v>3564</v>
      </c>
      <c r="H616" t="s">
        <v>0</v>
      </c>
      <c r="I616" t="s">
        <v>818</v>
      </c>
      <c r="J616" t="s">
        <v>738</v>
      </c>
      <c r="L616" t="s">
        <v>3</v>
      </c>
      <c r="M616" t="s">
        <v>4</v>
      </c>
      <c r="N616" s="3" t="str">
        <f t="shared" si="19"/>
        <v>F</v>
      </c>
      <c r="O616" s="3" t="str">
        <f>IF(_xlfn.IFNA(MATCH(B616,Table1[UID],0),"F")="F","F","T")</f>
        <v>T</v>
      </c>
    </row>
    <row r="617" spans="2:15" x14ac:dyDescent="0.25">
      <c r="B617" s="42" t="str">
        <f t="shared" si="20"/>
        <v>UD_02_NU/URBAN-DEMAND</v>
      </c>
      <c r="C617" t="s">
        <v>2908</v>
      </c>
      <c r="D617" t="s">
        <v>2531</v>
      </c>
      <c r="E617" t="s">
        <v>3565</v>
      </c>
      <c r="F617">
        <v>329</v>
      </c>
      <c r="G617" t="s">
        <v>3566</v>
      </c>
      <c r="H617" t="s">
        <v>0</v>
      </c>
      <c r="I617" t="s">
        <v>891</v>
      </c>
      <c r="J617" t="s">
        <v>892</v>
      </c>
      <c r="L617" t="s">
        <v>3</v>
      </c>
      <c r="M617" t="s">
        <v>4</v>
      </c>
      <c r="N617" s="3" t="str">
        <f t="shared" si="19"/>
        <v>F</v>
      </c>
      <c r="O617" s="3" t="str">
        <f>IF(_xlfn.IFNA(MATCH(B617,Table1[UID],0),"F")="F","F","T")</f>
        <v>T</v>
      </c>
    </row>
    <row r="618" spans="2:15" x14ac:dyDescent="0.25">
      <c r="B618" s="42" t="str">
        <f t="shared" si="20"/>
        <v>UD_02_PU/URBAN-DEMAND</v>
      </c>
      <c r="C618" t="s">
        <v>2908</v>
      </c>
      <c r="D618" t="s">
        <v>2531</v>
      </c>
      <c r="E618" t="s">
        <v>3567</v>
      </c>
      <c r="F618">
        <v>330</v>
      </c>
      <c r="G618" t="s">
        <v>3568</v>
      </c>
      <c r="H618" t="s">
        <v>0</v>
      </c>
      <c r="I618" t="s">
        <v>893</v>
      </c>
      <c r="J618" t="s">
        <v>892</v>
      </c>
      <c r="L618" t="s">
        <v>3</v>
      </c>
      <c r="M618" t="s">
        <v>4</v>
      </c>
      <c r="N618" s="3" t="str">
        <f t="shared" si="19"/>
        <v>F</v>
      </c>
      <c r="O618" s="3" t="str">
        <f>IF(_xlfn.IFNA(MATCH(B618,Table1[UID],0),"F")="F","F","T")</f>
        <v>T</v>
      </c>
    </row>
    <row r="619" spans="2:15" x14ac:dyDescent="0.25">
      <c r="B619" s="42" t="str">
        <f t="shared" si="20"/>
        <v>UD_02_SU/URBAN-DEMAND</v>
      </c>
      <c r="C619" t="s">
        <v>2908</v>
      </c>
      <c r="D619" t="s">
        <v>2531</v>
      </c>
      <c r="E619" t="s">
        <v>3569</v>
      </c>
      <c r="F619">
        <v>331</v>
      </c>
      <c r="G619" t="s">
        <v>3570</v>
      </c>
      <c r="H619" t="s">
        <v>0</v>
      </c>
      <c r="I619" t="s">
        <v>894</v>
      </c>
      <c r="J619" t="s">
        <v>892</v>
      </c>
      <c r="L619" t="s">
        <v>3</v>
      </c>
      <c r="M619" t="s">
        <v>4</v>
      </c>
      <c r="N619" s="3" t="str">
        <f t="shared" si="19"/>
        <v>F</v>
      </c>
      <c r="O619" s="3" t="str">
        <f>IF(_xlfn.IFNA(MATCH(B619,Table1[UID],0),"F")="F","F","T")</f>
        <v>T</v>
      </c>
    </row>
    <row r="620" spans="2:15" x14ac:dyDescent="0.25">
      <c r="B620" s="42" t="str">
        <f t="shared" si="20"/>
        <v>UD_03_NU/URBAN-DEMAND</v>
      </c>
      <c r="C620" t="s">
        <v>2908</v>
      </c>
      <c r="D620" t="s">
        <v>2531</v>
      </c>
      <c r="E620" t="s">
        <v>3571</v>
      </c>
      <c r="F620">
        <v>332</v>
      </c>
      <c r="G620" t="s">
        <v>3572</v>
      </c>
      <c r="H620" t="s">
        <v>0</v>
      </c>
      <c r="I620" t="s">
        <v>895</v>
      </c>
      <c r="J620" t="s">
        <v>892</v>
      </c>
      <c r="L620" t="s">
        <v>3</v>
      </c>
      <c r="M620" t="s">
        <v>4</v>
      </c>
      <c r="N620" s="3" t="str">
        <f t="shared" si="19"/>
        <v>F</v>
      </c>
      <c r="O620" s="3" t="str">
        <f>IF(_xlfn.IFNA(MATCH(B620,Table1[UID],0),"F")="F","F","T")</f>
        <v>T</v>
      </c>
    </row>
    <row r="621" spans="2:15" x14ac:dyDescent="0.25">
      <c r="B621" s="42" t="str">
        <f t="shared" si="20"/>
        <v>UD_03_PU1/URBAN-DEMAND</v>
      </c>
      <c r="C621" t="s">
        <v>2908</v>
      </c>
      <c r="D621" t="s">
        <v>2531</v>
      </c>
      <c r="E621" t="s">
        <v>3573</v>
      </c>
      <c r="F621">
        <v>333</v>
      </c>
      <c r="G621" t="s">
        <v>3574</v>
      </c>
      <c r="H621" t="s">
        <v>0</v>
      </c>
      <c r="I621" t="s">
        <v>896</v>
      </c>
      <c r="J621" t="s">
        <v>892</v>
      </c>
      <c r="L621" t="s">
        <v>3</v>
      </c>
      <c r="M621" t="s">
        <v>4</v>
      </c>
      <c r="N621" s="3" t="str">
        <f t="shared" si="19"/>
        <v>F</v>
      </c>
      <c r="O621" s="3" t="str">
        <f>IF(_xlfn.IFNA(MATCH(B621,Table1[UID],0),"F")="F","F","T")</f>
        <v>T</v>
      </c>
    </row>
    <row r="622" spans="2:15" x14ac:dyDescent="0.25">
      <c r="B622" s="42" t="str">
        <f t="shared" si="20"/>
        <v>UD_03_PU2/URBAN-DEMAND</v>
      </c>
      <c r="C622" t="s">
        <v>2908</v>
      </c>
      <c r="D622" t="s">
        <v>2531</v>
      </c>
      <c r="E622" t="s">
        <v>3575</v>
      </c>
      <c r="F622">
        <v>334</v>
      </c>
      <c r="G622" t="s">
        <v>3576</v>
      </c>
      <c r="H622" t="s">
        <v>0</v>
      </c>
      <c r="I622" t="s">
        <v>897</v>
      </c>
      <c r="J622" t="s">
        <v>892</v>
      </c>
      <c r="L622" t="s">
        <v>3</v>
      </c>
      <c r="M622" t="s">
        <v>4</v>
      </c>
      <c r="N622" s="3" t="str">
        <f t="shared" si="19"/>
        <v>F</v>
      </c>
      <c r="O622" s="3" t="str">
        <f>IF(_xlfn.IFNA(MATCH(B622,Table1[UID],0),"F")="F","F","T")</f>
        <v>T</v>
      </c>
    </row>
    <row r="623" spans="2:15" x14ac:dyDescent="0.25">
      <c r="B623" s="42" t="str">
        <f t="shared" si="20"/>
        <v>UD_03_PU3/URBAN-DEMAND</v>
      </c>
      <c r="C623" t="s">
        <v>2908</v>
      </c>
      <c r="D623" t="s">
        <v>2531</v>
      </c>
      <c r="E623" t="s">
        <v>3577</v>
      </c>
      <c r="F623">
        <v>335</v>
      </c>
      <c r="G623" t="s">
        <v>3578</v>
      </c>
      <c r="H623" t="s">
        <v>0</v>
      </c>
      <c r="I623" t="s">
        <v>2228</v>
      </c>
      <c r="J623" t="s">
        <v>892</v>
      </c>
      <c r="L623" t="s">
        <v>3</v>
      </c>
      <c r="M623" t="s">
        <v>4</v>
      </c>
      <c r="N623" s="3" t="str">
        <f t="shared" si="19"/>
        <v>F</v>
      </c>
      <c r="O623" s="3" t="str">
        <f>IF(_xlfn.IFNA(MATCH(B623,Table1[UID],0),"F")="F","F","T")</f>
        <v>T</v>
      </c>
    </row>
    <row r="624" spans="2:15" x14ac:dyDescent="0.25">
      <c r="B624" s="42" t="str">
        <f t="shared" si="20"/>
        <v>UD_03_SU/URBAN-DEMAND</v>
      </c>
      <c r="C624" t="s">
        <v>2908</v>
      </c>
      <c r="D624" t="s">
        <v>2531</v>
      </c>
      <c r="E624" t="s">
        <v>3579</v>
      </c>
      <c r="F624">
        <v>336</v>
      </c>
      <c r="G624" t="s">
        <v>3580</v>
      </c>
      <c r="H624" t="s">
        <v>0</v>
      </c>
      <c r="I624" t="s">
        <v>898</v>
      </c>
      <c r="J624" t="s">
        <v>892</v>
      </c>
      <c r="L624" t="s">
        <v>3</v>
      </c>
      <c r="M624" t="s">
        <v>4</v>
      </c>
      <c r="N624" s="3" t="str">
        <f t="shared" si="19"/>
        <v>F</v>
      </c>
      <c r="O624" s="3" t="str">
        <f>IF(_xlfn.IFNA(MATCH(B624,Table1[UID],0),"F")="F","F","T")</f>
        <v>T</v>
      </c>
    </row>
    <row r="625" spans="2:15" x14ac:dyDescent="0.25">
      <c r="B625" s="42" t="str">
        <f t="shared" si="20"/>
        <v>UD_04_NU1/URBAN-DEMAND</v>
      </c>
      <c r="C625" t="s">
        <v>2908</v>
      </c>
      <c r="D625" t="s">
        <v>2531</v>
      </c>
      <c r="E625" t="s">
        <v>3581</v>
      </c>
      <c r="F625">
        <v>337</v>
      </c>
      <c r="G625" t="s">
        <v>3582</v>
      </c>
      <c r="H625" t="s">
        <v>0</v>
      </c>
      <c r="I625" t="s">
        <v>899</v>
      </c>
      <c r="J625" t="s">
        <v>892</v>
      </c>
      <c r="L625" t="s">
        <v>3</v>
      </c>
      <c r="M625" t="s">
        <v>4</v>
      </c>
      <c r="N625" s="3" t="str">
        <f t="shared" si="19"/>
        <v>F</v>
      </c>
      <c r="O625" s="3" t="str">
        <f>IF(_xlfn.IFNA(MATCH(B625,Table1[UID],0),"F")="F","F","T")</f>
        <v>T</v>
      </c>
    </row>
    <row r="626" spans="2:15" x14ac:dyDescent="0.25">
      <c r="B626" s="42" t="str">
        <f t="shared" si="20"/>
        <v>UD_04_NU2/URBAN-DEMAND</v>
      </c>
      <c r="C626" t="s">
        <v>2908</v>
      </c>
      <c r="D626" t="s">
        <v>2531</v>
      </c>
      <c r="E626" t="s">
        <v>3583</v>
      </c>
      <c r="F626">
        <v>338</v>
      </c>
      <c r="G626" t="s">
        <v>3584</v>
      </c>
      <c r="H626" t="s">
        <v>0</v>
      </c>
      <c r="I626" t="s">
        <v>900</v>
      </c>
      <c r="J626" t="s">
        <v>892</v>
      </c>
      <c r="L626" t="s">
        <v>3</v>
      </c>
      <c r="M626" t="s">
        <v>4</v>
      </c>
      <c r="N626" s="3" t="str">
        <f t="shared" si="19"/>
        <v>F</v>
      </c>
      <c r="O626" s="3" t="str">
        <f>IF(_xlfn.IFNA(MATCH(B626,Table1[UID],0),"F")="F","F","T")</f>
        <v>T</v>
      </c>
    </row>
    <row r="627" spans="2:15" x14ac:dyDescent="0.25">
      <c r="B627" s="42" t="str">
        <f t="shared" si="20"/>
        <v>UD_05_NU/URBAN-DEMAND</v>
      </c>
      <c r="C627" t="s">
        <v>2908</v>
      </c>
      <c r="D627" t="s">
        <v>2531</v>
      </c>
      <c r="E627" t="s">
        <v>3585</v>
      </c>
      <c r="F627">
        <v>339</v>
      </c>
      <c r="G627" t="s">
        <v>3586</v>
      </c>
      <c r="H627" t="s">
        <v>0</v>
      </c>
      <c r="I627" t="s">
        <v>901</v>
      </c>
      <c r="J627" t="s">
        <v>892</v>
      </c>
      <c r="L627" t="s">
        <v>3</v>
      </c>
      <c r="M627" t="s">
        <v>4</v>
      </c>
      <c r="N627" s="3" t="str">
        <f t="shared" si="19"/>
        <v>F</v>
      </c>
      <c r="O627" s="3" t="str">
        <f>IF(_xlfn.IFNA(MATCH(B627,Table1[UID],0),"F")="F","F","T")</f>
        <v>T</v>
      </c>
    </row>
    <row r="628" spans="2:15" x14ac:dyDescent="0.25">
      <c r="B628" s="42" t="str">
        <f t="shared" si="20"/>
        <v>UD_06_NU/URBAN-DEMAND</v>
      </c>
      <c r="C628" t="s">
        <v>2908</v>
      </c>
      <c r="D628" t="s">
        <v>2531</v>
      </c>
      <c r="E628" t="s">
        <v>3587</v>
      </c>
      <c r="F628">
        <v>340</v>
      </c>
      <c r="G628" t="s">
        <v>3588</v>
      </c>
      <c r="H628" t="s">
        <v>0</v>
      </c>
      <c r="I628" t="s">
        <v>902</v>
      </c>
      <c r="J628" t="s">
        <v>892</v>
      </c>
      <c r="L628" t="s">
        <v>3</v>
      </c>
      <c r="M628" t="s">
        <v>4</v>
      </c>
      <c r="N628" s="3" t="str">
        <f t="shared" si="19"/>
        <v>F</v>
      </c>
      <c r="O628" s="3" t="str">
        <f>IF(_xlfn.IFNA(MATCH(B628,Table1[UID],0),"F")="F","F","T")</f>
        <v>T</v>
      </c>
    </row>
    <row r="629" spans="2:15" x14ac:dyDescent="0.25">
      <c r="B629" s="42" t="str">
        <f t="shared" si="20"/>
        <v>UD_07N_NU/URBAN-DEMAND</v>
      </c>
      <c r="C629" t="s">
        <v>2908</v>
      </c>
      <c r="D629" t="s">
        <v>2531</v>
      </c>
      <c r="E629" t="s">
        <v>3589</v>
      </c>
      <c r="F629">
        <v>341</v>
      </c>
      <c r="G629" t="s">
        <v>3590</v>
      </c>
      <c r="H629" t="s">
        <v>0</v>
      </c>
      <c r="I629" t="s">
        <v>903</v>
      </c>
      <c r="J629" t="s">
        <v>892</v>
      </c>
      <c r="L629" t="s">
        <v>3</v>
      </c>
      <c r="M629" t="s">
        <v>4</v>
      </c>
      <c r="N629" s="3" t="str">
        <f t="shared" si="19"/>
        <v>F</v>
      </c>
      <c r="O629" s="3" t="str">
        <f>IF(_xlfn.IFNA(MATCH(B629,Table1[UID],0),"F")="F","F","T")</f>
        <v>T</v>
      </c>
    </row>
    <row r="630" spans="2:15" x14ac:dyDescent="0.25">
      <c r="B630" s="42" t="str">
        <f t="shared" si="20"/>
        <v>UD_07S_NU/URBAN-DEMAND</v>
      </c>
      <c r="C630" t="s">
        <v>2908</v>
      </c>
      <c r="D630" t="s">
        <v>2531</v>
      </c>
      <c r="E630" t="s">
        <v>3591</v>
      </c>
      <c r="F630">
        <v>342</v>
      </c>
      <c r="G630" t="s">
        <v>3592</v>
      </c>
      <c r="H630" t="s">
        <v>0</v>
      </c>
      <c r="I630" t="s">
        <v>904</v>
      </c>
      <c r="J630" t="s">
        <v>892</v>
      </c>
      <c r="L630" t="s">
        <v>3</v>
      </c>
      <c r="M630" t="s">
        <v>4</v>
      </c>
      <c r="N630" s="3" t="str">
        <f t="shared" si="19"/>
        <v>F</v>
      </c>
      <c r="O630" s="3" t="str">
        <f>IF(_xlfn.IFNA(MATCH(B630,Table1[UID],0),"F")="F","F","T")</f>
        <v>T</v>
      </c>
    </row>
    <row r="631" spans="2:15" x14ac:dyDescent="0.25">
      <c r="B631" s="42" t="str">
        <f t="shared" si="20"/>
        <v>UD_08N_NU/URBAN-DEMAND</v>
      </c>
      <c r="C631" t="s">
        <v>2908</v>
      </c>
      <c r="D631" t="s">
        <v>2531</v>
      </c>
      <c r="E631" t="s">
        <v>3593</v>
      </c>
      <c r="F631">
        <v>343</v>
      </c>
      <c r="G631" t="s">
        <v>3594</v>
      </c>
      <c r="H631" t="s">
        <v>0</v>
      </c>
      <c r="I631" t="s">
        <v>905</v>
      </c>
      <c r="J631" t="s">
        <v>892</v>
      </c>
      <c r="L631" t="s">
        <v>3</v>
      </c>
      <c r="M631" t="s">
        <v>4</v>
      </c>
      <c r="N631" s="3" t="str">
        <f t="shared" si="19"/>
        <v>F</v>
      </c>
      <c r="O631" s="3" t="str">
        <f>IF(_xlfn.IFNA(MATCH(B631,Table1[UID],0),"F")="F","F","T")</f>
        <v>T</v>
      </c>
    </row>
    <row r="632" spans="2:15" x14ac:dyDescent="0.25">
      <c r="B632" s="42" t="str">
        <f t="shared" si="20"/>
        <v>UD_08S_NU/URBAN-DEMAND</v>
      </c>
      <c r="C632" t="s">
        <v>2908</v>
      </c>
      <c r="D632" t="s">
        <v>2531</v>
      </c>
      <c r="E632" t="s">
        <v>3595</v>
      </c>
      <c r="F632">
        <v>344</v>
      </c>
      <c r="G632" t="s">
        <v>3596</v>
      </c>
      <c r="H632" t="s">
        <v>0</v>
      </c>
      <c r="I632" t="s">
        <v>906</v>
      </c>
      <c r="J632" t="s">
        <v>892</v>
      </c>
      <c r="L632" t="s">
        <v>3</v>
      </c>
      <c r="M632" t="s">
        <v>4</v>
      </c>
      <c r="N632" s="3" t="str">
        <f t="shared" si="19"/>
        <v>F</v>
      </c>
      <c r="O632" s="3" t="str">
        <f>IF(_xlfn.IFNA(MATCH(B632,Table1[UID],0),"F")="F","F","T")</f>
        <v>T</v>
      </c>
    </row>
    <row r="633" spans="2:15" x14ac:dyDescent="0.25">
      <c r="B633" s="42" t="str">
        <f t="shared" si="20"/>
        <v>UD_09_NU/URBAN-DEMAND</v>
      </c>
      <c r="C633" t="s">
        <v>2908</v>
      </c>
      <c r="D633" t="s">
        <v>2531</v>
      </c>
      <c r="E633" t="s">
        <v>3597</v>
      </c>
      <c r="F633">
        <v>345</v>
      </c>
      <c r="G633" t="s">
        <v>3598</v>
      </c>
      <c r="H633" t="s">
        <v>0</v>
      </c>
      <c r="I633" t="s">
        <v>907</v>
      </c>
      <c r="J633" t="s">
        <v>892</v>
      </c>
      <c r="L633" t="s">
        <v>3</v>
      </c>
      <c r="M633" t="s">
        <v>4</v>
      </c>
      <c r="N633" s="3" t="str">
        <f t="shared" si="19"/>
        <v>F</v>
      </c>
      <c r="O633" s="3" t="str">
        <f>IF(_xlfn.IFNA(MATCH(B633,Table1[UID],0),"F")="F","F","T")</f>
        <v>T</v>
      </c>
    </row>
    <row r="634" spans="2:15" x14ac:dyDescent="0.25">
      <c r="B634" s="42" t="str">
        <f t="shared" si="20"/>
        <v>UD_10_NU1/URBAN-DEMAND</v>
      </c>
      <c r="C634" t="s">
        <v>2908</v>
      </c>
      <c r="D634" t="s">
        <v>2531</v>
      </c>
      <c r="E634" t="s">
        <v>3599</v>
      </c>
      <c r="F634">
        <v>346</v>
      </c>
      <c r="G634" t="s">
        <v>3600</v>
      </c>
      <c r="H634" t="s">
        <v>0</v>
      </c>
      <c r="I634" t="s">
        <v>908</v>
      </c>
      <c r="J634" t="s">
        <v>892</v>
      </c>
      <c r="L634" t="s">
        <v>3</v>
      </c>
      <c r="M634" t="s">
        <v>4</v>
      </c>
      <c r="N634" s="3" t="str">
        <f t="shared" si="19"/>
        <v>F</v>
      </c>
      <c r="O634" s="3" t="str">
        <f>IF(_xlfn.IFNA(MATCH(B634,Table1[UID],0),"F")="F","F","T")</f>
        <v>T</v>
      </c>
    </row>
    <row r="635" spans="2:15" x14ac:dyDescent="0.25">
      <c r="B635" s="42" t="str">
        <f t="shared" si="20"/>
        <v>UD_10_NU2/URBAN-DEMAND</v>
      </c>
      <c r="C635" t="s">
        <v>2908</v>
      </c>
      <c r="D635" t="s">
        <v>2531</v>
      </c>
      <c r="E635" t="s">
        <v>3601</v>
      </c>
      <c r="F635">
        <v>347</v>
      </c>
      <c r="G635" t="s">
        <v>3602</v>
      </c>
      <c r="H635" t="s">
        <v>0</v>
      </c>
      <c r="I635" t="s">
        <v>909</v>
      </c>
      <c r="J635" t="s">
        <v>892</v>
      </c>
      <c r="L635" t="s">
        <v>3</v>
      </c>
      <c r="M635" t="s">
        <v>4</v>
      </c>
      <c r="N635" s="3" t="str">
        <f t="shared" si="19"/>
        <v>F</v>
      </c>
      <c r="O635" s="3" t="str">
        <f>IF(_xlfn.IFNA(MATCH(B635,Table1[UID],0),"F")="F","F","T")</f>
        <v>T</v>
      </c>
    </row>
    <row r="636" spans="2:15" x14ac:dyDescent="0.25">
      <c r="B636" s="42" t="str">
        <f t="shared" si="20"/>
        <v>UD_11_NU1/URBAN-DEMAND</v>
      </c>
      <c r="C636" t="s">
        <v>2908</v>
      </c>
      <c r="D636" t="s">
        <v>2531</v>
      </c>
      <c r="E636" t="s">
        <v>3603</v>
      </c>
      <c r="F636">
        <v>348</v>
      </c>
      <c r="G636" t="s">
        <v>3604</v>
      </c>
      <c r="H636" t="s">
        <v>0</v>
      </c>
      <c r="I636" t="s">
        <v>910</v>
      </c>
      <c r="J636" t="s">
        <v>892</v>
      </c>
      <c r="L636" t="s">
        <v>3</v>
      </c>
      <c r="M636" t="s">
        <v>4</v>
      </c>
      <c r="N636" s="3" t="str">
        <f t="shared" si="19"/>
        <v>F</v>
      </c>
      <c r="O636" s="3" t="str">
        <f>IF(_xlfn.IFNA(MATCH(B636,Table1[UID],0),"F")="F","F","T")</f>
        <v>T</v>
      </c>
    </row>
    <row r="637" spans="2:15" x14ac:dyDescent="0.25">
      <c r="B637" s="42" t="str">
        <f t="shared" si="20"/>
        <v>UD_11_NU2/URBAN-DEMAND</v>
      </c>
      <c r="C637" t="s">
        <v>2908</v>
      </c>
      <c r="D637" t="s">
        <v>2531</v>
      </c>
      <c r="E637" t="s">
        <v>3605</v>
      </c>
      <c r="F637">
        <v>349</v>
      </c>
      <c r="G637" t="s">
        <v>3606</v>
      </c>
      <c r="H637" t="s">
        <v>0</v>
      </c>
      <c r="I637" t="s">
        <v>911</v>
      </c>
      <c r="J637" t="s">
        <v>892</v>
      </c>
      <c r="L637" t="s">
        <v>3</v>
      </c>
      <c r="M637" t="s">
        <v>4</v>
      </c>
      <c r="N637" s="3" t="str">
        <f t="shared" si="19"/>
        <v>F</v>
      </c>
      <c r="O637" s="3" t="str">
        <f>IF(_xlfn.IFNA(MATCH(B637,Table1[UID],0),"F")="F","F","T")</f>
        <v>T</v>
      </c>
    </row>
    <row r="638" spans="2:15" x14ac:dyDescent="0.25">
      <c r="B638" s="42" t="str">
        <f t="shared" si="20"/>
        <v>UD_12_NU1/URBAN-DEMAND</v>
      </c>
      <c r="C638" t="s">
        <v>2908</v>
      </c>
      <c r="D638" t="s">
        <v>2531</v>
      </c>
      <c r="E638" t="s">
        <v>3607</v>
      </c>
      <c r="F638">
        <v>350</v>
      </c>
      <c r="G638" t="s">
        <v>3608</v>
      </c>
      <c r="H638" t="s">
        <v>0</v>
      </c>
      <c r="I638" t="s">
        <v>912</v>
      </c>
      <c r="J638" t="s">
        <v>892</v>
      </c>
      <c r="L638" t="s">
        <v>3</v>
      </c>
      <c r="M638" t="s">
        <v>4</v>
      </c>
      <c r="N638" s="3" t="str">
        <f t="shared" si="19"/>
        <v>F</v>
      </c>
      <c r="O638" s="3" t="str">
        <f>IF(_xlfn.IFNA(MATCH(B638,Table1[UID],0),"F")="F","F","T")</f>
        <v>T</v>
      </c>
    </row>
    <row r="639" spans="2:15" x14ac:dyDescent="0.25">
      <c r="B639" s="42" t="str">
        <f t="shared" si="20"/>
        <v>UD_12_NU2/URBAN-DEMAND</v>
      </c>
      <c r="C639" t="s">
        <v>2908</v>
      </c>
      <c r="D639" t="s">
        <v>2531</v>
      </c>
      <c r="E639" t="s">
        <v>3609</v>
      </c>
      <c r="F639">
        <v>351</v>
      </c>
      <c r="G639" t="s">
        <v>3610</v>
      </c>
      <c r="H639" t="s">
        <v>0</v>
      </c>
      <c r="I639" t="s">
        <v>913</v>
      </c>
      <c r="J639" t="s">
        <v>892</v>
      </c>
      <c r="L639" t="s">
        <v>3</v>
      </c>
      <c r="M639" t="s">
        <v>4</v>
      </c>
      <c r="N639" s="3" t="str">
        <f t="shared" si="19"/>
        <v>F</v>
      </c>
      <c r="O639" s="3" t="str">
        <f>IF(_xlfn.IFNA(MATCH(B639,Table1[UID],0),"F")="F","F","T")</f>
        <v>T</v>
      </c>
    </row>
    <row r="640" spans="2:15" x14ac:dyDescent="0.25">
      <c r="B640" s="42" t="str">
        <f t="shared" si="20"/>
        <v>UD_13_NU1/URBAN-DEMAND</v>
      </c>
      <c r="C640" t="s">
        <v>2908</v>
      </c>
      <c r="D640" t="s">
        <v>2531</v>
      </c>
      <c r="E640" t="s">
        <v>3611</v>
      </c>
      <c r="F640">
        <v>352</v>
      </c>
      <c r="G640" t="s">
        <v>3612</v>
      </c>
      <c r="H640" t="s">
        <v>0</v>
      </c>
      <c r="I640" t="s">
        <v>914</v>
      </c>
      <c r="J640" t="s">
        <v>892</v>
      </c>
      <c r="L640" t="s">
        <v>3</v>
      </c>
      <c r="M640" t="s">
        <v>4</v>
      </c>
      <c r="N640" s="3" t="str">
        <f t="shared" si="19"/>
        <v>F</v>
      </c>
      <c r="O640" s="3" t="str">
        <f>IF(_xlfn.IFNA(MATCH(B640,Table1[UID],0),"F")="F","F","T")</f>
        <v>T</v>
      </c>
    </row>
    <row r="641" spans="2:15" x14ac:dyDescent="0.25">
      <c r="B641" s="42" t="str">
        <f t="shared" si="20"/>
        <v>UD_13_NU2/URBAN-DEMAND</v>
      </c>
      <c r="C641" t="s">
        <v>2908</v>
      </c>
      <c r="D641" t="s">
        <v>2531</v>
      </c>
      <c r="E641" t="s">
        <v>3613</v>
      </c>
      <c r="F641">
        <v>353</v>
      </c>
      <c r="G641" t="s">
        <v>3614</v>
      </c>
      <c r="H641" t="s">
        <v>0</v>
      </c>
      <c r="I641" t="s">
        <v>915</v>
      </c>
      <c r="J641" t="s">
        <v>892</v>
      </c>
      <c r="L641" t="s">
        <v>3</v>
      </c>
      <c r="M641" t="s">
        <v>4</v>
      </c>
      <c r="N641" s="3" t="str">
        <f t="shared" si="19"/>
        <v>F</v>
      </c>
      <c r="O641" s="3" t="str">
        <f>IF(_xlfn.IFNA(MATCH(B641,Table1[UID],0),"F")="F","F","T")</f>
        <v>T</v>
      </c>
    </row>
    <row r="642" spans="2:15" x14ac:dyDescent="0.25">
      <c r="B642" s="42" t="str">
        <f t="shared" si="20"/>
        <v>UD_14_NU/URBAN-DEMAND</v>
      </c>
      <c r="C642" t="s">
        <v>2908</v>
      </c>
      <c r="D642" t="s">
        <v>2531</v>
      </c>
      <c r="E642" t="s">
        <v>3615</v>
      </c>
      <c r="F642">
        <v>354</v>
      </c>
      <c r="G642" t="s">
        <v>3616</v>
      </c>
      <c r="H642" t="s">
        <v>0</v>
      </c>
      <c r="I642" t="s">
        <v>916</v>
      </c>
      <c r="J642" t="s">
        <v>892</v>
      </c>
      <c r="L642" t="s">
        <v>3</v>
      </c>
      <c r="M642" t="s">
        <v>4</v>
      </c>
      <c r="N642" s="3" t="str">
        <f t="shared" si="19"/>
        <v>F</v>
      </c>
      <c r="O642" s="3" t="str">
        <f>IF(_xlfn.IFNA(MATCH(B642,Table1[UID],0),"F")="F","F","T")</f>
        <v>T</v>
      </c>
    </row>
    <row r="643" spans="2:15" x14ac:dyDescent="0.25">
      <c r="B643" s="42" t="str">
        <f t="shared" si="20"/>
        <v>UD_15N_NU/URBAN-DEMAND</v>
      </c>
      <c r="C643" t="s">
        <v>2908</v>
      </c>
      <c r="D643" t="s">
        <v>2531</v>
      </c>
      <c r="E643" t="s">
        <v>3617</v>
      </c>
      <c r="F643">
        <v>355</v>
      </c>
      <c r="G643" t="s">
        <v>3618</v>
      </c>
      <c r="H643" t="s">
        <v>0</v>
      </c>
      <c r="I643" t="s">
        <v>917</v>
      </c>
      <c r="J643" t="s">
        <v>892</v>
      </c>
      <c r="L643" t="s">
        <v>3</v>
      </c>
      <c r="M643" t="s">
        <v>4</v>
      </c>
      <c r="N643" s="3" t="str">
        <f t="shared" ref="N643:N706" si="21">IF(COUNTIF($B$3:$B$1760,"="&amp;B643)&gt;1,"T","F")</f>
        <v>F</v>
      </c>
      <c r="O643" s="3" t="str">
        <f>IF(_xlfn.IFNA(MATCH(B643,Table1[UID],0),"F")="F","F","T")</f>
        <v>T</v>
      </c>
    </row>
    <row r="644" spans="2:15" x14ac:dyDescent="0.25">
      <c r="B644" s="42" t="str">
        <f t="shared" si="20"/>
        <v>UD_15S_NU/URBAN-DEMAND</v>
      </c>
      <c r="C644" t="s">
        <v>2908</v>
      </c>
      <c r="D644" t="s">
        <v>2531</v>
      </c>
      <c r="E644" t="s">
        <v>3619</v>
      </c>
      <c r="F644">
        <v>356</v>
      </c>
      <c r="G644" t="s">
        <v>3620</v>
      </c>
      <c r="H644" t="s">
        <v>0</v>
      </c>
      <c r="I644" t="s">
        <v>918</v>
      </c>
      <c r="J644" t="s">
        <v>892</v>
      </c>
      <c r="L644" t="s">
        <v>3</v>
      </c>
      <c r="M644" t="s">
        <v>4</v>
      </c>
      <c r="N644" s="3" t="str">
        <f t="shared" si="21"/>
        <v>F</v>
      </c>
      <c r="O644" s="3" t="str">
        <f>IF(_xlfn.IFNA(MATCH(B644,Table1[UID],0),"F")="F","F","T")</f>
        <v>T</v>
      </c>
    </row>
    <row r="645" spans="2:15" x14ac:dyDescent="0.25">
      <c r="B645" s="42" t="str">
        <f t="shared" si="20"/>
        <v>UD_16_NU/URBAN-DEMAND</v>
      </c>
      <c r="C645" t="s">
        <v>2908</v>
      </c>
      <c r="D645" t="s">
        <v>2531</v>
      </c>
      <c r="E645" t="s">
        <v>3621</v>
      </c>
      <c r="F645">
        <v>357</v>
      </c>
      <c r="G645" t="s">
        <v>3622</v>
      </c>
      <c r="H645" t="s">
        <v>0</v>
      </c>
      <c r="I645" t="s">
        <v>919</v>
      </c>
      <c r="J645" t="s">
        <v>892</v>
      </c>
      <c r="L645" t="s">
        <v>3</v>
      </c>
      <c r="M645" t="s">
        <v>4</v>
      </c>
      <c r="N645" s="3" t="str">
        <f t="shared" si="21"/>
        <v>F</v>
      </c>
      <c r="O645" s="3" t="str">
        <f>IF(_xlfn.IFNA(MATCH(B645,Table1[UID],0),"F")="F","F","T")</f>
        <v>T</v>
      </c>
    </row>
    <row r="646" spans="2:15" x14ac:dyDescent="0.25">
      <c r="B646" s="42" t="str">
        <f t="shared" si="20"/>
        <v>UD_16_PU/URBAN-DEMAND</v>
      </c>
      <c r="C646" t="s">
        <v>2908</v>
      </c>
      <c r="D646" t="s">
        <v>2531</v>
      </c>
      <c r="E646" t="s">
        <v>3623</v>
      </c>
      <c r="F646">
        <v>358</v>
      </c>
      <c r="G646" t="s">
        <v>3624</v>
      </c>
      <c r="H646" t="s">
        <v>0</v>
      </c>
      <c r="I646" t="s">
        <v>920</v>
      </c>
      <c r="J646" t="s">
        <v>892</v>
      </c>
      <c r="L646" t="s">
        <v>3</v>
      </c>
      <c r="M646" t="s">
        <v>4</v>
      </c>
      <c r="N646" s="3" t="str">
        <f t="shared" si="21"/>
        <v>F</v>
      </c>
      <c r="O646" s="3" t="str">
        <f>IF(_xlfn.IFNA(MATCH(B646,Table1[UID],0),"F")="F","F","T")</f>
        <v>T</v>
      </c>
    </row>
    <row r="647" spans="2:15" x14ac:dyDescent="0.25">
      <c r="B647" s="42" t="str">
        <f t="shared" si="20"/>
        <v>UD_17N_NU/URBAN-DEMAND</v>
      </c>
      <c r="C647" t="s">
        <v>2908</v>
      </c>
      <c r="D647" t="s">
        <v>2531</v>
      </c>
      <c r="E647" t="s">
        <v>3625</v>
      </c>
      <c r="F647">
        <v>359</v>
      </c>
      <c r="G647" t="s">
        <v>3626</v>
      </c>
      <c r="H647" t="s">
        <v>0</v>
      </c>
      <c r="I647" t="s">
        <v>921</v>
      </c>
      <c r="J647" t="s">
        <v>892</v>
      </c>
      <c r="L647" t="s">
        <v>3</v>
      </c>
      <c r="M647" t="s">
        <v>4</v>
      </c>
      <c r="N647" s="3" t="str">
        <f t="shared" si="21"/>
        <v>F</v>
      </c>
      <c r="O647" s="3" t="str">
        <f>IF(_xlfn.IFNA(MATCH(B647,Table1[UID],0),"F")="F","F","T")</f>
        <v>T</v>
      </c>
    </row>
    <row r="648" spans="2:15" x14ac:dyDescent="0.25">
      <c r="B648" s="42" t="str">
        <f t="shared" si="20"/>
        <v>UD_17S_NU/URBAN-DEMAND</v>
      </c>
      <c r="C648" t="s">
        <v>2908</v>
      </c>
      <c r="D648" t="s">
        <v>2531</v>
      </c>
      <c r="E648" t="s">
        <v>3627</v>
      </c>
      <c r="F648">
        <v>360</v>
      </c>
      <c r="G648" t="s">
        <v>3628</v>
      </c>
      <c r="H648" t="s">
        <v>0</v>
      </c>
      <c r="I648" t="s">
        <v>922</v>
      </c>
      <c r="J648" t="s">
        <v>892</v>
      </c>
      <c r="L648" t="s">
        <v>3</v>
      </c>
      <c r="M648" t="s">
        <v>4</v>
      </c>
      <c r="N648" s="3" t="str">
        <f t="shared" si="21"/>
        <v>F</v>
      </c>
      <c r="O648" s="3" t="str">
        <f>IF(_xlfn.IFNA(MATCH(B648,Table1[UID],0),"F")="F","F","T")</f>
        <v>T</v>
      </c>
    </row>
    <row r="649" spans="2:15" x14ac:dyDescent="0.25">
      <c r="B649" s="42" t="str">
        <f t="shared" si="20"/>
        <v>UD_18_NU/URBAN-DEMAND</v>
      </c>
      <c r="C649" t="s">
        <v>2908</v>
      </c>
      <c r="D649" t="s">
        <v>2531</v>
      </c>
      <c r="E649" t="s">
        <v>3629</v>
      </c>
      <c r="F649">
        <v>361</v>
      </c>
      <c r="G649" t="s">
        <v>3630</v>
      </c>
      <c r="H649" t="s">
        <v>0</v>
      </c>
      <c r="I649" t="s">
        <v>923</v>
      </c>
      <c r="J649" t="s">
        <v>892</v>
      </c>
      <c r="L649" t="s">
        <v>3</v>
      </c>
      <c r="M649" t="s">
        <v>4</v>
      </c>
      <c r="N649" s="3" t="str">
        <f t="shared" si="21"/>
        <v>F</v>
      </c>
      <c r="O649" s="3" t="str">
        <f>IF(_xlfn.IFNA(MATCH(B649,Table1[UID],0),"F")="F","F","T")</f>
        <v>T</v>
      </c>
    </row>
    <row r="650" spans="2:15" x14ac:dyDescent="0.25">
      <c r="B650" s="42" t="str">
        <f t="shared" ref="B650:B713" si="22">_xlfn.CONCAT(I650,"/",J650)</f>
        <v>UD_19_NU/URBAN-DEMAND</v>
      </c>
      <c r="C650" t="s">
        <v>2908</v>
      </c>
      <c r="D650" t="s">
        <v>2531</v>
      </c>
      <c r="E650" t="s">
        <v>3631</v>
      </c>
      <c r="F650">
        <v>362</v>
      </c>
      <c r="G650" t="s">
        <v>3632</v>
      </c>
      <c r="H650" t="s">
        <v>0</v>
      </c>
      <c r="I650" t="s">
        <v>924</v>
      </c>
      <c r="J650" t="s">
        <v>892</v>
      </c>
      <c r="L650" t="s">
        <v>3</v>
      </c>
      <c r="M650" t="s">
        <v>4</v>
      </c>
      <c r="N650" s="3" t="str">
        <f t="shared" si="21"/>
        <v>F</v>
      </c>
      <c r="O650" s="3" t="str">
        <f>IF(_xlfn.IFNA(MATCH(B650,Table1[UID],0),"F")="F","F","T")</f>
        <v>T</v>
      </c>
    </row>
    <row r="651" spans="2:15" x14ac:dyDescent="0.25">
      <c r="B651" s="42" t="str">
        <f t="shared" si="22"/>
        <v>UD_20_NU1/URBAN-DEMAND</v>
      </c>
      <c r="C651" t="s">
        <v>2908</v>
      </c>
      <c r="D651" t="s">
        <v>2531</v>
      </c>
      <c r="E651" t="s">
        <v>3633</v>
      </c>
      <c r="F651">
        <v>363</v>
      </c>
      <c r="G651" t="s">
        <v>3634</v>
      </c>
      <c r="H651" t="s">
        <v>0</v>
      </c>
      <c r="I651" t="s">
        <v>925</v>
      </c>
      <c r="J651" t="s">
        <v>892</v>
      </c>
      <c r="L651" t="s">
        <v>3</v>
      </c>
      <c r="M651" t="s">
        <v>4</v>
      </c>
      <c r="N651" s="3" t="str">
        <f t="shared" si="21"/>
        <v>F</v>
      </c>
      <c r="O651" s="3" t="str">
        <f>IF(_xlfn.IFNA(MATCH(B651,Table1[UID],0),"F")="F","F","T")</f>
        <v>T</v>
      </c>
    </row>
    <row r="652" spans="2:15" x14ac:dyDescent="0.25">
      <c r="B652" s="42" t="str">
        <f t="shared" si="22"/>
        <v>UD_20_NU2/URBAN-DEMAND</v>
      </c>
      <c r="C652" t="s">
        <v>2908</v>
      </c>
      <c r="D652" t="s">
        <v>2531</v>
      </c>
      <c r="E652" t="s">
        <v>3635</v>
      </c>
      <c r="F652">
        <v>364</v>
      </c>
      <c r="G652" t="s">
        <v>3636</v>
      </c>
      <c r="H652" t="s">
        <v>0</v>
      </c>
      <c r="I652" t="s">
        <v>926</v>
      </c>
      <c r="J652" t="s">
        <v>892</v>
      </c>
      <c r="L652" t="s">
        <v>3</v>
      </c>
      <c r="M652" t="s">
        <v>4</v>
      </c>
      <c r="N652" s="3" t="str">
        <f t="shared" si="21"/>
        <v>F</v>
      </c>
      <c r="O652" s="3" t="str">
        <f>IF(_xlfn.IFNA(MATCH(B652,Table1[UID],0),"F")="F","F","T")</f>
        <v>T</v>
      </c>
    </row>
    <row r="653" spans="2:15" x14ac:dyDescent="0.25">
      <c r="B653" s="42" t="str">
        <f t="shared" si="22"/>
        <v>UD_21_NU/URBAN-DEMAND</v>
      </c>
      <c r="C653" t="s">
        <v>2908</v>
      </c>
      <c r="D653" t="s">
        <v>2531</v>
      </c>
      <c r="E653" t="s">
        <v>3637</v>
      </c>
      <c r="F653">
        <v>365</v>
      </c>
      <c r="G653" t="s">
        <v>3638</v>
      </c>
      <c r="H653" t="s">
        <v>0</v>
      </c>
      <c r="I653" t="s">
        <v>927</v>
      </c>
      <c r="J653" t="s">
        <v>892</v>
      </c>
      <c r="L653" t="s">
        <v>3</v>
      </c>
      <c r="M653" t="s">
        <v>4</v>
      </c>
      <c r="N653" s="3" t="str">
        <f t="shared" si="21"/>
        <v>F</v>
      </c>
      <c r="O653" s="3" t="str">
        <f>IF(_xlfn.IFNA(MATCH(B653,Table1[UID],0),"F")="F","F","T")</f>
        <v>T</v>
      </c>
    </row>
    <row r="654" spans="2:15" x14ac:dyDescent="0.25">
      <c r="B654" s="42" t="str">
        <f t="shared" si="22"/>
        <v>UD_21_PU/URBAN-DEMAND</v>
      </c>
      <c r="C654" t="s">
        <v>2908</v>
      </c>
      <c r="D654" t="s">
        <v>2531</v>
      </c>
      <c r="E654" t="s">
        <v>3639</v>
      </c>
      <c r="F654">
        <v>366</v>
      </c>
      <c r="G654" t="s">
        <v>3640</v>
      </c>
      <c r="H654" t="s">
        <v>0</v>
      </c>
      <c r="I654" t="s">
        <v>928</v>
      </c>
      <c r="J654" t="s">
        <v>892</v>
      </c>
      <c r="L654" t="s">
        <v>3</v>
      </c>
      <c r="M654" t="s">
        <v>4</v>
      </c>
      <c r="N654" s="3" t="str">
        <f t="shared" si="21"/>
        <v>F</v>
      </c>
      <c r="O654" s="3" t="str">
        <f>IF(_xlfn.IFNA(MATCH(B654,Table1[UID],0),"F")="F","F","T")</f>
        <v>T</v>
      </c>
    </row>
    <row r="655" spans="2:15" x14ac:dyDescent="0.25">
      <c r="B655" s="42" t="str">
        <f t="shared" si="22"/>
        <v>UD_22_NU/URBAN-DEMAND</v>
      </c>
      <c r="C655" t="s">
        <v>2908</v>
      </c>
      <c r="D655" t="s">
        <v>2531</v>
      </c>
      <c r="E655" t="s">
        <v>3641</v>
      </c>
      <c r="F655">
        <v>367</v>
      </c>
      <c r="G655" t="s">
        <v>3642</v>
      </c>
      <c r="H655" t="s">
        <v>0</v>
      </c>
      <c r="I655" t="s">
        <v>929</v>
      </c>
      <c r="J655" t="s">
        <v>892</v>
      </c>
      <c r="L655" t="s">
        <v>3</v>
      </c>
      <c r="M655" t="s">
        <v>4</v>
      </c>
      <c r="N655" s="3" t="str">
        <f t="shared" si="21"/>
        <v>F</v>
      </c>
      <c r="O655" s="3" t="str">
        <f>IF(_xlfn.IFNA(MATCH(B655,Table1[UID],0),"F")="F","F","T")</f>
        <v>T</v>
      </c>
    </row>
    <row r="656" spans="2:15" x14ac:dyDescent="0.25">
      <c r="B656" s="42" t="str">
        <f t="shared" si="22"/>
        <v>UD_23_NU/URBAN-DEMAND</v>
      </c>
      <c r="C656" t="s">
        <v>2908</v>
      </c>
      <c r="D656" t="s">
        <v>2531</v>
      </c>
      <c r="E656" t="s">
        <v>3643</v>
      </c>
      <c r="F656">
        <v>368</v>
      </c>
      <c r="G656" t="s">
        <v>3644</v>
      </c>
      <c r="H656" t="s">
        <v>0</v>
      </c>
      <c r="I656" t="s">
        <v>930</v>
      </c>
      <c r="J656" t="s">
        <v>892</v>
      </c>
      <c r="L656" t="s">
        <v>3</v>
      </c>
      <c r="M656" t="s">
        <v>4</v>
      </c>
      <c r="N656" s="3" t="str">
        <f t="shared" si="21"/>
        <v>F</v>
      </c>
      <c r="O656" s="3" t="str">
        <f>IF(_xlfn.IFNA(MATCH(B656,Table1[UID],0),"F")="F","F","T")</f>
        <v>T</v>
      </c>
    </row>
    <row r="657" spans="2:15" x14ac:dyDescent="0.25">
      <c r="B657" s="42" t="str">
        <f t="shared" si="22"/>
        <v>UD_24_NU1/URBAN-DEMAND</v>
      </c>
      <c r="C657" t="s">
        <v>2908</v>
      </c>
      <c r="D657" t="s">
        <v>2531</v>
      </c>
      <c r="E657" t="s">
        <v>3645</v>
      </c>
      <c r="F657">
        <v>369</v>
      </c>
      <c r="G657" t="s">
        <v>3646</v>
      </c>
      <c r="H657" t="s">
        <v>0</v>
      </c>
      <c r="I657" t="s">
        <v>931</v>
      </c>
      <c r="J657" t="s">
        <v>892</v>
      </c>
      <c r="L657" t="s">
        <v>3</v>
      </c>
      <c r="M657" t="s">
        <v>4</v>
      </c>
      <c r="N657" s="3" t="str">
        <f t="shared" si="21"/>
        <v>F</v>
      </c>
      <c r="O657" s="3" t="str">
        <f>IF(_xlfn.IFNA(MATCH(B657,Table1[UID],0),"F")="F","F","T")</f>
        <v>T</v>
      </c>
    </row>
    <row r="658" spans="2:15" x14ac:dyDescent="0.25">
      <c r="B658" s="42" t="str">
        <f t="shared" si="22"/>
        <v>UD_24_NU2/URBAN-DEMAND</v>
      </c>
      <c r="C658" t="s">
        <v>2908</v>
      </c>
      <c r="D658" t="s">
        <v>2531</v>
      </c>
      <c r="E658" t="s">
        <v>3647</v>
      </c>
      <c r="F658">
        <v>370</v>
      </c>
      <c r="G658" t="s">
        <v>3648</v>
      </c>
      <c r="H658" t="s">
        <v>0</v>
      </c>
      <c r="I658" t="s">
        <v>932</v>
      </c>
      <c r="J658" t="s">
        <v>892</v>
      </c>
      <c r="L658" t="s">
        <v>3</v>
      </c>
      <c r="M658" t="s">
        <v>4</v>
      </c>
      <c r="N658" s="3" t="str">
        <f t="shared" si="21"/>
        <v>F</v>
      </c>
      <c r="O658" s="3" t="str">
        <f>IF(_xlfn.IFNA(MATCH(B658,Table1[UID],0),"F")="F","F","T")</f>
        <v>T</v>
      </c>
    </row>
    <row r="659" spans="2:15" x14ac:dyDescent="0.25">
      <c r="B659" s="42" t="str">
        <f t="shared" si="22"/>
        <v>UD_24_NU3/URBAN-DEMAND</v>
      </c>
      <c r="C659" t="s">
        <v>2908</v>
      </c>
      <c r="D659" t="s">
        <v>2531</v>
      </c>
      <c r="E659" t="s">
        <v>3649</v>
      </c>
      <c r="F659">
        <v>371</v>
      </c>
      <c r="G659" t="s">
        <v>3650</v>
      </c>
      <c r="H659" t="s">
        <v>0</v>
      </c>
      <c r="I659" t="s">
        <v>933</v>
      </c>
      <c r="J659" t="s">
        <v>892</v>
      </c>
      <c r="L659" t="s">
        <v>3</v>
      </c>
      <c r="M659" t="s">
        <v>4</v>
      </c>
      <c r="N659" s="3" t="str">
        <f t="shared" si="21"/>
        <v>F</v>
      </c>
      <c r="O659" s="3" t="str">
        <f>IF(_xlfn.IFNA(MATCH(B659,Table1[UID],0),"F")="F","F","T")</f>
        <v>T</v>
      </c>
    </row>
    <row r="660" spans="2:15" x14ac:dyDescent="0.25">
      <c r="B660" s="42" t="str">
        <f t="shared" si="22"/>
        <v>UD_24_NU4/URBAN-DEMAND</v>
      </c>
      <c r="C660" t="s">
        <v>2908</v>
      </c>
      <c r="D660" t="s">
        <v>2531</v>
      </c>
      <c r="E660" t="s">
        <v>3651</v>
      </c>
      <c r="F660">
        <v>372</v>
      </c>
      <c r="G660" t="s">
        <v>3652</v>
      </c>
      <c r="H660" t="s">
        <v>0</v>
      </c>
      <c r="I660" t="s">
        <v>934</v>
      </c>
      <c r="J660" t="s">
        <v>892</v>
      </c>
      <c r="L660" t="s">
        <v>3</v>
      </c>
      <c r="M660" t="s">
        <v>4</v>
      </c>
      <c r="N660" s="3" t="str">
        <f t="shared" si="21"/>
        <v>F</v>
      </c>
      <c r="O660" s="3" t="str">
        <f>IF(_xlfn.IFNA(MATCH(B660,Table1[UID],0),"F")="F","F","T")</f>
        <v>T</v>
      </c>
    </row>
    <row r="661" spans="2:15" x14ac:dyDescent="0.25">
      <c r="B661" s="42" t="str">
        <f t="shared" si="22"/>
        <v>UD_25_NU/URBAN-DEMAND</v>
      </c>
      <c r="C661" t="s">
        <v>2908</v>
      </c>
      <c r="D661" t="s">
        <v>2531</v>
      </c>
      <c r="E661" t="s">
        <v>3653</v>
      </c>
      <c r="F661">
        <v>373</v>
      </c>
      <c r="G661" t="s">
        <v>3654</v>
      </c>
      <c r="H661" t="s">
        <v>0</v>
      </c>
      <c r="I661" t="s">
        <v>935</v>
      </c>
      <c r="J661" t="s">
        <v>892</v>
      </c>
      <c r="L661" t="s">
        <v>3</v>
      </c>
      <c r="M661" t="s">
        <v>4</v>
      </c>
      <c r="N661" s="3" t="str">
        <f t="shared" si="21"/>
        <v>F</v>
      </c>
      <c r="O661" s="3" t="str">
        <f>IF(_xlfn.IFNA(MATCH(B661,Table1[UID],0),"F")="F","F","T")</f>
        <v>T</v>
      </c>
    </row>
    <row r="662" spans="2:15" x14ac:dyDescent="0.25">
      <c r="B662" s="42" t="str">
        <f t="shared" si="22"/>
        <v>UD_25_PU/URBAN-DEMAND</v>
      </c>
      <c r="C662" t="s">
        <v>2908</v>
      </c>
      <c r="D662" t="s">
        <v>2531</v>
      </c>
      <c r="E662" t="s">
        <v>3655</v>
      </c>
      <c r="F662">
        <v>374</v>
      </c>
      <c r="G662" t="s">
        <v>3656</v>
      </c>
      <c r="H662" t="s">
        <v>0</v>
      </c>
      <c r="I662" t="s">
        <v>936</v>
      </c>
      <c r="J662" t="s">
        <v>892</v>
      </c>
      <c r="L662" t="s">
        <v>3</v>
      </c>
      <c r="M662" t="s">
        <v>4</v>
      </c>
      <c r="N662" s="3" t="str">
        <f t="shared" si="21"/>
        <v>F</v>
      </c>
      <c r="O662" s="3" t="str">
        <f>IF(_xlfn.IFNA(MATCH(B662,Table1[UID],0),"F")="F","F","T")</f>
        <v>T</v>
      </c>
    </row>
    <row r="663" spans="2:15" x14ac:dyDescent="0.25">
      <c r="B663" s="42" t="str">
        <f t="shared" si="22"/>
        <v>UD_26N_NU1/URBAN-DEMAND</v>
      </c>
      <c r="C663" t="s">
        <v>2908</v>
      </c>
      <c r="D663" t="s">
        <v>2531</v>
      </c>
      <c r="E663" t="s">
        <v>3657</v>
      </c>
      <c r="F663">
        <v>375</v>
      </c>
      <c r="G663" t="s">
        <v>3658</v>
      </c>
      <c r="H663" t="s">
        <v>0</v>
      </c>
      <c r="I663" t="s">
        <v>937</v>
      </c>
      <c r="J663" t="s">
        <v>892</v>
      </c>
      <c r="L663" t="s">
        <v>3</v>
      </c>
      <c r="M663" t="s">
        <v>4</v>
      </c>
      <c r="N663" s="3" t="str">
        <f t="shared" si="21"/>
        <v>F</v>
      </c>
      <c r="O663" s="3" t="str">
        <f>IF(_xlfn.IFNA(MATCH(B663,Table1[UID],0),"F")="F","F","T")</f>
        <v>T</v>
      </c>
    </row>
    <row r="664" spans="2:15" x14ac:dyDescent="0.25">
      <c r="B664" s="42" t="str">
        <f t="shared" si="22"/>
        <v>UD_26N_NU2/URBAN-DEMAND</v>
      </c>
      <c r="C664" t="s">
        <v>2908</v>
      </c>
      <c r="D664" t="s">
        <v>2531</v>
      </c>
      <c r="E664" t="s">
        <v>3659</v>
      </c>
      <c r="F664">
        <v>376</v>
      </c>
      <c r="G664" t="s">
        <v>3660</v>
      </c>
      <c r="H664" t="s">
        <v>0</v>
      </c>
      <c r="I664" t="s">
        <v>938</v>
      </c>
      <c r="J664" t="s">
        <v>892</v>
      </c>
      <c r="L664" t="s">
        <v>3</v>
      </c>
      <c r="M664" t="s">
        <v>4</v>
      </c>
      <c r="N664" s="3" t="str">
        <f t="shared" si="21"/>
        <v>F</v>
      </c>
      <c r="O664" s="3" t="str">
        <f>IF(_xlfn.IFNA(MATCH(B664,Table1[UID],0),"F")="F","F","T")</f>
        <v>T</v>
      </c>
    </row>
    <row r="665" spans="2:15" x14ac:dyDescent="0.25">
      <c r="B665" s="42" t="str">
        <f t="shared" si="22"/>
        <v>UD_26N_NU3/URBAN-DEMAND</v>
      </c>
      <c r="C665" t="s">
        <v>2908</v>
      </c>
      <c r="D665" t="s">
        <v>2531</v>
      </c>
      <c r="E665" t="s">
        <v>3661</v>
      </c>
      <c r="F665">
        <v>377</v>
      </c>
      <c r="G665" t="s">
        <v>3662</v>
      </c>
      <c r="H665" t="s">
        <v>0</v>
      </c>
      <c r="I665" t="s">
        <v>939</v>
      </c>
      <c r="J665" t="s">
        <v>892</v>
      </c>
      <c r="L665" t="s">
        <v>3</v>
      </c>
      <c r="M665" t="s">
        <v>4</v>
      </c>
      <c r="N665" s="3" t="str">
        <f t="shared" si="21"/>
        <v>F</v>
      </c>
      <c r="O665" s="3" t="str">
        <f>IF(_xlfn.IFNA(MATCH(B665,Table1[UID],0),"F")="F","F","T")</f>
        <v>T</v>
      </c>
    </row>
    <row r="666" spans="2:15" x14ac:dyDescent="0.25">
      <c r="B666" s="42" t="str">
        <f t="shared" si="22"/>
        <v>UD_26N_NU4/URBAN-DEMAND</v>
      </c>
      <c r="C666" t="s">
        <v>2908</v>
      </c>
      <c r="D666" t="s">
        <v>2531</v>
      </c>
      <c r="E666" t="s">
        <v>3663</v>
      </c>
      <c r="F666">
        <v>378</v>
      </c>
      <c r="G666" t="s">
        <v>3664</v>
      </c>
      <c r="H666" t="s">
        <v>0</v>
      </c>
      <c r="I666" t="s">
        <v>940</v>
      </c>
      <c r="J666" t="s">
        <v>892</v>
      </c>
      <c r="L666" t="s">
        <v>3</v>
      </c>
      <c r="M666" t="s">
        <v>4</v>
      </c>
      <c r="N666" s="3" t="str">
        <f t="shared" si="21"/>
        <v>F</v>
      </c>
      <c r="O666" s="3" t="str">
        <f>IF(_xlfn.IFNA(MATCH(B666,Table1[UID],0),"F")="F","F","T")</f>
        <v>T</v>
      </c>
    </row>
    <row r="667" spans="2:15" x14ac:dyDescent="0.25">
      <c r="B667" s="42" t="str">
        <f t="shared" si="22"/>
        <v>UD_26N_NU5/URBAN-DEMAND</v>
      </c>
      <c r="C667" t="s">
        <v>2908</v>
      </c>
      <c r="D667" t="s">
        <v>2531</v>
      </c>
      <c r="E667" t="s">
        <v>3665</v>
      </c>
      <c r="F667">
        <v>379</v>
      </c>
      <c r="G667" t="s">
        <v>3666</v>
      </c>
      <c r="H667" t="s">
        <v>0</v>
      </c>
      <c r="I667" t="s">
        <v>941</v>
      </c>
      <c r="J667" t="s">
        <v>892</v>
      </c>
      <c r="L667" t="s">
        <v>3</v>
      </c>
      <c r="M667" t="s">
        <v>4</v>
      </c>
      <c r="N667" s="3" t="str">
        <f t="shared" si="21"/>
        <v>F</v>
      </c>
      <c r="O667" s="3" t="str">
        <f>IF(_xlfn.IFNA(MATCH(B667,Table1[UID],0),"F")="F","F","T")</f>
        <v>T</v>
      </c>
    </row>
    <row r="668" spans="2:15" x14ac:dyDescent="0.25">
      <c r="B668" s="42" t="str">
        <f t="shared" si="22"/>
        <v>UD_26N_PU1/URBAN-DEMAND</v>
      </c>
      <c r="C668" t="s">
        <v>2908</v>
      </c>
      <c r="D668" t="s">
        <v>2531</v>
      </c>
      <c r="E668" t="s">
        <v>3667</v>
      </c>
      <c r="F668">
        <v>380</v>
      </c>
      <c r="G668" t="s">
        <v>3668</v>
      </c>
      <c r="H668" t="s">
        <v>0</v>
      </c>
      <c r="I668" t="s">
        <v>942</v>
      </c>
      <c r="J668" t="s">
        <v>892</v>
      </c>
      <c r="L668" t="s">
        <v>3</v>
      </c>
      <c r="M668" t="s">
        <v>4</v>
      </c>
      <c r="N668" s="3" t="str">
        <f t="shared" si="21"/>
        <v>F</v>
      </c>
      <c r="O668" s="3" t="str">
        <f>IF(_xlfn.IFNA(MATCH(B668,Table1[UID],0),"F")="F","F","T")</f>
        <v>T</v>
      </c>
    </row>
    <row r="669" spans="2:15" x14ac:dyDescent="0.25">
      <c r="B669" s="42" t="str">
        <f t="shared" si="22"/>
        <v>UD_26N_PU2/URBAN-DEMAND</v>
      </c>
      <c r="C669" t="s">
        <v>2908</v>
      </c>
      <c r="D669" t="s">
        <v>2531</v>
      </c>
      <c r="E669" t="s">
        <v>3669</v>
      </c>
      <c r="F669">
        <v>381</v>
      </c>
      <c r="G669" t="s">
        <v>3670</v>
      </c>
      <c r="H669" t="s">
        <v>0</v>
      </c>
      <c r="I669" t="s">
        <v>943</v>
      </c>
      <c r="J669" t="s">
        <v>892</v>
      </c>
      <c r="L669" t="s">
        <v>3</v>
      </c>
      <c r="M669" t="s">
        <v>4</v>
      </c>
      <c r="N669" s="3" t="str">
        <f t="shared" si="21"/>
        <v>F</v>
      </c>
      <c r="O669" s="3" t="str">
        <f>IF(_xlfn.IFNA(MATCH(B669,Table1[UID],0),"F")="F","F","T")</f>
        <v>T</v>
      </c>
    </row>
    <row r="670" spans="2:15" x14ac:dyDescent="0.25">
      <c r="B670" s="42" t="str">
        <f t="shared" si="22"/>
        <v>UD_26N_PU3/URBAN-DEMAND</v>
      </c>
      <c r="C670" t="s">
        <v>2908</v>
      </c>
      <c r="D670" t="s">
        <v>2531</v>
      </c>
      <c r="E670" t="s">
        <v>3671</v>
      </c>
      <c r="F670">
        <v>382</v>
      </c>
      <c r="G670" t="s">
        <v>3672</v>
      </c>
      <c r="H670" t="s">
        <v>0</v>
      </c>
      <c r="I670" t="s">
        <v>944</v>
      </c>
      <c r="J670" t="s">
        <v>892</v>
      </c>
      <c r="L670" t="s">
        <v>3</v>
      </c>
      <c r="M670" t="s">
        <v>4</v>
      </c>
      <c r="N670" s="3" t="str">
        <f t="shared" si="21"/>
        <v>F</v>
      </c>
      <c r="O670" s="3" t="str">
        <f>IF(_xlfn.IFNA(MATCH(B670,Table1[UID],0),"F")="F","F","T")</f>
        <v>T</v>
      </c>
    </row>
    <row r="671" spans="2:15" x14ac:dyDescent="0.25">
      <c r="B671" s="42" t="str">
        <f t="shared" si="22"/>
        <v>UD_26S_NU1/URBAN-DEMAND</v>
      </c>
      <c r="C671" t="s">
        <v>2908</v>
      </c>
      <c r="D671" t="s">
        <v>2531</v>
      </c>
      <c r="E671" t="s">
        <v>3673</v>
      </c>
      <c r="F671">
        <v>383</v>
      </c>
      <c r="G671" t="s">
        <v>3674</v>
      </c>
      <c r="H671" t="s">
        <v>0</v>
      </c>
      <c r="I671" t="s">
        <v>945</v>
      </c>
      <c r="J671" t="s">
        <v>892</v>
      </c>
      <c r="L671" t="s">
        <v>3</v>
      </c>
      <c r="M671" t="s">
        <v>4</v>
      </c>
      <c r="N671" s="3" t="str">
        <f t="shared" si="21"/>
        <v>F</v>
      </c>
      <c r="O671" s="3" t="str">
        <f>IF(_xlfn.IFNA(MATCH(B671,Table1[UID],0),"F")="F","F","T")</f>
        <v>T</v>
      </c>
    </row>
    <row r="672" spans="2:15" x14ac:dyDescent="0.25">
      <c r="B672" s="42" t="str">
        <f t="shared" si="22"/>
        <v>UD_26S_NU2/URBAN-DEMAND</v>
      </c>
      <c r="C672" t="s">
        <v>2908</v>
      </c>
      <c r="D672" t="s">
        <v>2531</v>
      </c>
      <c r="E672" t="s">
        <v>3675</v>
      </c>
      <c r="F672">
        <v>384</v>
      </c>
      <c r="G672" t="s">
        <v>3676</v>
      </c>
      <c r="H672" t="s">
        <v>0</v>
      </c>
      <c r="I672" t="s">
        <v>946</v>
      </c>
      <c r="J672" t="s">
        <v>892</v>
      </c>
      <c r="L672" t="s">
        <v>3</v>
      </c>
      <c r="M672" t="s">
        <v>4</v>
      </c>
      <c r="N672" s="3" t="str">
        <f t="shared" si="21"/>
        <v>F</v>
      </c>
      <c r="O672" s="3" t="str">
        <f>IF(_xlfn.IFNA(MATCH(B672,Table1[UID],0),"F")="F","F","T")</f>
        <v>T</v>
      </c>
    </row>
    <row r="673" spans="2:15" x14ac:dyDescent="0.25">
      <c r="B673" s="42" t="str">
        <f t="shared" si="22"/>
        <v>UD_26S_NU3/URBAN-DEMAND</v>
      </c>
      <c r="C673" t="s">
        <v>2908</v>
      </c>
      <c r="D673" t="s">
        <v>2531</v>
      </c>
      <c r="E673" t="s">
        <v>3677</v>
      </c>
      <c r="F673">
        <v>385</v>
      </c>
      <c r="G673" t="s">
        <v>3678</v>
      </c>
      <c r="H673" t="s">
        <v>0</v>
      </c>
      <c r="I673" t="s">
        <v>947</v>
      </c>
      <c r="J673" t="s">
        <v>892</v>
      </c>
      <c r="L673" t="s">
        <v>3</v>
      </c>
      <c r="M673" t="s">
        <v>4</v>
      </c>
      <c r="N673" s="3" t="str">
        <f t="shared" si="21"/>
        <v>F</v>
      </c>
      <c r="O673" s="3" t="str">
        <f>IF(_xlfn.IFNA(MATCH(B673,Table1[UID],0),"F")="F","F","T")</f>
        <v>T</v>
      </c>
    </row>
    <row r="674" spans="2:15" x14ac:dyDescent="0.25">
      <c r="B674" s="42" t="str">
        <f t="shared" si="22"/>
        <v>UD_26S_NU4/URBAN-DEMAND</v>
      </c>
      <c r="C674" t="s">
        <v>2908</v>
      </c>
      <c r="D674" t="s">
        <v>2531</v>
      </c>
      <c r="E674" t="s">
        <v>3679</v>
      </c>
      <c r="F674">
        <v>386</v>
      </c>
      <c r="G674" t="s">
        <v>3680</v>
      </c>
      <c r="H674" t="s">
        <v>0</v>
      </c>
      <c r="I674" t="s">
        <v>948</v>
      </c>
      <c r="J674" t="s">
        <v>892</v>
      </c>
      <c r="L674" t="s">
        <v>3</v>
      </c>
      <c r="M674" t="s">
        <v>4</v>
      </c>
      <c r="N674" s="3" t="str">
        <f t="shared" si="21"/>
        <v>F</v>
      </c>
      <c r="O674" s="3" t="str">
        <f>IF(_xlfn.IFNA(MATCH(B674,Table1[UID],0),"F")="F","F","T")</f>
        <v>T</v>
      </c>
    </row>
    <row r="675" spans="2:15" x14ac:dyDescent="0.25">
      <c r="B675" s="42" t="str">
        <f t="shared" si="22"/>
        <v>UD_26S_PU1/URBAN-DEMAND</v>
      </c>
      <c r="C675" t="s">
        <v>2908</v>
      </c>
      <c r="D675" t="s">
        <v>2531</v>
      </c>
      <c r="E675" t="s">
        <v>3681</v>
      </c>
      <c r="F675">
        <v>387</v>
      </c>
      <c r="G675" t="s">
        <v>3682</v>
      </c>
      <c r="H675" t="s">
        <v>0</v>
      </c>
      <c r="I675" t="s">
        <v>949</v>
      </c>
      <c r="J675" t="s">
        <v>892</v>
      </c>
      <c r="L675" t="s">
        <v>3</v>
      </c>
      <c r="M675" t="s">
        <v>4</v>
      </c>
      <c r="N675" s="3" t="str">
        <f t="shared" si="21"/>
        <v>F</v>
      </c>
      <c r="O675" s="3" t="str">
        <f>IF(_xlfn.IFNA(MATCH(B675,Table1[UID],0),"F")="F","F","T")</f>
        <v>T</v>
      </c>
    </row>
    <row r="676" spans="2:15" x14ac:dyDescent="0.25">
      <c r="B676" s="42" t="str">
        <f t="shared" si="22"/>
        <v>UD_26S_PU2/URBAN-DEMAND</v>
      </c>
      <c r="C676" t="s">
        <v>2908</v>
      </c>
      <c r="D676" t="s">
        <v>2531</v>
      </c>
      <c r="E676" t="s">
        <v>3683</v>
      </c>
      <c r="F676">
        <v>388</v>
      </c>
      <c r="G676" t="s">
        <v>3684</v>
      </c>
      <c r="H676" t="s">
        <v>0</v>
      </c>
      <c r="I676" t="s">
        <v>950</v>
      </c>
      <c r="J676" t="s">
        <v>892</v>
      </c>
      <c r="L676" t="s">
        <v>3</v>
      </c>
      <c r="M676" t="s">
        <v>4</v>
      </c>
      <c r="N676" s="3" t="str">
        <f t="shared" si="21"/>
        <v>F</v>
      </c>
      <c r="O676" s="3" t="str">
        <f>IF(_xlfn.IFNA(MATCH(B676,Table1[UID],0),"F")="F","F","T")</f>
        <v>T</v>
      </c>
    </row>
    <row r="677" spans="2:15" x14ac:dyDescent="0.25">
      <c r="B677" s="42" t="str">
        <f t="shared" si="22"/>
        <v>UD_26S_PU3/URBAN-DEMAND</v>
      </c>
      <c r="C677" t="s">
        <v>2908</v>
      </c>
      <c r="D677" t="s">
        <v>2531</v>
      </c>
      <c r="E677" t="s">
        <v>3685</v>
      </c>
      <c r="F677">
        <v>389</v>
      </c>
      <c r="G677" t="s">
        <v>3686</v>
      </c>
      <c r="H677" t="s">
        <v>0</v>
      </c>
      <c r="I677" t="s">
        <v>951</v>
      </c>
      <c r="J677" t="s">
        <v>892</v>
      </c>
      <c r="L677" t="s">
        <v>3</v>
      </c>
      <c r="M677" t="s">
        <v>4</v>
      </c>
      <c r="N677" s="3" t="str">
        <f t="shared" si="21"/>
        <v>F</v>
      </c>
      <c r="O677" s="3" t="str">
        <f>IF(_xlfn.IFNA(MATCH(B677,Table1[UID],0),"F")="F","F","T")</f>
        <v>T</v>
      </c>
    </row>
    <row r="678" spans="2:15" x14ac:dyDescent="0.25">
      <c r="B678" s="42" t="str">
        <f t="shared" si="22"/>
        <v>UD_26S_PU4/URBAN-DEMAND</v>
      </c>
      <c r="C678" t="s">
        <v>2908</v>
      </c>
      <c r="D678" t="s">
        <v>2531</v>
      </c>
      <c r="E678" t="s">
        <v>3687</v>
      </c>
      <c r="F678">
        <v>390</v>
      </c>
      <c r="G678" t="s">
        <v>3688</v>
      </c>
      <c r="H678" t="s">
        <v>0</v>
      </c>
      <c r="I678" t="s">
        <v>952</v>
      </c>
      <c r="J678" t="s">
        <v>892</v>
      </c>
      <c r="L678" t="s">
        <v>3</v>
      </c>
      <c r="M678" t="s">
        <v>4</v>
      </c>
      <c r="N678" s="3" t="str">
        <f t="shared" si="21"/>
        <v>F</v>
      </c>
      <c r="O678" s="3" t="str">
        <f>IF(_xlfn.IFNA(MATCH(B678,Table1[UID],0),"F")="F","F","T")</f>
        <v>T</v>
      </c>
    </row>
    <row r="679" spans="2:15" x14ac:dyDescent="0.25">
      <c r="B679" s="42" t="str">
        <f t="shared" si="22"/>
        <v>UD_26S_PU5/URBAN-DEMAND</v>
      </c>
      <c r="C679" t="s">
        <v>2908</v>
      </c>
      <c r="D679" t="s">
        <v>2531</v>
      </c>
      <c r="E679" t="s">
        <v>3689</v>
      </c>
      <c r="F679">
        <v>391</v>
      </c>
      <c r="G679" t="s">
        <v>3690</v>
      </c>
      <c r="H679" t="s">
        <v>0</v>
      </c>
      <c r="I679" t="s">
        <v>953</v>
      </c>
      <c r="J679" t="s">
        <v>892</v>
      </c>
      <c r="L679" t="s">
        <v>3</v>
      </c>
      <c r="M679" t="s">
        <v>4</v>
      </c>
      <c r="N679" s="3" t="str">
        <f t="shared" si="21"/>
        <v>F</v>
      </c>
      <c r="O679" s="3" t="str">
        <f>IF(_xlfn.IFNA(MATCH(B679,Table1[UID],0),"F")="F","F","T")</f>
        <v>T</v>
      </c>
    </row>
    <row r="680" spans="2:15" x14ac:dyDescent="0.25">
      <c r="B680" s="42" t="str">
        <f t="shared" si="22"/>
        <v>UD_26S_PU6/URBAN-DEMAND</v>
      </c>
      <c r="C680" t="s">
        <v>2908</v>
      </c>
      <c r="D680" t="s">
        <v>2531</v>
      </c>
      <c r="E680" t="s">
        <v>3691</v>
      </c>
      <c r="F680">
        <v>392</v>
      </c>
      <c r="G680" t="s">
        <v>3692</v>
      </c>
      <c r="H680" t="s">
        <v>0</v>
      </c>
      <c r="I680" t="s">
        <v>954</v>
      </c>
      <c r="J680" t="s">
        <v>892</v>
      </c>
      <c r="L680" t="s">
        <v>3</v>
      </c>
      <c r="M680" t="s">
        <v>4</v>
      </c>
      <c r="N680" s="3" t="str">
        <f t="shared" si="21"/>
        <v>F</v>
      </c>
      <c r="O680" s="3" t="str">
        <f>IF(_xlfn.IFNA(MATCH(B680,Table1[UID],0),"F")="F","F","T")</f>
        <v>T</v>
      </c>
    </row>
    <row r="681" spans="2:15" x14ac:dyDescent="0.25">
      <c r="B681" s="42" t="str">
        <f t="shared" si="22"/>
        <v>WW_02_NU/WASTEWATER</v>
      </c>
      <c r="C681" t="s">
        <v>2908</v>
      </c>
      <c r="D681" t="s">
        <v>2531</v>
      </c>
      <c r="E681" t="s">
        <v>3693</v>
      </c>
      <c r="F681">
        <v>393</v>
      </c>
      <c r="G681" t="s">
        <v>3694</v>
      </c>
      <c r="H681" t="s">
        <v>0</v>
      </c>
      <c r="I681" t="s">
        <v>992</v>
      </c>
      <c r="J681" t="s">
        <v>993</v>
      </c>
      <c r="L681" t="s">
        <v>3</v>
      </c>
      <c r="M681" t="s">
        <v>4</v>
      </c>
      <c r="N681" s="3" t="str">
        <f t="shared" si="21"/>
        <v>F</v>
      </c>
      <c r="O681" s="3" t="str">
        <f>IF(_xlfn.IFNA(MATCH(B681,Table1[UID],0),"F")="F","F","T")</f>
        <v>T</v>
      </c>
    </row>
    <row r="682" spans="2:15" x14ac:dyDescent="0.25">
      <c r="B682" s="42" t="str">
        <f t="shared" si="22"/>
        <v>WW_02_PU/WASTEWATER</v>
      </c>
      <c r="C682" t="s">
        <v>2908</v>
      </c>
      <c r="D682" t="s">
        <v>2531</v>
      </c>
      <c r="E682" t="s">
        <v>3695</v>
      </c>
      <c r="F682">
        <v>394</v>
      </c>
      <c r="G682" t="s">
        <v>3696</v>
      </c>
      <c r="H682" t="s">
        <v>0</v>
      </c>
      <c r="I682" t="s">
        <v>994</v>
      </c>
      <c r="J682" t="s">
        <v>993</v>
      </c>
      <c r="L682" t="s">
        <v>3</v>
      </c>
      <c r="M682" t="s">
        <v>4</v>
      </c>
      <c r="N682" s="3" t="str">
        <f t="shared" si="21"/>
        <v>F</v>
      </c>
      <c r="O682" s="3" t="str">
        <f>IF(_xlfn.IFNA(MATCH(B682,Table1[UID],0),"F")="F","F","T")</f>
        <v>T</v>
      </c>
    </row>
    <row r="683" spans="2:15" x14ac:dyDescent="0.25">
      <c r="B683" s="42" t="str">
        <f t="shared" si="22"/>
        <v>WW_02_SU/WASTEWATER</v>
      </c>
      <c r="C683" t="s">
        <v>2908</v>
      </c>
      <c r="D683" t="s">
        <v>2531</v>
      </c>
      <c r="E683" t="s">
        <v>3697</v>
      </c>
      <c r="F683">
        <v>395</v>
      </c>
      <c r="G683" t="s">
        <v>3698</v>
      </c>
      <c r="H683" t="s">
        <v>0</v>
      </c>
      <c r="I683" t="s">
        <v>995</v>
      </c>
      <c r="J683" t="s">
        <v>993</v>
      </c>
      <c r="L683" t="s">
        <v>3</v>
      </c>
      <c r="M683" t="s">
        <v>4</v>
      </c>
      <c r="N683" s="3" t="str">
        <f t="shared" si="21"/>
        <v>F</v>
      </c>
      <c r="O683" s="3" t="str">
        <f>IF(_xlfn.IFNA(MATCH(B683,Table1[UID],0),"F")="F","F","T")</f>
        <v>T</v>
      </c>
    </row>
    <row r="684" spans="2:15" x14ac:dyDescent="0.25">
      <c r="B684" s="42" t="str">
        <f t="shared" si="22"/>
        <v>WW_03_NU/WASTEWATER</v>
      </c>
      <c r="C684" t="s">
        <v>2908</v>
      </c>
      <c r="D684" t="s">
        <v>2531</v>
      </c>
      <c r="E684" t="s">
        <v>3699</v>
      </c>
      <c r="F684">
        <v>396</v>
      </c>
      <c r="G684" t="s">
        <v>3700</v>
      </c>
      <c r="H684" t="s">
        <v>0</v>
      </c>
      <c r="I684" t="s">
        <v>996</v>
      </c>
      <c r="J684" t="s">
        <v>993</v>
      </c>
      <c r="L684" t="s">
        <v>3</v>
      </c>
      <c r="M684" t="s">
        <v>4</v>
      </c>
      <c r="N684" s="3" t="str">
        <f t="shared" si="21"/>
        <v>F</v>
      </c>
      <c r="O684" s="3" t="str">
        <f>IF(_xlfn.IFNA(MATCH(B684,Table1[UID],0),"F")="F","F","T")</f>
        <v>T</v>
      </c>
    </row>
    <row r="685" spans="2:15" x14ac:dyDescent="0.25">
      <c r="B685" s="42" t="str">
        <f t="shared" si="22"/>
        <v>WW_03_PU1/WASTEWATER</v>
      </c>
      <c r="C685" t="s">
        <v>2908</v>
      </c>
      <c r="D685" t="s">
        <v>2531</v>
      </c>
      <c r="E685" t="s">
        <v>3701</v>
      </c>
      <c r="F685">
        <v>397</v>
      </c>
      <c r="G685" t="s">
        <v>3702</v>
      </c>
      <c r="H685" t="s">
        <v>0</v>
      </c>
      <c r="I685" t="s">
        <v>997</v>
      </c>
      <c r="J685" t="s">
        <v>993</v>
      </c>
      <c r="L685" t="s">
        <v>3</v>
      </c>
      <c r="M685" t="s">
        <v>4</v>
      </c>
      <c r="N685" s="3" t="str">
        <f t="shared" si="21"/>
        <v>F</v>
      </c>
      <c r="O685" s="3" t="str">
        <f>IF(_xlfn.IFNA(MATCH(B685,Table1[UID],0),"F")="F","F","T")</f>
        <v>T</v>
      </c>
    </row>
    <row r="686" spans="2:15" x14ac:dyDescent="0.25">
      <c r="B686" s="42" t="str">
        <f t="shared" si="22"/>
        <v>WW_03_PU2/WASTEWATER</v>
      </c>
      <c r="C686" t="s">
        <v>2908</v>
      </c>
      <c r="D686" t="s">
        <v>2531</v>
      </c>
      <c r="E686" t="s">
        <v>3703</v>
      </c>
      <c r="F686">
        <v>398</v>
      </c>
      <c r="G686" t="s">
        <v>3704</v>
      </c>
      <c r="H686" t="s">
        <v>0</v>
      </c>
      <c r="I686" t="s">
        <v>998</v>
      </c>
      <c r="J686" t="s">
        <v>993</v>
      </c>
      <c r="L686" t="s">
        <v>3</v>
      </c>
      <c r="M686" t="s">
        <v>4</v>
      </c>
      <c r="N686" s="3" t="str">
        <f t="shared" si="21"/>
        <v>F</v>
      </c>
      <c r="O686" s="3" t="str">
        <f>IF(_xlfn.IFNA(MATCH(B686,Table1[UID],0),"F")="F","F","T")</f>
        <v>T</v>
      </c>
    </row>
    <row r="687" spans="2:15" x14ac:dyDescent="0.25">
      <c r="B687" s="42" t="str">
        <f t="shared" si="22"/>
        <v>WW_03_PU3/WASTEWATER</v>
      </c>
      <c r="C687" t="s">
        <v>2908</v>
      </c>
      <c r="D687" t="s">
        <v>2531</v>
      </c>
      <c r="E687" t="s">
        <v>3705</v>
      </c>
      <c r="F687">
        <v>399</v>
      </c>
      <c r="G687" t="s">
        <v>3706</v>
      </c>
      <c r="H687" t="s">
        <v>0</v>
      </c>
      <c r="I687" t="s">
        <v>999</v>
      </c>
      <c r="J687" t="s">
        <v>993</v>
      </c>
      <c r="L687" t="s">
        <v>3</v>
      </c>
      <c r="M687" t="s">
        <v>4</v>
      </c>
      <c r="N687" s="3" t="str">
        <f t="shared" si="21"/>
        <v>F</v>
      </c>
      <c r="O687" s="3" t="str">
        <f>IF(_xlfn.IFNA(MATCH(B687,Table1[UID],0),"F")="F","F","T")</f>
        <v>T</v>
      </c>
    </row>
    <row r="688" spans="2:15" x14ac:dyDescent="0.25">
      <c r="B688" s="42" t="str">
        <f t="shared" si="22"/>
        <v>WW_03_SU/WASTEWATER</v>
      </c>
      <c r="C688" t="s">
        <v>2908</v>
      </c>
      <c r="D688" t="s">
        <v>2531</v>
      </c>
      <c r="E688" t="s">
        <v>3707</v>
      </c>
      <c r="F688">
        <v>400</v>
      </c>
      <c r="G688" t="s">
        <v>3708</v>
      </c>
      <c r="H688" t="s">
        <v>0</v>
      </c>
      <c r="I688" t="s">
        <v>1000</v>
      </c>
      <c r="J688" t="s">
        <v>993</v>
      </c>
      <c r="L688" t="s">
        <v>3</v>
      </c>
      <c r="M688" t="s">
        <v>4</v>
      </c>
      <c r="N688" s="3" t="str">
        <f t="shared" si="21"/>
        <v>F</v>
      </c>
      <c r="O688" s="3" t="str">
        <f>IF(_xlfn.IFNA(MATCH(B688,Table1[UID],0),"F")="F","F","T")</f>
        <v>T</v>
      </c>
    </row>
    <row r="689" spans="2:15" x14ac:dyDescent="0.25">
      <c r="B689" s="42" t="str">
        <f t="shared" si="22"/>
        <v>WW_04_NU1/WASTEWATER</v>
      </c>
      <c r="C689" t="s">
        <v>2908</v>
      </c>
      <c r="D689" t="s">
        <v>2531</v>
      </c>
      <c r="E689" t="s">
        <v>3709</v>
      </c>
      <c r="F689">
        <v>401</v>
      </c>
      <c r="G689" t="s">
        <v>3710</v>
      </c>
      <c r="H689" t="s">
        <v>0</v>
      </c>
      <c r="I689" t="s">
        <v>1001</v>
      </c>
      <c r="J689" t="s">
        <v>993</v>
      </c>
      <c r="L689" t="s">
        <v>3</v>
      </c>
      <c r="M689" t="s">
        <v>4</v>
      </c>
      <c r="N689" s="3" t="str">
        <f t="shared" si="21"/>
        <v>F</v>
      </c>
      <c r="O689" s="3" t="str">
        <f>IF(_xlfn.IFNA(MATCH(B689,Table1[UID],0),"F")="F","F","T")</f>
        <v>T</v>
      </c>
    </row>
    <row r="690" spans="2:15" x14ac:dyDescent="0.25">
      <c r="B690" s="42" t="str">
        <f t="shared" si="22"/>
        <v>WW_04_NU2/WASTEWATER</v>
      </c>
      <c r="C690" t="s">
        <v>2908</v>
      </c>
      <c r="D690" t="s">
        <v>2531</v>
      </c>
      <c r="E690" t="s">
        <v>3711</v>
      </c>
      <c r="F690">
        <v>402</v>
      </c>
      <c r="G690" t="s">
        <v>3712</v>
      </c>
      <c r="H690" t="s">
        <v>0</v>
      </c>
      <c r="I690" t="s">
        <v>1002</v>
      </c>
      <c r="J690" t="s">
        <v>993</v>
      </c>
      <c r="L690" t="s">
        <v>3</v>
      </c>
      <c r="M690" t="s">
        <v>4</v>
      </c>
      <c r="N690" s="3" t="str">
        <f t="shared" si="21"/>
        <v>F</v>
      </c>
      <c r="O690" s="3" t="str">
        <f>IF(_xlfn.IFNA(MATCH(B690,Table1[UID],0),"F")="F","F","T")</f>
        <v>T</v>
      </c>
    </row>
    <row r="691" spans="2:15" x14ac:dyDescent="0.25">
      <c r="B691" s="42" t="str">
        <f t="shared" si="22"/>
        <v>WW_05_NU/WASTEWATER</v>
      </c>
      <c r="C691" t="s">
        <v>2908</v>
      </c>
      <c r="D691" t="s">
        <v>2531</v>
      </c>
      <c r="E691" t="s">
        <v>3713</v>
      </c>
      <c r="F691">
        <v>403</v>
      </c>
      <c r="G691" t="s">
        <v>3714</v>
      </c>
      <c r="H691" t="s">
        <v>0</v>
      </c>
      <c r="I691" t="s">
        <v>1003</v>
      </c>
      <c r="J691" t="s">
        <v>993</v>
      </c>
      <c r="L691" t="s">
        <v>3</v>
      </c>
      <c r="M691" t="s">
        <v>4</v>
      </c>
      <c r="N691" s="3" t="str">
        <f t="shared" si="21"/>
        <v>F</v>
      </c>
      <c r="O691" s="3" t="str">
        <f>IF(_xlfn.IFNA(MATCH(B691,Table1[UID],0),"F")="F","F","T")</f>
        <v>T</v>
      </c>
    </row>
    <row r="692" spans="2:15" x14ac:dyDescent="0.25">
      <c r="B692" s="42" t="str">
        <f t="shared" si="22"/>
        <v>WW_06_NU/WASTEWATER</v>
      </c>
      <c r="C692" t="s">
        <v>2908</v>
      </c>
      <c r="D692" t="s">
        <v>2531</v>
      </c>
      <c r="E692" t="s">
        <v>3715</v>
      </c>
      <c r="F692">
        <v>404</v>
      </c>
      <c r="G692" t="s">
        <v>3716</v>
      </c>
      <c r="H692" t="s">
        <v>0</v>
      </c>
      <c r="I692" t="s">
        <v>1004</v>
      </c>
      <c r="J692" t="s">
        <v>993</v>
      </c>
      <c r="L692" t="s">
        <v>3</v>
      </c>
      <c r="M692" t="s">
        <v>4</v>
      </c>
      <c r="N692" s="3" t="str">
        <f t="shared" si="21"/>
        <v>F</v>
      </c>
      <c r="O692" s="3" t="str">
        <f>IF(_xlfn.IFNA(MATCH(B692,Table1[UID],0),"F")="F","F","T")</f>
        <v>T</v>
      </c>
    </row>
    <row r="693" spans="2:15" x14ac:dyDescent="0.25">
      <c r="B693" s="42" t="str">
        <f t="shared" si="22"/>
        <v>WW_07N_NU/WASTEWATER</v>
      </c>
      <c r="C693" t="s">
        <v>2908</v>
      </c>
      <c r="D693" t="s">
        <v>2531</v>
      </c>
      <c r="E693" t="s">
        <v>3717</v>
      </c>
      <c r="F693">
        <v>405</v>
      </c>
      <c r="G693" t="s">
        <v>3718</v>
      </c>
      <c r="H693" t="s">
        <v>0</v>
      </c>
      <c r="I693" t="s">
        <v>1005</v>
      </c>
      <c r="J693" t="s">
        <v>993</v>
      </c>
      <c r="L693" t="s">
        <v>3</v>
      </c>
      <c r="M693" t="s">
        <v>4</v>
      </c>
      <c r="N693" s="3" t="str">
        <f t="shared" si="21"/>
        <v>F</v>
      </c>
      <c r="O693" s="3" t="str">
        <f>IF(_xlfn.IFNA(MATCH(B693,Table1[UID],0),"F")="F","F","T")</f>
        <v>T</v>
      </c>
    </row>
    <row r="694" spans="2:15" x14ac:dyDescent="0.25">
      <c r="B694" s="42" t="str">
        <f t="shared" si="22"/>
        <v>WW_07S_NU/WASTEWATER</v>
      </c>
      <c r="C694" t="s">
        <v>2908</v>
      </c>
      <c r="D694" t="s">
        <v>2531</v>
      </c>
      <c r="E694" t="s">
        <v>3719</v>
      </c>
      <c r="F694">
        <v>406</v>
      </c>
      <c r="G694" t="s">
        <v>3720</v>
      </c>
      <c r="H694" t="s">
        <v>0</v>
      </c>
      <c r="I694" t="s">
        <v>1006</v>
      </c>
      <c r="J694" t="s">
        <v>993</v>
      </c>
      <c r="L694" t="s">
        <v>3</v>
      </c>
      <c r="M694" t="s">
        <v>4</v>
      </c>
      <c r="N694" s="3" t="str">
        <f t="shared" si="21"/>
        <v>F</v>
      </c>
      <c r="O694" s="3" t="str">
        <f>IF(_xlfn.IFNA(MATCH(B694,Table1[UID],0),"F")="F","F","T")</f>
        <v>T</v>
      </c>
    </row>
    <row r="695" spans="2:15" x14ac:dyDescent="0.25">
      <c r="B695" s="42" t="str">
        <f t="shared" si="22"/>
        <v>WW_08N_NU/WASTEWATER</v>
      </c>
      <c r="C695" t="s">
        <v>2908</v>
      </c>
      <c r="D695" t="s">
        <v>2531</v>
      </c>
      <c r="E695" t="s">
        <v>3721</v>
      </c>
      <c r="F695">
        <v>407</v>
      </c>
      <c r="G695" t="s">
        <v>3722</v>
      </c>
      <c r="H695" t="s">
        <v>0</v>
      </c>
      <c r="I695" t="s">
        <v>1007</v>
      </c>
      <c r="J695" t="s">
        <v>993</v>
      </c>
      <c r="L695" t="s">
        <v>3</v>
      </c>
      <c r="M695" t="s">
        <v>4</v>
      </c>
      <c r="N695" s="3" t="str">
        <f t="shared" si="21"/>
        <v>F</v>
      </c>
      <c r="O695" s="3" t="str">
        <f>IF(_xlfn.IFNA(MATCH(B695,Table1[UID],0),"F")="F","F","T")</f>
        <v>T</v>
      </c>
    </row>
    <row r="696" spans="2:15" x14ac:dyDescent="0.25">
      <c r="B696" s="42" t="str">
        <f t="shared" si="22"/>
        <v>WW_08S_NU/WASTEWATER</v>
      </c>
      <c r="C696" t="s">
        <v>2908</v>
      </c>
      <c r="D696" t="s">
        <v>2531</v>
      </c>
      <c r="E696" t="s">
        <v>3723</v>
      </c>
      <c r="F696">
        <v>408</v>
      </c>
      <c r="G696" t="s">
        <v>3724</v>
      </c>
      <c r="H696" t="s">
        <v>0</v>
      </c>
      <c r="I696" t="s">
        <v>1008</v>
      </c>
      <c r="J696" t="s">
        <v>993</v>
      </c>
      <c r="L696" t="s">
        <v>3</v>
      </c>
      <c r="M696" t="s">
        <v>4</v>
      </c>
      <c r="N696" s="3" t="str">
        <f t="shared" si="21"/>
        <v>F</v>
      </c>
      <c r="O696" s="3" t="str">
        <f>IF(_xlfn.IFNA(MATCH(B696,Table1[UID],0),"F")="F","F","T")</f>
        <v>T</v>
      </c>
    </row>
    <row r="697" spans="2:15" x14ac:dyDescent="0.25">
      <c r="B697" s="42" t="str">
        <f t="shared" si="22"/>
        <v>WW_09_NU/WASTEWATER</v>
      </c>
      <c r="C697" t="s">
        <v>2908</v>
      </c>
      <c r="D697" t="s">
        <v>2531</v>
      </c>
      <c r="E697" t="s">
        <v>3725</v>
      </c>
      <c r="F697">
        <v>409</v>
      </c>
      <c r="G697" t="s">
        <v>3726</v>
      </c>
      <c r="H697" t="s">
        <v>0</v>
      </c>
      <c r="I697" t="s">
        <v>1009</v>
      </c>
      <c r="J697" t="s">
        <v>993</v>
      </c>
      <c r="L697" t="s">
        <v>3</v>
      </c>
      <c r="M697" t="s">
        <v>4</v>
      </c>
      <c r="N697" s="3" t="str">
        <f t="shared" si="21"/>
        <v>F</v>
      </c>
      <c r="O697" s="3" t="str">
        <f>IF(_xlfn.IFNA(MATCH(B697,Table1[UID],0),"F")="F","F","T")</f>
        <v>T</v>
      </c>
    </row>
    <row r="698" spans="2:15" x14ac:dyDescent="0.25">
      <c r="B698" s="42" t="str">
        <f t="shared" si="22"/>
        <v>WW_10_NU1/WASTEWATER</v>
      </c>
      <c r="C698" t="s">
        <v>2908</v>
      </c>
      <c r="D698" t="s">
        <v>2531</v>
      </c>
      <c r="E698" t="s">
        <v>3727</v>
      </c>
      <c r="F698">
        <v>410</v>
      </c>
      <c r="G698" t="s">
        <v>3728</v>
      </c>
      <c r="H698" t="s">
        <v>0</v>
      </c>
      <c r="I698" t="s">
        <v>1010</v>
      </c>
      <c r="J698" t="s">
        <v>993</v>
      </c>
      <c r="L698" t="s">
        <v>3</v>
      </c>
      <c r="M698" t="s">
        <v>4</v>
      </c>
      <c r="N698" s="3" t="str">
        <f t="shared" si="21"/>
        <v>F</v>
      </c>
      <c r="O698" s="3" t="str">
        <f>IF(_xlfn.IFNA(MATCH(B698,Table1[UID],0),"F")="F","F","T")</f>
        <v>T</v>
      </c>
    </row>
    <row r="699" spans="2:15" x14ac:dyDescent="0.25">
      <c r="B699" s="42" t="str">
        <f t="shared" si="22"/>
        <v>WW_10_NU2/WASTEWATER</v>
      </c>
      <c r="C699" t="s">
        <v>2908</v>
      </c>
      <c r="D699" t="s">
        <v>2531</v>
      </c>
      <c r="E699" t="s">
        <v>3729</v>
      </c>
      <c r="F699">
        <v>411</v>
      </c>
      <c r="G699" t="s">
        <v>3730</v>
      </c>
      <c r="H699" t="s">
        <v>0</v>
      </c>
      <c r="I699" t="s">
        <v>1011</v>
      </c>
      <c r="J699" t="s">
        <v>993</v>
      </c>
      <c r="L699" t="s">
        <v>3</v>
      </c>
      <c r="M699" t="s">
        <v>4</v>
      </c>
      <c r="N699" s="3" t="str">
        <f t="shared" si="21"/>
        <v>F</v>
      </c>
      <c r="O699" s="3" t="str">
        <f>IF(_xlfn.IFNA(MATCH(B699,Table1[UID],0),"F")="F","F","T")</f>
        <v>T</v>
      </c>
    </row>
    <row r="700" spans="2:15" x14ac:dyDescent="0.25">
      <c r="B700" s="42" t="str">
        <f t="shared" si="22"/>
        <v>WW_11_NU1/WASTEWATER</v>
      </c>
      <c r="C700" t="s">
        <v>2908</v>
      </c>
      <c r="D700" t="s">
        <v>2531</v>
      </c>
      <c r="E700" t="s">
        <v>3731</v>
      </c>
      <c r="F700">
        <v>412</v>
      </c>
      <c r="G700" t="s">
        <v>3732</v>
      </c>
      <c r="H700" t="s">
        <v>0</v>
      </c>
      <c r="I700" t="s">
        <v>1012</v>
      </c>
      <c r="J700" t="s">
        <v>993</v>
      </c>
      <c r="L700" t="s">
        <v>3</v>
      </c>
      <c r="M700" t="s">
        <v>4</v>
      </c>
      <c r="N700" s="3" t="str">
        <f t="shared" si="21"/>
        <v>F</v>
      </c>
      <c r="O700" s="3" t="str">
        <f>IF(_xlfn.IFNA(MATCH(B700,Table1[UID],0),"F")="F","F","T")</f>
        <v>T</v>
      </c>
    </row>
    <row r="701" spans="2:15" x14ac:dyDescent="0.25">
      <c r="B701" s="42" t="str">
        <f t="shared" si="22"/>
        <v>WW_11_NU2/WASTEWATER</v>
      </c>
      <c r="C701" t="s">
        <v>2908</v>
      </c>
      <c r="D701" t="s">
        <v>2531</v>
      </c>
      <c r="E701" t="s">
        <v>3733</v>
      </c>
      <c r="F701">
        <v>413</v>
      </c>
      <c r="G701" t="s">
        <v>3734</v>
      </c>
      <c r="H701" t="s">
        <v>0</v>
      </c>
      <c r="I701" t="s">
        <v>1013</v>
      </c>
      <c r="J701" t="s">
        <v>993</v>
      </c>
      <c r="L701" t="s">
        <v>3</v>
      </c>
      <c r="M701" t="s">
        <v>4</v>
      </c>
      <c r="N701" s="3" t="str">
        <f t="shared" si="21"/>
        <v>F</v>
      </c>
      <c r="O701" s="3" t="str">
        <f>IF(_xlfn.IFNA(MATCH(B701,Table1[UID],0),"F")="F","F","T")</f>
        <v>T</v>
      </c>
    </row>
    <row r="702" spans="2:15" x14ac:dyDescent="0.25">
      <c r="B702" s="42" t="str">
        <f t="shared" si="22"/>
        <v>WW_12_NU1/WASTEWATER</v>
      </c>
      <c r="C702" t="s">
        <v>2908</v>
      </c>
      <c r="D702" t="s">
        <v>2531</v>
      </c>
      <c r="E702" t="s">
        <v>3735</v>
      </c>
      <c r="F702">
        <v>414</v>
      </c>
      <c r="G702" t="s">
        <v>3736</v>
      </c>
      <c r="H702" t="s">
        <v>0</v>
      </c>
      <c r="I702" t="s">
        <v>1014</v>
      </c>
      <c r="J702" t="s">
        <v>993</v>
      </c>
      <c r="L702" t="s">
        <v>3</v>
      </c>
      <c r="M702" t="s">
        <v>4</v>
      </c>
      <c r="N702" s="3" t="str">
        <f t="shared" si="21"/>
        <v>F</v>
      </c>
      <c r="O702" s="3" t="str">
        <f>IF(_xlfn.IFNA(MATCH(B702,Table1[UID],0),"F")="F","F","T")</f>
        <v>T</v>
      </c>
    </row>
    <row r="703" spans="2:15" x14ac:dyDescent="0.25">
      <c r="B703" s="42" t="str">
        <f t="shared" si="22"/>
        <v>WW_12_NU2/WASTEWATER</v>
      </c>
      <c r="C703" t="s">
        <v>2908</v>
      </c>
      <c r="D703" t="s">
        <v>2531</v>
      </c>
      <c r="E703" t="s">
        <v>3737</v>
      </c>
      <c r="F703">
        <v>415</v>
      </c>
      <c r="G703" t="s">
        <v>3738</v>
      </c>
      <c r="H703" t="s">
        <v>0</v>
      </c>
      <c r="I703" t="s">
        <v>1015</v>
      </c>
      <c r="J703" t="s">
        <v>993</v>
      </c>
      <c r="L703" t="s">
        <v>3</v>
      </c>
      <c r="M703" t="s">
        <v>4</v>
      </c>
      <c r="N703" s="3" t="str">
        <f t="shared" si="21"/>
        <v>F</v>
      </c>
      <c r="O703" s="3" t="str">
        <f>IF(_xlfn.IFNA(MATCH(B703,Table1[UID],0),"F")="F","F","T")</f>
        <v>T</v>
      </c>
    </row>
    <row r="704" spans="2:15" x14ac:dyDescent="0.25">
      <c r="B704" s="42" t="str">
        <f t="shared" si="22"/>
        <v>WW_13_NU1/WASTEWATER</v>
      </c>
      <c r="C704" t="s">
        <v>2908</v>
      </c>
      <c r="D704" t="s">
        <v>2531</v>
      </c>
      <c r="E704" t="s">
        <v>3739</v>
      </c>
      <c r="F704">
        <v>416</v>
      </c>
      <c r="G704" t="s">
        <v>3740</v>
      </c>
      <c r="H704" t="s">
        <v>0</v>
      </c>
      <c r="I704" t="s">
        <v>1016</v>
      </c>
      <c r="J704" t="s">
        <v>993</v>
      </c>
      <c r="L704" t="s">
        <v>3</v>
      </c>
      <c r="M704" t="s">
        <v>4</v>
      </c>
      <c r="N704" s="3" t="str">
        <f t="shared" si="21"/>
        <v>F</v>
      </c>
      <c r="O704" s="3" t="str">
        <f>IF(_xlfn.IFNA(MATCH(B704,Table1[UID],0),"F")="F","F","T")</f>
        <v>T</v>
      </c>
    </row>
    <row r="705" spans="2:15" x14ac:dyDescent="0.25">
      <c r="B705" s="42" t="str">
        <f t="shared" si="22"/>
        <v>WW_13_NU2/WASTEWATER</v>
      </c>
      <c r="C705" t="s">
        <v>2908</v>
      </c>
      <c r="D705" t="s">
        <v>2531</v>
      </c>
      <c r="E705" t="s">
        <v>3741</v>
      </c>
      <c r="F705">
        <v>417</v>
      </c>
      <c r="G705" t="s">
        <v>3742</v>
      </c>
      <c r="H705" t="s">
        <v>0</v>
      </c>
      <c r="I705" t="s">
        <v>1017</v>
      </c>
      <c r="J705" t="s">
        <v>993</v>
      </c>
      <c r="L705" t="s">
        <v>3</v>
      </c>
      <c r="M705" t="s">
        <v>4</v>
      </c>
      <c r="N705" s="3" t="str">
        <f t="shared" si="21"/>
        <v>F</v>
      </c>
      <c r="O705" s="3" t="str">
        <f>IF(_xlfn.IFNA(MATCH(B705,Table1[UID],0),"F")="F","F","T")</f>
        <v>T</v>
      </c>
    </row>
    <row r="706" spans="2:15" x14ac:dyDescent="0.25">
      <c r="B706" s="42" t="str">
        <f t="shared" si="22"/>
        <v>WW_14_NU/WASTEWATER</v>
      </c>
      <c r="C706" t="s">
        <v>2908</v>
      </c>
      <c r="D706" t="s">
        <v>2531</v>
      </c>
      <c r="E706" t="s">
        <v>3743</v>
      </c>
      <c r="F706">
        <v>418</v>
      </c>
      <c r="G706" t="s">
        <v>3744</v>
      </c>
      <c r="H706" t="s">
        <v>0</v>
      </c>
      <c r="I706" t="s">
        <v>1018</v>
      </c>
      <c r="J706" t="s">
        <v>993</v>
      </c>
      <c r="L706" t="s">
        <v>3</v>
      </c>
      <c r="M706" t="s">
        <v>4</v>
      </c>
      <c r="N706" s="3" t="str">
        <f t="shared" si="21"/>
        <v>F</v>
      </c>
      <c r="O706" s="3" t="str">
        <f>IF(_xlfn.IFNA(MATCH(B706,Table1[UID],0),"F")="F","F","T")</f>
        <v>T</v>
      </c>
    </row>
    <row r="707" spans="2:15" x14ac:dyDescent="0.25">
      <c r="B707" s="42" t="str">
        <f t="shared" si="22"/>
        <v>WW_15N_NU/WASTEWATER</v>
      </c>
      <c r="C707" t="s">
        <v>2908</v>
      </c>
      <c r="D707" t="s">
        <v>2531</v>
      </c>
      <c r="E707" t="s">
        <v>3745</v>
      </c>
      <c r="F707">
        <v>419</v>
      </c>
      <c r="G707" t="s">
        <v>3746</v>
      </c>
      <c r="H707" t="s">
        <v>0</v>
      </c>
      <c r="I707" t="s">
        <v>1019</v>
      </c>
      <c r="J707" t="s">
        <v>993</v>
      </c>
      <c r="L707" t="s">
        <v>3</v>
      </c>
      <c r="M707" t="s">
        <v>4</v>
      </c>
      <c r="N707" s="3" t="str">
        <f t="shared" ref="N707:N770" si="23">IF(COUNTIF($B$3:$B$1760,"="&amp;B707)&gt;1,"T","F")</f>
        <v>F</v>
      </c>
      <c r="O707" s="3" t="str">
        <f>IF(_xlfn.IFNA(MATCH(B707,Table1[UID],0),"F")="F","F","T")</f>
        <v>T</v>
      </c>
    </row>
    <row r="708" spans="2:15" x14ac:dyDescent="0.25">
      <c r="B708" s="42" t="str">
        <f t="shared" si="22"/>
        <v>WW_15S_NU/WASTEWATER</v>
      </c>
      <c r="C708" t="s">
        <v>2908</v>
      </c>
      <c r="D708" t="s">
        <v>2531</v>
      </c>
      <c r="E708" t="s">
        <v>3747</v>
      </c>
      <c r="F708">
        <v>420</v>
      </c>
      <c r="G708" t="s">
        <v>3748</v>
      </c>
      <c r="H708" t="s">
        <v>0</v>
      </c>
      <c r="I708" t="s">
        <v>1020</v>
      </c>
      <c r="J708" t="s">
        <v>993</v>
      </c>
      <c r="L708" t="s">
        <v>3</v>
      </c>
      <c r="M708" t="s">
        <v>4</v>
      </c>
      <c r="N708" s="3" t="str">
        <f t="shared" si="23"/>
        <v>F</v>
      </c>
      <c r="O708" s="3" t="str">
        <f>IF(_xlfn.IFNA(MATCH(B708,Table1[UID],0),"F")="F","F","T")</f>
        <v>T</v>
      </c>
    </row>
    <row r="709" spans="2:15" x14ac:dyDescent="0.25">
      <c r="B709" s="42" t="str">
        <f t="shared" si="22"/>
        <v>WW_16_NU/WASTEWATER</v>
      </c>
      <c r="C709" t="s">
        <v>2908</v>
      </c>
      <c r="D709" t="s">
        <v>2531</v>
      </c>
      <c r="E709" t="s">
        <v>3749</v>
      </c>
      <c r="F709">
        <v>421</v>
      </c>
      <c r="G709" t="s">
        <v>3750</v>
      </c>
      <c r="H709" t="s">
        <v>0</v>
      </c>
      <c r="I709" t="s">
        <v>1021</v>
      </c>
      <c r="J709" t="s">
        <v>993</v>
      </c>
      <c r="L709" t="s">
        <v>3</v>
      </c>
      <c r="M709" t="s">
        <v>4</v>
      </c>
      <c r="N709" s="3" t="str">
        <f t="shared" si="23"/>
        <v>F</v>
      </c>
      <c r="O709" s="3" t="str">
        <f>IF(_xlfn.IFNA(MATCH(B709,Table1[UID],0),"F")="F","F","T")</f>
        <v>T</v>
      </c>
    </row>
    <row r="710" spans="2:15" x14ac:dyDescent="0.25">
      <c r="B710" s="42" t="str">
        <f t="shared" si="22"/>
        <v>WW_16_PU/WASTEWATER</v>
      </c>
      <c r="C710" t="s">
        <v>2908</v>
      </c>
      <c r="D710" t="s">
        <v>2531</v>
      </c>
      <c r="E710" t="s">
        <v>3751</v>
      </c>
      <c r="F710">
        <v>422</v>
      </c>
      <c r="G710" t="s">
        <v>3752</v>
      </c>
      <c r="H710" t="s">
        <v>0</v>
      </c>
      <c r="I710" t="s">
        <v>1022</v>
      </c>
      <c r="J710" t="s">
        <v>993</v>
      </c>
      <c r="L710" t="s">
        <v>3</v>
      </c>
      <c r="M710" t="s">
        <v>4</v>
      </c>
      <c r="N710" s="3" t="str">
        <f t="shared" si="23"/>
        <v>F</v>
      </c>
      <c r="O710" s="3" t="str">
        <f>IF(_xlfn.IFNA(MATCH(B710,Table1[UID],0),"F")="F","F","T")</f>
        <v>T</v>
      </c>
    </row>
    <row r="711" spans="2:15" x14ac:dyDescent="0.25">
      <c r="B711" s="42" t="str">
        <f t="shared" si="22"/>
        <v>WW_17N_NU/WASTEWATER</v>
      </c>
      <c r="C711" t="s">
        <v>2908</v>
      </c>
      <c r="D711" t="s">
        <v>2531</v>
      </c>
      <c r="E711" t="s">
        <v>3753</v>
      </c>
      <c r="F711">
        <v>423</v>
      </c>
      <c r="G711" t="s">
        <v>3754</v>
      </c>
      <c r="H711" t="s">
        <v>0</v>
      </c>
      <c r="I711" t="s">
        <v>1023</v>
      </c>
      <c r="J711" t="s">
        <v>993</v>
      </c>
      <c r="L711" t="s">
        <v>3</v>
      </c>
      <c r="M711" t="s">
        <v>4</v>
      </c>
      <c r="N711" s="3" t="str">
        <f t="shared" si="23"/>
        <v>F</v>
      </c>
      <c r="O711" s="3" t="str">
        <f>IF(_xlfn.IFNA(MATCH(B711,Table1[UID],0),"F")="F","F","T")</f>
        <v>T</v>
      </c>
    </row>
    <row r="712" spans="2:15" x14ac:dyDescent="0.25">
      <c r="B712" s="42" t="str">
        <f t="shared" si="22"/>
        <v>WW_17S_NU/WASTEWATER</v>
      </c>
      <c r="C712" t="s">
        <v>2908</v>
      </c>
      <c r="D712" t="s">
        <v>2531</v>
      </c>
      <c r="E712" t="s">
        <v>3755</v>
      </c>
      <c r="F712">
        <v>424</v>
      </c>
      <c r="G712" t="s">
        <v>3756</v>
      </c>
      <c r="H712" t="s">
        <v>0</v>
      </c>
      <c r="I712" t="s">
        <v>1024</v>
      </c>
      <c r="J712" t="s">
        <v>993</v>
      </c>
      <c r="L712" t="s">
        <v>3</v>
      </c>
      <c r="M712" t="s">
        <v>4</v>
      </c>
      <c r="N712" s="3" t="str">
        <f t="shared" si="23"/>
        <v>F</v>
      </c>
      <c r="O712" s="3" t="str">
        <f>IF(_xlfn.IFNA(MATCH(B712,Table1[UID],0),"F")="F","F","T")</f>
        <v>T</v>
      </c>
    </row>
    <row r="713" spans="2:15" x14ac:dyDescent="0.25">
      <c r="B713" s="42" t="str">
        <f t="shared" si="22"/>
        <v>WW_18_NU/WASTEWATER</v>
      </c>
      <c r="C713" t="s">
        <v>2908</v>
      </c>
      <c r="D713" t="s">
        <v>2531</v>
      </c>
      <c r="E713" t="s">
        <v>3757</v>
      </c>
      <c r="F713">
        <v>425</v>
      </c>
      <c r="G713" t="s">
        <v>3758</v>
      </c>
      <c r="H713" t="s">
        <v>0</v>
      </c>
      <c r="I713" t="s">
        <v>1025</v>
      </c>
      <c r="J713" t="s">
        <v>993</v>
      </c>
      <c r="L713" t="s">
        <v>3</v>
      </c>
      <c r="M713" t="s">
        <v>4</v>
      </c>
      <c r="N713" s="3" t="str">
        <f t="shared" si="23"/>
        <v>F</v>
      </c>
      <c r="O713" s="3" t="str">
        <f>IF(_xlfn.IFNA(MATCH(B713,Table1[UID],0),"F")="F","F","T")</f>
        <v>T</v>
      </c>
    </row>
    <row r="714" spans="2:15" x14ac:dyDescent="0.25">
      <c r="B714" s="42" t="str">
        <f t="shared" ref="B714:B777" si="24">_xlfn.CONCAT(I714,"/",J714)</f>
        <v>WW_19_NU/WASTEWATER</v>
      </c>
      <c r="C714" t="s">
        <v>2908</v>
      </c>
      <c r="D714" t="s">
        <v>2531</v>
      </c>
      <c r="E714" t="s">
        <v>3759</v>
      </c>
      <c r="F714">
        <v>426</v>
      </c>
      <c r="G714" t="s">
        <v>3760</v>
      </c>
      <c r="H714" t="s">
        <v>0</v>
      </c>
      <c r="I714" t="s">
        <v>1026</v>
      </c>
      <c r="J714" t="s">
        <v>993</v>
      </c>
      <c r="L714" t="s">
        <v>3</v>
      </c>
      <c r="M714" t="s">
        <v>4</v>
      </c>
      <c r="N714" s="3" t="str">
        <f t="shared" si="23"/>
        <v>F</v>
      </c>
      <c r="O714" s="3" t="str">
        <f>IF(_xlfn.IFNA(MATCH(B714,Table1[UID],0),"F")="F","F","T")</f>
        <v>T</v>
      </c>
    </row>
    <row r="715" spans="2:15" x14ac:dyDescent="0.25">
      <c r="B715" s="42" t="str">
        <f t="shared" si="24"/>
        <v>WW_20_NU1/WASTEWATER</v>
      </c>
      <c r="C715" t="s">
        <v>2908</v>
      </c>
      <c r="D715" t="s">
        <v>2531</v>
      </c>
      <c r="E715" t="s">
        <v>3761</v>
      </c>
      <c r="F715">
        <v>427</v>
      </c>
      <c r="G715" t="s">
        <v>3762</v>
      </c>
      <c r="H715" t="s">
        <v>0</v>
      </c>
      <c r="I715" t="s">
        <v>1027</v>
      </c>
      <c r="J715" t="s">
        <v>993</v>
      </c>
      <c r="L715" t="s">
        <v>3</v>
      </c>
      <c r="M715" t="s">
        <v>4</v>
      </c>
      <c r="N715" s="3" t="str">
        <f t="shared" si="23"/>
        <v>F</v>
      </c>
      <c r="O715" s="3" t="str">
        <f>IF(_xlfn.IFNA(MATCH(B715,Table1[UID],0),"F")="F","F","T")</f>
        <v>T</v>
      </c>
    </row>
    <row r="716" spans="2:15" x14ac:dyDescent="0.25">
      <c r="B716" s="42" t="str">
        <f t="shared" si="24"/>
        <v>WW_20_NU2/WASTEWATER</v>
      </c>
      <c r="C716" t="s">
        <v>2908</v>
      </c>
      <c r="D716" t="s">
        <v>2531</v>
      </c>
      <c r="E716" t="s">
        <v>3763</v>
      </c>
      <c r="F716">
        <v>428</v>
      </c>
      <c r="G716" t="s">
        <v>3764</v>
      </c>
      <c r="H716" t="s">
        <v>0</v>
      </c>
      <c r="I716" t="s">
        <v>1028</v>
      </c>
      <c r="J716" t="s">
        <v>993</v>
      </c>
      <c r="L716" t="s">
        <v>3</v>
      </c>
      <c r="M716" t="s">
        <v>4</v>
      </c>
      <c r="N716" s="3" t="str">
        <f t="shared" si="23"/>
        <v>F</v>
      </c>
      <c r="O716" s="3" t="str">
        <f>IF(_xlfn.IFNA(MATCH(B716,Table1[UID],0),"F")="F","F","T")</f>
        <v>T</v>
      </c>
    </row>
    <row r="717" spans="2:15" x14ac:dyDescent="0.25">
      <c r="B717" s="42" t="str">
        <f t="shared" si="24"/>
        <v>WW_21_NU/WASTEWATER</v>
      </c>
      <c r="C717" t="s">
        <v>2908</v>
      </c>
      <c r="D717" t="s">
        <v>2531</v>
      </c>
      <c r="E717" t="s">
        <v>3765</v>
      </c>
      <c r="F717">
        <v>429</v>
      </c>
      <c r="G717" t="s">
        <v>3766</v>
      </c>
      <c r="H717" t="s">
        <v>0</v>
      </c>
      <c r="I717" t="s">
        <v>1029</v>
      </c>
      <c r="J717" t="s">
        <v>993</v>
      </c>
      <c r="L717" t="s">
        <v>3</v>
      </c>
      <c r="M717" t="s">
        <v>4</v>
      </c>
      <c r="N717" s="3" t="str">
        <f t="shared" si="23"/>
        <v>F</v>
      </c>
      <c r="O717" s="3" t="str">
        <f>IF(_xlfn.IFNA(MATCH(B717,Table1[UID],0),"F")="F","F","T")</f>
        <v>T</v>
      </c>
    </row>
    <row r="718" spans="2:15" x14ac:dyDescent="0.25">
      <c r="B718" s="42" t="str">
        <f t="shared" si="24"/>
        <v>WW_21_PU/WASTEWATER</v>
      </c>
      <c r="C718" t="s">
        <v>2908</v>
      </c>
      <c r="D718" t="s">
        <v>2531</v>
      </c>
      <c r="E718" t="s">
        <v>3767</v>
      </c>
      <c r="F718">
        <v>430</v>
      </c>
      <c r="G718" t="s">
        <v>3768</v>
      </c>
      <c r="H718" t="s">
        <v>0</v>
      </c>
      <c r="I718" t="s">
        <v>1030</v>
      </c>
      <c r="J718" t="s">
        <v>993</v>
      </c>
      <c r="L718" t="s">
        <v>3</v>
      </c>
      <c r="M718" t="s">
        <v>4</v>
      </c>
      <c r="N718" s="3" t="str">
        <f t="shared" si="23"/>
        <v>F</v>
      </c>
      <c r="O718" s="3" t="str">
        <f>IF(_xlfn.IFNA(MATCH(B718,Table1[UID],0),"F")="F","F","T")</f>
        <v>T</v>
      </c>
    </row>
    <row r="719" spans="2:15" x14ac:dyDescent="0.25">
      <c r="B719" s="42" t="str">
        <f t="shared" si="24"/>
        <v>WW_22_NU/WASTEWATER</v>
      </c>
      <c r="C719" t="s">
        <v>2908</v>
      </c>
      <c r="D719" t="s">
        <v>2531</v>
      </c>
      <c r="E719" t="s">
        <v>3769</v>
      </c>
      <c r="F719">
        <v>431</v>
      </c>
      <c r="G719" t="s">
        <v>3770</v>
      </c>
      <c r="H719" t="s">
        <v>0</v>
      </c>
      <c r="I719" t="s">
        <v>1031</v>
      </c>
      <c r="J719" t="s">
        <v>993</v>
      </c>
      <c r="L719" t="s">
        <v>3</v>
      </c>
      <c r="M719" t="s">
        <v>4</v>
      </c>
      <c r="N719" s="3" t="str">
        <f t="shared" si="23"/>
        <v>F</v>
      </c>
      <c r="O719" s="3" t="str">
        <f>IF(_xlfn.IFNA(MATCH(B719,Table1[UID],0),"F")="F","F","T")</f>
        <v>T</v>
      </c>
    </row>
    <row r="720" spans="2:15" x14ac:dyDescent="0.25">
      <c r="B720" s="42" t="str">
        <f t="shared" si="24"/>
        <v>WW_23_NU/WASTEWATER</v>
      </c>
      <c r="C720" t="s">
        <v>2908</v>
      </c>
      <c r="D720" t="s">
        <v>2531</v>
      </c>
      <c r="E720" t="s">
        <v>3771</v>
      </c>
      <c r="F720">
        <v>432</v>
      </c>
      <c r="G720" t="s">
        <v>3772</v>
      </c>
      <c r="H720" t="s">
        <v>0</v>
      </c>
      <c r="I720" t="s">
        <v>1032</v>
      </c>
      <c r="J720" t="s">
        <v>993</v>
      </c>
      <c r="L720" t="s">
        <v>3</v>
      </c>
      <c r="M720" t="s">
        <v>4</v>
      </c>
      <c r="N720" s="3" t="str">
        <f t="shared" si="23"/>
        <v>F</v>
      </c>
      <c r="O720" s="3" t="str">
        <f>IF(_xlfn.IFNA(MATCH(B720,Table1[UID],0),"F")="F","F","T")</f>
        <v>T</v>
      </c>
    </row>
    <row r="721" spans="2:15" x14ac:dyDescent="0.25">
      <c r="B721" s="42" t="str">
        <f t="shared" si="24"/>
        <v>WW_24_NU1/WASTEWATER</v>
      </c>
      <c r="C721" t="s">
        <v>2908</v>
      </c>
      <c r="D721" t="s">
        <v>2531</v>
      </c>
      <c r="E721" t="s">
        <v>3773</v>
      </c>
      <c r="F721">
        <v>433</v>
      </c>
      <c r="G721" t="s">
        <v>3774</v>
      </c>
      <c r="H721" t="s">
        <v>0</v>
      </c>
      <c r="I721" t="s">
        <v>1033</v>
      </c>
      <c r="J721" t="s">
        <v>993</v>
      </c>
      <c r="L721" t="s">
        <v>3</v>
      </c>
      <c r="M721" t="s">
        <v>4</v>
      </c>
      <c r="N721" s="3" t="str">
        <f t="shared" si="23"/>
        <v>F</v>
      </c>
      <c r="O721" s="3" t="str">
        <f>IF(_xlfn.IFNA(MATCH(B721,Table1[UID],0),"F")="F","F","T")</f>
        <v>T</v>
      </c>
    </row>
    <row r="722" spans="2:15" x14ac:dyDescent="0.25">
      <c r="B722" s="42" t="str">
        <f t="shared" si="24"/>
        <v>WW_24_NU2/WASTEWATER</v>
      </c>
      <c r="C722" t="s">
        <v>2908</v>
      </c>
      <c r="D722" t="s">
        <v>2531</v>
      </c>
      <c r="E722" t="s">
        <v>3775</v>
      </c>
      <c r="F722">
        <v>434</v>
      </c>
      <c r="G722" t="s">
        <v>3776</v>
      </c>
      <c r="H722" t="s">
        <v>0</v>
      </c>
      <c r="I722" t="s">
        <v>1034</v>
      </c>
      <c r="J722" t="s">
        <v>993</v>
      </c>
      <c r="L722" t="s">
        <v>3</v>
      </c>
      <c r="M722" t="s">
        <v>4</v>
      </c>
      <c r="N722" s="3" t="str">
        <f t="shared" si="23"/>
        <v>F</v>
      </c>
      <c r="O722" s="3" t="str">
        <f>IF(_xlfn.IFNA(MATCH(B722,Table1[UID],0),"F")="F","F","T")</f>
        <v>T</v>
      </c>
    </row>
    <row r="723" spans="2:15" x14ac:dyDescent="0.25">
      <c r="B723" s="42" t="str">
        <f t="shared" si="24"/>
        <v>WW_24_NU3/WASTEWATER</v>
      </c>
      <c r="C723" t="s">
        <v>2908</v>
      </c>
      <c r="D723" t="s">
        <v>2531</v>
      </c>
      <c r="E723" t="s">
        <v>3777</v>
      </c>
      <c r="F723">
        <v>435</v>
      </c>
      <c r="G723" t="s">
        <v>3778</v>
      </c>
      <c r="H723" t="s">
        <v>0</v>
      </c>
      <c r="I723" t="s">
        <v>1035</v>
      </c>
      <c r="J723" t="s">
        <v>993</v>
      </c>
      <c r="L723" t="s">
        <v>3</v>
      </c>
      <c r="M723" t="s">
        <v>4</v>
      </c>
      <c r="N723" s="3" t="str">
        <f t="shared" si="23"/>
        <v>F</v>
      </c>
      <c r="O723" s="3" t="str">
        <f>IF(_xlfn.IFNA(MATCH(B723,Table1[UID],0),"F")="F","F","T")</f>
        <v>T</v>
      </c>
    </row>
    <row r="724" spans="2:15" x14ac:dyDescent="0.25">
      <c r="B724" s="42" t="str">
        <f t="shared" si="24"/>
        <v>WW_24_NU4/WASTEWATER</v>
      </c>
      <c r="C724" t="s">
        <v>2908</v>
      </c>
      <c r="D724" t="s">
        <v>2531</v>
      </c>
      <c r="E724" t="s">
        <v>3779</v>
      </c>
      <c r="F724">
        <v>436</v>
      </c>
      <c r="G724" t="s">
        <v>3780</v>
      </c>
      <c r="H724" t="s">
        <v>0</v>
      </c>
      <c r="I724" t="s">
        <v>1036</v>
      </c>
      <c r="J724" t="s">
        <v>993</v>
      </c>
      <c r="L724" t="s">
        <v>3</v>
      </c>
      <c r="M724" t="s">
        <v>4</v>
      </c>
      <c r="N724" s="3" t="str">
        <f t="shared" si="23"/>
        <v>F</v>
      </c>
      <c r="O724" s="3" t="str">
        <f>IF(_xlfn.IFNA(MATCH(B724,Table1[UID],0),"F")="F","F","T")</f>
        <v>T</v>
      </c>
    </row>
    <row r="725" spans="2:15" x14ac:dyDescent="0.25">
      <c r="B725" s="42" t="str">
        <f t="shared" si="24"/>
        <v>WW_25_NU/WASTEWATER</v>
      </c>
      <c r="C725" t="s">
        <v>2908</v>
      </c>
      <c r="D725" t="s">
        <v>2531</v>
      </c>
      <c r="E725" t="s">
        <v>3781</v>
      </c>
      <c r="F725">
        <v>437</v>
      </c>
      <c r="G725" t="s">
        <v>3782</v>
      </c>
      <c r="H725" t="s">
        <v>0</v>
      </c>
      <c r="I725" t="s">
        <v>1037</v>
      </c>
      <c r="J725" t="s">
        <v>993</v>
      </c>
      <c r="L725" t="s">
        <v>3</v>
      </c>
      <c r="M725" t="s">
        <v>4</v>
      </c>
      <c r="N725" s="3" t="str">
        <f t="shared" si="23"/>
        <v>F</v>
      </c>
      <c r="O725" s="3" t="str">
        <f>IF(_xlfn.IFNA(MATCH(B725,Table1[UID],0),"F")="F","F","T")</f>
        <v>T</v>
      </c>
    </row>
    <row r="726" spans="2:15" x14ac:dyDescent="0.25">
      <c r="B726" s="42" t="str">
        <f t="shared" si="24"/>
        <v>WW_25_PU/WASTEWATER</v>
      </c>
      <c r="C726" t="s">
        <v>2908</v>
      </c>
      <c r="D726" t="s">
        <v>2531</v>
      </c>
      <c r="E726" t="s">
        <v>3783</v>
      </c>
      <c r="F726">
        <v>438</v>
      </c>
      <c r="G726" t="s">
        <v>3784</v>
      </c>
      <c r="H726" t="s">
        <v>0</v>
      </c>
      <c r="I726" t="s">
        <v>1038</v>
      </c>
      <c r="J726" t="s">
        <v>993</v>
      </c>
      <c r="L726" t="s">
        <v>3</v>
      </c>
      <c r="M726" t="s">
        <v>4</v>
      </c>
      <c r="N726" s="3" t="str">
        <f t="shared" si="23"/>
        <v>F</v>
      </c>
      <c r="O726" s="3" t="str">
        <f>IF(_xlfn.IFNA(MATCH(B726,Table1[UID],0),"F")="F","F","T")</f>
        <v>T</v>
      </c>
    </row>
    <row r="727" spans="2:15" x14ac:dyDescent="0.25">
      <c r="B727" s="42" t="str">
        <f t="shared" si="24"/>
        <v>WW_26N_NU1/WASTEWATER</v>
      </c>
      <c r="C727" t="s">
        <v>2908</v>
      </c>
      <c r="D727" t="s">
        <v>2531</v>
      </c>
      <c r="E727" t="s">
        <v>3785</v>
      </c>
      <c r="F727">
        <v>439</v>
      </c>
      <c r="G727" t="s">
        <v>3786</v>
      </c>
      <c r="H727" t="s">
        <v>0</v>
      </c>
      <c r="I727" t="s">
        <v>1039</v>
      </c>
      <c r="J727" t="s">
        <v>993</v>
      </c>
      <c r="L727" t="s">
        <v>3</v>
      </c>
      <c r="M727" t="s">
        <v>4</v>
      </c>
      <c r="N727" s="3" t="str">
        <f t="shared" si="23"/>
        <v>F</v>
      </c>
      <c r="O727" s="3" t="str">
        <f>IF(_xlfn.IFNA(MATCH(B727,Table1[UID],0),"F")="F","F","T")</f>
        <v>T</v>
      </c>
    </row>
    <row r="728" spans="2:15" x14ac:dyDescent="0.25">
      <c r="B728" s="42" t="str">
        <f t="shared" si="24"/>
        <v>WW_26N_NU2/WASTEWATER</v>
      </c>
      <c r="C728" t="s">
        <v>2908</v>
      </c>
      <c r="D728" t="s">
        <v>2531</v>
      </c>
      <c r="E728" t="s">
        <v>3787</v>
      </c>
      <c r="F728">
        <v>440</v>
      </c>
      <c r="G728" t="s">
        <v>3788</v>
      </c>
      <c r="H728" t="s">
        <v>0</v>
      </c>
      <c r="I728" t="s">
        <v>1040</v>
      </c>
      <c r="J728" t="s">
        <v>993</v>
      </c>
      <c r="L728" t="s">
        <v>3</v>
      </c>
      <c r="M728" t="s">
        <v>4</v>
      </c>
      <c r="N728" s="3" t="str">
        <f t="shared" si="23"/>
        <v>F</v>
      </c>
      <c r="O728" s="3" t="str">
        <f>IF(_xlfn.IFNA(MATCH(B728,Table1[UID],0),"F")="F","F","T")</f>
        <v>T</v>
      </c>
    </row>
    <row r="729" spans="2:15" x14ac:dyDescent="0.25">
      <c r="B729" s="42" t="str">
        <f t="shared" si="24"/>
        <v>WW_26N_NU3/WASTEWATER</v>
      </c>
      <c r="C729" t="s">
        <v>2908</v>
      </c>
      <c r="D729" t="s">
        <v>2531</v>
      </c>
      <c r="E729" t="s">
        <v>3789</v>
      </c>
      <c r="F729">
        <v>441</v>
      </c>
      <c r="G729" t="s">
        <v>3790</v>
      </c>
      <c r="H729" t="s">
        <v>0</v>
      </c>
      <c r="I729" t="s">
        <v>1041</v>
      </c>
      <c r="J729" t="s">
        <v>993</v>
      </c>
      <c r="L729" t="s">
        <v>3</v>
      </c>
      <c r="M729" t="s">
        <v>4</v>
      </c>
      <c r="N729" s="3" t="str">
        <f t="shared" si="23"/>
        <v>F</v>
      </c>
      <c r="O729" s="3" t="str">
        <f>IF(_xlfn.IFNA(MATCH(B729,Table1[UID],0),"F")="F","F","T")</f>
        <v>T</v>
      </c>
    </row>
    <row r="730" spans="2:15" x14ac:dyDescent="0.25">
      <c r="B730" s="42" t="str">
        <f t="shared" si="24"/>
        <v>WW_26N_NU4/WASTEWATER</v>
      </c>
      <c r="C730" t="s">
        <v>2908</v>
      </c>
      <c r="D730" t="s">
        <v>2531</v>
      </c>
      <c r="E730" t="s">
        <v>3791</v>
      </c>
      <c r="F730">
        <v>442</v>
      </c>
      <c r="G730" t="s">
        <v>3792</v>
      </c>
      <c r="H730" t="s">
        <v>0</v>
      </c>
      <c r="I730" t="s">
        <v>1042</v>
      </c>
      <c r="J730" t="s">
        <v>993</v>
      </c>
      <c r="L730" t="s">
        <v>3</v>
      </c>
      <c r="M730" t="s">
        <v>4</v>
      </c>
      <c r="N730" s="3" t="str">
        <f t="shared" si="23"/>
        <v>F</v>
      </c>
      <c r="O730" s="3" t="str">
        <f>IF(_xlfn.IFNA(MATCH(B730,Table1[UID],0),"F")="F","F","T")</f>
        <v>T</v>
      </c>
    </row>
    <row r="731" spans="2:15" x14ac:dyDescent="0.25">
      <c r="B731" s="42" t="str">
        <f t="shared" si="24"/>
        <v>WW_26N_NU5/WASTEWATER</v>
      </c>
      <c r="C731" t="s">
        <v>2908</v>
      </c>
      <c r="D731" t="s">
        <v>2531</v>
      </c>
      <c r="E731" t="s">
        <v>3793</v>
      </c>
      <c r="F731">
        <v>443</v>
      </c>
      <c r="G731" t="s">
        <v>3794</v>
      </c>
      <c r="H731" t="s">
        <v>0</v>
      </c>
      <c r="I731" t="s">
        <v>1043</v>
      </c>
      <c r="J731" t="s">
        <v>993</v>
      </c>
      <c r="L731" t="s">
        <v>3</v>
      </c>
      <c r="M731" t="s">
        <v>4</v>
      </c>
      <c r="N731" s="3" t="str">
        <f t="shared" si="23"/>
        <v>F</v>
      </c>
      <c r="O731" s="3" t="str">
        <f>IF(_xlfn.IFNA(MATCH(B731,Table1[UID],0),"F")="F","F","T")</f>
        <v>T</v>
      </c>
    </row>
    <row r="732" spans="2:15" x14ac:dyDescent="0.25">
      <c r="B732" s="42" t="str">
        <f t="shared" si="24"/>
        <v>WW_26N_PU1/WASTEWATER</v>
      </c>
      <c r="C732" t="s">
        <v>2908</v>
      </c>
      <c r="D732" t="s">
        <v>2531</v>
      </c>
      <c r="E732" t="s">
        <v>3795</v>
      </c>
      <c r="F732">
        <v>444</v>
      </c>
      <c r="G732" t="s">
        <v>3796</v>
      </c>
      <c r="H732" t="s">
        <v>0</v>
      </c>
      <c r="I732" t="s">
        <v>1044</v>
      </c>
      <c r="J732" t="s">
        <v>993</v>
      </c>
      <c r="L732" t="s">
        <v>3</v>
      </c>
      <c r="M732" t="s">
        <v>4</v>
      </c>
      <c r="N732" s="3" t="str">
        <f t="shared" si="23"/>
        <v>F</v>
      </c>
      <c r="O732" s="3" t="str">
        <f>IF(_xlfn.IFNA(MATCH(B732,Table1[UID],0),"F")="F","F","T")</f>
        <v>T</v>
      </c>
    </row>
    <row r="733" spans="2:15" x14ac:dyDescent="0.25">
      <c r="B733" s="42" t="str">
        <f t="shared" si="24"/>
        <v>WW_26N_PU2/WASTEWATER</v>
      </c>
      <c r="C733" t="s">
        <v>2908</v>
      </c>
      <c r="D733" t="s">
        <v>2531</v>
      </c>
      <c r="E733" t="s">
        <v>3797</v>
      </c>
      <c r="F733">
        <v>445</v>
      </c>
      <c r="G733" t="s">
        <v>3798</v>
      </c>
      <c r="H733" t="s">
        <v>0</v>
      </c>
      <c r="I733" t="s">
        <v>1045</v>
      </c>
      <c r="J733" t="s">
        <v>993</v>
      </c>
      <c r="L733" t="s">
        <v>3</v>
      </c>
      <c r="M733" t="s">
        <v>4</v>
      </c>
      <c r="N733" s="3" t="str">
        <f t="shared" si="23"/>
        <v>F</v>
      </c>
      <c r="O733" s="3" t="str">
        <f>IF(_xlfn.IFNA(MATCH(B733,Table1[UID],0),"F")="F","F","T")</f>
        <v>T</v>
      </c>
    </row>
    <row r="734" spans="2:15" x14ac:dyDescent="0.25">
      <c r="B734" s="42" t="str">
        <f t="shared" si="24"/>
        <v>WW_26N_PU3/WASTEWATER</v>
      </c>
      <c r="C734" t="s">
        <v>2908</v>
      </c>
      <c r="D734" t="s">
        <v>2531</v>
      </c>
      <c r="E734" t="s">
        <v>3799</v>
      </c>
      <c r="F734">
        <v>446</v>
      </c>
      <c r="G734" t="s">
        <v>3800</v>
      </c>
      <c r="H734" t="s">
        <v>0</v>
      </c>
      <c r="I734" t="s">
        <v>1046</v>
      </c>
      <c r="J734" t="s">
        <v>993</v>
      </c>
      <c r="L734" t="s">
        <v>3</v>
      </c>
      <c r="M734" t="s">
        <v>4</v>
      </c>
      <c r="N734" s="3" t="str">
        <f t="shared" si="23"/>
        <v>F</v>
      </c>
      <c r="O734" s="3" t="str">
        <f>IF(_xlfn.IFNA(MATCH(B734,Table1[UID],0),"F")="F","F","T")</f>
        <v>T</v>
      </c>
    </row>
    <row r="735" spans="2:15" x14ac:dyDescent="0.25">
      <c r="B735" s="42" t="str">
        <f t="shared" si="24"/>
        <v>WW_26S_NU1/WASTEWATER</v>
      </c>
      <c r="C735" t="s">
        <v>2908</v>
      </c>
      <c r="D735" t="s">
        <v>2531</v>
      </c>
      <c r="E735" t="s">
        <v>3801</v>
      </c>
      <c r="F735">
        <v>447</v>
      </c>
      <c r="G735" t="s">
        <v>3802</v>
      </c>
      <c r="H735" t="s">
        <v>0</v>
      </c>
      <c r="I735" t="s">
        <v>1047</v>
      </c>
      <c r="J735" t="s">
        <v>993</v>
      </c>
      <c r="L735" t="s">
        <v>3</v>
      </c>
      <c r="M735" t="s">
        <v>4</v>
      </c>
      <c r="N735" s="3" t="str">
        <f t="shared" si="23"/>
        <v>F</v>
      </c>
      <c r="O735" s="3" t="str">
        <f>IF(_xlfn.IFNA(MATCH(B735,Table1[UID],0),"F")="F","F","T")</f>
        <v>T</v>
      </c>
    </row>
    <row r="736" spans="2:15" x14ac:dyDescent="0.25">
      <c r="B736" s="42" t="str">
        <f t="shared" si="24"/>
        <v>WW_26S_NU2/WASTEWATER</v>
      </c>
      <c r="C736" t="s">
        <v>2908</v>
      </c>
      <c r="D736" t="s">
        <v>2531</v>
      </c>
      <c r="E736" t="s">
        <v>3803</v>
      </c>
      <c r="F736">
        <v>448</v>
      </c>
      <c r="G736" t="s">
        <v>3804</v>
      </c>
      <c r="H736" t="s">
        <v>0</v>
      </c>
      <c r="I736" t="s">
        <v>1048</v>
      </c>
      <c r="J736" t="s">
        <v>993</v>
      </c>
      <c r="L736" t="s">
        <v>3</v>
      </c>
      <c r="M736" t="s">
        <v>4</v>
      </c>
      <c r="N736" s="3" t="str">
        <f t="shared" si="23"/>
        <v>F</v>
      </c>
      <c r="O736" s="3" t="str">
        <f>IF(_xlfn.IFNA(MATCH(B736,Table1[UID],0),"F")="F","F","T")</f>
        <v>T</v>
      </c>
    </row>
    <row r="737" spans="2:15" x14ac:dyDescent="0.25">
      <c r="B737" s="42" t="str">
        <f t="shared" si="24"/>
        <v>WW_26S_NU3/WASTEWATER</v>
      </c>
      <c r="C737" t="s">
        <v>2908</v>
      </c>
      <c r="D737" t="s">
        <v>2531</v>
      </c>
      <c r="E737" t="s">
        <v>3805</v>
      </c>
      <c r="F737">
        <v>449</v>
      </c>
      <c r="G737" t="s">
        <v>3806</v>
      </c>
      <c r="H737" t="s">
        <v>0</v>
      </c>
      <c r="I737" t="s">
        <v>1049</v>
      </c>
      <c r="J737" t="s">
        <v>993</v>
      </c>
      <c r="L737" t="s">
        <v>3</v>
      </c>
      <c r="M737" t="s">
        <v>4</v>
      </c>
      <c r="N737" s="3" t="str">
        <f t="shared" si="23"/>
        <v>F</v>
      </c>
      <c r="O737" s="3" t="str">
        <f>IF(_xlfn.IFNA(MATCH(B737,Table1[UID],0),"F")="F","F","T")</f>
        <v>T</v>
      </c>
    </row>
    <row r="738" spans="2:15" x14ac:dyDescent="0.25">
      <c r="B738" s="42" t="str">
        <f t="shared" si="24"/>
        <v>WW_26S_NU4/WASTEWATER</v>
      </c>
      <c r="C738" t="s">
        <v>2908</v>
      </c>
      <c r="D738" t="s">
        <v>2531</v>
      </c>
      <c r="E738" t="s">
        <v>3807</v>
      </c>
      <c r="F738">
        <v>450</v>
      </c>
      <c r="G738" t="s">
        <v>3808</v>
      </c>
      <c r="H738" t="s">
        <v>0</v>
      </c>
      <c r="I738" t="s">
        <v>1050</v>
      </c>
      <c r="J738" t="s">
        <v>993</v>
      </c>
      <c r="L738" t="s">
        <v>3</v>
      </c>
      <c r="M738" t="s">
        <v>4</v>
      </c>
      <c r="N738" s="3" t="str">
        <f t="shared" si="23"/>
        <v>F</v>
      </c>
      <c r="O738" s="3" t="str">
        <f>IF(_xlfn.IFNA(MATCH(B738,Table1[UID],0),"F")="F","F","T")</f>
        <v>T</v>
      </c>
    </row>
    <row r="739" spans="2:15" x14ac:dyDescent="0.25">
      <c r="B739" s="42" t="str">
        <f t="shared" si="24"/>
        <v>WW_26S_PU1/WASTEWATER</v>
      </c>
      <c r="C739" t="s">
        <v>2908</v>
      </c>
      <c r="D739" t="s">
        <v>2531</v>
      </c>
      <c r="E739" t="s">
        <v>3809</v>
      </c>
      <c r="F739">
        <v>451</v>
      </c>
      <c r="G739" t="s">
        <v>3810</v>
      </c>
      <c r="H739" t="s">
        <v>0</v>
      </c>
      <c r="I739" t="s">
        <v>1051</v>
      </c>
      <c r="J739" t="s">
        <v>993</v>
      </c>
      <c r="L739" t="s">
        <v>3</v>
      </c>
      <c r="M739" t="s">
        <v>4</v>
      </c>
      <c r="N739" s="3" t="str">
        <f t="shared" si="23"/>
        <v>F</v>
      </c>
      <c r="O739" s="3" t="str">
        <f>IF(_xlfn.IFNA(MATCH(B739,Table1[UID],0),"F")="F","F","T")</f>
        <v>T</v>
      </c>
    </row>
    <row r="740" spans="2:15" x14ac:dyDescent="0.25">
      <c r="B740" s="42" t="str">
        <f t="shared" si="24"/>
        <v>WW_26S_PU2/WASTEWATER</v>
      </c>
      <c r="C740" t="s">
        <v>2908</v>
      </c>
      <c r="D740" t="s">
        <v>2531</v>
      </c>
      <c r="E740" t="s">
        <v>3811</v>
      </c>
      <c r="F740">
        <v>452</v>
      </c>
      <c r="G740" t="s">
        <v>3812</v>
      </c>
      <c r="H740" t="s">
        <v>0</v>
      </c>
      <c r="I740" t="s">
        <v>1052</v>
      </c>
      <c r="J740" t="s">
        <v>993</v>
      </c>
      <c r="L740" t="s">
        <v>3</v>
      </c>
      <c r="M740" t="s">
        <v>4</v>
      </c>
      <c r="N740" s="3" t="str">
        <f t="shared" si="23"/>
        <v>F</v>
      </c>
      <c r="O740" s="3" t="str">
        <f>IF(_xlfn.IFNA(MATCH(B740,Table1[UID],0),"F")="F","F","T")</f>
        <v>T</v>
      </c>
    </row>
    <row r="741" spans="2:15" x14ac:dyDescent="0.25">
      <c r="B741" s="42" t="str">
        <f t="shared" si="24"/>
        <v>WW_26S_PU3/WASTEWATER</v>
      </c>
      <c r="C741" t="s">
        <v>2908</v>
      </c>
      <c r="D741" t="s">
        <v>2531</v>
      </c>
      <c r="E741" t="s">
        <v>3813</v>
      </c>
      <c r="F741">
        <v>453</v>
      </c>
      <c r="G741" t="s">
        <v>3814</v>
      </c>
      <c r="H741" t="s">
        <v>0</v>
      </c>
      <c r="I741" t="s">
        <v>1053</v>
      </c>
      <c r="J741" t="s">
        <v>993</v>
      </c>
      <c r="L741" t="s">
        <v>3</v>
      </c>
      <c r="M741" t="s">
        <v>4</v>
      </c>
      <c r="N741" s="3" t="str">
        <f t="shared" si="23"/>
        <v>F</v>
      </c>
      <c r="O741" s="3" t="str">
        <f>IF(_xlfn.IFNA(MATCH(B741,Table1[UID],0),"F")="F","F","T")</f>
        <v>T</v>
      </c>
    </row>
    <row r="742" spans="2:15" x14ac:dyDescent="0.25">
      <c r="B742" s="42" t="str">
        <f t="shared" si="24"/>
        <v>WW_26S_PU4/WASTEWATER</v>
      </c>
      <c r="C742" t="s">
        <v>2908</v>
      </c>
      <c r="D742" t="s">
        <v>2531</v>
      </c>
      <c r="E742" t="s">
        <v>3815</v>
      </c>
      <c r="F742">
        <v>454</v>
      </c>
      <c r="G742" t="s">
        <v>3816</v>
      </c>
      <c r="H742" t="s">
        <v>0</v>
      </c>
      <c r="I742" t="s">
        <v>1054</v>
      </c>
      <c r="J742" t="s">
        <v>993</v>
      </c>
      <c r="L742" t="s">
        <v>3</v>
      </c>
      <c r="M742" t="s">
        <v>4</v>
      </c>
      <c r="N742" s="3" t="str">
        <f t="shared" si="23"/>
        <v>F</v>
      </c>
      <c r="O742" s="3" t="str">
        <f>IF(_xlfn.IFNA(MATCH(B742,Table1[UID],0),"F")="F","F","T")</f>
        <v>T</v>
      </c>
    </row>
    <row r="743" spans="2:15" x14ac:dyDescent="0.25">
      <c r="B743" s="42" t="str">
        <f t="shared" si="24"/>
        <v>WW_26S_PU5/WASTEWATER</v>
      </c>
      <c r="C743" t="s">
        <v>2908</v>
      </c>
      <c r="D743" t="s">
        <v>2531</v>
      </c>
      <c r="E743" t="s">
        <v>3817</v>
      </c>
      <c r="F743">
        <v>455</v>
      </c>
      <c r="G743" t="s">
        <v>3818</v>
      </c>
      <c r="H743" t="s">
        <v>0</v>
      </c>
      <c r="I743" t="s">
        <v>1055</v>
      </c>
      <c r="J743" t="s">
        <v>993</v>
      </c>
      <c r="L743" t="s">
        <v>3</v>
      </c>
      <c r="M743" t="s">
        <v>4</v>
      </c>
      <c r="N743" s="3" t="str">
        <f t="shared" si="23"/>
        <v>F</v>
      </c>
      <c r="O743" s="3" t="str">
        <f>IF(_xlfn.IFNA(MATCH(B743,Table1[UID],0),"F")="F","F","T")</f>
        <v>T</v>
      </c>
    </row>
    <row r="744" spans="2:15" x14ac:dyDescent="0.25">
      <c r="B744" s="42" t="str">
        <f t="shared" si="24"/>
        <v>WW_26S_PU6/WASTEWATER</v>
      </c>
      <c r="C744" t="s">
        <v>2908</v>
      </c>
      <c r="D744" t="s">
        <v>2531</v>
      </c>
      <c r="E744" t="s">
        <v>3819</v>
      </c>
      <c r="F744">
        <v>456</v>
      </c>
      <c r="G744" t="s">
        <v>3820</v>
      </c>
      <c r="H744" t="s">
        <v>0</v>
      </c>
      <c r="I744" t="s">
        <v>1056</v>
      </c>
      <c r="J744" t="s">
        <v>993</v>
      </c>
      <c r="L744" t="s">
        <v>3</v>
      </c>
      <c r="M744" t="s">
        <v>4</v>
      </c>
      <c r="N744" s="3" t="str">
        <f t="shared" si="23"/>
        <v>F</v>
      </c>
      <c r="O744" s="3" t="str">
        <f>IF(_xlfn.IFNA(MATCH(B744,Table1[UID],0),"F")="F","F","T")</f>
        <v>T</v>
      </c>
    </row>
    <row r="745" spans="2:15" x14ac:dyDescent="0.25">
      <c r="B745" s="42" t="str">
        <f t="shared" si="24"/>
        <v>R_11_SA1/RETURN-FLOW</v>
      </c>
      <c r="C745" t="s">
        <v>3821</v>
      </c>
      <c r="D745" t="s">
        <v>3822</v>
      </c>
      <c r="E745" t="s">
        <v>3823</v>
      </c>
      <c r="F745">
        <v>1</v>
      </c>
      <c r="G745" t="s">
        <v>3824</v>
      </c>
      <c r="H745" t="s">
        <v>0</v>
      </c>
      <c r="I745" t="s">
        <v>689</v>
      </c>
      <c r="J745" t="s">
        <v>690</v>
      </c>
      <c r="L745" t="s">
        <v>3</v>
      </c>
      <c r="M745" t="s">
        <v>4</v>
      </c>
      <c r="N745" s="3" t="str">
        <f t="shared" si="23"/>
        <v>F</v>
      </c>
      <c r="O745" s="3" t="str">
        <f>IF(_xlfn.IFNA(MATCH(B745,Table1[UID],0),"F")="F","F","T")</f>
        <v>T</v>
      </c>
    </row>
    <row r="746" spans="2:15" x14ac:dyDescent="0.25">
      <c r="B746" s="42" t="str">
        <f t="shared" si="24"/>
        <v>R_11_SA2/RETURN-FLOW</v>
      </c>
      <c r="C746" t="s">
        <v>3821</v>
      </c>
      <c r="D746" t="s">
        <v>3822</v>
      </c>
      <c r="E746" t="s">
        <v>3825</v>
      </c>
      <c r="F746">
        <v>2</v>
      </c>
      <c r="G746" t="s">
        <v>3826</v>
      </c>
      <c r="H746" t="s">
        <v>0</v>
      </c>
      <c r="I746" t="s">
        <v>691</v>
      </c>
      <c r="J746" t="s">
        <v>690</v>
      </c>
      <c r="L746" t="s">
        <v>3</v>
      </c>
      <c r="M746" t="s">
        <v>4</v>
      </c>
      <c r="N746" s="3" t="str">
        <f t="shared" si="23"/>
        <v>F</v>
      </c>
      <c r="O746" s="3" t="str">
        <f>IF(_xlfn.IFNA(MATCH(B746,Table1[UID],0),"F")="F","F","T")</f>
        <v>T</v>
      </c>
    </row>
    <row r="747" spans="2:15" x14ac:dyDescent="0.25">
      <c r="B747" s="42" t="str">
        <f t="shared" si="24"/>
        <v>R_11_SA3/RETURN-FLOW</v>
      </c>
      <c r="C747" t="s">
        <v>3821</v>
      </c>
      <c r="D747" t="s">
        <v>3822</v>
      </c>
      <c r="E747" t="s">
        <v>3827</v>
      </c>
      <c r="F747">
        <v>3</v>
      </c>
      <c r="G747" t="s">
        <v>3828</v>
      </c>
      <c r="H747" t="s">
        <v>0</v>
      </c>
      <c r="I747" t="s">
        <v>692</v>
      </c>
      <c r="J747" t="s">
        <v>690</v>
      </c>
      <c r="L747" t="s">
        <v>3</v>
      </c>
      <c r="M747" t="s">
        <v>4</v>
      </c>
      <c r="N747" s="3" t="str">
        <f t="shared" si="23"/>
        <v>F</v>
      </c>
      <c r="O747" s="3" t="str">
        <f>IF(_xlfn.IFNA(MATCH(B747,Table1[UID],0),"F")="F","F","T")</f>
        <v>T</v>
      </c>
    </row>
    <row r="748" spans="2:15" x14ac:dyDescent="0.25">
      <c r="B748" s="42" t="str">
        <f t="shared" si="24"/>
        <v>R_11_SA4/RETURN-FLOW</v>
      </c>
      <c r="C748" t="s">
        <v>3821</v>
      </c>
      <c r="D748" t="s">
        <v>3822</v>
      </c>
      <c r="E748" t="s">
        <v>3829</v>
      </c>
      <c r="F748">
        <v>4</v>
      </c>
      <c r="G748" t="s">
        <v>3830</v>
      </c>
      <c r="H748" t="s">
        <v>0</v>
      </c>
      <c r="I748" t="s">
        <v>693</v>
      </c>
      <c r="J748" t="s">
        <v>690</v>
      </c>
      <c r="L748" t="s">
        <v>3</v>
      </c>
      <c r="M748" t="s">
        <v>4</v>
      </c>
      <c r="N748" s="3" t="str">
        <f t="shared" si="23"/>
        <v>F</v>
      </c>
      <c r="O748" s="3" t="str">
        <f>IF(_xlfn.IFNA(MATCH(B748,Table1[UID],0),"F")="F","F","T")</f>
        <v>T</v>
      </c>
    </row>
    <row r="749" spans="2:15" x14ac:dyDescent="0.25">
      <c r="B749" s="42" t="str">
        <f t="shared" si="24"/>
        <v>CT_GRAVELLYFORD_SV/CLOSURE-TERM</v>
      </c>
      <c r="C749" t="s">
        <v>3831</v>
      </c>
      <c r="D749" t="s">
        <v>3832</v>
      </c>
      <c r="E749" t="s">
        <v>3833</v>
      </c>
      <c r="F749">
        <v>1</v>
      </c>
      <c r="G749" t="s">
        <v>3833</v>
      </c>
      <c r="H749" t="s">
        <v>0</v>
      </c>
      <c r="I749" t="s">
        <v>1160</v>
      </c>
      <c r="J749" t="s">
        <v>1149</v>
      </c>
      <c r="L749" t="s">
        <v>3</v>
      </c>
      <c r="M749" t="s">
        <v>4</v>
      </c>
      <c r="N749" s="3" t="str">
        <f t="shared" si="23"/>
        <v>F</v>
      </c>
      <c r="O749" s="3" t="str">
        <f>IF(_xlfn.IFNA(MATCH(B749,Table1[UID],0),"F")="F","F","T")</f>
        <v>T</v>
      </c>
    </row>
    <row r="750" spans="2:15" x14ac:dyDescent="0.25">
      <c r="B750" s="42" t="str">
        <f t="shared" si="24"/>
        <v>CT_MERCED_SV/CLOSURE-TERM</v>
      </c>
      <c r="C750" t="s">
        <v>3831</v>
      </c>
      <c r="D750" t="s">
        <v>3832</v>
      </c>
      <c r="E750" t="s">
        <v>3834</v>
      </c>
      <c r="F750">
        <v>2</v>
      </c>
      <c r="G750" t="s">
        <v>3834</v>
      </c>
      <c r="H750" t="s">
        <v>0</v>
      </c>
      <c r="I750" t="s">
        <v>1161</v>
      </c>
      <c r="J750" t="s">
        <v>1149</v>
      </c>
      <c r="L750" t="s">
        <v>3</v>
      </c>
      <c r="M750" t="s">
        <v>4</v>
      </c>
      <c r="N750" s="3" t="str">
        <f t="shared" si="23"/>
        <v>F</v>
      </c>
      <c r="O750" s="3" t="str">
        <f>IF(_xlfn.IFNA(MATCH(B750,Table1[UID],0),"F")="F","F","T")</f>
        <v>T</v>
      </c>
    </row>
    <row r="751" spans="2:15" x14ac:dyDescent="0.25">
      <c r="B751" s="42" t="str">
        <f t="shared" si="24"/>
        <v>CT_MODESTO_SV/CLOSURE-TERM</v>
      </c>
      <c r="C751" t="s">
        <v>3831</v>
      </c>
      <c r="D751" t="s">
        <v>3832</v>
      </c>
      <c r="E751" t="s">
        <v>3835</v>
      </c>
      <c r="F751">
        <v>3</v>
      </c>
      <c r="G751" t="s">
        <v>3835</v>
      </c>
      <c r="H751" t="s">
        <v>0</v>
      </c>
      <c r="I751" t="s">
        <v>1162</v>
      </c>
      <c r="J751" t="s">
        <v>1149</v>
      </c>
      <c r="L751" t="s">
        <v>3</v>
      </c>
      <c r="M751" t="s">
        <v>4</v>
      </c>
      <c r="N751" s="3" t="str">
        <f t="shared" si="23"/>
        <v>F</v>
      </c>
      <c r="O751" s="3" t="str">
        <f>IF(_xlfn.IFNA(MATCH(B751,Table1[UID],0),"F")="F","F","T")</f>
        <v>T</v>
      </c>
    </row>
    <row r="752" spans="2:15" x14ac:dyDescent="0.25">
      <c r="B752" s="42" t="str">
        <f t="shared" si="24"/>
        <v>CT_MUDSLOUGH_SV/CLOSURE-TERM</v>
      </c>
      <c r="C752" t="s">
        <v>3831</v>
      </c>
      <c r="D752" t="s">
        <v>3832</v>
      </c>
      <c r="E752" t="s">
        <v>3836</v>
      </c>
      <c r="F752">
        <v>4</v>
      </c>
      <c r="G752" t="s">
        <v>3836</v>
      </c>
      <c r="H752" t="s">
        <v>0</v>
      </c>
      <c r="I752" t="s">
        <v>1163</v>
      </c>
      <c r="J752" t="s">
        <v>1149</v>
      </c>
      <c r="L752" t="s">
        <v>3</v>
      </c>
      <c r="M752" t="s">
        <v>4</v>
      </c>
      <c r="N752" s="3" t="str">
        <f t="shared" si="23"/>
        <v>F</v>
      </c>
      <c r="O752" s="3" t="str">
        <f>IF(_xlfn.IFNA(MATCH(B752,Table1[UID],0),"F")="F","F","T")</f>
        <v>T</v>
      </c>
    </row>
    <row r="753" spans="2:15" x14ac:dyDescent="0.25">
      <c r="B753" s="42" t="str">
        <f t="shared" si="24"/>
        <v>CT_RIPON_SV/CLOSURE-TERM</v>
      </c>
      <c r="C753" t="s">
        <v>3831</v>
      </c>
      <c r="D753" t="s">
        <v>3832</v>
      </c>
      <c r="E753" t="s">
        <v>3837</v>
      </c>
      <c r="F753">
        <v>5</v>
      </c>
      <c r="G753" t="s">
        <v>3837</v>
      </c>
      <c r="H753" t="s">
        <v>0</v>
      </c>
      <c r="I753" t="s">
        <v>1168</v>
      </c>
      <c r="J753" t="s">
        <v>1149</v>
      </c>
      <c r="L753" t="s">
        <v>3</v>
      </c>
      <c r="M753" t="s">
        <v>4</v>
      </c>
      <c r="N753" s="3" t="str">
        <f t="shared" si="23"/>
        <v>F</v>
      </c>
      <c r="O753" s="3" t="str">
        <f>IF(_xlfn.IFNA(MATCH(B753,Table1[UID],0),"F")="F","F","T")</f>
        <v>T</v>
      </c>
    </row>
    <row r="754" spans="2:15" x14ac:dyDescent="0.25">
      <c r="B754" s="42" t="str">
        <f t="shared" si="24"/>
        <v>CT_SALTSLOUGH_SV/CLOSURE-TERM</v>
      </c>
      <c r="C754" t="s">
        <v>3831</v>
      </c>
      <c r="D754" t="s">
        <v>3832</v>
      </c>
      <c r="E754" t="s">
        <v>3838</v>
      </c>
      <c r="F754">
        <v>6</v>
      </c>
      <c r="G754" t="s">
        <v>3838</v>
      </c>
      <c r="H754" t="s">
        <v>0</v>
      </c>
      <c r="I754" t="s">
        <v>1171</v>
      </c>
      <c r="J754" t="s">
        <v>1149</v>
      </c>
      <c r="L754" t="s">
        <v>3</v>
      </c>
      <c r="M754" t="s">
        <v>4</v>
      </c>
      <c r="N754" s="3" t="str">
        <f t="shared" si="23"/>
        <v>F</v>
      </c>
      <c r="O754" s="3" t="str">
        <f>IF(_xlfn.IFNA(MATCH(B754,Table1[UID],0),"F")="F","F","T")</f>
        <v>T</v>
      </c>
    </row>
    <row r="755" spans="2:15" x14ac:dyDescent="0.25">
      <c r="B755" s="42" t="str">
        <f t="shared" si="24"/>
        <v>CT_STEVINSON_SV/CLOSURE-TERM</v>
      </c>
      <c r="C755" t="s">
        <v>3831</v>
      </c>
      <c r="D755" t="s">
        <v>3832</v>
      </c>
      <c r="E755" t="s">
        <v>3839</v>
      </c>
      <c r="F755">
        <v>7</v>
      </c>
      <c r="G755" t="s">
        <v>3839</v>
      </c>
      <c r="H755" t="s">
        <v>0</v>
      </c>
      <c r="I755" t="s">
        <v>1174</v>
      </c>
      <c r="J755" t="s">
        <v>1149</v>
      </c>
      <c r="L755" t="s">
        <v>3</v>
      </c>
      <c r="M755" t="s">
        <v>4</v>
      </c>
      <c r="N755" s="3" t="str">
        <f t="shared" si="23"/>
        <v>F</v>
      </c>
      <c r="O755" s="3" t="str">
        <f>IF(_xlfn.IFNA(MATCH(B755,Table1[UID],0),"F")="F","F","T")</f>
        <v>T</v>
      </c>
    </row>
    <row r="756" spans="2:15" x14ac:dyDescent="0.25">
      <c r="B756" s="42" t="str">
        <f t="shared" si="24"/>
        <v>CT_VERNALIS_SV/CLOSURE-TERM</v>
      </c>
      <c r="C756" t="s">
        <v>3831</v>
      </c>
      <c r="D756" t="s">
        <v>3832</v>
      </c>
      <c r="E756" t="s">
        <v>3840</v>
      </c>
      <c r="F756">
        <v>8</v>
      </c>
      <c r="G756" t="s">
        <v>3840</v>
      </c>
      <c r="H756" t="s">
        <v>0</v>
      </c>
      <c r="I756" t="s">
        <v>1175</v>
      </c>
      <c r="J756" t="s">
        <v>1149</v>
      </c>
      <c r="L756" t="s">
        <v>3</v>
      </c>
      <c r="M756" t="s">
        <v>4</v>
      </c>
      <c r="N756" s="3" t="str">
        <f t="shared" si="23"/>
        <v>F</v>
      </c>
      <c r="O756" s="3" t="str">
        <f>IF(_xlfn.IFNA(MATCH(B756,Table1[UID],0),"F")="F","F","T")</f>
        <v>T</v>
      </c>
    </row>
    <row r="757" spans="2:15" x14ac:dyDescent="0.25">
      <c r="B757" s="42" t="str">
        <f t="shared" si="24"/>
        <v>CT_BENDBRIDGE_SV/CLOSURE-TERM</v>
      </c>
      <c r="C757" t="s">
        <v>3841</v>
      </c>
      <c r="D757" t="s">
        <v>3842</v>
      </c>
      <c r="E757" t="s">
        <v>3843</v>
      </c>
      <c r="F757">
        <v>1</v>
      </c>
      <c r="G757" t="s">
        <v>3843</v>
      </c>
      <c r="H757" t="s">
        <v>0</v>
      </c>
      <c r="I757" t="s">
        <v>1148</v>
      </c>
      <c r="J757" t="s">
        <v>1149</v>
      </c>
      <c r="L757" t="s">
        <v>3</v>
      </c>
      <c r="M757" t="s">
        <v>4</v>
      </c>
      <c r="N757" s="3" t="str">
        <f t="shared" si="23"/>
        <v>F</v>
      </c>
      <c r="O757" s="3" t="str">
        <f>IF(_xlfn.IFNA(MATCH(B757,Table1[UID],0),"F")="F","F","T")</f>
        <v>T</v>
      </c>
    </row>
    <row r="758" spans="2:15" x14ac:dyDescent="0.25">
      <c r="B758" s="42" t="str">
        <f t="shared" si="24"/>
        <v>CT_BUTTECITY_SV/CLOSURE-TERM</v>
      </c>
      <c r="C758" t="s">
        <v>3841</v>
      </c>
      <c r="D758" t="s">
        <v>3842</v>
      </c>
      <c r="E758" t="s">
        <v>3844</v>
      </c>
      <c r="F758">
        <v>2</v>
      </c>
      <c r="G758" t="s">
        <v>3844</v>
      </c>
      <c r="H758" t="s">
        <v>0</v>
      </c>
      <c r="I758" t="s">
        <v>1152</v>
      </c>
      <c r="J758" t="s">
        <v>1149</v>
      </c>
      <c r="L758" t="s">
        <v>3</v>
      </c>
      <c r="M758" t="s">
        <v>4</v>
      </c>
      <c r="N758" s="3" t="str">
        <f t="shared" si="23"/>
        <v>F</v>
      </c>
      <c r="O758" s="3" t="str">
        <f>IF(_xlfn.IFNA(MATCH(B758,Table1[UID],0),"F")="F","F","T")</f>
        <v>T</v>
      </c>
    </row>
    <row r="759" spans="2:15" x14ac:dyDescent="0.25">
      <c r="B759" s="42" t="str">
        <f t="shared" si="24"/>
        <v>CT_COLUSA_SV/CLOSURE-TERM</v>
      </c>
      <c r="C759" t="s">
        <v>3841</v>
      </c>
      <c r="D759" t="s">
        <v>3842</v>
      </c>
      <c r="E759" t="s">
        <v>3845</v>
      </c>
      <c r="F759">
        <v>3</v>
      </c>
      <c r="G759" t="s">
        <v>3845</v>
      </c>
      <c r="H759" t="s">
        <v>0</v>
      </c>
      <c r="I759" t="s">
        <v>1153</v>
      </c>
      <c r="J759" t="s">
        <v>1149</v>
      </c>
      <c r="L759" t="s">
        <v>3</v>
      </c>
      <c r="M759" t="s">
        <v>4</v>
      </c>
      <c r="N759" s="3" t="str">
        <f t="shared" si="23"/>
        <v>F</v>
      </c>
      <c r="O759" s="3" t="str">
        <f>IF(_xlfn.IFNA(MATCH(B759,Table1[UID],0),"F")="F","F","T")</f>
        <v>T</v>
      </c>
    </row>
    <row r="760" spans="2:15" x14ac:dyDescent="0.25">
      <c r="B760" s="42" t="str">
        <f t="shared" si="24"/>
        <v>CT_DAVIS_SV/CLOSURE-TERM</v>
      </c>
      <c r="C760" t="s">
        <v>3841</v>
      </c>
      <c r="D760" t="s">
        <v>3842</v>
      </c>
      <c r="E760" t="s">
        <v>3846</v>
      </c>
      <c r="F760">
        <v>4</v>
      </c>
      <c r="G760" t="s">
        <v>3846</v>
      </c>
      <c r="H760" t="s">
        <v>0</v>
      </c>
      <c r="I760" t="s">
        <v>1155</v>
      </c>
      <c r="J760" t="s">
        <v>1149</v>
      </c>
      <c r="L760" t="s">
        <v>3</v>
      </c>
      <c r="M760" t="s">
        <v>4</v>
      </c>
      <c r="N760" s="3" t="str">
        <f t="shared" si="23"/>
        <v>F</v>
      </c>
      <c r="O760" s="3" t="str">
        <f>IF(_xlfn.IFNA(MATCH(B760,Table1[UID],0),"F")="F","F","T")</f>
        <v>T</v>
      </c>
    </row>
    <row r="761" spans="2:15" x14ac:dyDescent="0.25">
      <c r="B761" s="42" t="str">
        <f t="shared" si="24"/>
        <v>CT_FAIROAKS_SV/CLOSURE-TERM</v>
      </c>
      <c r="C761" t="s">
        <v>3841</v>
      </c>
      <c r="D761" t="s">
        <v>3842</v>
      </c>
      <c r="E761" t="s">
        <v>3847</v>
      </c>
      <c r="F761">
        <v>5</v>
      </c>
      <c r="G761" t="s">
        <v>3847</v>
      </c>
      <c r="H761" t="s">
        <v>0</v>
      </c>
      <c r="I761" t="s">
        <v>1156</v>
      </c>
      <c r="J761" t="s">
        <v>1149</v>
      </c>
      <c r="L761" t="s">
        <v>3</v>
      </c>
      <c r="M761" t="s">
        <v>4</v>
      </c>
      <c r="N761" s="3" t="str">
        <f t="shared" si="23"/>
        <v>F</v>
      </c>
      <c r="O761" s="3" t="str">
        <f>IF(_xlfn.IFNA(MATCH(B761,Table1[UID],0),"F")="F","F","T")</f>
        <v>T</v>
      </c>
    </row>
    <row r="762" spans="2:15" x14ac:dyDescent="0.25">
      <c r="B762" s="42" t="str">
        <f t="shared" si="24"/>
        <v>CT_FREEPORT_SV/CLOSURE-TERM</v>
      </c>
      <c r="C762" t="s">
        <v>3841</v>
      </c>
      <c r="D762" t="s">
        <v>3842</v>
      </c>
      <c r="E762" t="s">
        <v>3848</v>
      </c>
      <c r="F762">
        <v>6</v>
      </c>
      <c r="G762" t="s">
        <v>3848</v>
      </c>
      <c r="H762" t="s">
        <v>0</v>
      </c>
      <c r="I762" t="s">
        <v>1158</v>
      </c>
      <c r="J762" t="s">
        <v>1149</v>
      </c>
      <c r="L762" t="s">
        <v>3</v>
      </c>
      <c r="M762" t="s">
        <v>4</v>
      </c>
      <c r="N762" s="3" t="str">
        <f t="shared" si="23"/>
        <v>F</v>
      </c>
      <c r="O762" s="3" t="str">
        <f>IF(_xlfn.IFNA(MATCH(B762,Table1[UID],0),"F")="F","F","T")</f>
        <v>T</v>
      </c>
    </row>
    <row r="763" spans="2:15" x14ac:dyDescent="0.25">
      <c r="B763" s="42" t="str">
        <f t="shared" si="24"/>
        <v>CT_NICOLAUS_SV/CLOSURE-TERM</v>
      </c>
      <c r="C763" t="s">
        <v>3841</v>
      </c>
      <c r="D763" t="s">
        <v>3842</v>
      </c>
      <c r="E763" t="s">
        <v>3849</v>
      </c>
      <c r="F763">
        <v>7</v>
      </c>
      <c r="G763" t="s">
        <v>3849</v>
      </c>
      <c r="H763" t="s">
        <v>0</v>
      </c>
      <c r="I763" t="s">
        <v>1164</v>
      </c>
      <c r="J763" t="s">
        <v>1149</v>
      </c>
      <c r="L763" t="s">
        <v>3</v>
      </c>
      <c r="M763" t="s">
        <v>4</v>
      </c>
      <c r="N763" s="3" t="str">
        <f t="shared" si="23"/>
        <v>F</v>
      </c>
      <c r="O763" s="3" t="str">
        <f>IF(_xlfn.IFNA(MATCH(B763,Table1[UID],0),"F")="F","F","T")</f>
        <v>T</v>
      </c>
    </row>
    <row r="764" spans="2:15" x14ac:dyDescent="0.25">
      <c r="B764" s="42" t="str">
        <f t="shared" si="24"/>
        <v>CT_OROVILLE_SV/CLOSURE-TERM</v>
      </c>
      <c r="C764" t="s">
        <v>3841</v>
      </c>
      <c r="D764" t="s">
        <v>3842</v>
      </c>
      <c r="E764" t="s">
        <v>3850</v>
      </c>
      <c r="F764">
        <v>8</v>
      </c>
      <c r="G764" t="s">
        <v>3850</v>
      </c>
      <c r="H764" t="s">
        <v>0</v>
      </c>
      <c r="I764" t="s">
        <v>1165</v>
      </c>
      <c r="J764" t="s">
        <v>1149</v>
      </c>
      <c r="L764" t="s">
        <v>3</v>
      </c>
      <c r="M764" t="s">
        <v>4</v>
      </c>
      <c r="N764" s="3" t="str">
        <f t="shared" si="23"/>
        <v>F</v>
      </c>
      <c r="O764" s="3" t="str">
        <f>IF(_xlfn.IFNA(MATCH(B764,Table1[UID],0),"F")="F","F","T")</f>
        <v>T</v>
      </c>
    </row>
    <row r="765" spans="2:15" x14ac:dyDescent="0.25">
      <c r="B765" s="42" t="str">
        <f t="shared" si="24"/>
        <v>CT_SACSLOUGH_SV/CLOSURE-TERM</v>
      </c>
      <c r="C765" t="s">
        <v>3841</v>
      </c>
      <c r="D765" t="s">
        <v>3842</v>
      </c>
      <c r="E765" t="s">
        <v>3851</v>
      </c>
      <c r="F765">
        <v>9</v>
      </c>
      <c r="G765" t="s">
        <v>3851</v>
      </c>
      <c r="H765" t="s">
        <v>0</v>
      </c>
      <c r="I765" t="s">
        <v>1169</v>
      </c>
      <c r="J765" t="s">
        <v>1149</v>
      </c>
      <c r="L765" t="s">
        <v>3</v>
      </c>
      <c r="M765" t="s">
        <v>4</v>
      </c>
      <c r="N765" s="3" t="str">
        <f t="shared" si="23"/>
        <v>F</v>
      </c>
      <c r="O765" s="3" t="str">
        <f>IF(_xlfn.IFNA(MATCH(B765,Table1[UID],0),"F")="F","F","T")</f>
        <v>T</v>
      </c>
    </row>
    <row r="766" spans="2:15" x14ac:dyDescent="0.25">
      <c r="B766" s="42" t="str">
        <f t="shared" si="24"/>
        <v>CT_SMARTVILLE_SV/CLOSURE-TERM</v>
      </c>
      <c r="C766" t="s">
        <v>3841</v>
      </c>
      <c r="D766" t="s">
        <v>3842</v>
      </c>
      <c r="E766" t="s">
        <v>3852</v>
      </c>
      <c r="F766">
        <v>10</v>
      </c>
      <c r="G766" t="s">
        <v>3852</v>
      </c>
      <c r="H766" t="s">
        <v>0</v>
      </c>
      <c r="I766" t="s">
        <v>1173</v>
      </c>
      <c r="J766" t="s">
        <v>1149</v>
      </c>
      <c r="L766" t="s">
        <v>3</v>
      </c>
      <c r="M766" t="s">
        <v>4</v>
      </c>
      <c r="N766" s="3" t="str">
        <f t="shared" si="23"/>
        <v>F</v>
      </c>
      <c r="O766" s="3" t="str">
        <f>IF(_xlfn.IFNA(MATCH(B766,Table1[UID],0),"F")="F","F","T")</f>
        <v>T</v>
      </c>
    </row>
    <row r="767" spans="2:15" x14ac:dyDescent="0.25">
      <c r="B767" s="42" t="str">
        <f t="shared" si="24"/>
        <v>CT_VERONA_SV/CLOSURE-TERM</v>
      </c>
      <c r="C767" t="s">
        <v>3841</v>
      </c>
      <c r="D767" t="s">
        <v>3842</v>
      </c>
      <c r="E767" t="s">
        <v>3853</v>
      </c>
      <c r="F767">
        <v>11</v>
      </c>
      <c r="G767" t="s">
        <v>3853</v>
      </c>
      <c r="H767" t="s">
        <v>0</v>
      </c>
      <c r="I767" t="s">
        <v>1176</v>
      </c>
      <c r="J767" t="s">
        <v>1149</v>
      </c>
      <c r="L767" t="s">
        <v>3</v>
      </c>
      <c r="M767" t="s">
        <v>4</v>
      </c>
      <c r="N767" s="3" t="str">
        <f t="shared" si="23"/>
        <v>F</v>
      </c>
      <c r="O767" s="3" t="str">
        <f>IF(_xlfn.IFNA(MATCH(B767,Table1[UID],0),"F")="F","F","T")</f>
        <v>T</v>
      </c>
    </row>
    <row r="768" spans="2:15" x14ac:dyDescent="0.25">
      <c r="B768" s="42" t="str">
        <f t="shared" si="24"/>
        <v>CT_WHEATLAND_SV/CLOSURE-TERM</v>
      </c>
      <c r="C768" t="s">
        <v>3841</v>
      </c>
      <c r="D768" t="s">
        <v>3842</v>
      </c>
      <c r="E768" t="s">
        <v>3854</v>
      </c>
      <c r="F768">
        <v>12</v>
      </c>
      <c r="G768" t="s">
        <v>3854</v>
      </c>
      <c r="H768" t="s">
        <v>0</v>
      </c>
      <c r="I768" t="s">
        <v>1177</v>
      </c>
      <c r="J768" t="s">
        <v>1149</v>
      </c>
      <c r="L768" t="s">
        <v>3</v>
      </c>
      <c r="M768" t="s">
        <v>4</v>
      </c>
      <c r="N768" s="3" t="str">
        <f t="shared" si="23"/>
        <v>F</v>
      </c>
      <c r="O768" s="3" t="str">
        <f>IF(_xlfn.IFNA(MATCH(B768,Table1[UID],0),"F")="F","F","T")</f>
        <v>T</v>
      </c>
    </row>
    <row r="769" spans="2:15" x14ac:dyDescent="0.25">
      <c r="B769" s="42" t="str">
        <f t="shared" si="24"/>
        <v>CT_WILKINSSL_SV/CLOSURE-TERM</v>
      </c>
      <c r="C769" t="s">
        <v>3841</v>
      </c>
      <c r="D769" t="s">
        <v>3842</v>
      </c>
      <c r="E769" t="s">
        <v>3855</v>
      </c>
      <c r="F769">
        <v>13</v>
      </c>
      <c r="G769" t="s">
        <v>3855</v>
      </c>
      <c r="H769" t="s">
        <v>0</v>
      </c>
      <c r="I769" t="s">
        <v>1178</v>
      </c>
      <c r="J769" t="s">
        <v>1149</v>
      </c>
      <c r="L769" t="s">
        <v>3</v>
      </c>
      <c r="M769" t="s">
        <v>4</v>
      </c>
      <c r="N769" s="3" t="str">
        <f t="shared" si="23"/>
        <v>F</v>
      </c>
      <c r="O769" s="3" t="str">
        <f>IF(_xlfn.IFNA(MATCH(B769,Table1[UID],0),"F")="F","F","T")</f>
        <v>T</v>
      </c>
    </row>
    <row r="770" spans="2:15" x14ac:dyDescent="0.25">
      <c r="B770" s="42" t="str">
        <f t="shared" si="24"/>
        <v>CT_WOODLAND_SV/CLOSURE-TERM</v>
      </c>
      <c r="C770" t="s">
        <v>3841</v>
      </c>
      <c r="D770" t="s">
        <v>3842</v>
      </c>
      <c r="E770" t="s">
        <v>3856</v>
      </c>
      <c r="F770">
        <v>14</v>
      </c>
      <c r="G770" t="s">
        <v>3856</v>
      </c>
      <c r="H770" t="s">
        <v>0</v>
      </c>
      <c r="I770" t="s">
        <v>1179</v>
      </c>
      <c r="J770" t="s">
        <v>1149</v>
      </c>
      <c r="L770" t="s">
        <v>3</v>
      </c>
      <c r="M770" t="s">
        <v>4</v>
      </c>
      <c r="N770" s="3" t="str">
        <f t="shared" si="23"/>
        <v>F</v>
      </c>
      <c r="O770" s="3" t="str">
        <f>IF(_xlfn.IFNA(MATCH(B770,Table1[UID],0),"F")="F","F","T")</f>
        <v>T</v>
      </c>
    </row>
    <row r="771" spans="2:15" x14ac:dyDescent="0.25">
      <c r="B771" s="42" t="str">
        <f t="shared" si="24"/>
        <v>CT_YOLO_SV/CLOSURE-TERM</v>
      </c>
      <c r="C771" t="s">
        <v>3841</v>
      </c>
      <c r="D771" t="s">
        <v>3842</v>
      </c>
      <c r="E771" t="s">
        <v>3857</v>
      </c>
      <c r="F771">
        <v>15</v>
      </c>
      <c r="G771" t="s">
        <v>3857</v>
      </c>
      <c r="H771" t="s">
        <v>0</v>
      </c>
      <c r="I771" t="s">
        <v>1180</v>
      </c>
      <c r="J771" t="s">
        <v>1149</v>
      </c>
      <c r="L771" t="s">
        <v>3</v>
      </c>
      <c r="M771" t="s">
        <v>4</v>
      </c>
      <c r="N771" s="3" t="str">
        <f t="shared" ref="N771:N834" si="25">IF(COUNTIF($B$3:$B$1760,"="&amp;B771)&gt;1,"T","F")</f>
        <v>F</v>
      </c>
      <c r="O771" s="3" t="str">
        <f>IF(_xlfn.IFNA(MATCH(B771,Table1[UID],0),"F")="F","F","T")</f>
        <v>T</v>
      </c>
    </row>
    <row r="772" spans="2:15" x14ac:dyDescent="0.25">
      <c r="B772" s="42" t="str">
        <f t="shared" si="24"/>
        <v>GW1_N2/BUGW-INFLOW</v>
      </c>
      <c r="C772" t="s">
        <v>3858</v>
      </c>
      <c r="D772" t="s">
        <v>3859</v>
      </c>
      <c r="E772" t="s">
        <v>3860</v>
      </c>
      <c r="F772">
        <v>1</v>
      </c>
      <c r="G772" t="s">
        <v>3861</v>
      </c>
      <c r="H772" t="s">
        <v>0</v>
      </c>
      <c r="I772" t="s">
        <v>161</v>
      </c>
      <c r="J772" t="s">
        <v>72</v>
      </c>
      <c r="L772" t="s">
        <v>3</v>
      </c>
      <c r="M772" t="s">
        <v>4</v>
      </c>
      <c r="N772" s="3" t="str">
        <f t="shared" si="25"/>
        <v>F</v>
      </c>
      <c r="O772" s="3" t="str">
        <f>IF(_xlfn.IFNA(MATCH(B772,Table1[UID],0),"F")="F","F","T")</f>
        <v>T</v>
      </c>
    </row>
    <row r="773" spans="2:15" x14ac:dyDescent="0.25">
      <c r="B773" s="42" t="str">
        <f t="shared" si="24"/>
        <v>GW1_N3/BUGW-INFLOW</v>
      </c>
      <c r="C773" t="s">
        <v>3858</v>
      </c>
      <c r="D773" t="s">
        <v>3859</v>
      </c>
      <c r="E773" t="s">
        <v>3862</v>
      </c>
      <c r="F773">
        <v>2</v>
      </c>
      <c r="G773" t="s">
        <v>3863</v>
      </c>
      <c r="H773" t="s">
        <v>0</v>
      </c>
      <c r="I773" t="s">
        <v>185</v>
      </c>
      <c r="J773" t="s">
        <v>72</v>
      </c>
      <c r="L773" t="s">
        <v>3</v>
      </c>
      <c r="M773" t="s">
        <v>4</v>
      </c>
      <c r="N773" s="3" t="str">
        <f t="shared" si="25"/>
        <v>F</v>
      </c>
      <c r="O773" s="3" t="str">
        <f>IF(_xlfn.IFNA(MATCH(B773,Table1[UID],0),"F")="F","F","T")</f>
        <v>T</v>
      </c>
    </row>
    <row r="774" spans="2:15" x14ac:dyDescent="0.25">
      <c r="B774" s="42" t="str">
        <f t="shared" si="24"/>
        <v>GW1_N8/BUGW-INFLOW</v>
      </c>
      <c r="C774" t="s">
        <v>3858</v>
      </c>
      <c r="D774" t="s">
        <v>3859</v>
      </c>
      <c r="E774" t="s">
        <v>3864</v>
      </c>
      <c r="F774">
        <v>3</v>
      </c>
      <c r="G774" t="s">
        <v>3865</v>
      </c>
      <c r="H774" t="s">
        <v>0</v>
      </c>
      <c r="I774" t="s">
        <v>254</v>
      </c>
      <c r="J774" t="s">
        <v>72</v>
      </c>
      <c r="L774" t="s">
        <v>3</v>
      </c>
      <c r="M774" t="s">
        <v>4</v>
      </c>
      <c r="N774" s="3" t="str">
        <f t="shared" si="25"/>
        <v>F</v>
      </c>
      <c r="O774" s="3" t="str">
        <f>IF(_xlfn.IFNA(MATCH(B774,Table1[UID],0),"F")="F","F","T")</f>
        <v>T</v>
      </c>
    </row>
    <row r="775" spans="2:15" x14ac:dyDescent="0.25">
      <c r="B775" s="42" t="str">
        <f t="shared" si="24"/>
        <v>GW1_N13/BUGW-INFLOW</v>
      </c>
      <c r="C775" t="s">
        <v>3858</v>
      </c>
      <c r="D775" t="s">
        <v>3859</v>
      </c>
      <c r="E775" t="s">
        <v>3866</v>
      </c>
      <c r="F775">
        <v>4</v>
      </c>
      <c r="G775" t="s">
        <v>3867</v>
      </c>
      <c r="H775" t="s">
        <v>0</v>
      </c>
      <c r="I775" t="s">
        <v>124</v>
      </c>
      <c r="J775" t="s">
        <v>72</v>
      </c>
      <c r="L775" t="s">
        <v>3</v>
      </c>
      <c r="M775" t="s">
        <v>4</v>
      </c>
      <c r="N775" s="3" t="str">
        <f t="shared" si="25"/>
        <v>F</v>
      </c>
      <c r="O775" s="3" t="str">
        <f>IF(_xlfn.IFNA(MATCH(B775,Table1[UID],0),"F")="F","F","T")</f>
        <v>T</v>
      </c>
    </row>
    <row r="776" spans="2:15" x14ac:dyDescent="0.25">
      <c r="B776" s="42" t="str">
        <f t="shared" si="24"/>
        <v>GW1_N14/BUGW-INFLOW</v>
      </c>
      <c r="C776" t="s">
        <v>3858</v>
      </c>
      <c r="D776" t="s">
        <v>3859</v>
      </c>
      <c r="E776" t="s">
        <v>3868</v>
      </c>
      <c r="F776">
        <v>5</v>
      </c>
      <c r="G776" t="s">
        <v>3869</v>
      </c>
      <c r="H776" t="s">
        <v>0</v>
      </c>
      <c r="I776" t="s">
        <v>147</v>
      </c>
      <c r="J776" t="s">
        <v>72</v>
      </c>
      <c r="L776" t="s">
        <v>3</v>
      </c>
      <c r="M776" t="s">
        <v>4</v>
      </c>
      <c r="N776" s="3" t="str">
        <f t="shared" si="25"/>
        <v>F</v>
      </c>
      <c r="O776" s="3" t="str">
        <f>IF(_xlfn.IFNA(MATCH(B776,Table1[UID],0),"F")="F","F","T")</f>
        <v>T</v>
      </c>
    </row>
    <row r="777" spans="2:15" x14ac:dyDescent="0.25">
      <c r="B777" s="42" t="str">
        <f t="shared" si="24"/>
        <v>GW1_N18/BUGW-INFLOW</v>
      </c>
      <c r="C777" t="s">
        <v>3858</v>
      </c>
      <c r="D777" t="s">
        <v>3859</v>
      </c>
      <c r="E777" t="s">
        <v>3870</v>
      </c>
      <c r="F777">
        <v>6</v>
      </c>
      <c r="G777" t="s">
        <v>3871</v>
      </c>
      <c r="H777" t="s">
        <v>0</v>
      </c>
      <c r="I777" t="s">
        <v>154</v>
      </c>
      <c r="J777" t="s">
        <v>72</v>
      </c>
      <c r="L777" t="s">
        <v>3</v>
      </c>
      <c r="M777" t="s">
        <v>4</v>
      </c>
      <c r="N777" s="3" t="str">
        <f t="shared" si="25"/>
        <v>F</v>
      </c>
      <c r="O777" s="3" t="str">
        <f>IF(_xlfn.IFNA(MATCH(B777,Table1[UID],0),"F")="F","F","T")</f>
        <v>T</v>
      </c>
    </row>
    <row r="778" spans="2:15" x14ac:dyDescent="0.25">
      <c r="B778" s="42" t="str">
        <f t="shared" ref="B778:B841" si="26">_xlfn.CONCAT(I778,"/",J778)</f>
        <v>GW1_N19/BUGW-INFLOW</v>
      </c>
      <c r="C778" t="s">
        <v>3858</v>
      </c>
      <c r="D778" t="s">
        <v>3859</v>
      </c>
      <c r="E778" t="s">
        <v>3872</v>
      </c>
      <c r="F778">
        <v>7</v>
      </c>
      <c r="G778" t="s">
        <v>3873</v>
      </c>
      <c r="H778" t="s">
        <v>0</v>
      </c>
      <c r="I778" t="s">
        <v>156</v>
      </c>
      <c r="J778" t="s">
        <v>72</v>
      </c>
      <c r="L778" t="s">
        <v>3</v>
      </c>
      <c r="M778" t="s">
        <v>4</v>
      </c>
      <c r="N778" s="3" t="str">
        <f t="shared" si="25"/>
        <v>F</v>
      </c>
      <c r="O778" s="3" t="str">
        <f>IF(_xlfn.IFNA(MATCH(B778,Table1[UID],0),"F")="F","F","T")</f>
        <v>T</v>
      </c>
    </row>
    <row r="779" spans="2:15" x14ac:dyDescent="0.25">
      <c r="B779" s="42" t="str">
        <f t="shared" si="26"/>
        <v>GW1_N24/BUGW-INFLOW</v>
      </c>
      <c r="C779" t="s">
        <v>3858</v>
      </c>
      <c r="D779" t="s">
        <v>3859</v>
      </c>
      <c r="E779" t="s">
        <v>3874</v>
      </c>
      <c r="F779">
        <v>8</v>
      </c>
      <c r="G779" t="s">
        <v>3875</v>
      </c>
      <c r="H779" t="s">
        <v>0</v>
      </c>
      <c r="I779" t="s">
        <v>167</v>
      </c>
      <c r="J779" t="s">
        <v>72</v>
      </c>
      <c r="L779" t="s">
        <v>3</v>
      </c>
      <c r="M779" t="s">
        <v>4</v>
      </c>
      <c r="N779" s="3" t="str">
        <f t="shared" si="25"/>
        <v>F</v>
      </c>
      <c r="O779" s="3" t="str">
        <f>IF(_xlfn.IFNA(MATCH(B779,Table1[UID],0),"F")="F","F","T")</f>
        <v>T</v>
      </c>
    </row>
    <row r="780" spans="2:15" x14ac:dyDescent="0.25">
      <c r="B780" s="42" t="str">
        <f t="shared" si="26"/>
        <v>GW1_N25/BUGW-INFLOW</v>
      </c>
      <c r="C780" t="s">
        <v>3858</v>
      </c>
      <c r="D780" t="s">
        <v>3859</v>
      </c>
      <c r="E780" t="s">
        <v>3876</v>
      </c>
      <c r="F780">
        <v>9</v>
      </c>
      <c r="G780" t="s">
        <v>3877</v>
      </c>
      <c r="H780" t="s">
        <v>0</v>
      </c>
      <c r="I780" t="s">
        <v>173</v>
      </c>
      <c r="J780" t="s">
        <v>72</v>
      </c>
      <c r="L780" t="s">
        <v>3</v>
      </c>
      <c r="M780" t="s">
        <v>4</v>
      </c>
      <c r="N780" s="3" t="str">
        <f t="shared" si="25"/>
        <v>F</v>
      </c>
      <c r="O780" s="3" t="str">
        <f>IF(_xlfn.IFNA(MATCH(B780,Table1[UID],0),"F")="F","F","T")</f>
        <v>T</v>
      </c>
    </row>
    <row r="781" spans="2:15" x14ac:dyDescent="0.25">
      <c r="B781" s="42" t="str">
        <f t="shared" si="26"/>
        <v>GW1_N30/BUGW-INFLOW</v>
      </c>
      <c r="C781" t="s">
        <v>3858</v>
      </c>
      <c r="D781" t="s">
        <v>3859</v>
      </c>
      <c r="E781" t="s">
        <v>3878</v>
      </c>
      <c r="F781">
        <v>10</v>
      </c>
      <c r="G781" t="s">
        <v>3879</v>
      </c>
      <c r="H781" t="s">
        <v>0</v>
      </c>
      <c r="I781" t="s">
        <v>186</v>
      </c>
      <c r="J781" t="s">
        <v>72</v>
      </c>
      <c r="L781" t="s">
        <v>3</v>
      </c>
      <c r="M781" t="s">
        <v>4</v>
      </c>
      <c r="N781" s="3" t="str">
        <f t="shared" si="25"/>
        <v>F</v>
      </c>
      <c r="O781" s="3" t="str">
        <f>IF(_xlfn.IFNA(MATCH(B781,Table1[UID],0),"F")="F","F","T")</f>
        <v>T</v>
      </c>
    </row>
    <row r="782" spans="2:15" x14ac:dyDescent="0.25">
      <c r="B782" s="42" t="str">
        <f t="shared" si="26"/>
        <v>GW1_N31/BUGW-INFLOW</v>
      </c>
      <c r="C782" t="s">
        <v>3858</v>
      </c>
      <c r="D782" t="s">
        <v>3859</v>
      </c>
      <c r="E782" t="s">
        <v>3880</v>
      </c>
      <c r="F782">
        <v>11</v>
      </c>
      <c r="G782" t="s">
        <v>3881</v>
      </c>
      <c r="H782" t="s">
        <v>0</v>
      </c>
      <c r="I782" t="s">
        <v>187</v>
      </c>
      <c r="J782" t="s">
        <v>72</v>
      </c>
      <c r="L782" t="s">
        <v>3</v>
      </c>
      <c r="M782" t="s">
        <v>4</v>
      </c>
      <c r="N782" s="3" t="str">
        <f t="shared" si="25"/>
        <v>F</v>
      </c>
      <c r="O782" s="3" t="str">
        <f>IF(_xlfn.IFNA(MATCH(B782,Table1[UID],0),"F")="F","F","T")</f>
        <v>T</v>
      </c>
    </row>
    <row r="783" spans="2:15" x14ac:dyDescent="0.25">
      <c r="B783" s="42" t="str">
        <f t="shared" si="26"/>
        <v>GW1_N39/BUGW-INFLOW</v>
      </c>
      <c r="C783" t="s">
        <v>3858</v>
      </c>
      <c r="D783" t="s">
        <v>3859</v>
      </c>
      <c r="E783" t="s">
        <v>3882</v>
      </c>
      <c r="F783">
        <v>12</v>
      </c>
      <c r="G783" t="s">
        <v>3883</v>
      </c>
      <c r="H783" t="s">
        <v>0</v>
      </c>
      <c r="I783" t="s">
        <v>195</v>
      </c>
      <c r="J783" t="s">
        <v>72</v>
      </c>
      <c r="L783" t="s">
        <v>3</v>
      </c>
      <c r="M783" t="s">
        <v>4</v>
      </c>
      <c r="N783" s="3" t="str">
        <f t="shared" si="25"/>
        <v>F</v>
      </c>
      <c r="O783" s="3" t="str">
        <f>IF(_xlfn.IFNA(MATCH(B783,Table1[UID],0),"F")="F","F","T")</f>
        <v>T</v>
      </c>
    </row>
    <row r="784" spans="2:15" x14ac:dyDescent="0.25">
      <c r="B784" s="42" t="str">
        <f t="shared" si="26"/>
        <v>GW1_N48/BUGW-INFLOW</v>
      </c>
      <c r="C784" t="s">
        <v>3858</v>
      </c>
      <c r="D784" t="s">
        <v>3859</v>
      </c>
      <c r="E784" t="s">
        <v>3884</v>
      </c>
      <c r="F784">
        <v>13</v>
      </c>
      <c r="G784" t="s">
        <v>3885</v>
      </c>
      <c r="H784" t="s">
        <v>0</v>
      </c>
      <c r="I784" t="s">
        <v>207</v>
      </c>
      <c r="J784" t="s">
        <v>72</v>
      </c>
      <c r="L784" t="s">
        <v>3</v>
      </c>
      <c r="M784" t="s">
        <v>4</v>
      </c>
      <c r="N784" s="3" t="str">
        <f t="shared" si="25"/>
        <v>F</v>
      </c>
      <c r="O784" s="3" t="str">
        <f>IF(_xlfn.IFNA(MATCH(B784,Table1[UID],0),"F")="F","F","T")</f>
        <v>T</v>
      </c>
    </row>
    <row r="785" spans="2:15" x14ac:dyDescent="0.25">
      <c r="B785" s="42" t="str">
        <f t="shared" si="26"/>
        <v>GW1_N50/BUGW-INFLOW</v>
      </c>
      <c r="C785" t="s">
        <v>3858</v>
      </c>
      <c r="D785" t="s">
        <v>3859</v>
      </c>
      <c r="E785" t="s">
        <v>3886</v>
      </c>
      <c r="F785">
        <v>14</v>
      </c>
      <c r="G785" t="s">
        <v>3887</v>
      </c>
      <c r="H785" t="s">
        <v>0</v>
      </c>
      <c r="I785" t="s">
        <v>209</v>
      </c>
      <c r="J785" t="s">
        <v>72</v>
      </c>
      <c r="L785" t="s">
        <v>3</v>
      </c>
      <c r="M785" t="s">
        <v>4</v>
      </c>
      <c r="N785" s="3" t="str">
        <f t="shared" si="25"/>
        <v>F</v>
      </c>
      <c r="O785" s="3" t="str">
        <f>IF(_xlfn.IFNA(MATCH(B785,Table1[UID],0),"F")="F","F","T")</f>
        <v>T</v>
      </c>
    </row>
    <row r="786" spans="2:15" x14ac:dyDescent="0.25">
      <c r="B786" s="42" t="str">
        <f t="shared" si="26"/>
        <v>GW1_N57/BUGW-INFLOW</v>
      </c>
      <c r="C786" t="s">
        <v>3858</v>
      </c>
      <c r="D786" t="s">
        <v>3859</v>
      </c>
      <c r="E786" t="s">
        <v>3888</v>
      </c>
      <c r="F786">
        <v>15</v>
      </c>
      <c r="G786" t="s">
        <v>3889</v>
      </c>
      <c r="H786" t="s">
        <v>0</v>
      </c>
      <c r="I786" t="s">
        <v>219</v>
      </c>
      <c r="J786" t="s">
        <v>72</v>
      </c>
      <c r="L786" t="s">
        <v>3</v>
      </c>
      <c r="M786" t="s">
        <v>4</v>
      </c>
      <c r="N786" s="3" t="str">
        <f t="shared" si="25"/>
        <v>F</v>
      </c>
      <c r="O786" s="3" t="str">
        <f>IF(_xlfn.IFNA(MATCH(B786,Table1[UID],0),"F")="F","F","T")</f>
        <v>T</v>
      </c>
    </row>
    <row r="787" spans="2:15" x14ac:dyDescent="0.25">
      <c r="B787" s="42" t="str">
        <f t="shared" si="26"/>
        <v>GW1_N62/BUGW-INFLOW</v>
      </c>
      <c r="C787" t="s">
        <v>3858</v>
      </c>
      <c r="D787" t="s">
        <v>3859</v>
      </c>
      <c r="E787" t="s">
        <v>3890</v>
      </c>
      <c r="F787">
        <v>16</v>
      </c>
      <c r="G787" t="s">
        <v>3891</v>
      </c>
      <c r="H787" t="s">
        <v>0</v>
      </c>
      <c r="I787" t="s">
        <v>230</v>
      </c>
      <c r="J787" t="s">
        <v>72</v>
      </c>
      <c r="L787" t="s">
        <v>3</v>
      </c>
      <c r="M787" t="s">
        <v>4</v>
      </c>
      <c r="N787" s="3" t="str">
        <f t="shared" si="25"/>
        <v>F</v>
      </c>
      <c r="O787" s="3" t="str">
        <f>IF(_xlfn.IFNA(MATCH(B787,Table1[UID],0),"F")="F","F","T")</f>
        <v>T</v>
      </c>
    </row>
    <row r="788" spans="2:15" x14ac:dyDescent="0.25">
      <c r="B788" s="42" t="str">
        <f t="shared" si="26"/>
        <v>GW1_N74/BUGW-INFLOW</v>
      </c>
      <c r="C788" t="s">
        <v>3858</v>
      </c>
      <c r="D788" t="s">
        <v>3859</v>
      </c>
      <c r="E788" t="s">
        <v>3892</v>
      </c>
      <c r="F788">
        <v>17</v>
      </c>
      <c r="G788" t="s">
        <v>3893</v>
      </c>
      <c r="H788" t="s">
        <v>0</v>
      </c>
      <c r="I788" t="s">
        <v>246</v>
      </c>
      <c r="J788" t="s">
        <v>72</v>
      </c>
      <c r="L788" t="s">
        <v>3</v>
      </c>
      <c r="M788" t="s">
        <v>4</v>
      </c>
      <c r="N788" s="3" t="str">
        <f t="shared" si="25"/>
        <v>F</v>
      </c>
      <c r="O788" s="3" t="str">
        <f>IF(_xlfn.IFNA(MATCH(B788,Table1[UID],0),"F")="F","F","T")</f>
        <v>T</v>
      </c>
    </row>
    <row r="789" spans="2:15" x14ac:dyDescent="0.25">
      <c r="B789" s="42" t="str">
        <f t="shared" si="26"/>
        <v>GW1_N80/BUGW-INFLOW</v>
      </c>
      <c r="C789" t="s">
        <v>3858</v>
      </c>
      <c r="D789" t="s">
        <v>3859</v>
      </c>
      <c r="E789" t="s">
        <v>3894</v>
      </c>
      <c r="F789">
        <v>18</v>
      </c>
      <c r="G789" t="s">
        <v>3895</v>
      </c>
      <c r="H789" t="s">
        <v>0</v>
      </c>
      <c r="I789" t="s">
        <v>255</v>
      </c>
      <c r="J789" t="s">
        <v>72</v>
      </c>
      <c r="L789" t="s">
        <v>3</v>
      </c>
      <c r="M789" t="s">
        <v>4</v>
      </c>
      <c r="N789" s="3" t="str">
        <f t="shared" si="25"/>
        <v>F</v>
      </c>
      <c r="O789" s="3" t="str">
        <f>IF(_xlfn.IFNA(MATCH(B789,Table1[UID],0),"F")="F","F","T")</f>
        <v>T</v>
      </c>
    </row>
    <row r="790" spans="2:15" x14ac:dyDescent="0.25">
      <c r="B790" s="42" t="str">
        <f t="shared" si="26"/>
        <v>GW1_N89/BUGW-INFLOW</v>
      </c>
      <c r="C790" t="s">
        <v>3858</v>
      </c>
      <c r="D790" t="s">
        <v>3859</v>
      </c>
      <c r="E790" t="s">
        <v>3896</v>
      </c>
      <c r="F790">
        <v>19</v>
      </c>
      <c r="G790" t="s">
        <v>3897</v>
      </c>
      <c r="H790" t="s">
        <v>0</v>
      </c>
      <c r="I790" t="s">
        <v>269</v>
      </c>
      <c r="J790" t="s">
        <v>72</v>
      </c>
      <c r="L790" t="s">
        <v>3</v>
      </c>
      <c r="M790" t="s">
        <v>4</v>
      </c>
      <c r="N790" s="3" t="str">
        <f t="shared" si="25"/>
        <v>F</v>
      </c>
      <c r="O790" s="3" t="str">
        <f>IF(_xlfn.IFNA(MATCH(B790,Table1[UID],0),"F")="F","F","T")</f>
        <v>T</v>
      </c>
    </row>
    <row r="791" spans="2:15" x14ac:dyDescent="0.25">
      <c r="B791" s="42" t="str">
        <f t="shared" si="26"/>
        <v>GW1_N107/BUGW-INFLOW</v>
      </c>
      <c r="C791" t="s">
        <v>3858</v>
      </c>
      <c r="D791" t="s">
        <v>3859</v>
      </c>
      <c r="E791" t="s">
        <v>3898</v>
      </c>
      <c r="F791">
        <v>20</v>
      </c>
      <c r="G791" t="s">
        <v>3899</v>
      </c>
      <c r="H791" t="s">
        <v>0</v>
      </c>
      <c r="I791" t="s">
        <v>84</v>
      </c>
      <c r="J791" t="s">
        <v>72</v>
      </c>
      <c r="L791" t="s">
        <v>3</v>
      </c>
      <c r="M791" t="s">
        <v>4</v>
      </c>
      <c r="N791" s="3" t="str">
        <f t="shared" si="25"/>
        <v>F</v>
      </c>
      <c r="O791" s="3" t="str">
        <f>IF(_xlfn.IFNA(MATCH(B791,Table1[UID],0),"F")="F","F","T")</f>
        <v>T</v>
      </c>
    </row>
    <row r="792" spans="2:15" x14ac:dyDescent="0.25">
      <c r="B792" s="42" t="str">
        <f t="shared" si="26"/>
        <v>GW1_N115/BUGW-INFLOW</v>
      </c>
      <c r="C792" t="s">
        <v>3858</v>
      </c>
      <c r="D792" t="s">
        <v>3859</v>
      </c>
      <c r="E792" t="s">
        <v>3900</v>
      </c>
      <c r="F792">
        <v>21</v>
      </c>
      <c r="G792" t="s">
        <v>3901</v>
      </c>
      <c r="H792" t="s">
        <v>0</v>
      </c>
      <c r="I792" t="s">
        <v>95</v>
      </c>
      <c r="J792" t="s">
        <v>72</v>
      </c>
      <c r="L792" t="s">
        <v>3</v>
      </c>
      <c r="M792" t="s">
        <v>4</v>
      </c>
      <c r="N792" s="3" t="str">
        <f t="shared" si="25"/>
        <v>F</v>
      </c>
      <c r="O792" s="3" t="str">
        <f>IF(_xlfn.IFNA(MATCH(B792,Table1[UID],0),"F")="F","F","T")</f>
        <v>T</v>
      </c>
    </row>
    <row r="793" spans="2:15" x14ac:dyDescent="0.25">
      <c r="B793" s="42" t="str">
        <f t="shared" si="26"/>
        <v>GW1_N118/BUGW-INFLOW</v>
      </c>
      <c r="C793" t="s">
        <v>3858</v>
      </c>
      <c r="D793" t="s">
        <v>3859</v>
      </c>
      <c r="E793" t="s">
        <v>3902</v>
      </c>
      <c r="F793">
        <v>22</v>
      </c>
      <c r="G793" t="s">
        <v>3903</v>
      </c>
      <c r="H793" t="s">
        <v>0</v>
      </c>
      <c r="I793" t="s">
        <v>99</v>
      </c>
      <c r="J793" t="s">
        <v>72</v>
      </c>
      <c r="L793" t="s">
        <v>3</v>
      </c>
      <c r="M793" t="s">
        <v>4</v>
      </c>
      <c r="N793" s="3" t="str">
        <f t="shared" si="25"/>
        <v>F</v>
      </c>
      <c r="O793" s="3" t="str">
        <f>IF(_xlfn.IFNA(MATCH(B793,Table1[UID],0),"F")="F","F","T")</f>
        <v>T</v>
      </c>
    </row>
    <row r="794" spans="2:15" x14ac:dyDescent="0.25">
      <c r="B794" s="42" t="str">
        <f t="shared" si="26"/>
        <v>GW1_N121/BUGW-INFLOW</v>
      </c>
      <c r="C794" t="s">
        <v>3858</v>
      </c>
      <c r="D794" t="s">
        <v>3859</v>
      </c>
      <c r="E794" t="s">
        <v>3904</v>
      </c>
      <c r="F794">
        <v>23</v>
      </c>
      <c r="G794" t="s">
        <v>3905</v>
      </c>
      <c r="H794" t="s">
        <v>0</v>
      </c>
      <c r="I794" t="s">
        <v>106</v>
      </c>
      <c r="J794" t="s">
        <v>72</v>
      </c>
      <c r="L794" t="s">
        <v>3</v>
      </c>
      <c r="M794" t="s">
        <v>4</v>
      </c>
      <c r="N794" s="3" t="str">
        <f t="shared" si="25"/>
        <v>F</v>
      </c>
      <c r="O794" s="3" t="str">
        <f>IF(_xlfn.IFNA(MATCH(B794,Table1[UID],0),"F")="F","F","T")</f>
        <v>T</v>
      </c>
    </row>
    <row r="795" spans="2:15" x14ac:dyDescent="0.25">
      <c r="B795" s="42" t="str">
        <f t="shared" si="26"/>
        <v>GW1_N122/BUGW-INFLOW</v>
      </c>
      <c r="C795" t="s">
        <v>3858</v>
      </c>
      <c r="D795" t="s">
        <v>3859</v>
      </c>
      <c r="E795" t="s">
        <v>3906</v>
      </c>
      <c r="F795">
        <v>24</v>
      </c>
      <c r="G795" t="s">
        <v>3907</v>
      </c>
      <c r="H795" t="s">
        <v>0</v>
      </c>
      <c r="I795" t="s">
        <v>111</v>
      </c>
      <c r="J795" t="s">
        <v>72</v>
      </c>
      <c r="L795" t="s">
        <v>3</v>
      </c>
      <c r="M795" t="s">
        <v>4</v>
      </c>
      <c r="N795" s="3" t="str">
        <f t="shared" si="25"/>
        <v>F</v>
      </c>
      <c r="O795" s="3" t="str">
        <f>IF(_xlfn.IFNA(MATCH(B795,Table1[UID],0),"F")="F","F","T")</f>
        <v>T</v>
      </c>
    </row>
    <row r="796" spans="2:15" x14ac:dyDescent="0.25">
      <c r="B796" s="42" t="str">
        <f t="shared" si="26"/>
        <v>GW1_N148/BUGW-INFLOW</v>
      </c>
      <c r="C796" t="s">
        <v>3858</v>
      </c>
      <c r="D796" t="s">
        <v>3859</v>
      </c>
      <c r="E796" t="s">
        <v>3908</v>
      </c>
      <c r="F796">
        <v>25</v>
      </c>
      <c r="G796" t="s">
        <v>3909</v>
      </c>
      <c r="H796" t="s">
        <v>0</v>
      </c>
      <c r="I796" t="s">
        <v>148</v>
      </c>
      <c r="J796" t="s">
        <v>72</v>
      </c>
      <c r="L796" t="s">
        <v>3</v>
      </c>
      <c r="M796" t="s">
        <v>4</v>
      </c>
      <c r="N796" s="3" t="str">
        <f t="shared" si="25"/>
        <v>F</v>
      </c>
      <c r="O796" s="3" t="str">
        <f>IF(_xlfn.IFNA(MATCH(B796,Table1[UID],0),"F")="F","F","T")</f>
        <v>T</v>
      </c>
    </row>
    <row r="797" spans="2:15" x14ac:dyDescent="0.25">
      <c r="B797" s="42" t="str">
        <f t="shared" si="26"/>
        <v>GW1_N150/BUGW-INFLOW</v>
      </c>
      <c r="C797" t="s">
        <v>3858</v>
      </c>
      <c r="D797" t="s">
        <v>3859</v>
      </c>
      <c r="E797" t="s">
        <v>3910</v>
      </c>
      <c r="F797">
        <v>26</v>
      </c>
      <c r="G797" t="s">
        <v>3911</v>
      </c>
      <c r="H797" t="s">
        <v>0</v>
      </c>
      <c r="I797" t="s">
        <v>149</v>
      </c>
      <c r="J797" t="s">
        <v>72</v>
      </c>
      <c r="L797" t="s">
        <v>3</v>
      </c>
      <c r="M797" t="s">
        <v>4</v>
      </c>
      <c r="N797" s="3" t="str">
        <f t="shared" si="25"/>
        <v>F</v>
      </c>
      <c r="O797" s="3" t="str">
        <f>IF(_xlfn.IFNA(MATCH(B797,Table1[UID],0),"F")="F","F","T")</f>
        <v>T</v>
      </c>
    </row>
    <row r="798" spans="2:15" x14ac:dyDescent="0.25">
      <c r="B798" s="42" t="str">
        <f t="shared" si="26"/>
        <v>GW1_N152/BUGW-INFLOW</v>
      </c>
      <c r="C798" t="s">
        <v>3858</v>
      </c>
      <c r="D798" t="s">
        <v>3859</v>
      </c>
      <c r="E798" t="s">
        <v>3912</v>
      </c>
      <c r="F798">
        <v>27</v>
      </c>
      <c r="G798" t="s">
        <v>3913</v>
      </c>
      <c r="H798" t="s">
        <v>0</v>
      </c>
      <c r="I798" t="s">
        <v>150</v>
      </c>
      <c r="J798" t="s">
        <v>72</v>
      </c>
      <c r="L798" t="s">
        <v>3</v>
      </c>
      <c r="M798" t="s">
        <v>4</v>
      </c>
      <c r="N798" s="3" t="str">
        <f t="shared" si="25"/>
        <v>F</v>
      </c>
      <c r="O798" s="3" t="str">
        <f>IF(_xlfn.IFNA(MATCH(B798,Table1[UID],0),"F")="F","F","T")</f>
        <v>T</v>
      </c>
    </row>
    <row r="799" spans="2:15" x14ac:dyDescent="0.25">
      <c r="B799" s="42" t="str">
        <f t="shared" si="26"/>
        <v>GW1_N163/BUGW-INFLOW</v>
      </c>
      <c r="C799" t="s">
        <v>3858</v>
      </c>
      <c r="D799" t="s">
        <v>3859</v>
      </c>
      <c r="E799" t="s">
        <v>3914</v>
      </c>
      <c r="F799">
        <v>28</v>
      </c>
      <c r="G799" t="s">
        <v>3915</v>
      </c>
      <c r="H799" t="s">
        <v>0</v>
      </c>
      <c r="I799" t="s">
        <v>151</v>
      </c>
      <c r="J799" t="s">
        <v>72</v>
      </c>
      <c r="L799" t="s">
        <v>3</v>
      </c>
      <c r="M799" t="s">
        <v>4</v>
      </c>
      <c r="N799" s="3" t="str">
        <f t="shared" si="25"/>
        <v>F</v>
      </c>
      <c r="O799" s="3" t="str">
        <f>IF(_xlfn.IFNA(MATCH(B799,Table1[UID],0),"F")="F","F","T")</f>
        <v>T</v>
      </c>
    </row>
    <row r="800" spans="2:15" x14ac:dyDescent="0.25">
      <c r="B800" s="42" t="str">
        <f t="shared" si="26"/>
        <v>GW1_N164/BUGW-INFLOW</v>
      </c>
      <c r="C800" t="s">
        <v>3858</v>
      </c>
      <c r="D800" t="s">
        <v>3859</v>
      </c>
      <c r="E800" t="s">
        <v>3916</v>
      </c>
      <c r="F800">
        <v>29</v>
      </c>
      <c r="G800" t="s">
        <v>3917</v>
      </c>
      <c r="H800" t="s">
        <v>0</v>
      </c>
      <c r="I800" t="s">
        <v>152</v>
      </c>
      <c r="J800" t="s">
        <v>72</v>
      </c>
      <c r="L800" t="s">
        <v>3</v>
      </c>
      <c r="M800" t="s">
        <v>4</v>
      </c>
      <c r="N800" s="3" t="str">
        <f t="shared" si="25"/>
        <v>F</v>
      </c>
      <c r="O800" s="3" t="str">
        <f>IF(_xlfn.IFNA(MATCH(B800,Table1[UID],0),"F")="F","F","T")</f>
        <v>T</v>
      </c>
    </row>
    <row r="801" spans="2:15" x14ac:dyDescent="0.25">
      <c r="B801" s="42" t="str">
        <f t="shared" si="26"/>
        <v>GW1_N178/BUGW-INFLOW</v>
      </c>
      <c r="C801" t="s">
        <v>3858</v>
      </c>
      <c r="D801" t="s">
        <v>3859</v>
      </c>
      <c r="E801" t="s">
        <v>3918</v>
      </c>
      <c r="F801">
        <v>30</v>
      </c>
      <c r="G801" t="s">
        <v>3919</v>
      </c>
      <c r="H801" t="s">
        <v>0</v>
      </c>
      <c r="I801" t="s">
        <v>153</v>
      </c>
      <c r="J801" t="s">
        <v>72</v>
      </c>
      <c r="L801" t="s">
        <v>3</v>
      </c>
      <c r="M801" t="s">
        <v>4</v>
      </c>
      <c r="N801" s="3" t="str">
        <f t="shared" si="25"/>
        <v>F</v>
      </c>
      <c r="O801" s="3" t="str">
        <f>IF(_xlfn.IFNA(MATCH(B801,Table1[UID],0),"F")="F","F","T")</f>
        <v>T</v>
      </c>
    </row>
    <row r="802" spans="2:15" x14ac:dyDescent="0.25">
      <c r="B802" s="42" t="str">
        <f t="shared" si="26"/>
        <v>GW1_N180/BUGW-INFLOW</v>
      </c>
      <c r="C802" t="s">
        <v>3858</v>
      </c>
      <c r="D802" t="s">
        <v>3859</v>
      </c>
      <c r="E802" t="s">
        <v>3920</v>
      </c>
      <c r="F802">
        <v>31</v>
      </c>
      <c r="G802" t="s">
        <v>3921</v>
      </c>
      <c r="H802" t="s">
        <v>0</v>
      </c>
      <c r="I802" t="s">
        <v>155</v>
      </c>
      <c r="J802" t="s">
        <v>72</v>
      </c>
      <c r="L802" t="s">
        <v>3</v>
      </c>
      <c r="M802" t="s">
        <v>4</v>
      </c>
      <c r="N802" s="3" t="str">
        <f t="shared" si="25"/>
        <v>F</v>
      </c>
      <c r="O802" s="3" t="str">
        <f>IF(_xlfn.IFNA(MATCH(B802,Table1[UID],0),"F")="F","F","T")</f>
        <v>T</v>
      </c>
    </row>
    <row r="803" spans="2:15" x14ac:dyDescent="0.25">
      <c r="B803" s="42" t="str">
        <f t="shared" si="26"/>
        <v>GW1_N194/BUGW-INFLOW</v>
      </c>
      <c r="C803" t="s">
        <v>3858</v>
      </c>
      <c r="D803" t="s">
        <v>3859</v>
      </c>
      <c r="E803" t="s">
        <v>3922</v>
      </c>
      <c r="F803">
        <v>32</v>
      </c>
      <c r="G803" t="s">
        <v>3923</v>
      </c>
      <c r="H803" t="s">
        <v>0</v>
      </c>
      <c r="I803" t="s">
        <v>157</v>
      </c>
      <c r="J803" t="s">
        <v>72</v>
      </c>
      <c r="L803" t="s">
        <v>3</v>
      </c>
      <c r="M803" t="s">
        <v>4</v>
      </c>
      <c r="N803" s="3" t="str">
        <f t="shared" si="25"/>
        <v>F</v>
      </c>
      <c r="O803" s="3" t="str">
        <f>IF(_xlfn.IFNA(MATCH(B803,Table1[UID],0),"F")="F","F","T")</f>
        <v>T</v>
      </c>
    </row>
    <row r="804" spans="2:15" x14ac:dyDescent="0.25">
      <c r="B804" s="42" t="str">
        <f t="shared" si="26"/>
        <v>GW1_N195/BUGW-INFLOW</v>
      </c>
      <c r="C804" t="s">
        <v>3858</v>
      </c>
      <c r="D804" t="s">
        <v>3859</v>
      </c>
      <c r="E804" t="s">
        <v>3924</v>
      </c>
      <c r="F804">
        <v>33</v>
      </c>
      <c r="G804" t="s">
        <v>3925</v>
      </c>
      <c r="H804" t="s">
        <v>0</v>
      </c>
      <c r="I804" t="s">
        <v>158</v>
      </c>
      <c r="J804" t="s">
        <v>72</v>
      </c>
      <c r="L804" t="s">
        <v>3</v>
      </c>
      <c r="M804" t="s">
        <v>4</v>
      </c>
      <c r="N804" s="3" t="str">
        <f t="shared" si="25"/>
        <v>F</v>
      </c>
      <c r="O804" s="3" t="str">
        <f>IF(_xlfn.IFNA(MATCH(B804,Table1[UID],0),"F")="F","F","T")</f>
        <v>T</v>
      </c>
    </row>
    <row r="805" spans="2:15" x14ac:dyDescent="0.25">
      <c r="B805" s="42" t="str">
        <f t="shared" si="26"/>
        <v>GW1_N196/BUGW-INFLOW</v>
      </c>
      <c r="C805" t="s">
        <v>3858</v>
      </c>
      <c r="D805" t="s">
        <v>3859</v>
      </c>
      <c r="E805" t="s">
        <v>3926</v>
      </c>
      <c r="F805">
        <v>34</v>
      </c>
      <c r="G805" t="s">
        <v>3927</v>
      </c>
      <c r="H805" t="s">
        <v>0</v>
      </c>
      <c r="I805" t="s">
        <v>159</v>
      </c>
      <c r="J805" t="s">
        <v>72</v>
      </c>
      <c r="L805" t="s">
        <v>3</v>
      </c>
      <c r="M805" t="s">
        <v>4</v>
      </c>
      <c r="N805" s="3" t="str">
        <f t="shared" si="25"/>
        <v>F</v>
      </c>
      <c r="O805" s="3" t="str">
        <f>IF(_xlfn.IFNA(MATCH(B805,Table1[UID],0),"F")="F","F","T")</f>
        <v>T</v>
      </c>
    </row>
    <row r="806" spans="2:15" x14ac:dyDescent="0.25">
      <c r="B806" s="42" t="str">
        <f t="shared" si="26"/>
        <v>GW1_N197/BUGW-INFLOW</v>
      </c>
      <c r="C806" t="s">
        <v>3858</v>
      </c>
      <c r="D806" t="s">
        <v>3859</v>
      </c>
      <c r="E806" t="s">
        <v>3928</v>
      </c>
      <c r="F806">
        <v>35</v>
      </c>
      <c r="G806" t="s">
        <v>3929</v>
      </c>
      <c r="H806" t="s">
        <v>0</v>
      </c>
      <c r="I806" t="s">
        <v>160</v>
      </c>
      <c r="J806" t="s">
        <v>72</v>
      </c>
      <c r="L806" t="s">
        <v>3</v>
      </c>
      <c r="M806" t="s">
        <v>4</v>
      </c>
      <c r="N806" s="3" t="str">
        <f t="shared" si="25"/>
        <v>F</v>
      </c>
      <c r="O806" s="3" t="str">
        <f>IF(_xlfn.IFNA(MATCH(B806,Table1[UID],0),"F")="F","F","T")</f>
        <v>T</v>
      </c>
    </row>
    <row r="807" spans="2:15" x14ac:dyDescent="0.25">
      <c r="B807" s="42" t="str">
        <f t="shared" si="26"/>
        <v>GW1_N210/BUGW-INFLOW</v>
      </c>
      <c r="C807" t="s">
        <v>3858</v>
      </c>
      <c r="D807" t="s">
        <v>3859</v>
      </c>
      <c r="E807" t="s">
        <v>3930</v>
      </c>
      <c r="F807">
        <v>36</v>
      </c>
      <c r="G807" t="s">
        <v>3931</v>
      </c>
      <c r="H807" t="s">
        <v>0</v>
      </c>
      <c r="I807" t="s">
        <v>162</v>
      </c>
      <c r="J807" t="s">
        <v>72</v>
      </c>
      <c r="L807" t="s">
        <v>3</v>
      </c>
      <c r="M807" t="s">
        <v>4</v>
      </c>
      <c r="N807" s="3" t="str">
        <f t="shared" si="25"/>
        <v>F</v>
      </c>
      <c r="O807" s="3" t="str">
        <f>IF(_xlfn.IFNA(MATCH(B807,Table1[UID],0),"F")="F","F","T")</f>
        <v>T</v>
      </c>
    </row>
    <row r="808" spans="2:15" x14ac:dyDescent="0.25">
      <c r="B808" s="42" t="str">
        <f t="shared" si="26"/>
        <v>GW1_N215/BUGW-INFLOW</v>
      </c>
      <c r="C808" t="s">
        <v>3858</v>
      </c>
      <c r="D808" t="s">
        <v>3859</v>
      </c>
      <c r="E808" t="s">
        <v>3932</v>
      </c>
      <c r="F808">
        <v>37</v>
      </c>
      <c r="G808" t="s">
        <v>3933</v>
      </c>
      <c r="H808" t="s">
        <v>0</v>
      </c>
      <c r="I808" t="s">
        <v>163</v>
      </c>
      <c r="J808" t="s">
        <v>72</v>
      </c>
      <c r="L808" t="s">
        <v>3</v>
      </c>
      <c r="M808" t="s">
        <v>4</v>
      </c>
      <c r="N808" s="3" t="str">
        <f t="shared" si="25"/>
        <v>F</v>
      </c>
      <c r="O808" s="3" t="str">
        <f>IF(_xlfn.IFNA(MATCH(B808,Table1[UID],0),"F")="F","F","T")</f>
        <v>T</v>
      </c>
    </row>
    <row r="809" spans="2:15" x14ac:dyDescent="0.25">
      <c r="B809" s="42" t="str">
        <f t="shared" si="26"/>
        <v>GW1_N226/BUGW-INFLOW</v>
      </c>
      <c r="C809" t="s">
        <v>3858</v>
      </c>
      <c r="D809" t="s">
        <v>3859</v>
      </c>
      <c r="E809" t="s">
        <v>3934</v>
      </c>
      <c r="F809">
        <v>38</v>
      </c>
      <c r="G809" t="s">
        <v>3935</v>
      </c>
      <c r="H809" t="s">
        <v>0</v>
      </c>
      <c r="I809" t="s">
        <v>164</v>
      </c>
      <c r="J809" t="s">
        <v>72</v>
      </c>
      <c r="L809" t="s">
        <v>3</v>
      </c>
      <c r="M809" t="s">
        <v>4</v>
      </c>
      <c r="N809" s="3" t="str">
        <f t="shared" si="25"/>
        <v>F</v>
      </c>
      <c r="O809" s="3" t="str">
        <f>IF(_xlfn.IFNA(MATCH(B809,Table1[UID],0),"F")="F","F","T")</f>
        <v>T</v>
      </c>
    </row>
    <row r="810" spans="2:15" x14ac:dyDescent="0.25">
      <c r="B810" s="42" t="str">
        <f t="shared" si="26"/>
        <v>GW1_N234/BUGW-INFLOW</v>
      </c>
      <c r="C810" t="s">
        <v>3858</v>
      </c>
      <c r="D810" t="s">
        <v>3859</v>
      </c>
      <c r="E810" t="s">
        <v>3936</v>
      </c>
      <c r="F810">
        <v>39</v>
      </c>
      <c r="G810" t="s">
        <v>3937</v>
      </c>
      <c r="H810" t="s">
        <v>0</v>
      </c>
      <c r="I810" t="s">
        <v>165</v>
      </c>
      <c r="J810" t="s">
        <v>72</v>
      </c>
      <c r="L810" t="s">
        <v>3</v>
      </c>
      <c r="M810" t="s">
        <v>4</v>
      </c>
      <c r="N810" s="3" t="str">
        <f t="shared" si="25"/>
        <v>F</v>
      </c>
      <c r="O810" s="3" t="str">
        <f>IF(_xlfn.IFNA(MATCH(B810,Table1[UID],0),"F")="F","F","T")</f>
        <v>T</v>
      </c>
    </row>
    <row r="811" spans="2:15" x14ac:dyDescent="0.25">
      <c r="B811" s="42" t="str">
        <f t="shared" si="26"/>
        <v>GW1_N235/BUGW-INFLOW</v>
      </c>
      <c r="C811" t="s">
        <v>3858</v>
      </c>
      <c r="D811" t="s">
        <v>3859</v>
      </c>
      <c r="E811" t="s">
        <v>3938</v>
      </c>
      <c r="F811">
        <v>40</v>
      </c>
      <c r="G811" t="s">
        <v>3939</v>
      </c>
      <c r="H811" t="s">
        <v>0</v>
      </c>
      <c r="I811" t="s">
        <v>166</v>
      </c>
      <c r="J811" t="s">
        <v>72</v>
      </c>
      <c r="L811" t="s">
        <v>3</v>
      </c>
      <c r="M811" t="s">
        <v>4</v>
      </c>
      <c r="N811" s="3" t="str">
        <f t="shared" si="25"/>
        <v>F</v>
      </c>
      <c r="O811" s="3" t="str">
        <f>IF(_xlfn.IFNA(MATCH(B811,Table1[UID],0),"F")="F","F","T")</f>
        <v>T</v>
      </c>
    </row>
    <row r="812" spans="2:15" x14ac:dyDescent="0.25">
      <c r="B812" s="42" t="str">
        <f t="shared" si="26"/>
        <v>GW1_N243/BUGW-INFLOW</v>
      </c>
      <c r="C812" t="s">
        <v>3858</v>
      </c>
      <c r="D812" t="s">
        <v>3859</v>
      </c>
      <c r="E812" t="s">
        <v>3940</v>
      </c>
      <c r="F812">
        <v>41</v>
      </c>
      <c r="G812" t="s">
        <v>3941</v>
      </c>
      <c r="H812" t="s">
        <v>0</v>
      </c>
      <c r="I812" t="s">
        <v>168</v>
      </c>
      <c r="J812" t="s">
        <v>72</v>
      </c>
      <c r="L812" t="s">
        <v>3</v>
      </c>
      <c r="M812" t="s">
        <v>4</v>
      </c>
      <c r="N812" s="3" t="str">
        <f t="shared" si="25"/>
        <v>F</v>
      </c>
      <c r="O812" s="3" t="str">
        <f>IF(_xlfn.IFNA(MATCH(B812,Table1[UID],0),"F")="F","F","T")</f>
        <v>T</v>
      </c>
    </row>
    <row r="813" spans="2:15" x14ac:dyDescent="0.25">
      <c r="B813" s="42" t="str">
        <f t="shared" si="26"/>
        <v>GW1_N244/BUGW-INFLOW</v>
      </c>
      <c r="C813" t="s">
        <v>3858</v>
      </c>
      <c r="D813" t="s">
        <v>3859</v>
      </c>
      <c r="E813" t="s">
        <v>3942</v>
      </c>
      <c r="F813">
        <v>42</v>
      </c>
      <c r="G813" t="s">
        <v>3943</v>
      </c>
      <c r="H813" t="s">
        <v>0</v>
      </c>
      <c r="I813" t="s">
        <v>169</v>
      </c>
      <c r="J813" t="s">
        <v>72</v>
      </c>
      <c r="L813" t="s">
        <v>3</v>
      </c>
      <c r="M813" t="s">
        <v>4</v>
      </c>
      <c r="N813" s="3" t="str">
        <f t="shared" si="25"/>
        <v>F</v>
      </c>
      <c r="O813" s="3" t="str">
        <f>IF(_xlfn.IFNA(MATCH(B813,Table1[UID],0),"F")="F","F","T")</f>
        <v>T</v>
      </c>
    </row>
    <row r="814" spans="2:15" x14ac:dyDescent="0.25">
      <c r="B814" s="42" t="str">
        <f t="shared" si="26"/>
        <v>GW1_N245/BUGW-INFLOW</v>
      </c>
      <c r="C814" t="s">
        <v>3858</v>
      </c>
      <c r="D814" t="s">
        <v>3859</v>
      </c>
      <c r="E814" t="s">
        <v>3944</v>
      </c>
      <c r="F814">
        <v>43</v>
      </c>
      <c r="G814" t="s">
        <v>3945</v>
      </c>
      <c r="H814" t="s">
        <v>0</v>
      </c>
      <c r="I814" t="s">
        <v>170</v>
      </c>
      <c r="J814" t="s">
        <v>72</v>
      </c>
      <c r="L814" t="s">
        <v>3</v>
      </c>
      <c r="M814" t="s">
        <v>4</v>
      </c>
      <c r="N814" s="3" t="str">
        <f t="shared" si="25"/>
        <v>F</v>
      </c>
      <c r="O814" s="3" t="str">
        <f>IF(_xlfn.IFNA(MATCH(B814,Table1[UID],0),"F")="F","F","T")</f>
        <v>T</v>
      </c>
    </row>
    <row r="815" spans="2:15" x14ac:dyDescent="0.25">
      <c r="B815" s="42" t="str">
        <f t="shared" si="26"/>
        <v>GW1_N248/BUGW-INFLOW</v>
      </c>
      <c r="C815" t="s">
        <v>3858</v>
      </c>
      <c r="D815" t="s">
        <v>3859</v>
      </c>
      <c r="E815" t="s">
        <v>3946</v>
      </c>
      <c r="F815">
        <v>44</v>
      </c>
      <c r="G815" t="s">
        <v>3947</v>
      </c>
      <c r="H815" t="s">
        <v>0</v>
      </c>
      <c r="I815" t="s">
        <v>171</v>
      </c>
      <c r="J815" t="s">
        <v>72</v>
      </c>
      <c r="L815" t="s">
        <v>3</v>
      </c>
      <c r="M815" t="s">
        <v>4</v>
      </c>
      <c r="N815" s="3" t="str">
        <f t="shared" si="25"/>
        <v>F</v>
      </c>
      <c r="O815" s="3" t="str">
        <f>IF(_xlfn.IFNA(MATCH(B815,Table1[UID],0),"F")="F","F","T")</f>
        <v>T</v>
      </c>
    </row>
    <row r="816" spans="2:15" x14ac:dyDescent="0.25">
      <c r="B816" s="42" t="str">
        <f t="shared" si="26"/>
        <v>GW1_N249/BUGW-INFLOW</v>
      </c>
      <c r="C816" t="s">
        <v>3858</v>
      </c>
      <c r="D816" t="s">
        <v>3859</v>
      </c>
      <c r="E816" t="s">
        <v>3948</v>
      </c>
      <c r="F816">
        <v>45</v>
      </c>
      <c r="G816" t="s">
        <v>3949</v>
      </c>
      <c r="H816" t="s">
        <v>0</v>
      </c>
      <c r="I816" t="s">
        <v>172</v>
      </c>
      <c r="J816" t="s">
        <v>72</v>
      </c>
      <c r="L816" t="s">
        <v>3</v>
      </c>
      <c r="M816" t="s">
        <v>4</v>
      </c>
      <c r="N816" s="3" t="str">
        <f t="shared" si="25"/>
        <v>F</v>
      </c>
      <c r="O816" s="3" t="str">
        <f>IF(_xlfn.IFNA(MATCH(B816,Table1[UID],0),"F")="F","F","T")</f>
        <v>T</v>
      </c>
    </row>
    <row r="817" spans="2:15" x14ac:dyDescent="0.25">
      <c r="B817" s="42" t="str">
        <f t="shared" si="26"/>
        <v>GW1_N256/BUGW-INFLOW</v>
      </c>
      <c r="C817" t="s">
        <v>3858</v>
      </c>
      <c r="D817" t="s">
        <v>3859</v>
      </c>
      <c r="E817" t="s">
        <v>3950</v>
      </c>
      <c r="F817">
        <v>46</v>
      </c>
      <c r="G817" t="s">
        <v>3951</v>
      </c>
      <c r="H817" t="s">
        <v>0</v>
      </c>
      <c r="I817" t="s">
        <v>174</v>
      </c>
      <c r="J817" t="s">
        <v>72</v>
      </c>
      <c r="L817" t="s">
        <v>3</v>
      </c>
      <c r="M817" t="s">
        <v>4</v>
      </c>
      <c r="N817" s="3" t="str">
        <f t="shared" si="25"/>
        <v>F</v>
      </c>
      <c r="O817" s="3" t="str">
        <f>IF(_xlfn.IFNA(MATCH(B817,Table1[UID],0),"F")="F","F","T")</f>
        <v>T</v>
      </c>
    </row>
    <row r="818" spans="2:15" x14ac:dyDescent="0.25">
      <c r="B818" s="42" t="str">
        <f t="shared" si="26"/>
        <v>GW1_N257/BUGW-INFLOW</v>
      </c>
      <c r="C818" t="s">
        <v>3858</v>
      </c>
      <c r="D818" t="s">
        <v>3859</v>
      </c>
      <c r="E818" t="s">
        <v>3952</v>
      </c>
      <c r="F818">
        <v>47</v>
      </c>
      <c r="G818" t="s">
        <v>3953</v>
      </c>
      <c r="H818" t="s">
        <v>0</v>
      </c>
      <c r="I818" t="s">
        <v>175</v>
      </c>
      <c r="J818" t="s">
        <v>72</v>
      </c>
      <c r="L818" t="s">
        <v>3</v>
      </c>
      <c r="M818" t="s">
        <v>4</v>
      </c>
      <c r="N818" s="3" t="str">
        <f t="shared" si="25"/>
        <v>F</v>
      </c>
      <c r="O818" s="3" t="str">
        <f>IF(_xlfn.IFNA(MATCH(B818,Table1[UID],0),"F")="F","F","T")</f>
        <v>T</v>
      </c>
    </row>
    <row r="819" spans="2:15" x14ac:dyDescent="0.25">
      <c r="B819" s="42" t="str">
        <f t="shared" si="26"/>
        <v>GW1_N263/BUGW-INFLOW</v>
      </c>
      <c r="C819" t="s">
        <v>3858</v>
      </c>
      <c r="D819" t="s">
        <v>3859</v>
      </c>
      <c r="E819" t="s">
        <v>3954</v>
      </c>
      <c r="F819">
        <v>48</v>
      </c>
      <c r="G819" t="s">
        <v>3955</v>
      </c>
      <c r="H819" t="s">
        <v>0</v>
      </c>
      <c r="I819" t="s">
        <v>176</v>
      </c>
      <c r="J819" t="s">
        <v>72</v>
      </c>
      <c r="L819" t="s">
        <v>3</v>
      </c>
      <c r="M819" t="s">
        <v>4</v>
      </c>
      <c r="N819" s="3" t="str">
        <f t="shared" si="25"/>
        <v>F</v>
      </c>
      <c r="O819" s="3" t="str">
        <f>IF(_xlfn.IFNA(MATCH(B819,Table1[UID],0),"F")="F","F","T")</f>
        <v>T</v>
      </c>
    </row>
    <row r="820" spans="2:15" x14ac:dyDescent="0.25">
      <c r="B820" s="42" t="str">
        <f t="shared" si="26"/>
        <v>GW1_N264/BUGW-INFLOW</v>
      </c>
      <c r="C820" t="s">
        <v>3858</v>
      </c>
      <c r="D820" t="s">
        <v>3859</v>
      </c>
      <c r="E820" t="s">
        <v>3956</v>
      </c>
      <c r="F820">
        <v>49</v>
      </c>
      <c r="G820" t="s">
        <v>3957</v>
      </c>
      <c r="H820" t="s">
        <v>0</v>
      </c>
      <c r="I820" t="s">
        <v>177</v>
      </c>
      <c r="J820" t="s">
        <v>72</v>
      </c>
      <c r="L820" t="s">
        <v>3</v>
      </c>
      <c r="M820" t="s">
        <v>4</v>
      </c>
      <c r="N820" s="3" t="str">
        <f t="shared" si="25"/>
        <v>F</v>
      </c>
      <c r="O820" s="3" t="str">
        <f>IF(_xlfn.IFNA(MATCH(B820,Table1[UID],0),"F")="F","F","T")</f>
        <v>T</v>
      </c>
    </row>
    <row r="821" spans="2:15" x14ac:dyDescent="0.25">
      <c r="B821" s="42" t="str">
        <f t="shared" si="26"/>
        <v>GW1_N270/BUGW-INFLOW</v>
      </c>
      <c r="C821" t="s">
        <v>3858</v>
      </c>
      <c r="D821" t="s">
        <v>3859</v>
      </c>
      <c r="E821" t="s">
        <v>3958</v>
      </c>
      <c r="F821">
        <v>50</v>
      </c>
      <c r="G821" t="s">
        <v>3959</v>
      </c>
      <c r="H821" t="s">
        <v>0</v>
      </c>
      <c r="I821" t="s">
        <v>178</v>
      </c>
      <c r="J821" t="s">
        <v>72</v>
      </c>
      <c r="L821" t="s">
        <v>3</v>
      </c>
      <c r="M821" t="s">
        <v>4</v>
      </c>
      <c r="N821" s="3" t="str">
        <f t="shared" si="25"/>
        <v>F</v>
      </c>
      <c r="O821" s="3" t="str">
        <f>IF(_xlfn.IFNA(MATCH(B821,Table1[UID],0),"F")="F","F","T")</f>
        <v>T</v>
      </c>
    </row>
    <row r="822" spans="2:15" x14ac:dyDescent="0.25">
      <c r="B822" s="42" t="str">
        <f t="shared" si="26"/>
        <v>GW1_N271/BUGW-INFLOW</v>
      </c>
      <c r="C822" t="s">
        <v>3858</v>
      </c>
      <c r="D822" t="s">
        <v>3859</v>
      </c>
      <c r="E822" t="s">
        <v>3960</v>
      </c>
      <c r="F822">
        <v>51</v>
      </c>
      <c r="G822" t="s">
        <v>3961</v>
      </c>
      <c r="H822" t="s">
        <v>0</v>
      </c>
      <c r="I822" t="s">
        <v>179</v>
      </c>
      <c r="J822" t="s">
        <v>72</v>
      </c>
      <c r="L822" t="s">
        <v>3</v>
      </c>
      <c r="M822" t="s">
        <v>4</v>
      </c>
      <c r="N822" s="3" t="str">
        <f t="shared" si="25"/>
        <v>F</v>
      </c>
      <c r="O822" s="3" t="str">
        <f>IF(_xlfn.IFNA(MATCH(B822,Table1[UID],0),"F")="F","F","T")</f>
        <v>T</v>
      </c>
    </row>
    <row r="823" spans="2:15" x14ac:dyDescent="0.25">
      <c r="B823" s="42" t="str">
        <f t="shared" si="26"/>
        <v>GW1_N272/BUGW-INFLOW</v>
      </c>
      <c r="C823" t="s">
        <v>3858</v>
      </c>
      <c r="D823" t="s">
        <v>3859</v>
      </c>
      <c r="E823" t="s">
        <v>3962</v>
      </c>
      <c r="F823">
        <v>52</v>
      </c>
      <c r="G823" t="s">
        <v>3963</v>
      </c>
      <c r="H823" t="s">
        <v>0</v>
      </c>
      <c r="I823" t="s">
        <v>180</v>
      </c>
      <c r="J823" t="s">
        <v>72</v>
      </c>
      <c r="L823" t="s">
        <v>3</v>
      </c>
      <c r="M823" t="s">
        <v>4</v>
      </c>
      <c r="N823" s="3" t="str">
        <f t="shared" si="25"/>
        <v>F</v>
      </c>
      <c r="O823" s="3" t="str">
        <f>IF(_xlfn.IFNA(MATCH(B823,Table1[UID],0),"F")="F","F","T")</f>
        <v>T</v>
      </c>
    </row>
    <row r="824" spans="2:15" x14ac:dyDescent="0.25">
      <c r="B824" s="42" t="str">
        <f t="shared" si="26"/>
        <v>GW1_N286/BUGW-INFLOW</v>
      </c>
      <c r="C824" t="s">
        <v>3858</v>
      </c>
      <c r="D824" t="s">
        <v>3859</v>
      </c>
      <c r="E824" t="s">
        <v>3964</v>
      </c>
      <c r="F824">
        <v>53</v>
      </c>
      <c r="G824" t="s">
        <v>3965</v>
      </c>
      <c r="H824" t="s">
        <v>0</v>
      </c>
      <c r="I824" t="s">
        <v>181</v>
      </c>
      <c r="J824" t="s">
        <v>72</v>
      </c>
      <c r="L824" t="s">
        <v>3</v>
      </c>
      <c r="M824" t="s">
        <v>4</v>
      </c>
      <c r="N824" s="3" t="str">
        <f t="shared" si="25"/>
        <v>F</v>
      </c>
      <c r="O824" s="3" t="str">
        <f>IF(_xlfn.IFNA(MATCH(B824,Table1[UID],0),"F")="F","F","T")</f>
        <v>T</v>
      </c>
    </row>
    <row r="825" spans="2:15" x14ac:dyDescent="0.25">
      <c r="B825" s="42" t="str">
        <f t="shared" si="26"/>
        <v>GW1_N297/BUGW-INFLOW</v>
      </c>
      <c r="C825" t="s">
        <v>3858</v>
      </c>
      <c r="D825" t="s">
        <v>3859</v>
      </c>
      <c r="E825" t="s">
        <v>3966</v>
      </c>
      <c r="F825">
        <v>54</v>
      </c>
      <c r="G825" t="s">
        <v>3967</v>
      </c>
      <c r="H825" t="s">
        <v>0</v>
      </c>
      <c r="I825" t="s">
        <v>182</v>
      </c>
      <c r="J825" t="s">
        <v>72</v>
      </c>
      <c r="L825" t="s">
        <v>3</v>
      </c>
      <c r="M825" t="s">
        <v>4</v>
      </c>
      <c r="N825" s="3" t="str">
        <f t="shared" si="25"/>
        <v>F</v>
      </c>
      <c r="O825" s="3" t="str">
        <f>IF(_xlfn.IFNA(MATCH(B825,Table1[UID],0),"F")="F","F","T")</f>
        <v>T</v>
      </c>
    </row>
    <row r="826" spans="2:15" x14ac:dyDescent="0.25">
      <c r="B826" s="42" t="str">
        <f t="shared" si="26"/>
        <v>GW1_N298/BUGW-INFLOW</v>
      </c>
      <c r="C826" t="s">
        <v>3858</v>
      </c>
      <c r="D826" t="s">
        <v>3859</v>
      </c>
      <c r="E826" t="s">
        <v>3968</v>
      </c>
      <c r="F826">
        <v>55</v>
      </c>
      <c r="G826" t="s">
        <v>3969</v>
      </c>
      <c r="H826" t="s">
        <v>0</v>
      </c>
      <c r="I826" t="s">
        <v>183</v>
      </c>
      <c r="J826" t="s">
        <v>72</v>
      </c>
      <c r="L826" t="s">
        <v>3</v>
      </c>
      <c r="M826" t="s">
        <v>4</v>
      </c>
      <c r="N826" s="3" t="str">
        <f t="shared" si="25"/>
        <v>F</v>
      </c>
      <c r="O826" s="3" t="str">
        <f>IF(_xlfn.IFNA(MATCH(B826,Table1[UID],0),"F")="F","F","T")</f>
        <v>T</v>
      </c>
    </row>
    <row r="827" spans="2:15" x14ac:dyDescent="0.25">
      <c r="B827" s="42" t="str">
        <f t="shared" si="26"/>
        <v>GW1_N299/BUGW-INFLOW</v>
      </c>
      <c r="C827" t="s">
        <v>3858</v>
      </c>
      <c r="D827" t="s">
        <v>3859</v>
      </c>
      <c r="E827" t="s">
        <v>3970</v>
      </c>
      <c r="F827">
        <v>56</v>
      </c>
      <c r="G827" t="s">
        <v>3971</v>
      </c>
      <c r="H827" t="s">
        <v>0</v>
      </c>
      <c r="I827" t="s">
        <v>184</v>
      </c>
      <c r="J827" t="s">
        <v>72</v>
      </c>
      <c r="L827" t="s">
        <v>3</v>
      </c>
      <c r="M827" t="s">
        <v>4</v>
      </c>
      <c r="N827" s="3" t="str">
        <f t="shared" si="25"/>
        <v>F</v>
      </c>
      <c r="O827" s="3" t="str">
        <f>IF(_xlfn.IFNA(MATCH(B827,Table1[UID],0),"F")="F","F","T")</f>
        <v>T</v>
      </c>
    </row>
    <row r="828" spans="2:15" x14ac:dyDescent="0.25">
      <c r="B828" s="42" t="str">
        <f t="shared" si="26"/>
        <v>GW1_N310/BUGW-INFLOW</v>
      </c>
      <c r="C828" t="s">
        <v>3858</v>
      </c>
      <c r="D828" t="s">
        <v>3859</v>
      </c>
      <c r="E828" t="s">
        <v>3972</v>
      </c>
      <c r="F828">
        <v>57</v>
      </c>
      <c r="G828" t="s">
        <v>3973</v>
      </c>
      <c r="H828" t="s">
        <v>0</v>
      </c>
      <c r="I828" t="s">
        <v>188</v>
      </c>
      <c r="J828" t="s">
        <v>72</v>
      </c>
      <c r="L828" t="s">
        <v>3</v>
      </c>
      <c r="M828" t="s">
        <v>4</v>
      </c>
      <c r="N828" s="3" t="str">
        <f t="shared" si="25"/>
        <v>F</v>
      </c>
      <c r="O828" s="3" t="str">
        <f>IF(_xlfn.IFNA(MATCH(B828,Table1[UID],0),"F")="F","F","T")</f>
        <v>T</v>
      </c>
    </row>
    <row r="829" spans="2:15" x14ac:dyDescent="0.25">
      <c r="B829" s="42" t="str">
        <f t="shared" si="26"/>
        <v>GW1_N311/BUGW-INFLOW</v>
      </c>
      <c r="C829" t="s">
        <v>3858</v>
      </c>
      <c r="D829" t="s">
        <v>3859</v>
      </c>
      <c r="E829" t="s">
        <v>3974</v>
      </c>
      <c r="F829">
        <v>58</v>
      </c>
      <c r="G829" t="s">
        <v>3975</v>
      </c>
      <c r="H829" t="s">
        <v>0</v>
      </c>
      <c r="I829" t="s">
        <v>189</v>
      </c>
      <c r="J829" t="s">
        <v>72</v>
      </c>
      <c r="L829" t="s">
        <v>3</v>
      </c>
      <c r="M829" t="s">
        <v>4</v>
      </c>
      <c r="N829" s="3" t="str">
        <f t="shared" si="25"/>
        <v>F</v>
      </c>
      <c r="O829" s="3" t="str">
        <f>IF(_xlfn.IFNA(MATCH(B829,Table1[UID],0),"F")="F","F","T")</f>
        <v>T</v>
      </c>
    </row>
    <row r="830" spans="2:15" x14ac:dyDescent="0.25">
      <c r="B830" s="42" t="str">
        <f t="shared" si="26"/>
        <v>GW1_N321/BUGW-INFLOW</v>
      </c>
      <c r="C830" t="s">
        <v>3858</v>
      </c>
      <c r="D830" t="s">
        <v>3859</v>
      </c>
      <c r="E830" t="s">
        <v>3976</v>
      </c>
      <c r="F830">
        <v>59</v>
      </c>
      <c r="G830" t="s">
        <v>3977</v>
      </c>
      <c r="H830" t="s">
        <v>0</v>
      </c>
      <c r="I830" t="s">
        <v>190</v>
      </c>
      <c r="J830" t="s">
        <v>72</v>
      </c>
      <c r="L830" t="s">
        <v>3</v>
      </c>
      <c r="M830" t="s">
        <v>4</v>
      </c>
      <c r="N830" s="3" t="str">
        <f t="shared" si="25"/>
        <v>F</v>
      </c>
      <c r="O830" s="3" t="str">
        <f>IF(_xlfn.IFNA(MATCH(B830,Table1[UID],0),"F")="F","F","T")</f>
        <v>T</v>
      </c>
    </row>
    <row r="831" spans="2:15" x14ac:dyDescent="0.25">
      <c r="B831" s="42" t="str">
        <f t="shared" si="26"/>
        <v>GW1_N322/BUGW-INFLOW</v>
      </c>
      <c r="C831" t="s">
        <v>3858</v>
      </c>
      <c r="D831" t="s">
        <v>3859</v>
      </c>
      <c r="E831" t="s">
        <v>3978</v>
      </c>
      <c r="F831">
        <v>60</v>
      </c>
      <c r="G831" t="s">
        <v>3979</v>
      </c>
      <c r="H831" t="s">
        <v>0</v>
      </c>
      <c r="I831" t="s">
        <v>191</v>
      </c>
      <c r="J831" t="s">
        <v>72</v>
      </c>
      <c r="L831" t="s">
        <v>3</v>
      </c>
      <c r="M831" t="s">
        <v>4</v>
      </c>
      <c r="N831" s="3" t="str">
        <f t="shared" si="25"/>
        <v>F</v>
      </c>
      <c r="O831" s="3" t="str">
        <f>IF(_xlfn.IFNA(MATCH(B831,Table1[UID],0),"F")="F","F","T")</f>
        <v>T</v>
      </c>
    </row>
    <row r="832" spans="2:15" x14ac:dyDescent="0.25">
      <c r="B832" s="42" t="str">
        <f t="shared" si="26"/>
        <v>GW1_N346/BUGW-INFLOW</v>
      </c>
      <c r="C832" t="s">
        <v>3858</v>
      </c>
      <c r="D832" t="s">
        <v>3859</v>
      </c>
      <c r="E832" t="s">
        <v>3980</v>
      </c>
      <c r="F832">
        <v>61</v>
      </c>
      <c r="G832" t="s">
        <v>3981</v>
      </c>
      <c r="H832" t="s">
        <v>0</v>
      </c>
      <c r="I832" t="s">
        <v>192</v>
      </c>
      <c r="J832" t="s">
        <v>72</v>
      </c>
      <c r="L832" t="s">
        <v>3</v>
      </c>
      <c r="M832" t="s">
        <v>4</v>
      </c>
      <c r="N832" s="3" t="str">
        <f t="shared" si="25"/>
        <v>F</v>
      </c>
      <c r="O832" s="3" t="str">
        <f>IF(_xlfn.IFNA(MATCH(B832,Table1[UID],0),"F")="F","F","T")</f>
        <v>T</v>
      </c>
    </row>
    <row r="833" spans="2:15" x14ac:dyDescent="0.25">
      <c r="B833" s="42" t="str">
        <f t="shared" si="26"/>
        <v>GW1_N357/BUGW-INFLOW</v>
      </c>
      <c r="C833" t="s">
        <v>3858</v>
      </c>
      <c r="D833" t="s">
        <v>3859</v>
      </c>
      <c r="E833" t="s">
        <v>3982</v>
      </c>
      <c r="F833">
        <v>62</v>
      </c>
      <c r="G833" t="s">
        <v>3983</v>
      </c>
      <c r="H833" t="s">
        <v>0</v>
      </c>
      <c r="I833" t="s">
        <v>193</v>
      </c>
      <c r="J833" t="s">
        <v>72</v>
      </c>
      <c r="L833" t="s">
        <v>3</v>
      </c>
      <c r="M833" t="s">
        <v>4</v>
      </c>
      <c r="N833" s="3" t="str">
        <f t="shared" si="25"/>
        <v>F</v>
      </c>
      <c r="O833" s="3" t="str">
        <f>IF(_xlfn.IFNA(MATCH(B833,Table1[UID],0),"F")="F","F","T")</f>
        <v>T</v>
      </c>
    </row>
    <row r="834" spans="2:15" x14ac:dyDescent="0.25">
      <c r="B834" s="42" t="str">
        <f t="shared" si="26"/>
        <v>GW1_N369/BUGW-INFLOW</v>
      </c>
      <c r="C834" t="s">
        <v>3858</v>
      </c>
      <c r="D834" t="s">
        <v>3859</v>
      </c>
      <c r="E834" t="s">
        <v>3984</v>
      </c>
      <c r="F834">
        <v>63</v>
      </c>
      <c r="G834" t="s">
        <v>3985</v>
      </c>
      <c r="H834" t="s">
        <v>0</v>
      </c>
      <c r="I834" t="s">
        <v>194</v>
      </c>
      <c r="J834" t="s">
        <v>72</v>
      </c>
      <c r="L834" t="s">
        <v>3</v>
      </c>
      <c r="M834" t="s">
        <v>4</v>
      </c>
      <c r="N834" s="3" t="str">
        <f t="shared" si="25"/>
        <v>F</v>
      </c>
      <c r="O834" s="3" t="str">
        <f>IF(_xlfn.IFNA(MATCH(B834,Table1[UID],0),"F")="F","F","T")</f>
        <v>T</v>
      </c>
    </row>
    <row r="835" spans="2:15" x14ac:dyDescent="0.25">
      <c r="B835" s="42" t="str">
        <f t="shared" si="26"/>
        <v>GW1_N390/BUGW-INFLOW</v>
      </c>
      <c r="C835" t="s">
        <v>3858</v>
      </c>
      <c r="D835" t="s">
        <v>3859</v>
      </c>
      <c r="E835" t="s">
        <v>3986</v>
      </c>
      <c r="F835">
        <v>64</v>
      </c>
      <c r="G835" t="s">
        <v>3987</v>
      </c>
      <c r="H835" t="s">
        <v>0</v>
      </c>
      <c r="I835" t="s">
        <v>196</v>
      </c>
      <c r="J835" t="s">
        <v>72</v>
      </c>
      <c r="L835" t="s">
        <v>3</v>
      </c>
      <c r="M835" t="s">
        <v>4</v>
      </c>
      <c r="N835" s="3" t="str">
        <f t="shared" ref="N835:N898" si="27">IF(COUNTIF($B$3:$B$1760,"="&amp;B835)&gt;1,"T","F")</f>
        <v>F</v>
      </c>
      <c r="O835" s="3" t="str">
        <f>IF(_xlfn.IFNA(MATCH(B835,Table1[UID],0),"F")="F","F","T")</f>
        <v>T</v>
      </c>
    </row>
    <row r="836" spans="2:15" x14ac:dyDescent="0.25">
      <c r="B836" s="42" t="str">
        <f t="shared" si="26"/>
        <v>GW1_N393/BUGW-INFLOW</v>
      </c>
      <c r="C836" t="s">
        <v>3858</v>
      </c>
      <c r="D836" t="s">
        <v>3859</v>
      </c>
      <c r="E836" t="s">
        <v>3988</v>
      </c>
      <c r="F836">
        <v>65</v>
      </c>
      <c r="G836" t="s">
        <v>3989</v>
      </c>
      <c r="H836" t="s">
        <v>0</v>
      </c>
      <c r="I836" t="s">
        <v>197</v>
      </c>
      <c r="J836" t="s">
        <v>72</v>
      </c>
      <c r="L836" t="s">
        <v>3</v>
      </c>
      <c r="M836" t="s">
        <v>4</v>
      </c>
      <c r="N836" s="3" t="str">
        <f t="shared" si="27"/>
        <v>F</v>
      </c>
      <c r="O836" s="3" t="str">
        <f>IF(_xlfn.IFNA(MATCH(B836,Table1[UID],0),"F")="F","F","T")</f>
        <v>T</v>
      </c>
    </row>
    <row r="837" spans="2:15" x14ac:dyDescent="0.25">
      <c r="B837" s="42" t="str">
        <f t="shared" si="26"/>
        <v>GW1_N396/BUGW-INFLOW</v>
      </c>
      <c r="C837" t="s">
        <v>3858</v>
      </c>
      <c r="D837" t="s">
        <v>3859</v>
      </c>
      <c r="E837" t="s">
        <v>3990</v>
      </c>
      <c r="F837">
        <v>66</v>
      </c>
      <c r="G837" t="s">
        <v>3991</v>
      </c>
      <c r="H837" t="s">
        <v>0</v>
      </c>
      <c r="I837" t="s">
        <v>198</v>
      </c>
      <c r="J837" t="s">
        <v>72</v>
      </c>
      <c r="L837" t="s">
        <v>3</v>
      </c>
      <c r="M837" t="s">
        <v>4</v>
      </c>
      <c r="N837" s="3" t="str">
        <f t="shared" si="27"/>
        <v>F</v>
      </c>
      <c r="O837" s="3" t="str">
        <f>IF(_xlfn.IFNA(MATCH(B837,Table1[UID],0),"F")="F","F","T")</f>
        <v>T</v>
      </c>
    </row>
    <row r="838" spans="2:15" x14ac:dyDescent="0.25">
      <c r="B838" s="42" t="str">
        <f t="shared" si="26"/>
        <v>GW1_N402/BUGW-INFLOW</v>
      </c>
      <c r="C838" t="s">
        <v>3858</v>
      </c>
      <c r="D838" t="s">
        <v>3859</v>
      </c>
      <c r="E838" t="s">
        <v>3992</v>
      </c>
      <c r="F838">
        <v>67</v>
      </c>
      <c r="G838" t="s">
        <v>3993</v>
      </c>
      <c r="H838" t="s">
        <v>0</v>
      </c>
      <c r="I838" t="s">
        <v>199</v>
      </c>
      <c r="J838" t="s">
        <v>72</v>
      </c>
      <c r="L838" t="s">
        <v>3</v>
      </c>
      <c r="M838" t="s">
        <v>4</v>
      </c>
      <c r="N838" s="3" t="str">
        <f t="shared" si="27"/>
        <v>F</v>
      </c>
      <c r="O838" s="3" t="str">
        <f>IF(_xlfn.IFNA(MATCH(B838,Table1[UID],0),"F")="F","F","T")</f>
        <v>T</v>
      </c>
    </row>
    <row r="839" spans="2:15" x14ac:dyDescent="0.25">
      <c r="B839" s="42" t="str">
        <f t="shared" si="26"/>
        <v>GW1_N409/BUGW-INFLOW</v>
      </c>
      <c r="C839" t="s">
        <v>3858</v>
      </c>
      <c r="D839" t="s">
        <v>3859</v>
      </c>
      <c r="E839" t="s">
        <v>3994</v>
      </c>
      <c r="F839">
        <v>68</v>
      </c>
      <c r="G839" t="s">
        <v>3995</v>
      </c>
      <c r="H839" t="s">
        <v>0</v>
      </c>
      <c r="I839" t="s">
        <v>200</v>
      </c>
      <c r="J839" t="s">
        <v>72</v>
      </c>
      <c r="L839" t="s">
        <v>3</v>
      </c>
      <c r="M839" t="s">
        <v>4</v>
      </c>
      <c r="N839" s="3" t="str">
        <f t="shared" si="27"/>
        <v>F</v>
      </c>
      <c r="O839" s="3" t="str">
        <f>IF(_xlfn.IFNA(MATCH(B839,Table1[UID],0),"F")="F","F","T")</f>
        <v>T</v>
      </c>
    </row>
    <row r="840" spans="2:15" x14ac:dyDescent="0.25">
      <c r="B840" s="42" t="str">
        <f t="shared" si="26"/>
        <v>GW1_N423/BUGW-INFLOW</v>
      </c>
      <c r="C840" t="s">
        <v>3858</v>
      </c>
      <c r="D840" t="s">
        <v>3859</v>
      </c>
      <c r="E840" t="s">
        <v>3996</v>
      </c>
      <c r="F840">
        <v>69</v>
      </c>
      <c r="G840" t="s">
        <v>3997</v>
      </c>
      <c r="H840" t="s">
        <v>0</v>
      </c>
      <c r="I840" t="s">
        <v>201</v>
      </c>
      <c r="J840" t="s">
        <v>72</v>
      </c>
      <c r="L840" t="s">
        <v>3</v>
      </c>
      <c r="M840" t="s">
        <v>4</v>
      </c>
      <c r="N840" s="3" t="str">
        <f t="shared" si="27"/>
        <v>F</v>
      </c>
      <c r="O840" s="3" t="str">
        <f>IF(_xlfn.IFNA(MATCH(B840,Table1[UID],0),"F")="F","F","T")</f>
        <v>T</v>
      </c>
    </row>
    <row r="841" spans="2:15" x14ac:dyDescent="0.25">
      <c r="B841" s="42" t="str">
        <f t="shared" si="26"/>
        <v>GW1_N427/BUGW-INFLOW</v>
      </c>
      <c r="C841" t="s">
        <v>3858</v>
      </c>
      <c r="D841" t="s">
        <v>3859</v>
      </c>
      <c r="E841" t="s">
        <v>3998</v>
      </c>
      <c r="F841">
        <v>70</v>
      </c>
      <c r="G841" t="s">
        <v>3999</v>
      </c>
      <c r="H841" t="s">
        <v>0</v>
      </c>
      <c r="I841" t="s">
        <v>202</v>
      </c>
      <c r="J841" t="s">
        <v>72</v>
      </c>
      <c r="L841" t="s">
        <v>3</v>
      </c>
      <c r="M841" t="s">
        <v>4</v>
      </c>
      <c r="N841" s="3" t="str">
        <f t="shared" si="27"/>
        <v>F</v>
      </c>
      <c r="O841" s="3" t="str">
        <f>IF(_xlfn.IFNA(MATCH(B841,Table1[UID],0),"F")="F","F","T")</f>
        <v>T</v>
      </c>
    </row>
    <row r="842" spans="2:15" x14ac:dyDescent="0.25">
      <c r="B842" s="42" t="str">
        <f t="shared" ref="B842:B905" si="28">_xlfn.CONCAT(I842,"/",J842)</f>
        <v>GW1_N444/BUGW-INFLOW</v>
      </c>
      <c r="C842" t="s">
        <v>3858</v>
      </c>
      <c r="D842" t="s">
        <v>3859</v>
      </c>
      <c r="E842" t="s">
        <v>4000</v>
      </c>
      <c r="F842">
        <v>71</v>
      </c>
      <c r="G842" t="s">
        <v>4001</v>
      </c>
      <c r="H842" t="s">
        <v>0</v>
      </c>
      <c r="I842" t="s">
        <v>203</v>
      </c>
      <c r="J842" t="s">
        <v>72</v>
      </c>
      <c r="L842" t="s">
        <v>3</v>
      </c>
      <c r="M842" t="s">
        <v>4</v>
      </c>
      <c r="N842" s="3" t="str">
        <f t="shared" si="27"/>
        <v>F</v>
      </c>
      <c r="O842" s="3" t="str">
        <f>IF(_xlfn.IFNA(MATCH(B842,Table1[UID],0),"F")="F","F","T")</f>
        <v>T</v>
      </c>
    </row>
    <row r="843" spans="2:15" x14ac:dyDescent="0.25">
      <c r="B843" s="42" t="str">
        <f t="shared" si="28"/>
        <v>GW1_N456/BUGW-INFLOW</v>
      </c>
      <c r="C843" t="s">
        <v>3858</v>
      </c>
      <c r="D843" t="s">
        <v>3859</v>
      </c>
      <c r="E843" t="s">
        <v>4002</v>
      </c>
      <c r="F843">
        <v>72</v>
      </c>
      <c r="G843" t="s">
        <v>4003</v>
      </c>
      <c r="H843" t="s">
        <v>0</v>
      </c>
      <c r="I843" t="s">
        <v>204</v>
      </c>
      <c r="J843" t="s">
        <v>72</v>
      </c>
      <c r="L843" t="s">
        <v>3</v>
      </c>
      <c r="M843" t="s">
        <v>4</v>
      </c>
      <c r="N843" s="3" t="str">
        <f t="shared" si="27"/>
        <v>F</v>
      </c>
      <c r="O843" s="3" t="str">
        <f>IF(_xlfn.IFNA(MATCH(B843,Table1[UID],0),"F")="F","F","T")</f>
        <v>T</v>
      </c>
    </row>
    <row r="844" spans="2:15" x14ac:dyDescent="0.25">
      <c r="B844" s="42" t="str">
        <f t="shared" si="28"/>
        <v>GW1_N468/BUGW-INFLOW</v>
      </c>
      <c r="C844" t="s">
        <v>3858</v>
      </c>
      <c r="D844" t="s">
        <v>3859</v>
      </c>
      <c r="E844" t="s">
        <v>4004</v>
      </c>
      <c r="F844">
        <v>73</v>
      </c>
      <c r="G844" t="s">
        <v>4005</v>
      </c>
      <c r="H844" t="s">
        <v>0</v>
      </c>
      <c r="I844" t="s">
        <v>205</v>
      </c>
      <c r="J844" t="s">
        <v>72</v>
      </c>
      <c r="L844" t="s">
        <v>3</v>
      </c>
      <c r="M844" t="s">
        <v>4</v>
      </c>
      <c r="N844" s="3" t="str">
        <f t="shared" si="27"/>
        <v>F</v>
      </c>
      <c r="O844" s="3" t="str">
        <f>IF(_xlfn.IFNA(MATCH(B844,Table1[UID],0),"F")="F","F","T")</f>
        <v>T</v>
      </c>
    </row>
    <row r="845" spans="2:15" x14ac:dyDescent="0.25">
      <c r="B845" s="42" t="str">
        <f t="shared" si="28"/>
        <v>GW1_N469/BUGW-INFLOW</v>
      </c>
      <c r="C845" t="s">
        <v>3858</v>
      </c>
      <c r="D845" t="s">
        <v>3859</v>
      </c>
      <c r="E845" t="s">
        <v>4006</v>
      </c>
      <c r="F845">
        <v>74</v>
      </c>
      <c r="G845" t="s">
        <v>4007</v>
      </c>
      <c r="H845" t="s">
        <v>0</v>
      </c>
      <c r="I845" t="s">
        <v>206</v>
      </c>
      <c r="J845" t="s">
        <v>72</v>
      </c>
      <c r="L845" t="s">
        <v>3</v>
      </c>
      <c r="M845" t="s">
        <v>4</v>
      </c>
      <c r="N845" s="3" t="str">
        <f t="shared" si="27"/>
        <v>F</v>
      </c>
      <c r="O845" s="3" t="str">
        <f>IF(_xlfn.IFNA(MATCH(B845,Table1[UID],0),"F")="F","F","T")</f>
        <v>T</v>
      </c>
    </row>
    <row r="846" spans="2:15" x14ac:dyDescent="0.25">
      <c r="B846" s="42" t="str">
        <f t="shared" si="28"/>
        <v>GW1_N485/BUGW-INFLOW</v>
      </c>
      <c r="C846" t="s">
        <v>3858</v>
      </c>
      <c r="D846" t="s">
        <v>3859</v>
      </c>
      <c r="E846" t="s">
        <v>4008</v>
      </c>
      <c r="F846">
        <v>75</v>
      </c>
      <c r="G846" t="s">
        <v>4009</v>
      </c>
      <c r="H846" t="s">
        <v>0</v>
      </c>
      <c r="I846" t="s">
        <v>208</v>
      </c>
      <c r="J846" t="s">
        <v>72</v>
      </c>
      <c r="L846" t="s">
        <v>3</v>
      </c>
      <c r="M846" t="s">
        <v>4</v>
      </c>
      <c r="N846" s="3" t="str">
        <f t="shared" si="27"/>
        <v>F</v>
      </c>
      <c r="O846" s="3" t="str">
        <f>IF(_xlfn.IFNA(MATCH(B846,Table1[UID],0),"F")="F","F","T")</f>
        <v>T</v>
      </c>
    </row>
    <row r="847" spans="2:15" x14ac:dyDescent="0.25">
      <c r="B847" s="42" t="str">
        <f t="shared" si="28"/>
        <v>GW1_N501/BUGW-INFLOW</v>
      </c>
      <c r="C847" t="s">
        <v>3858</v>
      </c>
      <c r="D847" t="s">
        <v>3859</v>
      </c>
      <c r="E847" t="s">
        <v>4010</v>
      </c>
      <c r="F847">
        <v>76</v>
      </c>
      <c r="G847" t="s">
        <v>4011</v>
      </c>
      <c r="H847" t="s">
        <v>0</v>
      </c>
      <c r="I847" t="s">
        <v>210</v>
      </c>
      <c r="J847" t="s">
        <v>72</v>
      </c>
      <c r="L847" t="s">
        <v>3</v>
      </c>
      <c r="M847" t="s">
        <v>4</v>
      </c>
      <c r="N847" s="3" t="str">
        <f t="shared" si="27"/>
        <v>F</v>
      </c>
      <c r="O847" s="3" t="str">
        <f>IF(_xlfn.IFNA(MATCH(B847,Table1[UID],0),"F")="F","F","T")</f>
        <v>T</v>
      </c>
    </row>
    <row r="848" spans="2:15" x14ac:dyDescent="0.25">
      <c r="B848" s="42" t="str">
        <f t="shared" si="28"/>
        <v>GW1_N507/BUGW-INFLOW</v>
      </c>
      <c r="C848" t="s">
        <v>3858</v>
      </c>
      <c r="D848" t="s">
        <v>3859</v>
      </c>
      <c r="E848" t="s">
        <v>4012</v>
      </c>
      <c r="F848">
        <v>77</v>
      </c>
      <c r="G848" t="s">
        <v>4013</v>
      </c>
      <c r="H848" t="s">
        <v>0</v>
      </c>
      <c r="I848" t="s">
        <v>211</v>
      </c>
      <c r="J848" t="s">
        <v>72</v>
      </c>
      <c r="L848" t="s">
        <v>3</v>
      </c>
      <c r="M848" t="s">
        <v>4</v>
      </c>
      <c r="N848" s="3" t="str">
        <f t="shared" si="27"/>
        <v>F</v>
      </c>
      <c r="O848" s="3" t="str">
        <f>IF(_xlfn.IFNA(MATCH(B848,Table1[UID],0),"F")="F","F","T")</f>
        <v>T</v>
      </c>
    </row>
    <row r="849" spans="2:15" x14ac:dyDescent="0.25">
      <c r="B849" s="42" t="str">
        <f t="shared" si="28"/>
        <v>GW1_N510/BUGW-INFLOW</v>
      </c>
      <c r="C849" t="s">
        <v>3858</v>
      </c>
      <c r="D849" t="s">
        <v>3859</v>
      </c>
      <c r="E849" t="s">
        <v>4014</v>
      </c>
      <c r="F849">
        <v>78</v>
      </c>
      <c r="G849" t="s">
        <v>4015</v>
      </c>
      <c r="H849" t="s">
        <v>0</v>
      </c>
      <c r="I849" t="s">
        <v>212</v>
      </c>
      <c r="J849" t="s">
        <v>72</v>
      </c>
      <c r="L849" t="s">
        <v>3</v>
      </c>
      <c r="M849" t="s">
        <v>4</v>
      </c>
      <c r="N849" s="3" t="str">
        <f t="shared" si="27"/>
        <v>F</v>
      </c>
      <c r="O849" s="3" t="str">
        <f>IF(_xlfn.IFNA(MATCH(B849,Table1[UID],0),"F")="F","F","T")</f>
        <v>T</v>
      </c>
    </row>
    <row r="850" spans="2:15" x14ac:dyDescent="0.25">
      <c r="B850" s="42" t="str">
        <f t="shared" si="28"/>
        <v>GW1_N518/BUGW-INFLOW</v>
      </c>
      <c r="C850" t="s">
        <v>3858</v>
      </c>
      <c r="D850" t="s">
        <v>3859</v>
      </c>
      <c r="E850" t="s">
        <v>4016</v>
      </c>
      <c r="F850">
        <v>79</v>
      </c>
      <c r="G850" t="s">
        <v>4017</v>
      </c>
      <c r="H850" t="s">
        <v>0</v>
      </c>
      <c r="I850" t="s">
        <v>213</v>
      </c>
      <c r="J850" t="s">
        <v>72</v>
      </c>
      <c r="L850" t="s">
        <v>3</v>
      </c>
      <c r="M850" t="s">
        <v>4</v>
      </c>
      <c r="N850" s="3" t="str">
        <f t="shared" si="27"/>
        <v>F</v>
      </c>
      <c r="O850" s="3" t="str">
        <f>IF(_xlfn.IFNA(MATCH(B850,Table1[UID],0),"F")="F","F","T")</f>
        <v>T</v>
      </c>
    </row>
    <row r="851" spans="2:15" x14ac:dyDescent="0.25">
      <c r="B851" s="42" t="str">
        <f t="shared" si="28"/>
        <v>GW1_N530/BUGW-INFLOW</v>
      </c>
      <c r="C851" t="s">
        <v>3858</v>
      </c>
      <c r="D851" t="s">
        <v>3859</v>
      </c>
      <c r="E851" t="s">
        <v>4018</v>
      </c>
      <c r="F851">
        <v>80</v>
      </c>
      <c r="G851" t="s">
        <v>4019</v>
      </c>
      <c r="H851" t="s">
        <v>0</v>
      </c>
      <c r="I851" t="s">
        <v>214</v>
      </c>
      <c r="J851" t="s">
        <v>72</v>
      </c>
      <c r="L851" t="s">
        <v>3</v>
      </c>
      <c r="M851" t="s">
        <v>4</v>
      </c>
      <c r="N851" s="3" t="str">
        <f t="shared" si="27"/>
        <v>F</v>
      </c>
      <c r="O851" s="3" t="str">
        <f>IF(_xlfn.IFNA(MATCH(B851,Table1[UID],0),"F")="F","F","T")</f>
        <v>T</v>
      </c>
    </row>
    <row r="852" spans="2:15" x14ac:dyDescent="0.25">
      <c r="B852" s="42" t="str">
        <f t="shared" si="28"/>
        <v>GW1_N535/BUGW-INFLOW</v>
      </c>
      <c r="C852" t="s">
        <v>3858</v>
      </c>
      <c r="D852" t="s">
        <v>3859</v>
      </c>
      <c r="E852" t="s">
        <v>4020</v>
      </c>
      <c r="F852">
        <v>81</v>
      </c>
      <c r="G852" t="s">
        <v>4021</v>
      </c>
      <c r="H852" t="s">
        <v>0</v>
      </c>
      <c r="I852" t="s">
        <v>215</v>
      </c>
      <c r="J852" t="s">
        <v>72</v>
      </c>
      <c r="L852" t="s">
        <v>3</v>
      </c>
      <c r="M852" t="s">
        <v>4</v>
      </c>
      <c r="N852" s="3" t="str">
        <f t="shared" si="27"/>
        <v>F</v>
      </c>
      <c r="O852" s="3" t="str">
        <f>IF(_xlfn.IFNA(MATCH(B852,Table1[UID],0),"F")="F","F","T")</f>
        <v>T</v>
      </c>
    </row>
    <row r="853" spans="2:15" x14ac:dyDescent="0.25">
      <c r="B853" s="42" t="str">
        <f t="shared" si="28"/>
        <v>GW1_N536/BUGW-INFLOW</v>
      </c>
      <c r="C853" t="s">
        <v>3858</v>
      </c>
      <c r="D853" t="s">
        <v>3859</v>
      </c>
      <c r="E853" t="s">
        <v>4022</v>
      </c>
      <c r="F853">
        <v>82</v>
      </c>
      <c r="G853" t="s">
        <v>4023</v>
      </c>
      <c r="H853" t="s">
        <v>0</v>
      </c>
      <c r="I853" t="s">
        <v>216</v>
      </c>
      <c r="J853" t="s">
        <v>72</v>
      </c>
      <c r="L853" t="s">
        <v>3</v>
      </c>
      <c r="M853" t="s">
        <v>4</v>
      </c>
      <c r="N853" s="3" t="str">
        <f t="shared" si="27"/>
        <v>F</v>
      </c>
      <c r="O853" s="3" t="str">
        <f>IF(_xlfn.IFNA(MATCH(B853,Table1[UID],0),"F")="F","F","T")</f>
        <v>T</v>
      </c>
    </row>
    <row r="854" spans="2:15" x14ac:dyDescent="0.25">
      <c r="B854" s="42" t="str">
        <f t="shared" si="28"/>
        <v>GW1_N537/BUGW-INFLOW</v>
      </c>
      <c r="C854" t="s">
        <v>3858</v>
      </c>
      <c r="D854" t="s">
        <v>3859</v>
      </c>
      <c r="E854" t="s">
        <v>4024</v>
      </c>
      <c r="F854">
        <v>83</v>
      </c>
      <c r="G854" t="s">
        <v>4025</v>
      </c>
      <c r="H854" t="s">
        <v>0</v>
      </c>
      <c r="I854" t="s">
        <v>217</v>
      </c>
      <c r="J854" t="s">
        <v>72</v>
      </c>
      <c r="L854" t="s">
        <v>3</v>
      </c>
      <c r="M854" t="s">
        <v>4</v>
      </c>
      <c r="N854" s="3" t="str">
        <f t="shared" si="27"/>
        <v>F</v>
      </c>
      <c r="O854" s="3" t="str">
        <f>IF(_xlfn.IFNA(MATCH(B854,Table1[UID],0),"F")="F","F","T")</f>
        <v>T</v>
      </c>
    </row>
    <row r="855" spans="2:15" x14ac:dyDescent="0.25">
      <c r="B855" s="42" t="str">
        <f t="shared" si="28"/>
        <v>GW1_N554/BUGW-INFLOW</v>
      </c>
      <c r="C855" t="s">
        <v>3858</v>
      </c>
      <c r="D855" t="s">
        <v>3859</v>
      </c>
      <c r="E855" t="s">
        <v>4026</v>
      </c>
      <c r="F855">
        <v>84</v>
      </c>
      <c r="G855" t="s">
        <v>4027</v>
      </c>
      <c r="H855" t="s">
        <v>0</v>
      </c>
      <c r="I855" t="s">
        <v>218</v>
      </c>
      <c r="J855" t="s">
        <v>72</v>
      </c>
      <c r="L855" t="s">
        <v>3</v>
      </c>
      <c r="M855" t="s">
        <v>4</v>
      </c>
      <c r="N855" s="3" t="str">
        <f t="shared" si="27"/>
        <v>F</v>
      </c>
      <c r="O855" s="3" t="str">
        <f>IF(_xlfn.IFNA(MATCH(B855,Table1[UID],0),"F")="F","F","T")</f>
        <v>T</v>
      </c>
    </row>
    <row r="856" spans="2:15" x14ac:dyDescent="0.25">
      <c r="B856" s="42" t="str">
        <f t="shared" si="28"/>
        <v>GW1_N573/BUGW-INFLOW</v>
      </c>
      <c r="C856" t="s">
        <v>3858</v>
      </c>
      <c r="D856" t="s">
        <v>3859</v>
      </c>
      <c r="E856" t="s">
        <v>4028</v>
      </c>
      <c r="F856">
        <v>85</v>
      </c>
      <c r="G856" t="s">
        <v>4029</v>
      </c>
      <c r="H856" t="s">
        <v>0</v>
      </c>
      <c r="I856" t="s">
        <v>220</v>
      </c>
      <c r="J856" t="s">
        <v>72</v>
      </c>
      <c r="L856" t="s">
        <v>3</v>
      </c>
      <c r="M856" t="s">
        <v>4</v>
      </c>
      <c r="N856" s="3" t="str">
        <f t="shared" si="27"/>
        <v>F</v>
      </c>
      <c r="O856" s="3" t="str">
        <f>IF(_xlfn.IFNA(MATCH(B856,Table1[UID],0),"F")="F","F","T")</f>
        <v>T</v>
      </c>
    </row>
    <row r="857" spans="2:15" x14ac:dyDescent="0.25">
      <c r="B857" s="42" t="str">
        <f t="shared" si="28"/>
        <v>GW1_N583/BUGW-INFLOW</v>
      </c>
      <c r="C857" t="s">
        <v>3858</v>
      </c>
      <c r="D857" t="s">
        <v>3859</v>
      </c>
      <c r="E857" t="s">
        <v>4030</v>
      </c>
      <c r="F857">
        <v>86</v>
      </c>
      <c r="G857" t="s">
        <v>4031</v>
      </c>
      <c r="H857" t="s">
        <v>0</v>
      </c>
      <c r="I857" t="s">
        <v>221</v>
      </c>
      <c r="J857" t="s">
        <v>72</v>
      </c>
      <c r="L857" t="s">
        <v>3</v>
      </c>
      <c r="M857" t="s">
        <v>4</v>
      </c>
      <c r="N857" s="3" t="str">
        <f t="shared" si="27"/>
        <v>F</v>
      </c>
      <c r="O857" s="3" t="str">
        <f>IF(_xlfn.IFNA(MATCH(B857,Table1[UID],0),"F")="F","F","T")</f>
        <v>T</v>
      </c>
    </row>
    <row r="858" spans="2:15" x14ac:dyDescent="0.25">
      <c r="B858" s="42" t="str">
        <f t="shared" si="28"/>
        <v>GW1_N588/BUGW-INFLOW</v>
      </c>
      <c r="C858" t="s">
        <v>3858</v>
      </c>
      <c r="D858" t="s">
        <v>3859</v>
      </c>
      <c r="E858" t="s">
        <v>4032</v>
      </c>
      <c r="F858">
        <v>87</v>
      </c>
      <c r="G858" t="s">
        <v>4033</v>
      </c>
      <c r="H858" t="s">
        <v>0</v>
      </c>
      <c r="I858" t="s">
        <v>222</v>
      </c>
      <c r="J858" t="s">
        <v>72</v>
      </c>
      <c r="L858" t="s">
        <v>3</v>
      </c>
      <c r="M858" t="s">
        <v>4</v>
      </c>
      <c r="N858" s="3" t="str">
        <f t="shared" si="27"/>
        <v>F</v>
      </c>
      <c r="O858" s="3" t="str">
        <f>IF(_xlfn.IFNA(MATCH(B858,Table1[UID],0),"F")="F","F","T")</f>
        <v>T</v>
      </c>
    </row>
    <row r="859" spans="2:15" x14ac:dyDescent="0.25">
      <c r="B859" s="42" t="str">
        <f t="shared" si="28"/>
        <v>GW1_N589/BUGW-INFLOW</v>
      </c>
      <c r="C859" t="s">
        <v>3858</v>
      </c>
      <c r="D859" t="s">
        <v>3859</v>
      </c>
      <c r="E859" t="s">
        <v>4034</v>
      </c>
      <c r="F859">
        <v>88</v>
      </c>
      <c r="G859" t="s">
        <v>4035</v>
      </c>
      <c r="H859" t="s">
        <v>0</v>
      </c>
      <c r="I859" t="s">
        <v>223</v>
      </c>
      <c r="J859" t="s">
        <v>72</v>
      </c>
      <c r="L859" t="s">
        <v>3</v>
      </c>
      <c r="M859" t="s">
        <v>4</v>
      </c>
      <c r="N859" s="3" t="str">
        <f t="shared" si="27"/>
        <v>F</v>
      </c>
      <c r="O859" s="3" t="str">
        <f>IF(_xlfn.IFNA(MATCH(B859,Table1[UID],0),"F")="F","F","T")</f>
        <v>T</v>
      </c>
    </row>
    <row r="860" spans="2:15" x14ac:dyDescent="0.25">
      <c r="B860" s="42" t="str">
        <f t="shared" si="28"/>
        <v>GW1_N600/BUGW-INFLOW</v>
      </c>
      <c r="C860" t="s">
        <v>3858</v>
      </c>
      <c r="D860" t="s">
        <v>3859</v>
      </c>
      <c r="E860" t="s">
        <v>4036</v>
      </c>
      <c r="F860">
        <v>89</v>
      </c>
      <c r="G860" t="s">
        <v>4037</v>
      </c>
      <c r="H860" t="s">
        <v>0</v>
      </c>
      <c r="I860" t="s">
        <v>224</v>
      </c>
      <c r="J860" t="s">
        <v>72</v>
      </c>
      <c r="L860" t="s">
        <v>3</v>
      </c>
      <c r="M860" t="s">
        <v>4</v>
      </c>
      <c r="N860" s="3" t="str">
        <f t="shared" si="27"/>
        <v>F</v>
      </c>
      <c r="O860" s="3" t="str">
        <f>IF(_xlfn.IFNA(MATCH(B860,Table1[UID],0),"F")="F","F","T")</f>
        <v>T</v>
      </c>
    </row>
    <row r="861" spans="2:15" x14ac:dyDescent="0.25">
      <c r="B861" s="42" t="str">
        <f t="shared" si="28"/>
        <v>GW1_N601/BUGW-INFLOW</v>
      </c>
      <c r="C861" t="s">
        <v>3858</v>
      </c>
      <c r="D861" t="s">
        <v>3859</v>
      </c>
      <c r="E861" t="s">
        <v>4038</v>
      </c>
      <c r="F861">
        <v>90</v>
      </c>
      <c r="G861" t="s">
        <v>4039</v>
      </c>
      <c r="H861" t="s">
        <v>0</v>
      </c>
      <c r="I861" t="s">
        <v>225</v>
      </c>
      <c r="J861" t="s">
        <v>72</v>
      </c>
      <c r="L861" t="s">
        <v>3</v>
      </c>
      <c r="M861" t="s">
        <v>4</v>
      </c>
      <c r="N861" s="3" t="str">
        <f t="shared" si="27"/>
        <v>F</v>
      </c>
      <c r="O861" s="3" t="str">
        <f>IF(_xlfn.IFNA(MATCH(B861,Table1[UID],0),"F")="F","F","T")</f>
        <v>T</v>
      </c>
    </row>
    <row r="862" spans="2:15" x14ac:dyDescent="0.25">
      <c r="B862" s="42" t="str">
        <f t="shared" si="28"/>
        <v>GW1_N607/BUGW-INFLOW</v>
      </c>
      <c r="C862" t="s">
        <v>3858</v>
      </c>
      <c r="D862" t="s">
        <v>3859</v>
      </c>
      <c r="E862" t="s">
        <v>4040</v>
      </c>
      <c r="F862">
        <v>91</v>
      </c>
      <c r="G862" t="s">
        <v>4041</v>
      </c>
      <c r="H862" t="s">
        <v>0</v>
      </c>
      <c r="I862" t="s">
        <v>226</v>
      </c>
      <c r="J862" t="s">
        <v>72</v>
      </c>
      <c r="L862" t="s">
        <v>3</v>
      </c>
      <c r="M862" t="s">
        <v>4</v>
      </c>
      <c r="N862" s="3" t="str">
        <f t="shared" si="27"/>
        <v>F</v>
      </c>
      <c r="O862" s="3" t="str">
        <f>IF(_xlfn.IFNA(MATCH(B862,Table1[UID],0),"F")="F","F","T")</f>
        <v>T</v>
      </c>
    </row>
    <row r="863" spans="2:15" x14ac:dyDescent="0.25">
      <c r="B863" s="42" t="str">
        <f t="shared" si="28"/>
        <v>GW1_N609/BUGW-INFLOW</v>
      </c>
      <c r="C863" t="s">
        <v>3858</v>
      </c>
      <c r="D863" t="s">
        <v>3859</v>
      </c>
      <c r="E863" t="s">
        <v>4042</v>
      </c>
      <c r="F863">
        <v>92</v>
      </c>
      <c r="G863" t="s">
        <v>4043</v>
      </c>
      <c r="H863" t="s">
        <v>0</v>
      </c>
      <c r="I863" t="s">
        <v>227</v>
      </c>
      <c r="J863" t="s">
        <v>72</v>
      </c>
      <c r="L863" t="s">
        <v>3</v>
      </c>
      <c r="M863" t="s">
        <v>4</v>
      </c>
      <c r="N863" s="3" t="str">
        <f t="shared" si="27"/>
        <v>F</v>
      </c>
      <c r="O863" s="3" t="str">
        <f>IF(_xlfn.IFNA(MATCH(B863,Table1[UID],0),"F")="F","F","T")</f>
        <v>T</v>
      </c>
    </row>
    <row r="864" spans="2:15" x14ac:dyDescent="0.25">
      <c r="B864" s="42" t="str">
        <f t="shared" si="28"/>
        <v>GW1_N611/BUGW-INFLOW</v>
      </c>
      <c r="C864" t="s">
        <v>3858</v>
      </c>
      <c r="D864" t="s">
        <v>3859</v>
      </c>
      <c r="E864" t="s">
        <v>4044</v>
      </c>
      <c r="F864">
        <v>93</v>
      </c>
      <c r="G864" t="s">
        <v>4045</v>
      </c>
      <c r="H864" t="s">
        <v>0</v>
      </c>
      <c r="I864" t="s">
        <v>228</v>
      </c>
      <c r="J864" t="s">
        <v>72</v>
      </c>
      <c r="L864" t="s">
        <v>3</v>
      </c>
      <c r="M864" t="s">
        <v>4</v>
      </c>
      <c r="N864" s="3" t="str">
        <f t="shared" si="27"/>
        <v>F</v>
      </c>
      <c r="O864" s="3" t="str">
        <f>IF(_xlfn.IFNA(MATCH(B864,Table1[UID],0),"F")="F","F","T")</f>
        <v>T</v>
      </c>
    </row>
    <row r="865" spans="2:15" x14ac:dyDescent="0.25">
      <c r="B865" s="42" t="str">
        <f t="shared" si="28"/>
        <v>GW1_N613/BUGW-INFLOW</v>
      </c>
      <c r="C865" t="s">
        <v>3858</v>
      </c>
      <c r="D865" t="s">
        <v>3859</v>
      </c>
      <c r="E865" t="s">
        <v>4046</v>
      </c>
      <c r="F865">
        <v>94</v>
      </c>
      <c r="G865" t="s">
        <v>4047</v>
      </c>
      <c r="H865" t="s">
        <v>0</v>
      </c>
      <c r="I865" t="s">
        <v>229</v>
      </c>
      <c r="J865" t="s">
        <v>72</v>
      </c>
      <c r="L865" t="s">
        <v>3</v>
      </c>
      <c r="M865" t="s">
        <v>4</v>
      </c>
      <c r="N865" s="3" t="str">
        <f t="shared" si="27"/>
        <v>F</v>
      </c>
      <c r="O865" s="3" t="str">
        <f>IF(_xlfn.IFNA(MATCH(B865,Table1[UID],0),"F")="F","F","T")</f>
        <v>T</v>
      </c>
    </row>
    <row r="866" spans="2:15" x14ac:dyDescent="0.25">
      <c r="B866" s="42" t="str">
        <f t="shared" si="28"/>
        <v>GW1_N630/BUGW-INFLOW</v>
      </c>
      <c r="C866" t="s">
        <v>3858</v>
      </c>
      <c r="D866" t="s">
        <v>3859</v>
      </c>
      <c r="E866" t="s">
        <v>4048</v>
      </c>
      <c r="F866">
        <v>95</v>
      </c>
      <c r="G866" t="s">
        <v>4049</v>
      </c>
      <c r="H866" t="s">
        <v>0</v>
      </c>
      <c r="I866" t="s">
        <v>231</v>
      </c>
      <c r="J866" t="s">
        <v>72</v>
      </c>
      <c r="L866" t="s">
        <v>3</v>
      </c>
      <c r="M866" t="s">
        <v>4</v>
      </c>
      <c r="N866" s="3" t="str">
        <f t="shared" si="27"/>
        <v>F</v>
      </c>
      <c r="O866" s="3" t="str">
        <f>IF(_xlfn.IFNA(MATCH(B866,Table1[UID],0),"F")="F","F","T")</f>
        <v>T</v>
      </c>
    </row>
    <row r="867" spans="2:15" x14ac:dyDescent="0.25">
      <c r="B867" s="42" t="str">
        <f t="shared" si="28"/>
        <v>GW1_N631/BUGW-INFLOW</v>
      </c>
      <c r="C867" t="s">
        <v>3858</v>
      </c>
      <c r="D867" t="s">
        <v>3859</v>
      </c>
      <c r="E867" t="s">
        <v>4050</v>
      </c>
      <c r="F867">
        <v>96</v>
      </c>
      <c r="G867" t="s">
        <v>4051</v>
      </c>
      <c r="H867" t="s">
        <v>0</v>
      </c>
      <c r="I867" t="s">
        <v>232</v>
      </c>
      <c r="J867" t="s">
        <v>72</v>
      </c>
      <c r="L867" t="s">
        <v>3</v>
      </c>
      <c r="M867" t="s">
        <v>4</v>
      </c>
      <c r="N867" s="3" t="str">
        <f t="shared" si="27"/>
        <v>F</v>
      </c>
      <c r="O867" s="3" t="str">
        <f>IF(_xlfn.IFNA(MATCH(B867,Table1[UID],0),"F")="F","F","T")</f>
        <v>T</v>
      </c>
    </row>
    <row r="868" spans="2:15" x14ac:dyDescent="0.25">
      <c r="B868" s="42" t="str">
        <f t="shared" si="28"/>
        <v>GW1_N641/BUGW-INFLOW</v>
      </c>
      <c r="C868" t="s">
        <v>3858</v>
      </c>
      <c r="D868" t="s">
        <v>3859</v>
      </c>
      <c r="E868" t="s">
        <v>4052</v>
      </c>
      <c r="F868">
        <v>97</v>
      </c>
      <c r="G868" t="s">
        <v>4053</v>
      </c>
      <c r="H868" t="s">
        <v>0</v>
      </c>
      <c r="I868" t="s">
        <v>233</v>
      </c>
      <c r="J868" t="s">
        <v>72</v>
      </c>
      <c r="L868" t="s">
        <v>3</v>
      </c>
      <c r="M868" t="s">
        <v>4</v>
      </c>
      <c r="N868" s="3" t="str">
        <f t="shared" si="27"/>
        <v>F</v>
      </c>
      <c r="O868" s="3" t="str">
        <f>IF(_xlfn.IFNA(MATCH(B868,Table1[UID],0),"F")="F","F","T")</f>
        <v>T</v>
      </c>
    </row>
    <row r="869" spans="2:15" x14ac:dyDescent="0.25">
      <c r="B869" s="42" t="str">
        <f t="shared" si="28"/>
        <v>GW1_N646/BUGW-INFLOW</v>
      </c>
      <c r="C869" t="s">
        <v>3858</v>
      </c>
      <c r="D869" t="s">
        <v>3859</v>
      </c>
      <c r="E869" t="s">
        <v>4054</v>
      </c>
      <c r="F869">
        <v>98</v>
      </c>
      <c r="G869" t="s">
        <v>4055</v>
      </c>
      <c r="H869" t="s">
        <v>0</v>
      </c>
      <c r="I869" t="s">
        <v>234</v>
      </c>
      <c r="J869" t="s">
        <v>72</v>
      </c>
      <c r="L869" t="s">
        <v>3</v>
      </c>
      <c r="M869" t="s">
        <v>4</v>
      </c>
      <c r="N869" s="3" t="str">
        <f t="shared" si="27"/>
        <v>F</v>
      </c>
      <c r="O869" s="3" t="str">
        <f>IF(_xlfn.IFNA(MATCH(B869,Table1[UID],0),"F")="F","F","T")</f>
        <v>T</v>
      </c>
    </row>
    <row r="870" spans="2:15" x14ac:dyDescent="0.25">
      <c r="B870" s="42" t="str">
        <f t="shared" si="28"/>
        <v>GW1_N647/BUGW-INFLOW</v>
      </c>
      <c r="C870" t="s">
        <v>3858</v>
      </c>
      <c r="D870" t="s">
        <v>3859</v>
      </c>
      <c r="E870" t="s">
        <v>4056</v>
      </c>
      <c r="F870">
        <v>99</v>
      </c>
      <c r="G870" t="s">
        <v>4057</v>
      </c>
      <c r="H870" t="s">
        <v>0</v>
      </c>
      <c r="I870" t="s">
        <v>235</v>
      </c>
      <c r="J870" t="s">
        <v>72</v>
      </c>
      <c r="L870" t="s">
        <v>3</v>
      </c>
      <c r="M870" t="s">
        <v>4</v>
      </c>
      <c r="N870" s="3" t="str">
        <f t="shared" si="27"/>
        <v>F</v>
      </c>
      <c r="O870" s="3" t="str">
        <f>IF(_xlfn.IFNA(MATCH(B870,Table1[UID],0),"F")="F","F","T")</f>
        <v>T</v>
      </c>
    </row>
    <row r="871" spans="2:15" x14ac:dyDescent="0.25">
      <c r="B871" s="42" t="str">
        <f t="shared" si="28"/>
        <v>GW1_N658/BUGW-INFLOW</v>
      </c>
      <c r="C871" t="s">
        <v>3858</v>
      </c>
      <c r="D871" t="s">
        <v>3859</v>
      </c>
      <c r="E871" t="s">
        <v>4058</v>
      </c>
      <c r="F871">
        <v>100</v>
      </c>
      <c r="G871" t="s">
        <v>4059</v>
      </c>
      <c r="H871" t="s">
        <v>0</v>
      </c>
      <c r="I871" t="s">
        <v>236</v>
      </c>
      <c r="J871" t="s">
        <v>72</v>
      </c>
      <c r="L871" t="s">
        <v>3</v>
      </c>
      <c r="M871" t="s">
        <v>4</v>
      </c>
      <c r="N871" s="3" t="str">
        <f t="shared" si="27"/>
        <v>F</v>
      </c>
      <c r="O871" s="3" t="str">
        <f>IF(_xlfn.IFNA(MATCH(B871,Table1[UID],0),"F")="F","F","T")</f>
        <v>T</v>
      </c>
    </row>
    <row r="872" spans="2:15" x14ac:dyDescent="0.25">
      <c r="B872" s="42" t="str">
        <f t="shared" si="28"/>
        <v>GW1_N669/BUGW-INFLOW</v>
      </c>
      <c r="C872" t="s">
        <v>3858</v>
      </c>
      <c r="D872" t="s">
        <v>3859</v>
      </c>
      <c r="E872" t="s">
        <v>4060</v>
      </c>
      <c r="F872">
        <v>101</v>
      </c>
      <c r="G872" t="s">
        <v>4061</v>
      </c>
      <c r="H872" t="s">
        <v>0</v>
      </c>
      <c r="I872" t="s">
        <v>237</v>
      </c>
      <c r="J872" t="s">
        <v>72</v>
      </c>
      <c r="L872" t="s">
        <v>3</v>
      </c>
      <c r="M872" t="s">
        <v>4</v>
      </c>
      <c r="N872" s="3" t="str">
        <f t="shared" si="27"/>
        <v>F</v>
      </c>
      <c r="O872" s="3" t="str">
        <f>IF(_xlfn.IFNA(MATCH(B872,Table1[UID],0),"F")="F","F","T")</f>
        <v>T</v>
      </c>
    </row>
    <row r="873" spans="2:15" x14ac:dyDescent="0.25">
      <c r="B873" s="42" t="str">
        <f t="shared" si="28"/>
        <v>GW1_N679/BUGW-INFLOW</v>
      </c>
      <c r="C873" t="s">
        <v>3858</v>
      </c>
      <c r="D873" t="s">
        <v>3859</v>
      </c>
      <c r="E873" t="s">
        <v>4062</v>
      </c>
      <c r="F873">
        <v>102</v>
      </c>
      <c r="G873" t="s">
        <v>4063</v>
      </c>
      <c r="H873" t="s">
        <v>0</v>
      </c>
      <c r="I873" t="s">
        <v>238</v>
      </c>
      <c r="J873" t="s">
        <v>72</v>
      </c>
      <c r="L873" t="s">
        <v>3</v>
      </c>
      <c r="M873" t="s">
        <v>4</v>
      </c>
      <c r="N873" s="3" t="str">
        <f t="shared" si="27"/>
        <v>F</v>
      </c>
      <c r="O873" s="3" t="str">
        <f>IF(_xlfn.IFNA(MATCH(B873,Table1[UID],0),"F")="F","F","T")</f>
        <v>T</v>
      </c>
    </row>
    <row r="874" spans="2:15" x14ac:dyDescent="0.25">
      <c r="B874" s="42" t="str">
        <f t="shared" si="28"/>
        <v>GW1_N680/BUGW-INFLOW</v>
      </c>
      <c r="C874" t="s">
        <v>3858</v>
      </c>
      <c r="D874" t="s">
        <v>3859</v>
      </c>
      <c r="E874" t="s">
        <v>4064</v>
      </c>
      <c r="F874">
        <v>103</v>
      </c>
      <c r="G874" t="s">
        <v>4065</v>
      </c>
      <c r="H874" t="s">
        <v>0</v>
      </c>
      <c r="I874" t="s">
        <v>239</v>
      </c>
      <c r="J874" t="s">
        <v>72</v>
      </c>
      <c r="L874" t="s">
        <v>3</v>
      </c>
      <c r="M874" t="s">
        <v>4</v>
      </c>
      <c r="N874" s="3" t="str">
        <f t="shared" si="27"/>
        <v>F</v>
      </c>
      <c r="O874" s="3" t="str">
        <f>IF(_xlfn.IFNA(MATCH(B874,Table1[UID],0),"F")="F","F","T")</f>
        <v>T</v>
      </c>
    </row>
    <row r="875" spans="2:15" x14ac:dyDescent="0.25">
      <c r="B875" s="42" t="str">
        <f t="shared" si="28"/>
        <v>GW1_N691/BUGW-INFLOW</v>
      </c>
      <c r="C875" t="s">
        <v>3858</v>
      </c>
      <c r="D875" t="s">
        <v>3859</v>
      </c>
      <c r="E875" t="s">
        <v>4066</v>
      </c>
      <c r="F875">
        <v>104</v>
      </c>
      <c r="G875" t="s">
        <v>4067</v>
      </c>
      <c r="H875" t="s">
        <v>0</v>
      </c>
      <c r="I875" t="s">
        <v>240</v>
      </c>
      <c r="J875" t="s">
        <v>72</v>
      </c>
      <c r="L875" t="s">
        <v>3</v>
      </c>
      <c r="M875" t="s">
        <v>4</v>
      </c>
      <c r="N875" s="3" t="str">
        <f t="shared" si="27"/>
        <v>F</v>
      </c>
      <c r="O875" s="3" t="str">
        <f>IF(_xlfn.IFNA(MATCH(B875,Table1[UID],0),"F")="F","F","T")</f>
        <v>T</v>
      </c>
    </row>
    <row r="876" spans="2:15" x14ac:dyDescent="0.25">
      <c r="B876" s="42" t="str">
        <f t="shared" si="28"/>
        <v>GW1_N710/BUGW-INFLOW</v>
      </c>
      <c r="C876" t="s">
        <v>3858</v>
      </c>
      <c r="D876" t="s">
        <v>3859</v>
      </c>
      <c r="E876" t="s">
        <v>4068</v>
      </c>
      <c r="F876">
        <v>105</v>
      </c>
      <c r="G876" t="s">
        <v>4069</v>
      </c>
      <c r="H876" t="s">
        <v>0</v>
      </c>
      <c r="I876" t="s">
        <v>241</v>
      </c>
      <c r="J876" t="s">
        <v>72</v>
      </c>
      <c r="L876" t="s">
        <v>3</v>
      </c>
      <c r="M876" t="s">
        <v>4</v>
      </c>
      <c r="N876" s="3" t="str">
        <f t="shared" si="27"/>
        <v>F</v>
      </c>
      <c r="O876" s="3" t="str">
        <f>IF(_xlfn.IFNA(MATCH(B876,Table1[UID],0),"F")="F","F","T")</f>
        <v>T</v>
      </c>
    </row>
    <row r="877" spans="2:15" x14ac:dyDescent="0.25">
      <c r="B877" s="42" t="str">
        <f t="shared" si="28"/>
        <v>GW1_N711/BUGW-INFLOW</v>
      </c>
      <c r="C877" t="s">
        <v>3858</v>
      </c>
      <c r="D877" t="s">
        <v>3859</v>
      </c>
      <c r="E877" t="s">
        <v>4070</v>
      </c>
      <c r="F877">
        <v>106</v>
      </c>
      <c r="G877" t="s">
        <v>4071</v>
      </c>
      <c r="H877" t="s">
        <v>0</v>
      </c>
      <c r="I877" t="s">
        <v>242</v>
      </c>
      <c r="J877" t="s">
        <v>72</v>
      </c>
      <c r="L877" t="s">
        <v>3</v>
      </c>
      <c r="M877" t="s">
        <v>4</v>
      </c>
      <c r="N877" s="3" t="str">
        <f t="shared" si="27"/>
        <v>F</v>
      </c>
      <c r="O877" s="3" t="str">
        <f>IF(_xlfn.IFNA(MATCH(B877,Table1[UID],0),"F")="F","F","T")</f>
        <v>T</v>
      </c>
    </row>
    <row r="878" spans="2:15" x14ac:dyDescent="0.25">
      <c r="B878" s="42" t="str">
        <f t="shared" si="28"/>
        <v>GW1_N722/BUGW-INFLOW</v>
      </c>
      <c r="C878" t="s">
        <v>3858</v>
      </c>
      <c r="D878" t="s">
        <v>3859</v>
      </c>
      <c r="E878" t="s">
        <v>4072</v>
      </c>
      <c r="F878">
        <v>107</v>
      </c>
      <c r="G878" t="s">
        <v>4073</v>
      </c>
      <c r="H878" t="s">
        <v>0</v>
      </c>
      <c r="I878" t="s">
        <v>243</v>
      </c>
      <c r="J878" t="s">
        <v>72</v>
      </c>
      <c r="L878" t="s">
        <v>3</v>
      </c>
      <c r="M878" t="s">
        <v>4</v>
      </c>
      <c r="N878" s="3" t="str">
        <f t="shared" si="27"/>
        <v>F</v>
      </c>
      <c r="O878" s="3" t="str">
        <f>IF(_xlfn.IFNA(MATCH(B878,Table1[UID],0),"F")="F","F","T")</f>
        <v>T</v>
      </c>
    </row>
    <row r="879" spans="2:15" x14ac:dyDescent="0.25">
      <c r="B879" s="42" t="str">
        <f t="shared" si="28"/>
        <v>GW1_N723/BUGW-INFLOW</v>
      </c>
      <c r="C879" t="s">
        <v>3858</v>
      </c>
      <c r="D879" t="s">
        <v>3859</v>
      </c>
      <c r="E879" t="s">
        <v>4074</v>
      </c>
      <c r="F879">
        <v>108</v>
      </c>
      <c r="G879" t="s">
        <v>4075</v>
      </c>
      <c r="H879" t="s">
        <v>0</v>
      </c>
      <c r="I879" t="s">
        <v>244</v>
      </c>
      <c r="J879" t="s">
        <v>72</v>
      </c>
      <c r="L879" t="s">
        <v>3</v>
      </c>
      <c r="M879" t="s">
        <v>4</v>
      </c>
      <c r="N879" s="3" t="str">
        <f t="shared" si="27"/>
        <v>F</v>
      </c>
      <c r="O879" s="3" t="str">
        <f>IF(_xlfn.IFNA(MATCH(B879,Table1[UID],0),"F")="F","F","T")</f>
        <v>T</v>
      </c>
    </row>
    <row r="880" spans="2:15" x14ac:dyDescent="0.25">
      <c r="B880" s="42" t="str">
        <f t="shared" si="28"/>
        <v>GW1_N735/BUGW-INFLOW</v>
      </c>
      <c r="C880" t="s">
        <v>3858</v>
      </c>
      <c r="D880" t="s">
        <v>3859</v>
      </c>
      <c r="E880" t="s">
        <v>4076</v>
      </c>
      <c r="F880">
        <v>109</v>
      </c>
      <c r="G880" t="s">
        <v>4077</v>
      </c>
      <c r="H880" t="s">
        <v>0</v>
      </c>
      <c r="I880" t="s">
        <v>245</v>
      </c>
      <c r="J880" t="s">
        <v>72</v>
      </c>
      <c r="L880" t="s">
        <v>3</v>
      </c>
      <c r="M880" t="s">
        <v>4</v>
      </c>
      <c r="N880" s="3" t="str">
        <f t="shared" si="27"/>
        <v>F</v>
      </c>
      <c r="O880" s="3" t="str">
        <f>IF(_xlfn.IFNA(MATCH(B880,Table1[UID],0),"F")="F","F","T")</f>
        <v>T</v>
      </c>
    </row>
    <row r="881" spans="2:15" x14ac:dyDescent="0.25">
      <c r="B881" s="42" t="str">
        <f t="shared" si="28"/>
        <v>GW1_N748/BUGW-INFLOW</v>
      </c>
      <c r="C881" t="s">
        <v>3858</v>
      </c>
      <c r="D881" t="s">
        <v>3859</v>
      </c>
      <c r="E881" t="s">
        <v>4078</v>
      </c>
      <c r="F881">
        <v>110</v>
      </c>
      <c r="G881" t="s">
        <v>4079</v>
      </c>
      <c r="H881" t="s">
        <v>0</v>
      </c>
      <c r="I881" t="s">
        <v>247</v>
      </c>
      <c r="J881" t="s">
        <v>72</v>
      </c>
      <c r="L881" t="s">
        <v>3</v>
      </c>
      <c r="M881" t="s">
        <v>4</v>
      </c>
      <c r="N881" s="3" t="str">
        <f t="shared" si="27"/>
        <v>F</v>
      </c>
      <c r="O881" s="3" t="str">
        <f>IF(_xlfn.IFNA(MATCH(B881,Table1[UID],0),"F")="F","F","T")</f>
        <v>T</v>
      </c>
    </row>
    <row r="882" spans="2:15" x14ac:dyDescent="0.25">
      <c r="B882" s="42" t="str">
        <f t="shared" si="28"/>
        <v>GW1_N758/BUGW-INFLOW</v>
      </c>
      <c r="C882" t="s">
        <v>3858</v>
      </c>
      <c r="D882" t="s">
        <v>3859</v>
      </c>
      <c r="E882" t="s">
        <v>4080</v>
      </c>
      <c r="F882">
        <v>111</v>
      </c>
      <c r="G882" t="s">
        <v>4081</v>
      </c>
      <c r="H882" t="s">
        <v>0</v>
      </c>
      <c r="I882" t="s">
        <v>248</v>
      </c>
      <c r="J882" t="s">
        <v>72</v>
      </c>
      <c r="L882" t="s">
        <v>3</v>
      </c>
      <c r="M882" t="s">
        <v>4</v>
      </c>
      <c r="N882" s="3" t="str">
        <f t="shared" si="27"/>
        <v>F</v>
      </c>
      <c r="O882" s="3" t="str">
        <f>IF(_xlfn.IFNA(MATCH(B882,Table1[UID],0),"F")="F","F","T")</f>
        <v>T</v>
      </c>
    </row>
    <row r="883" spans="2:15" x14ac:dyDescent="0.25">
      <c r="B883" s="42" t="str">
        <f t="shared" si="28"/>
        <v>GW1_N763/BUGW-INFLOW</v>
      </c>
      <c r="C883" t="s">
        <v>3858</v>
      </c>
      <c r="D883" t="s">
        <v>3859</v>
      </c>
      <c r="E883" t="s">
        <v>4082</v>
      </c>
      <c r="F883">
        <v>112</v>
      </c>
      <c r="G883" t="s">
        <v>4083</v>
      </c>
      <c r="H883" t="s">
        <v>0</v>
      </c>
      <c r="I883" t="s">
        <v>249</v>
      </c>
      <c r="J883" t="s">
        <v>72</v>
      </c>
      <c r="L883" t="s">
        <v>3</v>
      </c>
      <c r="M883" t="s">
        <v>4</v>
      </c>
      <c r="N883" s="3" t="str">
        <f t="shared" si="27"/>
        <v>F</v>
      </c>
      <c r="O883" s="3" t="str">
        <f>IF(_xlfn.IFNA(MATCH(B883,Table1[UID],0),"F")="F","F","T")</f>
        <v>T</v>
      </c>
    </row>
    <row r="884" spans="2:15" x14ac:dyDescent="0.25">
      <c r="B884" s="42" t="str">
        <f t="shared" si="28"/>
        <v>GW1_N764/BUGW-INFLOW</v>
      </c>
      <c r="C884" t="s">
        <v>3858</v>
      </c>
      <c r="D884" t="s">
        <v>3859</v>
      </c>
      <c r="E884" t="s">
        <v>4084</v>
      </c>
      <c r="F884">
        <v>113</v>
      </c>
      <c r="G884" t="s">
        <v>4085</v>
      </c>
      <c r="H884" t="s">
        <v>0</v>
      </c>
      <c r="I884" t="s">
        <v>250</v>
      </c>
      <c r="J884" t="s">
        <v>72</v>
      </c>
      <c r="L884" t="s">
        <v>3</v>
      </c>
      <c r="M884" t="s">
        <v>4</v>
      </c>
      <c r="N884" s="3" t="str">
        <f t="shared" si="27"/>
        <v>F</v>
      </c>
      <c r="O884" s="3" t="str">
        <f>IF(_xlfn.IFNA(MATCH(B884,Table1[UID],0),"F")="F","F","T")</f>
        <v>T</v>
      </c>
    </row>
    <row r="885" spans="2:15" x14ac:dyDescent="0.25">
      <c r="B885" s="42" t="str">
        <f t="shared" si="28"/>
        <v>GW1_N779/BUGW-INFLOW</v>
      </c>
      <c r="C885" t="s">
        <v>3858</v>
      </c>
      <c r="D885" t="s">
        <v>3859</v>
      </c>
      <c r="E885" t="s">
        <v>4086</v>
      </c>
      <c r="F885">
        <v>114</v>
      </c>
      <c r="G885" t="s">
        <v>4087</v>
      </c>
      <c r="H885" t="s">
        <v>0</v>
      </c>
      <c r="I885" t="s">
        <v>251</v>
      </c>
      <c r="J885" t="s">
        <v>72</v>
      </c>
      <c r="L885" t="s">
        <v>3</v>
      </c>
      <c r="M885" t="s">
        <v>4</v>
      </c>
      <c r="N885" s="3" t="str">
        <f t="shared" si="27"/>
        <v>F</v>
      </c>
      <c r="O885" s="3" t="str">
        <f>IF(_xlfn.IFNA(MATCH(B885,Table1[UID],0),"F")="F","F","T")</f>
        <v>T</v>
      </c>
    </row>
    <row r="886" spans="2:15" x14ac:dyDescent="0.25">
      <c r="B886" s="42" t="str">
        <f t="shared" si="28"/>
        <v>GW1_N780/BUGW-INFLOW</v>
      </c>
      <c r="C886" t="s">
        <v>3858</v>
      </c>
      <c r="D886" t="s">
        <v>3859</v>
      </c>
      <c r="E886" t="s">
        <v>4088</v>
      </c>
      <c r="F886">
        <v>115</v>
      </c>
      <c r="G886" t="s">
        <v>4089</v>
      </c>
      <c r="H886" t="s">
        <v>0</v>
      </c>
      <c r="I886" t="s">
        <v>252</v>
      </c>
      <c r="J886" t="s">
        <v>72</v>
      </c>
      <c r="L886" t="s">
        <v>3</v>
      </c>
      <c r="M886" t="s">
        <v>4</v>
      </c>
      <c r="N886" s="3" t="str">
        <f t="shared" si="27"/>
        <v>F</v>
      </c>
      <c r="O886" s="3" t="str">
        <f>IF(_xlfn.IFNA(MATCH(B886,Table1[UID],0),"F")="F","F","T")</f>
        <v>T</v>
      </c>
    </row>
    <row r="887" spans="2:15" x14ac:dyDescent="0.25">
      <c r="B887" s="42" t="str">
        <f t="shared" si="28"/>
        <v>GW1_N793/BUGW-INFLOW</v>
      </c>
      <c r="C887" t="s">
        <v>3858</v>
      </c>
      <c r="D887" t="s">
        <v>3859</v>
      </c>
      <c r="E887" t="s">
        <v>4090</v>
      </c>
      <c r="F887">
        <v>116</v>
      </c>
      <c r="G887" t="s">
        <v>4091</v>
      </c>
      <c r="H887" t="s">
        <v>0</v>
      </c>
      <c r="I887" t="s">
        <v>253</v>
      </c>
      <c r="J887" t="s">
        <v>72</v>
      </c>
      <c r="L887" t="s">
        <v>3</v>
      </c>
      <c r="M887" t="s">
        <v>4</v>
      </c>
      <c r="N887" s="3" t="str">
        <f t="shared" si="27"/>
        <v>F</v>
      </c>
      <c r="O887" s="3" t="str">
        <f>IF(_xlfn.IFNA(MATCH(B887,Table1[UID],0),"F")="F","F","T")</f>
        <v>T</v>
      </c>
    </row>
    <row r="888" spans="2:15" x14ac:dyDescent="0.25">
      <c r="B888" s="42" t="str">
        <f t="shared" si="28"/>
        <v>GW1_N806/BUGW-INFLOW</v>
      </c>
      <c r="C888" t="s">
        <v>3858</v>
      </c>
      <c r="D888" t="s">
        <v>3859</v>
      </c>
      <c r="E888" t="s">
        <v>4092</v>
      </c>
      <c r="F888">
        <v>117</v>
      </c>
      <c r="G888" t="s">
        <v>4093</v>
      </c>
      <c r="H888" t="s">
        <v>0</v>
      </c>
      <c r="I888" t="s">
        <v>256</v>
      </c>
      <c r="J888" t="s">
        <v>72</v>
      </c>
      <c r="L888" t="s">
        <v>3</v>
      </c>
      <c r="M888" t="s">
        <v>4</v>
      </c>
      <c r="N888" s="3" t="str">
        <f t="shared" si="27"/>
        <v>F</v>
      </c>
      <c r="O888" s="3" t="str">
        <f>IF(_xlfn.IFNA(MATCH(B888,Table1[UID],0),"F")="F","F","T")</f>
        <v>T</v>
      </c>
    </row>
    <row r="889" spans="2:15" x14ac:dyDescent="0.25">
      <c r="B889" s="42" t="str">
        <f t="shared" si="28"/>
        <v>GW1_N813/BUGW-INFLOW</v>
      </c>
      <c r="C889" t="s">
        <v>3858</v>
      </c>
      <c r="D889" t="s">
        <v>3859</v>
      </c>
      <c r="E889" t="s">
        <v>4094</v>
      </c>
      <c r="F889">
        <v>118</v>
      </c>
      <c r="G889" t="s">
        <v>4095</v>
      </c>
      <c r="H889" t="s">
        <v>0</v>
      </c>
      <c r="I889" t="s">
        <v>257</v>
      </c>
      <c r="J889" t="s">
        <v>72</v>
      </c>
      <c r="L889" t="s">
        <v>3</v>
      </c>
      <c r="M889" t="s">
        <v>4</v>
      </c>
      <c r="N889" s="3" t="str">
        <f t="shared" si="27"/>
        <v>F</v>
      </c>
      <c r="O889" s="3" t="str">
        <f>IF(_xlfn.IFNA(MATCH(B889,Table1[UID],0),"F")="F","F","T")</f>
        <v>T</v>
      </c>
    </row>
    <row r="890" spans="2:15" x14ac:dyDescent="0.25">
      <c r="B890" s="42" t="str">
        <f t="shared" si="28"/>
        <v>GW1_N814/BUGW-INFLOW</v>
      </c>
      <c r="C890" t="s">
        <v>3858</v>
      </c>
      <c r="D890" t="s">
        <v>3859</v>
      </c>
      <c r="E890" t="s">
        <v>4096</v>
      </c>
      <c r="F890">
        <v>119</v>
      </c>
      <c r="G890" t="s">
        <v>4097</v>
      </c>
      <c r="H890" t="s">
        <v>0</v>
      </c>
      <c r="I890" t="s">
        <v>258</v>
      </c>
      <c r="J890" t="s">
        <v>72</v>
      </c>
      <c r="L890" t="s">
        <v>3</v>
      </c>
      <c r="M890" t="s">
        <v>4</v>
      </c>
      <c r="N890" s="3" t="str">
        <f t="shared" si="27"/>
        <v>F</v>
      </c>
      <c r="O890" s="3" t="str">
        <f>IF(_xlfn.IFNA(MATCH(B890,Table1[UID],0),"F")="F","F","T")</f>
        <v>T</v>
      </c>
    </row>
    <row r="891" spans="2:15" x14ac:dyDescent="0.25">
      <c r="B891" s="42" t="str">
        <f t="shared" si="28"/>
        <v>GW1_N837/BUGW-INFLOW</v>
      </c>
      <c r="C891" t="s">
        <v>3858</v>
      </c>
      <c r="D891" t="s">
        <v>3859</v>
      </c>
      <c r="E891" t="s">
        <v>4098</v>
      </c>
      <c r="F891">
        <v>120</v>
      </c>
      <c r="G891" t="s">
        <v>4099</v>
      </c>
      <c r="H891" t="s">
        <v>0</v>
      </c>
      <c r="I891" t="s">
        <v>259</v>
      </c>
      <c r="J891" t="s">
        <v>72</v>
      </c>
      <c r="L891" t="s">
        <v>3</v>
      </c>
      <c r="M891" t="s">
        <v>4</v>
      </c>
      <c r="N891" s="3" t="str">
        <f t="shared" si="27"/>
        <v>F</v>
      </c>
      <c r="O891" s="3" t="str">
        <f>IF(_xlfn.IFNA(MATCH(B891,Table1[UID],0),"F")="F","F","T")</f>
        <v>T</v>
      </c>
    </row>
    <row r="892" spans="2:15" x14ac:dyDescent="0.25">
      <c r="B892" s="42" t="str">
        <f t="shared" si="28"/>
        <v>GW1_N838/BUGW-INFLOW</v>
      </c>
      <c r="C892" t="s">
        <v>3858</v>
      </c>
      <c r="D892" t="s">
        <v>3859</v>
      </c>
      <c r="E892" t="s">
        <v>4100</v>
      </c>
      <c r="F892">
        <v>121</v>
      </c>
      <c r="G892" t="s">
        <v>4101</v>
      </c>
      <c r="H892" t="s">
        <v>0</v>
      </c>
      <c r="I892" t="s">
        <v>260</v>
      </c>
      <c r="J892" t="s">
        <v>72</v>
      </c>
      <c r="L892" t="s">
        <v>3</v>
      </c>
      <c r="M892" t="s">
        <v>4</v>
      </c>
      <c r="N892" s="3" t="str">
        <f t="shared" si="27"/>
        <v>F</v>
      </c>
      <c r="O892" s="3" t="str">
        <f>IF(_xlfn.IFNA(MATCH(B892,Table1[UID],0),"F")="F","F","T")</f>
        <v>T</v>
      </c>
    </row>
    <row r="893" spans="2:15" x14ac:dyDescent="0.25">
      <c r="B893" s="42" t="str">
        <f t="shared" si="28"/>
        <v>GW1_N839/BUGW-INFLOW</v>
      </c>
      <c r="C893" t="s">
        <v>3858</v>
      </c>
      <c r="D893" t="s">
        <v>3859</v>
      </c>
      <c r="E893" t="s">
        <v>4102</v>
      </c>
      <c r="F893">
        <v>122</v>
      </c>
      <c r="G893" t="s">
        <v>4103</v>
      </c>
      <c r="H893" t="s">
        <v>0</v>
      </c>
      <c r="I893" t="s">
        <v>261</v>
      </c>
      <c r="J893" t="s">
        <v>72</v>
      </c>
      <c r="L893" t="s">
        <v>3</v>
      </c>
      <c r="M893" t="s">
        <v>4</v>
      </c>
      <c r="N893" s="3" t="str">
        <f t="shared" si="27"/>
        <v>F</v>
      </c>
      <c r="O893" s="3" t="str">
        <f>IF(_xlfn.IFNA(MATCH(B893,Table1[UID],0),"F")="F","F","T")</f>
        <v>T</v>
      </c>
    </row>
    <row r="894" spans="2:15" x14ac:dyDescent="0.25">
      <c r="B894" s="42" t="str">
        <f t="shared" si="28"/>
        <v>GW1_N851/BUGW-INFLOW</v>
      </c>
      <c r="C894" t="s">
        <v>3858</v>
      </c>
      <c r="D894" t="s">
        <v>3859</v>
      </c>
      <c r="E894" t="s">
        <v>4104</v>
      </c>
      <c r="F894">
        <v>123</v>
      </c>
      <c r="G894" t="s">
        <v>4105</v>
      </c>
      <c r="H894" t="s">
        <v>0</v>
      </c>
      <c r="I894" t="s">
        <v>262</v>
      </c>
      <c r="J894" t="s">
        <v>72</v>
      </c>
      <c r="L894" t="s">
        <v>3</v>
      </c>
      <c r="M894" t="s">
        <v>4</v>
      </c>
      <c r="N894" s="3" t="str">
        <f t="shared" si="27"/>
        <v>F</v>
      </c>
      <c r="O894" s="3" t="str">
        <f>IF(_xlfn.IFNA(MATCH(B894,Table1[UID],0),"F")="F","F","T")</f>
        <v>T</v>
      </c>
    </row>
    <row r="895" spans="2:15" x14ac:dyDescent="0.25">
      <c r="B895" s="42" t="str">
        <f t="shared" si="28"/>
        <v>GW1_N852/BUGW-INFLOW</v>
      </c>
      <c r="C895" t="s">
        <v>3858</v>
      </c>
      <c r="D895" t="s">
        <v>3859</v>
      </c>
      <c r="E895" t="s">
        <v>4106</v>
      </c>
      <c r="F895">
        <v>124</v>
      </c>
      <c r="G895" t="s">
        <v>4107</v>
      </c>
      <c r="H895" t="s">
        <v>0</v>
      </c>
      <c r="I895" t="s">
        <v>263</v>
      </c>
      <c r="J895" t="s">
        <v>72</v>
      </c>
      <c r="L895" t="s">
        <v>3</v>
      </c>
      <c r="M895" t="s">
        <v>4</v>
      </c>
      <c r="N895" s="3" t="str">
        <f t="shared" si="27"/>
        <v>F</v>
      </c>
      <c r="O895" s="3" t="str">
        <f>IF(_xlfn.IFNA(MATCH(B895,Table1[UID],0),"F")="F","F","T")</f>
        <v>T</v>
      </c>
    </row>
    <row r="896" spans="2:15" x14ac:dyDescent="0.25">
      <c r="B896" s="42" t="str">
        <f t="shared" si="28"/>
        <v>GW1_N853/BUGW-INFLOW</v>
      </c>
      <c r="C896" t="s">
        <v>3858</v>
      </c>
      <c r="D896" t="s">
        <v>3859</v>
      </c>
      <c r="E896" t="s">
        <v>4108</v>
      </c>
      <c r="F896">
        <v>125</v>
      </c>
      <c r="G896" t="s">
        <v>4109</v>
      </c>
      <c r="H896" t="s">
        <v>0</v>
      </c>
      <c r="I896" t="s">
        <v>264</v>
      </c>
      <c r="J896" t="s">
        <v>72</v>
      </c>
      <c r="L896" t="s">
        <v>3</v>
      </c>
      <c r="M896" t="s">
        <v>4</v>
      </c>
      <c r="N896" s="3" t="str">
        <f t="shared" si="27"/>
        <v>F</v>
      </c>
      <c r="O896" s="3" t="str">
        <f>IF(_xlfn.IFNA(MATCH(B896,Table1[UID],0),"F")="F","F","T")</f>
        <v>T</v>
      </c>
    </row>
    <row r="897" spans="2:15" x14ac:dyDescent="0.25">
      <c r="B897" s="42" t="str">
        <f t="shared" si="28"/>
        <v>GW1_N861/BUGW-INFLOW</v>
      </c>
      <c r="C897" t="s">
        <v>3858</v>
      </c>
      <c r="D897" t="s">
        <v>3859</v>
      </c>
      <c r="E897" t="s">
        <v>4110</v>
      </c>
      <c r="F897">
        <v>126</v>
      </c>
      <c r="G897" t="s">
        <v>4111</v>
      </c>
      <c r="H897" t="s">
        <v>0</v>
      </c>
      <c r="I897" t="s">
        <v>265</v>
      </c>
      <c r="J897" t="s">
        <v>72</v>
      </c>
      <c r="L897" t="s">
        <v>3</v>
      </c>
      <c r="M897" t="s">
        <v>4</v>
      </c>
      <c r="N897" s="3" t="str">
        <f t="shared" si="27"/>
        <v>F</v>
      </c>
      <c r="O897" s="3" t="str">
        <f>IF(_xlfn.IFNA(MATCH(B897,Table1[UID],0),"F")="F","F","T")</f>
        <v>T</v>
      </c>
    </row>
    <row r="898" spans="2:15" x14ac:dyDescent="0.25">
      <c r="B898" s="42" t="str">
        <f t="shared" si="28"/>
        <v>GW1_N864/BUGW-INFLOW</v>
      </c>
      <c r="C898" t="s">
        <v>3858</v>
      </c>
      <c r="D898" t="s">
        <v>3859</v>
      </c>
      <c r="E898" t="s">
        <v>4112</v>
      </c>
      <c r="F898">
        <v>127</v>
      </c>
      <c r="G898" t="s">
        <v>4113</v>
      </c>
      <c r="H898" t="s">
        <v>0</v>
      </c>
      <c r="I898" t="s">
        <v>266</v>
      </c>
      <c r="J898" t="s">
        <v>72</v>
      </c>
      <c r="L898" t="s">
        <v>3</v>
      </c>
      <c r="M898" t="s">
        <v>4</v>
      </c>
      <c r="N898" s="3" t="str">
        <f t="shared" si="27"/>
        <v>F</v>
      </c>
      <c r="O898" s="3" t="str">
        <f>IF(_xlfn.IFNA(MATCH(B898,Table1[UID],0),"F")="F","F","T")</f>
        <v>T</v>
      </c>
    </row>
    <row r="899" spans="2:15" x14ac:dyDescent="0.25">
      <c r="B899" s="42" t="str">
        <f t="shared" si="28"/>
        <v>GW1_N881/BUGW-INFLOW</v>
      </c>
      <c r="C899" t="s">
        <v>3858</v>
      </c>
      <c r="D899" t="s">
        <v>3859</v>
      </c>
      <c r="E899" t="s">
        <v>4114</v>
      </c>
      <c r="F899">
        <v>128</v>
      </c>
      <c r="G899" t="s">
        <v>4115</v>
      </c>
      <c r="H899" t="s">
        <v>0</v>
      </c>
      <c r="I899" t="s">
        <v>267</v>
      </c>
      <c r="J899" t="s">
        <v>72</v>
      </c>
      <c r="L899" t="s">
        <v>3</v>
      </c>
      <c r="M899" t="s">
        <v>4</v>
      </c>
      <c r="N899" s="3" t="str">
        <f t="shared" ref="N899:N962" si="29">IF(COUNTIF($B$3:$B$1760,"="&amp;B899)&gt;1,"T","F")</f>
        <v>F</v>
      </c>
      <c r="O899" s="3" t="str">
        <f>IF(_xlfn.IFNA(MATCH(B899,Table1[UID],0),"F")="F","F","T")</f>
        <v>T</v>
      </c>
    </row>
    <row r="900" spans="2:15" x14ac:dyDescent="0.25">
      <c r="B900" s="42" t="str">
        <f t="shared" si="28"/>
        <v>GW1_N887/BUGW-INFLOW</v>
      </c>
      <c r="C900" t="s">
        <v>3858</v>
      </c>
      <c r="D900" t="s">
        <v>3859</v>
      </c>
      <c r="E900" t="s">
        <v>4116</v>
      </c>
      <c r="F900">
        <v>129</v>
      </c>
      <c r="G900" t="s">
        <v>4117</v>
      </c>
      <c r="H900" t="s">
        <v>0</v>
      </c>
      <c r="I900" t="s">
        <v>268</v>
      </c>
      <c r="J900" t="s">
        <v>72</v>
      </c>
      <c r="L900" t="s">
        <v>3</v>
      </c>
      <c r="M900" t="s">
        <v>4</v>
      </c>
      <c r="N900" s="3" t="str">
        <f t="shared" si="29"/>
        <v>F</v>
      </c>
      <c r="O900" s="3" t="str">
        <f>IF(_xlfn.IFNA(MATCH(B900,Table1[UID],0),"F")="F","F","T")</f>
        <v>T</v>
      </c>
    </row>
    <row r="901" spans="2:15" x14ac:dyDescent="0.25">
      <c r="B901" s="42" t="str">
        <f t="shared" si="28"/>
        <v>GW1_N901/BUGW-INFLOW</v>
      </c>
      <c r="C901" t="s">
        <v>3858</v>
      </c>
      <c r="D901" t="s">
        <v>3859</v>
      </c>
      <c r="E901" t="s">
        <v>4118</v>
      </c>
      <c r="F901">
        <v>130</v>
      </c>
      <c r="G901" t="s">
        <v>4119</v>
      </c>
      <c r="H901" t="s">
        <v>0</v>
      </c>
      <c r="I901" t="s">
        <v>270</v>
      </c>
      <c r="J901" t="s">
        <v>72</v>
      </c>
      <c r="L901" t="s">
        <v>3</v>
      </c>
      <c r="M901" t="s">
        <v>4</v>
      </c>
      <c r="N901" s="3" t="str">
        <f t="shared" si="29"/>
        <v>F</v>
      </c>
      <c r="O901" s="3" t="str">
        <f>IF(_xlfn.IFNA(MATCH(B901,Table1[UID],0),"F")="F","F","T")</f>
        <v>T</v>
      </c>
    </row>
    <row r="902" spans="2:15" x14ac:dyDescent="0.25">
      <c r="B902" s="42" t="str">
        <f t="shared" si="28"/>
        <v>GW1_N902/BUGW-INFLOW</v>
      </c>
      <c r="C902" t="s">
        <v>3858</v>
      </c>
      <c r="D902" t="s">
        <v>3859</v>
      </c>
      <c r="E902" t="s">
        <v>4120</v>
      </c>
      <c r="F902">
        <v>131</v>
      </c>
      <c r="G902" t="s">
        <v>4121</v>
      </c>
      <c r="H902" t="s">
        <v>0</v>
      </c>
      <c r="I902" t="s">
        <v>271</v>
      </c>
      <c r="J902" t="s">
        <v>72</v>
      </c>
      <c r="L902" t="s">
        <v>3</v>
      </c>
      <c r="M902" t="s">
        <v>4</v>
      </c>
      <c r="N902" s="3" t="str">
        <f t="shared" si="29"/>
        <v>F</v>
      </c>
      <c r="O902" s="3" t="str">
        <f>IF(_xlfn.IFNA(MATCH(B902,Table1[UID],0),"F")="F","F","T")</f>
        <v>T</v>
      </c>
    </row>
    <row r="903" spans="2:15" x14ac:dyDescent="0.25">
      <c r="B903" s="42" t="str">
        <f t="shared" si="28"/>
        <v>GW1_N917/BUGW-INFLOW</v>
      </c>
      <c r="C903" t="s">
        <v>3858</v>
      </c>
      <c r="D903" t="s">
        <v>3859</v>
      </c>
      <c r="E903" t="s">
        <v>4122</v>
      </c>
      <c r="F903">
        <v>132</v>
      </c>
      <c r="G903" t="s">
        <v>4123</v>
      </c>
      <c r="H903" t="s">
        <v>0</v>
      </c>
      <c r="I903" t="s">
        <v>272</v>
      </c>
      <c r="J903" t="s">
        <v>72</v>
      </c>
      <c r="L903" t="s">
        <v>3</v>
      </c>
      <c r="M903" t="s">
        <v>4</v>
      </c>
      <c r="N903" s="3" t="str">
        <f t="shared" si="29"/>
        <v>F</v>
      </c>
      <c r="O903" s="3" t="str">
        <f>IF(_xlfn.IFNA(MATCH(B903,Table1[UID],0),"F")="F","F","T")</f>
        <v>T</v>
      </c>
    </row>
    <row r="904" spans="2:15" x14ac:dyDescent="0.25">
      <c r="B904" s="42" t="str">
        <f t="shared" si="28"/>
        <v>GW1_N918/BUGW-INFLOW</v>
      </c>
      <c r="C904" t="s">
        <v>3858</v>
      </c>
      <c r="D904" t="s">
        <v>3859</v>
      </c>
      <c r="E904" t="s">
        <v>4124</v>
      </c>
      <c r="F904">
        <v>133</v>
      </c>
      <c r="G904" t="s">
        <v>4125</v>
      </c>
      <c r="H904" t="s">
        <v>0</v>
      </c>
      <c r="I904" t="s">
        <v>273</v>
      </c>
      <c r="J904" t="s">
        <v>72</v>
      </c>
      <c r="L904" t="s">
        <v>3</v>
      </c>
      <c r="M904" t="s">
        <v>4</v>
      </c>
      <c r="N904" s="3" t="str">
        <f t="shared" si="29"/>
        <v>F</v>
      </c>
      <c r="O904" s="3" t="str">
        <f>IF(_xlfn.IFNA(MATCH(B904,Table1[UID],0),"F")="F","F","T")</f>
        <v>T</v>
      </c>
    </row>
    <row r="905" spans="2:15" x14ac:dyDescent="0.25">
      <c r="B905" s="42" t="str">
        <f t="shared" si="28"/>
        <v>GW1_N935/BUGW-INFLOW</v>
      </c>
      <c r="C905" t="s">
        <v>3858</v>
      </c>
      <c r="D905" t="s">
        <v>3859</v>
      </c>
      <c r="E905" t="s">
        <v>4126</v>
      </c>
      <c r="F905">
        <v>134</v>
      </c>
      <c r="G905" t="s">
        <v>4127</v>
      </c>
      <c r="H905" t="s">
        <v>0</v>
      </c>
      <c r="I905" t="s">
        <v>274</v>
      </c>
      <c r="J905" t="s">
        <v>72</v>
      </c>
      <c r="L905" t="s">
        <v>3</v>
      </c>
      <c r="M905" t="s">
        <v>4</v>
      </c>
      <c r="N905" s="3" t="str">
        <f t="shared" si="29"/>
        <v>F</v>
      </c>
      <c r="O905" s="3" t="str">
        <f>IF(_xlfn.IFNA(MATCH(B905,Table1[UID],0),"F")="F","F","T")</f>
        <v>T</v>
      </c>
    </row>
    <row r="906" spans="2:15" x14ac:dyDescent="0.25">
      <c r="B906" s="42" t="str">
        <f t="shared" ref="B906:B969" si="30">_xlfn.CONCAT(I906,"/",J906)</f>
        <v>GW1_N936/BUGW-INFLOW</v>
      </c>
      <c r="C906" t="s">
        <v>3858</v>
      </c>
      <c r="D906" t="s">
        <v>3859</v>
      </c>
      <c r="E906" t="s">
        <v>4128</v>
      </c>
      <c r="F906">
        <v>135</v>
      </c>
      <c r="G906" t="s">
        <v>4129</v>
      </c>
      <c r="H906" t="s">
        <v>0</v>
      </c>
      <c r="I906" t="s">
        <v>275</v>
      </c>
      <c r="J906" t="s">
        <v>72</v>
      </c>
      <c r="L906" t="s">
        <v>3</v>
      </c>
      <c r="M906" t="s">
        <v>4</v>
      </c>
      <c r="N906" s="3" t="str">
        <f t="shared" si="29"/>
        <v>F</v>
      </c>
      <c r="O906" s="3" t="str">
        <f>IF(_xlfn.IFNA(MATCH(B906,Table1[UID],0),"F")="F","F","T")</f>
        <v>T</v>
      </c>
    </row>
    <row r="907" spans="2:15" x14ac:dyDescent="0.25">
      <c r="B907" s="42" t="str">
        <f t="shared" si="30"/>
        <v>GW1_N944/BUGW-INFLOW</v>
      </c>
      <c r="C907" t="s">
        <v>3858</v>
      </c>
      <c r="D907" t="s">
        <v>3859</v>
      </c>
      <c r="E907" t="s">
        <v>4130</v>
      </c>
      <c r="F907">
        <v>136</v>
      </c>
      <c r="G907" t="s">
        <v>4131</v>
      </c>
      <c r="H907" t="s">
        <v>0</v>
      </c>
      <c r="I907" t="s">
        <v>276</v>
      </c>
      <c r="J907" t="s">
        <v>72</v>
      </c>
      <c r="L907" t="s">
        <v>3</v>
      </c>
      <c r="M907" t="s">
        <v>4</v>
      </c>
      <c r="N907" s="3" t="str">
        <f t="shared" si="29"/>
        <v>F</v>
      </c>
      <c r="O907" s="3" t="str">
        <f>IF(_xlfn.IFNA(MATCH(B907,Table1[UID],0),"F")="F","F","T")</f>
        <v>T</v>
      </c>
    </row>
    <row r="908" spans="2:15" x14ac:dyDescent="0.25">
      <c r="B908" s="42" t="str">
        <f t="shared" si="30"/>
        <v>GW1_N952/BUGW-INFLOW</v>
      </c>
      <c r="C908" t="s">
        <v>3858</v>
      </c>
      <c r="D908" t="s">
        <v>3859</v>
      </c>
      <c r="E908" t="s">
        <v>4132</v>
      </c>
      <c r="F908">
        <v>137</v>
      </c>
      <c r="G908" t="s">
        <v>4133</v>
      </c>
      <c r="H908" t="s">
        <v>0</v>
      </c>
      <c r="I908" t="s">
        <v>277</v>
      </c>
      <c r="J908" t="s">
        <v>72</v>
      </c>
      <c r="L908" t="s">
        <v>3</v>
      </c>
      <c r="M908" t="s">
        <v>4</v>
      </c>
      <c r="N908" s="3" t="str">
        <f t="shared" si="29"/>
        <v>F</v>
      </c>
      <c r="O908" s="3" t="str">
        <f>IF(_xlfn.IFNA(MATCH(B908,Table1[UID],0),"F")="F","F","T")</f>
        <v>T</v>
      </c>
    </row>
    <row r="909" spans="2:15" x14ac:dyDescent="0.25">
      <c r="B909" s="42" t="str">
        <f t="shared" si="30"/>
        <v>GW1_N960/BUGW-INFLOW</v>
      </c>
      <c r="C909" t="s">
        <v>3858</v>
      </c>
      <c r="D909" t="s">
        <v>3859</v>
      </c>
      <c r="E909" t="s">
        <v>4134</v>
      </c>
      <c r="F909">
        <v>138</v>
      </c>
      <c r="G909" t="s">
        <v>4135</v>
      </c>
      <c r="H909" t="s">
        <v>0</v>
      </c>
      <c r="I909" t="s">
        <v>278</v>
      </c>
      <c r="J909" t="s">
        <v>72</v>
      </c>
      <c r="L909" t="s">
        <v>3</v>
      </c>
      <c r="M909" t="s">
        <v>4</v>
      </c>
      <c r="N909" s="3" t="str">
        <f t="shared" si="29"/>
        <v>F</v>
      </c>
      <c r="O909" s="3" t="str">
        <f>IF(_xlfn.IFNA(MATCH(B909,Table1[UID],0),"F")="F","F","T")</f>
        <v>T</v>
      </c>
    </row>
    <row r="910" spans="2:15" x14ac:dyDescent="0.25">
      <c r="B910" s="42" t="str">
        <f t="shared" si="30"/>
        <v>GW1_N975/BUGW-INFLOW</v>
      </c>
      <c r="C910" t="s">
        <v>3858</v>
      </c>
      <c r="D910" t="s">
        <v>3859</v>
      </c>
      <c r="E910" t="s">
        <v>4136</v>
      </c>
      <c r="F910">
        <v>139</v>
      </c>
      <c r="G910" t="s">
        <v>4137</v>
      </c>
      <c r="H910" t="s">
        <v>0</v>
      </c>
      <c r="I910" t="s">
        <v>279</v>
      </c>
      <c r="J910" t="s">
        <v>72</v>
      </c>
      <c r="L910" t="s">
        <v>3</v>
      </c>
      <c r="M910" t="s">
        <v>4</v>
      </c>
      <c r="N910" s="3" t="str">
        <f t="shared" si="29"/>
        <v>F</v>
      </c>
      <c r="O910" s="3" t="str">
        <f>IF(_xlfn.IFNA(MATCH(B910,Table1[UID],0),"F")="F","F","T")</f>
        <v>T</v>
      </c>
    </row>
    <row r="911" spans="2:15" x14ac:dyDescent="0.25">
      <c r="B911" s="42" t="str">
        <f t="shared" si="30"/>
        <v>GW1_N976/BUGW-INFLOW</v>
      </c>
      <c r="C911" t="s">
        <v>3858</v>
      </c>
      <c r="D911" t="s">
        <v>3859</v>
      </c>
      <c r="E911" t="s">
        <v>4138</v>
      </c>
      <c r="F911">
        <v>140</v>
      </c>
      <c r="G911" t="s">
        <v>4139</v>
      </c>
      <c r="H911" t="s">
        <v>0</v>
      </c>
      <c r="I911" t="s">
        <v>280</v>
      </c>
      <c r="J911" t="s">
        <v>72</v>
      </c>
      <c r="L911" t="s">
        <v>3</v>
      </c>
      <c r="M911" t="s">
        <v>4</v>
      </c>
      <c r="N911" s="3" t="str">
        <f t="shared" si="29"/>
        <v>F</v>
      </c>
      <c r="O911" s="3" t="str">
        <f>IF(_xlfn.IFNA(MATCH(B911,Table1[UID],0),"F")="F","F","T")</f>
        <v>T</v>
      </c>
    </row>
    <row r="912" spans="2:15" x14ac:dyDescent="0.25">
      <c r="B912" s="42" t="str">
        <f t="shared" si="30"/>
        <v>GW1_N988/BUGW-INFLOW</v>
      </c>
      <c r="C912" t="s">
        <v>3858</v>
      </c>
      <c r="D912" t="s">
        <v>3859</v>
      </c>
      <c r="E912" t="s">
        <v>4140</v>
      </c>
      <c r="F912">
        <v>141</v>
      </c>
      <c r="G912" t="s">
        <v>4141</v>
      </c>
      <c r="H912" t="s">
        <v>0</v>
      </c>
      <c r="I912" t="s">
        <v>281</v>
      </c>
      <c r="J912" t="s">
        <v>72</v>
      </c>
      <c r="L912" t="s">
        <v>3</v>
      </c>
      <c r="M912" t="s">
        <v>4</v>
      </c>
      <c r="N912" s="3" t="str">
        <f t="shared" si="29"/>
        <v>F</v>
      </c>
      <c r="O912" s="3" t="str">
        <f>IF(_xlfn.IFNA(MATCH(B912,Table1[UID],0),"F")="F","F","T")</f>
        <v>T</v>
      </c>
    </row>
    <row r="913" spans="2:15" x14ac:dyDescent="0.25">
      <c r="B913" s="42" t="str">
        <f t="shared" si="30"/>
        <v>GW1_N1003/BUGW-INFLOW</v>
      </c>
      <c r="C913" t="s">
        <v>3858</v>
      </c>
      <c r="D913" t="s">
        <v>3859</v>
      </c>
      <c r="E913" t="s">
        <v>4142</v>
      </c>
      <c r="F913">
        <v>142</v>
      </c>
      <c r="G913" t="s">
        <v>4143</v>
      </c>
      <c r="H913" t="s">
        <v>0</v>
      </c>
      <c r="I913" t="s">
        <v>71</v>
      </c>
      <c r="J913" t="s">
        <v>72</v>
      </c>
      <c r="L913" t="s">
        <v>3</v>
      </c>
      <c r="M913" t="s">
        <v>4</v>
      </c>
      <c r="N913" s="3" t="str">
        <f t="shared" si="29"/>
        <v>F</v>
      </c>
      <c r="O913" s="3" t="str">
        <f>IF(_xlfn.IFNA(MATCH(B913,Table1[UID],0),"F")="F","F","T")</f>
        <v>T</v>
      </c>
    </row>
    <row r="914" spans="2:15" x14ac:dyDescent="0.25">
      <c r="B914" s="42" t="str">
        <f t="shared" si="30"/>
        <v>GW1_N1004/BUGW-INFLOW</v>
      </c>
      <c r="C914" t="s">
        <v>3858</v>
      </c>
      <c r="D914" t="s">
        <v>3859</v>
      </c>
      <c r="E914" t="s">
        <v>4144</v>
      </c>
      <c r="F914">
        <v>143</v>
      </c>
      <c r="G914" t="s">
        <v>4145</v>
      </c>
      <c r="H914" t="s">
        <v>0</v>
      </c>
      <c r="I914" t="s">
        <v>73</v>
      </c>
      <c r="J914" t="s">
        <v>72</v>
      </c>
      <c r="L914" t="s">
        <v>3</v>
      </c>
      <c r="M914" t="s">
        <v>4</v>
      </c>
      <c r="N914" s="3" t="str">
        <f t="shared" si="29"/>
        <v>F</v>
      </c>
      <c r="O914" s="3" t="str">
        <f>IF(_xlfn.IFNA(MATCH(B914,Table1[UID],0),"F")="F","F","T")</f>
        <v>T</v>
      </c>
    </row>
    <row r="915" spans="2:15" x14ac:dyDescent="0.25">
      <c r="B915" s="42" t="str">
        <f t="shared" si="30"/>
        <v>GW1_N1005/BUGW-INFLOW</v>
      </c>
      <c r="C915" t="s">
        <v>3858</v>
      </c>
      <c r="D915" t="s">
        <v>3859</v>
      </c>
      <c r="E915" t="s">
        <v>4146</v>
      </c>
      <c r="F915">
        <v>144</v>
      </c>
      <c r="G915" t="s">
        <v>4147</v>
      </c>
      <c r="H915" t="s">
        <v>0</v>
      </c>
      <c r="I915" t="s">
        <v>74</v>
      </c>
      <c r="J915" t="s">
        <v>72</v>
      </c>
      <c r="L915" t="s">
        <v>3</v>
      </c>
      <c r="M915" t="s">
        <v>4</v>
      </c>
      <c r="N915" s="3" t="str">
        <f t="shared" si="29"/>
        <v>F</v>
      </c>
      <c r="O915" s="3" t="str">
        <f>IF(_xlfn.IFNA(MATCH(B915,Table1[UID],0),"F")="F","F","T")</f>
        <v>T</v>
      </c>
    </row>
    <row r="916" spans="2:15" x14ac:dyDescent="0.25">
      <c r="B916" s="42" t="str">
        <f t="shared" si="30"/>
        <v>GW1_N1006/BUGW-INFLOW</v>
      </c>
      <c r="C916" t="s">
        <v>3858</v>
      </c>
      <c r="D916" t="s">
        <v>3859</v>
      </c>
      <c r="E916" t="s">
        <v>4148</v>
      </c>
      <c r="F916">
        <v>145</v>
      </c>
      <c r="G916" t="s">
        <v>4149</v>
      </c>
      <c r="H916" t="s">
        <v>0</v>
      </c>
      <c r="I916" t="s">
        <v>75</v>
      </c>
      <c r="J916" t="s">
        <v>72</v>
      </c>
      <c r="L916" t="s">
        <v>3</v>
      </c>
      <c r="M916" t="s">
        <v>4</v>
      </c>
      <c r="N916" s="3" t="str">
        <f t="shared" si="29"/>
        <v>F</v>
      </c>
      <c r="O916" s="3" t="str">
        <f>IF(_xlfn.IFNA(MATCH(B916,Table1[UID],0),"F")="F","F","T")</f>
        <v>T</v>
      </c>
    </row>
    <row r="917" spans="2:15" x14ac:dyDescent="0.25">
      <c r="B917" s="42" t="str">
        <f t="shared" si="30"/>
        <v>GW1_N1007/BUGW-INFLOW</v>
      </c>
      <c r="C917" t="s">
        <v>3858</v>
      </c>
      <c r="D917" t="s">
        <v>3859</v>
      </c>
      <c r="E917" t="s">
        <v>4150</v>
      </c>
      <c r="F917">
        <v>146</v>
      </c>
      <c r="G917" t="s">
        <v>4151</v>
      </c>
      <c r="H917" t="s">
        <v>0</v>
      </c>
      <c r="I917" t="s">
        <v>76</v>
      </c>
      <c r="J917" t="s">
        <v>72</v>
      </c>
      <c r="L917" t="s">
        <v>3</v>
      </c>
      <c r="M917" t="s">
        <v>4</v>
      </c>
      <c r="N917" s="3" t="str">
        <f t="shared" si="29"/>
        <v>F</v>
      </c>
      <c r="O917" s="3" t="str">
        <f>IF(_xlfn.IFNA(MATCH(B917,Table1[UID],0),"F")="F","F","T")</f>
        <v>T</v>
      </c>
    </row>
    <row r="918" spans="2:15" x14ac:dyDescent="0.25">
      <c r="B918" s="42" t="str">
        <f t="shared" si="30"/>
        <v>GW1_N1017/BUGW-INFLOW</v>
      </c>
      <c r="C918" t="s">
        <v>3858</v>
      </c>
      <c r="D918" t="s">
        <v>3859</v>
      </c>
      <c r="E918" t="s">
        <v>4152</v>
      </c>
      <c r="F918">
        <v>147</v>
      </c>
      <c r="G918" t="s">
        <v>4153</v>
      </c>
      <c r="H918" t="s">
        <v>0</v>
      </c>
      <c r="I918" t="s">
        <v>77</v>
      </c>
      <c r="J918" t="s">
        <v>72</v>
      </c>
      <c r="L918" t="s">
        <v>3</v>
      </c>
      <c r="M918" t="s">
        <v>4</v>
      </c>
      <c r="N918" s="3" t="str">
        <f t="shared" si="29"/>
        <v>F</v>
      </c>
      <c r="O918" s="3" t="str">
        <f>IF(_xlfn.IFNA(MATCH(B918,Table1[UID],0),"F")="F","F","T")</f>
        <v>T</v>
      </c>
    </row>
    <row r="919" spans="2:15" x14ac:dyDescent="0.25">
      <c r="B919" s="42" t="str">
        <f t="shared" si="30"/>
        <v>GW1_N1034/BUGW-INFLOW</v>
      </c>
      <c r="C919" t="s">
        <v>3858</v>
      </c>
      <c r="D919" t="s">
        <v>3859</v>
      </c>
      <c r="E919" t="s">
        <v>4154</v>
      </c>
      <c r="F919">
        <v>148</v>
      </c>
      <c r="G919" t="s">
        <v>4155</v>
      </c>
      <c r="H919" t="s">
        <v>0</v>
      </c>
      <c r="I919" t="s">
        <v>78</v>
      </c>
      <c r="J919" t="s">
        <v>72</v>
      </c>
      <c r="L919" t="s">
        <v>3</v>
      </c>
      <c r="M919" t="s">
        <v>4</v>
      </c>
      <c r="N919" s="3" t="str">
        <f t="shared" si="29"/>
        <v>F</v>
      </c>
      <c r="O919" s="3" t="str">
        <f>IF(_xlfn.IFNA(MATCH(B919,Table1[UID],0),"F")="F","F","T")</f>
        <v>T</v>
      </c>
    </row>
    <row r="920" spans="2:15" x14ac:dyDescent="0.25">
      <c r="B920" s="42" t="str">
        <f t="shared" si="30"/>
        <v>GW1_N1035/BUGW-INFLOW</v>
      </c>
      <c r="C920" t="s">
        <v>3858</v>
      </c>
      <c r="D920" t="s">
        <v>3859</v>
      </c>
      <c r="E920" t="s">
        <v>4156</v>
      </c>
      <c r="F920">
        <v>149</v>
      </c>
      <c r="G920" t="s">
        <v>4157</v>
      </c>
      <c r="H920" t="s">
        <v>0</v>
      </c>
      <c r="I920" t="s">
        <v>79</v>
      </c>
      <c r="J920" t="s">
        <v>72</v>
      </c>
      <c r="L920" t="s">
        <v>3</v>
      </c>
      <c r="M920" t="s">
        <v>4</v>
      </c>
      <c r="N920" s="3" t="str">
        <f t="shared" si="29"/>
        <v>F</v>
      </c>
      <c r="O920" s="3" t="str">
        <f>IF(_xlfn.IFNA(MATCH(B920,Table1[UID],0),"F")="F","F","T")</f>
        <v>T</v>
      </c>
    </row>
    <row r="921" spans="2:15" x14ac:dyDescent="0.25">
      <c r="B921" s="42" t="str">
        <f t="shared" si="30"/>
        <v>GW1_N1036/BUGW-INFLOW</v>
      </c>
      <c r="C921" t="s">
        <v>3858</v>
      </c>
      <c r="D921" t="s">
        <v>3859</v>
      </c>
      <c r="E921" t="s">
        <v>4158</v>
      </c>
      <c r="F921">
        <v>150</v>
      </c>
      <c r="G921" t="s">
        <v>4159</v>
      </c>
      <c r="H921" t="s">
        <v>0</v>
      </c>
      <c r="I921" t="s">
        <v>80</v>
      </c>
      <c r="J921" t="s">
        <v>72</v>
      </c>
      <c r="L921" t="s">
        <v>3</v>
      </c>
      <c r="M921" t="s">
        <v>4</v>
      </c>
      <c r="N921" s="3" t="str">
        <f t="shared" si="29"/>
        <v>F</v>
      </c>
      <c r="O921" s="3" t="str">
        <f>IF(_xlfn.IFNA(MATCH(B921,Table1[UID],0),"F")="F","F","T")</f>
        <v>T</v>
      </c>
    </row>
    <row r="922" spans="2:15" x14ac:dyDescent="0.25">
      <c r="B922" s="42" t="str">
        <f t="shared" si="30"/>
        <v>GW1_N1051/BUGW-INFLOW</v>
      </c>
      <c r="C922" t="s">
        <v>3858</v>
      </c>
      <c r="D922" t="s">
        <v>3859</v>
      </c>
      <c r="E922" t="s">
        <v>4160</v>
      </c>
      <c r="F922">
        <v>151</v>
      </c>
      <c r="G922" t="s">
        <v>4161</v>
      </c>
      <c r="H922" t="s">
        <v>0</v>
      </c>
      <c r="I922" t="s">
        <v>81</v>
      </c>
      <c r="J922" t="s">
        <v>72</v>
      </c>
      <c r="L922" t="s">
        <v>3</v>
      </c>
      <c r="M922" t="s">
        <v>4</v>
      </c>
      <c r="N922" s="3" t="str">
        <f t="shared" si="29"/>
        <v>F</v>
      </c>
      <c r="O922" s="3" t="str">
        <f>IF(_xlfn.IFNA(MATCH(B922,Table1[UID],0),"F")="F","F","T")</f>
        <v>T</v>
      </c>
    </row>
    <row r="923" spans="2:15" x14ac:dyDescent="0.25">
      <c r="B923" s="42" t="str">
        <f t="shared" si="30"/>
        <v>GW1_N1052/BUGW-INFLOW</v>
      </c>
      <c r="C923" t="s">
        <v>3858</v>
      </c>
      <c r="D923" t="s">
        <v>3859</v>
      </c>
      <c r="E923" t="s">
        <v>4162</v>
      </c>
      <c r="F923">
        <v>152</v>
      </c>
      <c r="G923" t="s">
        <v>4163</v>
      </c>
      <c r="H923" t="s">
        <v>0</v>
      </c>
      <c r="I923" t="s">
        <v>82</v>
      </c>
      <c r="J923" t="s">
        <v>72</v>
      </c>
      <c r="L923" t="s">
        <v>3</v>
      </c>
      <c r="M923" t="s">
        <v>4</v>
      </c>
      <c r="N923" s="3" t="str">
        <f t="shared" si="29"/>
        <v>F</v>
      </c>
      <c r="O923" s="3" t="str">
        <f>IF(_xlfn.IFNA(MATCH(B923,Table1[UID],0),"F")="F","F","T")</f>
        <v>T</v>
      </c>
    </row>
    <row r="924" spans="2:15" x14ac:dyDescent="0.25">
      <c r="B924" s="42" t="str">
        <f t="shared" si="30"/>
        <v>GW1_N1061/BUGW-INFLOW</v>
      </c>
      <c r="C924" t="s">
        <v>3858</v>
      </c>
      <c r="D924" t="s">
        <v>3859</v>
      </c>
      <c r="E924" t="s">
        <v>4164</v>
      </c>
      <c r="F924">
        <v>153</v>
      </c>
      <c r="G924" t="s">
        <v>4165</v>
      </c>
      <c r="H924" t="s">
        <v>0</v>
      </c>
      <c r="I924" t="s">
        <v>83</v>
      </c>
      <c r="J924" t="s">
        <v>72</v>
      </c>
      <c r="L924" t="s">
        <v>3</v>
      </c>
      <c r="M924" t="s">
        <v>4</v>
      </c>
      <c r="N924" s="3" t="str">
        <f t="shared" si="29"/>
        <v>F</v>
      </c>
      <c r="O924" s="3" t="str">
        <f>IF(_xlfn.IFNA(MATCH(B924,Table1[UID],0),"F")="F","F","T")</f>
        <v>T</v>
      </c>
    </row>
    <row r="925" spans="2:15" x14ac:dyDescent="0.25">
      <c r="B925" s="42" t="str">
        <f t="shared" si="30"/>
        <v>GW1_N1078/BUGW-INFLOW</v>
      </c>
      <c r="C925" t="s">
        <v>3858</v>
      </c>
      <c r="D925" t="s">
        <v>3859</v>
      </c>
      <c r="E925" t="s">
        <v>4166</v>
      </c>
      <c r="F925">
        <v>154</v>
      </c>
      <c r="G925" t="s">
        <v>4167</v>
      </c>
      <c r="H925" t="s">
        <v>0</v>
      </c>
      <c r="I925" t="s">
        <v>85</v>
      </c>
      <c r="J925" t="s">
        <v>72</v>
      </c>
      <c r="L925" t="s">
        <v>3</v>
      </c>
      <c r="M925" t="s">
        <v>4</v>
      </c>
      <c r="N925" s="3" t="str">
        <f t="shared" si="29"/>
        <v>F</v>
      </c>
      <c r="O925" s="3" t="str">
        <f>IF(_xlfn.IFNA(MATCH(B925,Table1[UID],0),"F")="F","F","T")</f>
        <v>T</v>
      </c>
    </row>
    <row r="926" spans="2:15" x14ac:dyDescent="0.25">
      <c r="B926" s="42" t="str">
        <f t="shared" si="30"/>
        <v>GW1_N1083/BUGW-INFLOW</v>
      </c>
      <c r="C926" t="s">
        <v>3858</v>
      </c>
      <c r="D926" t="s">
        <v>3859</v>
      </c>
      <c r="E926" t="s">
        <v>4168</v>
      </c>
      <c r="F926">
        <v>155</v>
      </c>
      <c r="G926" t="s">
        <v>4169</v>
      </c>
      <c r="H926" t="s">
        <v>0</v>
      </c>
      <c r="I926" t="s">
        <v>86</v>
      </c>
      <c r="J926" t="s">
        <v>72</v>
      </c>
      <c r="L926" t="s">
        <v>3</v>
      </c>
      <c r="M926" t="s">
        <v>4</v>
      </c>
      <c r="N926" s="3" t="str">
        <f t="shared" si="29"/>
        <v>F</v>
      </c>
      <c r="O926" s="3" t="str">
        <f>IF(_xlfn.IFNA(MATCH(B926,Table1[UID],0),"F")="F","F","T")</f>
        <v>T</v>
      </c>
    </row>
    <row r="927" spans="2:15" x14ac:dyDescent="0.25">
      <c r="B927" s="42" t="str">
        <f t="shared" si="30"/>
        <v>GW1_N1086/BUGW-INFLOW</v>
      </c>
      <c r="C927" t="s">
        <v>3858</v>
      </c>
      <c r="D927" t="s">
        <v>3859</v>
      </c>
      <c r="E927" t="s">
        <v>4170</v>
      </c>
      <c r="F927">
        <v>156</v>
      </c>
      <c r="G927" t="s">
        <v>4171</v>
      </c>
      <c r="H927" t="s">
        <v>0</v>
      </c>
      <c r="I927" t="s">
        <v>87</v>
      </c>
      <c r="J927" t="s">
        <v>72</v>
      </c>
      <c r="L927" t="s">
        <v>3</v>
      </c>
      <c r="M927" t="s">
        <v>4</v>
      </c>
      <c r="N927" s="3" t="str">
        <f t="shared" si="29"/>
        <v>F</v>
      </c>
      <c r="O927" s="3" t="str">
        <f>IF(_xlfn.IFNA(MATCH(B927,Table1[UID],0),"F")="F","F","T")</f>
        <v>T</v>
      </c>
    </row>
    <row r="928" spans="2:15" x14ac:dyDescent="0.25">
      <c r="B928" s="42" t="str">
        <f t="shared" si="30"/>
        <v>GW1_N1093/BUGW-INFLOW</v>
      </c>
      <c r="C928" t="s">
        <v>3858</v>
      </c>
      <c r="D928" t="s">
        <v>3859</v>
      </c>
      <c r="E928" t="s">
        <v>4172</v>
      </c>
      <c r="F928">
        <v>157</v>
      </c>
      <c r="G928" t="s">
        <v>4173</v>
      </c>
      <c r="H928" t="s">
        <v>0</v>
      </c>
      <c r="I928" t="s">
        <v>88</v>
      </c>
      <c r="J928" t="s">
        <v>72</v>
      </c>
      <c r="L928" t="s">
        <v>3</v>
      </c>
      <c r="M928" t="s">
        <v>4</v>
      </c>
      <c r="N928" s="3" t="str">
        <f t="shared" si="29"/>
        <v>F</v>
      </c>
      <c r="O928" s="3" t="str">
        <f>IF(_xlfn.IFNA(MATCH(B928,Table1[UID],0),"F")="F","F","T")</f>
        <v>T</v>
      </c>
    </row>
    <row r="929" spans="2:15" x14ac:dyDescent="0.25">
      <c r="B929" s="42" t="str">
        <f t="shared" si="30"/>
        <v>GW1_N1097/BUGW-INFLOW</v>
      </c>
      <c r="C929" t="s">
        <v>3858</v>
      </c>
      <c r="D929" t="s">
        <v>3859</v>
      </c>
      <c r="E929" t="s">
        <v>4174</v>
      </c>
      <c r="F929">
        <v>158</v>
      </c>
      <c r="G929" t="s">
        <v>4175</v>
      </c>
      <c r="H929" t="s">
        <v>0</v>
      </c>
      <c r="I929" t="s">
        <v>89</v>
      </c>
      <c r="J929" t="s">
        <v>72</v>
      </c>
      <c r="L929" t="s">
        <v>3</v>
      </c>
      <c r="M929" t="s">
        <v>4</v>
      </c>
      <c r="N929" s="3" t="str">
        <f t="shared" si="29"/>
        <v>F</v>
      </c>
      <c r="O929" s="3" t="str">
        <f>IF(_xlfn.IFNA(MATCH(B929,Table1[UID],0),"F")="F","F","T")</f>
        <v>T</v>
      </c>
    </row>
    <row r="930" spans="2:15" x14ac:dyDescent="0.25">
      <c r="B930" s="42" t="str">
        <f t="shared" si="30"/>
        <v>GW1_N1103/BUGW-INFLOW</v>
      </c>
      <c r="C930" t="s">
        <v>3858</v>
      </c>
      <c r="D930" t="s">
        <v>3859</v>
      </c>
      <c r="E930" t="s">
        <v>4176</v>
      </c>
      <c r="F930">
        <v>159</v>
      </c>
      <c r="G930" t="s">
        <v>4177</v>
      </c>
      <c r="H930" t="s">
        <v>0</v>
      </c>
      <c r="I930" t="s">
        <v>90</v>
      </c>
      <c r="J930" t="s">
        <v>72</v>
      </c>
      <c r="L930" t="s">
        <v>3</v>
      </c>
      <c r="M930" t="s">
        <v>4</v>
      </c>
      <c r="N930" s="3" t="str">
        <f t="shared" si="29"/>
        <v>F</v>
      </c>
      <c r="O930" s="3" t="str">
        <f>IF(_xlfn.IFNA(MATCH(B930,Table1[UID],0),"F")="F","F","T")</f>
        <v>T</v>
      </c>
    </row>
    <row r="931" spans="2:15" x14ac:dyDescent="0.25">
      <c r="B931" s="42" t="str">
        <f t="shared" si="30"/>
        <v>GW1_N1104/BUGW-INFLOW</v>
      </c>
      <c r="C931" t="s">
        <v>3858</v>
      </c>
      <c r="D931" t="s">
        <v>3859</v>
      </c>
      <c r="E931" t="s">
        <v>4178</v>
      </c>
      <c r="F931">
        <v>160</v>
      </c>
      <c r="G931" t="s">
        <v>4179</v>
      </c>
      <c r="H931" t="s">
        <v>0</v>
      </c>
      <c r="I931" t="s">
        <v>91</v>
      </c>
      <c r="J931" t="s">
        <v>72</v>
      </c>
      <c r="L931" t="s">
        <v>3</v>
      </c>
      <c r="M931" t="s">
        <v>4</v>
      </c>
      <c r="N931" s="3" t="str">
        <f t="shared" si="29"/>
        <v>F</v>
      </c>
      <c r="O931" s="3" t="str">
        <f>IF(_xlfn.IFNA(MATCH(B931,Table1[UID],0),"F")="F","F","T")</f>
        <v>T</v>
      </c>
    </row>
    <row r="932" spans="2:15" x14ac:dyDescent="0.25">
      <c r="B932" s="42" t="str">
        <f t="shared" si="30"/>
        <v>GW1_N1112/BUGW-INFLOW</v>
      </c>
      <c r="C932" t="s">
        <v>3858</v>
      </c>
      <c r="D932" t="s">
        <v>3859</v>
      </c>
      <c r="E932" t="s">
        <v>4180</v>
      </c>
      <c r="F932">
        <v>161</v>
      </c>
      <c r="G932" t="s">
        <v>4181</v>
      </c>
      <c r="H932" t="s">
        <v>0</v>
      </c>
      <c r="I932" t="s">
        <v>92</v>
      </c>
      <c r="J932" t="s">
        <v>72</v>
      </c>
      <c r="L932" t="s">
        <v>3</v>
      </c>
      <c r="M932" t="s">
        <v>4</v>
      </c>
      <c r="N932" s="3" t="str">
        <f t="shared" si="29"/>
        <v>F</v>
      </c>
      <c r="O932" s="3" t="str">
        <f>IF(_xlfn.IFNA(MATCH(B932,Table1[UID],0),"F")="F","F","T")</f>
        <v>T</v>
      </c>
    </row>
    <row r="933" spans="2:15" x14ac:dyDescent="0.25">
      <c r="B933" s="42" t="str">
        <f t="shared" si="30"/>
        <v>GW1_N1113/BUGW-INFLOW</v>
      </c>
      <c r="C933" t="s">
        <v>3858</v>
      </c>
      <c r="D933" t="s">
        <v>3859</v>
      </c>
      <c r="E933" t="s">
        <v>4182</v>
      </c>
      <c r="F933">
        <v>162</v>
      </c>
      <c r="G933" t="s">
        <v>4183</v>
      </c>
      <c r="H933" t="s">
        <v>0</v>
      </c>
      <c r="I933" t="s">
        <v>93</v>
      </c>
      <c r="J933" t="s">
        <v>72</v>
      </c>
      <c r="L933" t="s">
        <v>3</v>
      </c>
      <c r="M933" t="s">
        <v>4</v>
      </c>
      <c r="N933" s="3" t="str">
        <f t="shared" si="29"/>
        <v>F</v>
      </c>
      <c r="O933" s="3" t="str">
        <f>IF(_xlfn.IFNA(MATCH(B933,Table1[UID],0),"F")="F","F","T")</f>
        <v>T</v>
      </c>
    </row>
    <row r="934" spans="2:15" x14ac:dyDescent="0.25">
      <c r="B934" s="42" t="str">
        <f t="shared" si="30"/>
        <v>GW1_N1136/BUGW-INFLOW</v>
      </c>
      <c r="C934" t="s">
        <v>3858</v>
      </c>
      <c r="D934" t="s">
        <v>3859</v>
      </c>
      <c r="E934" t="s">
        <v>4184</v>
      </c>
      <c r="F934">
        <v>163</v>
      </c>
      <c r="G934" t="s">
        <v>4185</v>
      </c>
      <c r="H934" t="s">
        <v>0</v>
      </c>
      <c r="I934" t="s">
        <v>94</v>
      </c>
      <c r="J934" t="s">
        <v>72</v>
      </c>
      <c r="L934" t="s">
        <v>3</v>
      </c>
      <c r="M934" t="s">
        <v>4</v>
      </c>
      <c r="N934" s="3" t="str">
        <f t="shared" si="29"/>
        <v>F</v>
      </c>
      <c r="O934" s="3" t="str">
        <f>IF(_xlfn.IFNA(MATCH(B934,Table1[UID],0),"F")="F","F","T")</f>
        <v>T</v>
      </c>
    </row>
    <row r="935" spans="2:15" x14ac:dyDescent="0.25">
      <c r="B935" s="42" t="str">
        <f t="shared" si="30"/>
        <v>GW1_N1151/BUGW-INFLOW</v>
      </c>
      <c r="C935" t="s">
        <v>3858</v>
      </c>
      <c r="D935" t="s">
        <v>3859</v>
      </c>
      <c r="E935" t="s">
        <v>4186</v>
      </c>
      <c r="F935">
        <v>164</v>
      </c>
      <c r="G935" t="s">
        <v>4187</v>
      </c>
      <c r="H935" t="s">
        <v>0</v>
      </c>
      <c r="I935" t="s">
        <v>96</v>
      </c>
      <c r="J935" t="s">
        <v>72</v>
      </c>
      <c r="L935" t="s">
        <v>3</v>
      </c>
      <c r="M935" t="s">
        <v>4</v>
      </c>
      <c r="N935" s="3" t="str">
        <f t="shared" si="29"/>
        <v>F</v>
      </c>
      <c r="O935" s="3" t="str">
        <f>IF(_xlfn.IFNA(MATCH(B935,Table1[UID],0),"F")="F","F","T")</f>
        <v>T</v>
      </c>
    </row>
    <row r="936" spans="2:15" x14ac:dyDescent="0.25">
      <c r="B936" s="42" t="str">
        <f t="shared" si="30"/>
        <v>GW1_N1152/BUGW-INFLOW</v>
      </c>
      <c r="C936" t="s">
        <v>3858</v>
      </c>
      <c r="D936" t="s">
        <v>3859</v>
      </c>
      <c r="E936" t="s">
        <v>4188</v>
      </c>
      <c r="F936">
        <v>165</v>
      </c>
      <c r="G936" t="s">
        <v>4189</v>
      </c>
      <c r="H936" t="s">
        <v>0</v>
      </c>
      <c r="I936" t="s">
        <v>97</v>
      </c>
      <c r="J936" t="s">
        <v>72</v>
      </c>
      <c r="L936" t="s">
        <v>3</v>
      </c>
      <c r="M936" t="s">
        <v>4</v>
      </c>
      <c r="N936" s="3" t="str">
        <f t="shared" si="29"/>
        <v>F</v>
      </c>
      <c r="O936" s="3" t="str">
        <f>IF(_xlfn.IFNA(MATCH(B936,Table1[UID],0),"F")="F","F","T")</f>
        <v>T</v>
      </c>
    </row>
    <row r="937" spans="2:15" x14ac:dyDescent="0.25">
      <c r="B937" s="42" t="str">
        <f t="shared" si="30"/>
        <v>GW1_N1174/BUGW-INFLOW</v>
      </c>
      <c r="C937" t="s">
        <v>3858</v>
      </c>
      <c r="D937" t="s">
        <v>3859</v>
      </c>
      <c r="E937" t="s">
        <v>4190</v>
      </c>
      <c r="F937">
        <v>166</v>
      </c>
      <c r="G937" t="s">
        <v>4191</v>
      </c>
      <c r="H937" t="s">
        <v>0</v>
      </c>
      <c r="I937" t="s">
        <v>98</v>
      </c>
      <c r="J937" t="s">
        <v>72</v>
      </c>
      <c r="L937" t="s">
        <v>3</v>
      </c>
      <c r="M937" t="s">
        <v>4</v>
      </c>
      <c r="N937" s="3" t="str">
        <f t="shared" si="29"/>
        <v>F</v>
      </c>
      <c r="O937" s="3" t="str">
        <f>IF(_xlfn.IFNA(MATCH(B937,Table1[UID],0),"F")="F","F","T")</f>
        <v>T</v>
      </c>
    </row>
    <row r="938" spans="2:15" x14ac:dyDescent="0.25">
      <c r="B938" s="42" t="str">
        <f t="shared" si="30"/>
        <v>GW1_N1186/BUGW-INFLOW</v>
      </c>
      <c r="C938" t="s">
        <v>3858</v>
      </c>
      <c r="D938" t="s">
        <v>3859</v>
      </c>
      <c r="E938" t="s">
        <v>4192</v>
      </c>
      <c r="F938">
        <v>167</v>
      </c>
      <c r="G938" t="s">
        <v>4193</v>
      </c>
      <c r="H938" t="s">
        <v>0</v>
      </c>
      <c r="I938" t="s">
        <v>100</v>
      </c>
      <c r="J938" t="s">
        <v>72</v>
      </c>
      <c r="L938" t="s">
        <v>3</v>
      </c>
      <c r="M938" t="s">
        <v>4</v>
      </c>
      <c r="N938" s="3" t="str">
        <f t="shared" si="29"/>
        <v>F</v>
      </c>
      <c r="O938" s="3" t="str">
        <f>IF(_xlfn.IFNA(MATCH(B938,Table1[UID],0),"F")="F","F","T")</f>
        <v>T</v>
      </c>
    </row>
    <row r="939" spans="2:15" x14ac:dyDescent="0.25">
      <c r="B939" s="42" t="str">
        <f t="shared" si="30"/>
        <v>GW1_N1187/BUGW-INFLOW</v>
      </c>
      <c r="C939" t="s">
        <v>3858</v>
      </c>
      <c r="D939" t="s">
        <v>3859</v>
      </c>
      <c r="E939" t="s">
        <v>4194</v>
      </c>
      <c r="F939">
        <v>168</v>
      </c>
      <c r="G939" t="s">
        <v>4195</v>
      </c>
      <c r="H939" t="s">
        <v>0</v>
      </c>
      <c r="I939" t="s">
        <v>101</v>
      </c>
      <c r="J939" t="s">
        <v>72</v>
      </c>
      <c r="L939" t="s">
        <v>3</v>
      </c>
      <c r="M939" t="s">
        <v>4</v>
      </c>
      <c r="N939" s="3" t="str">
        <f t="shared" si="29"/>
        <v>F</v>
      </c>
      <c r="O939" s="3" t="str">
        <f>IF(_xlfn.IFNA(MATCH(B939,Table1[UID],0),"F")="F","F","T")</f>
        <v>T</v>
      </c>
    </row>
    <row r="940" spans="2:15" x14ac:dyDescent="0.25">
      <c r="B940" s="42" t="str">
        <f t="shared" si="30"/>
        <v>GW1_N1194/BUGW-INFLOW</v>
      </c>
      <c r="C940" t="s">
        <v>3858</v>
      </c>
      <c r="D940" t="s">
        <v>3859</v>
      </c>
      <c r="E940" t="s">
        <v>4196</v>
      </c>
      <c r="F940">
        <v>169</v>
      </c>
      <c r="G940" t="s">
        <v>4197</v>
      </c>
      <c r="H940" t="s">
        <v>0</v>
      </c>
      <c r="I940" t="s">
        <v>102</v>
      </c>
      <c r="J940" t="s">
        <v>72</v>
      </c>
      <c r="L940" t="s">
        <v>3</v>
      </c>
      <c r="M940" t="s">
        <v>4</v>
      </c>
      <c r="N940" s="3" t="str">
        <f t="shared" si="29"/>
        <v>F</v>
      </c>
      <c r="O940" s="3" t="str">
        <f>IF(_xlfn.IFNA(MATCH(B940,Table1[UID],0),"F")="F","F","T")</f>
        <v>T</v>
      </c>
    </row>
    <row r="941" spans="2:15" x14ac:dyDescent="0.25">
      <c r="B941" s="42" t="str">
        <f t="shared" si="30"/>
        <v>GW1_N1207/BUGW-INFLOW</v>
      </c>
      <c r="C941" t="s">
        <v>3858</v>
      </c>
      <c r="D941" t="s">
        <v>3859</v>
      </c>
      <c r="E941" t="s">
        <v>4198</v>
      </c>
      <c r="F941">
        <v>170</v>
      </c>
      <c r="G941" t="s">
        <v>4199</v>
      </c>
      <c r="H941" t="s">
        <v>0</v>
      </c>
      <c r="I941" t="s">
        <v>103</v>
      </c>
      <c r="J941" t="s">
        <v>72</v>
      </c>
      <c r="L941" t="s">
        <v>3</v>
      </c>
      <c r="M941" t="s">
        <v>4</v>
      </c>
      <c r="N941" s="3" t="str">
        <f t="shared" si="29"/>
        <v>F</v>
      </c>
      <c r="O941" s="3" t="str">
        <f>IF(_xlfn.IFNA(MATCH(B941,Table1[UID],0),"F")="F","F","T")</f>
        <v>T</v>
      </c>
    </row>
    <row r="942" spans="2:15" x14ac:dyDescent="0.25">
      <c r="B942" s="42" t="str">
        <f t="shared" si="30"/>
        <v>GW1_N1208/BUGW-INFLOW</v>
      </c>
      <c r="C942" t="s">
        <v>3858</v>
      </c>
      <c r="D942" t="s">
        <v>3859</v>
      </c>
      <c r="E942" t="s">
        <v>4200</v>
      </c>
      <c r="F942">
        <v>171</v>
      </c>
      <c r="G942" t="s">
        <v>4201</v>
      </c>
      <c r="H942" t="s">
        <v>0</v>
      </c>
      <c r="I942" t="s">
        <v>104</v>
      </c>
      <c r="J942" t="s">
        <v>72</v>
      </c>
      <c r="L942" t="s">
        <v>3</v>
      </c>
      <c r="M942" t="s">
        <v>4</v>
      </c>
      <c r="N942" s="3" t="str">
        <f t="shared" si="29"/>
        <v>F</v>
      </c>
      <c r="O942" s="3" t="str">
        <f>IF(_xlfn.IFNA(MATCH(B942,Table1[UID],0),"F")="F","F","T")</f>
        <v>T</v>
      </c>
    </row>
    <row r="943" spans="2:15" x14ac:dyDescent="0.25">
      <c r="B943" s="42" t="str">
        <f t="shared" si="30"/>
        <v>GW1_N1209/BUGW-INFLOW</v>
      </c>
      <c r="C943" t="s">
        <v>3858</v>
      </c>
      <c r="D943" t="s">
        <v>3859</v>
      </c>
      <c r="E943" t="s">
        <v>4202</v>
      </c>
      <c r="F943">
        <v>172</v>
      </c>
      <c r="G943" t="s">
        <v>4203</v>
      </c>
      <c r="H943" t="s">
        <v>0</v>
      </c>
      <c r="I943" t="s">
        <v>105</v>
      </c>
      <c r="J943" t="s">
        <v>72</v>
      </c>
      <c r="L943" t="s">
        <v>3</v>
      </c>
      <c r="M943" t="s">
        <v>4</v>
      </c>
      <c r="N943" s="3" t="str">
        <f t="shared" si="29"/>
        <v>F</v>
      </c>
      <c r="O943" s="3" t="str">
        <f>IF(_xlfn.IFNA(MATCH(B943,Table1[UID],0),"F")="F","F","T")</f>
        <v>T</v>
      </c>
    </row>
    <row r="944" spans="2:15" x14ac:dyDescent="0.25">
      <c r="B944" s="42" t="str">
        <f t="shared" si="30"/>
        <v>GW1_N1210/BUGW-INFLOW</v>
      </c>
      <c r="C944" t="s">
        <v>3858</v>
      </c>
      <c r="D944" t="s">
        <v>3859</v>
      </c>
      <c r="E944" t="s">
        <v>4204</v>
      </c>
      <c r="F944">
        <v>173</v>
      </c>
      <c r="G944" t="s">
        <v>4205</v>
      </c>
      <c r="H944" t="s">
        <v>0</v>
      </c>
      <c r="I944" t="s">
        <v>107</v>
      </c>
      <c r="J944" t="s">
        <v>72</v>
      </c>
      <c r="L944" t="s">
        <v>3</v>
      </c>
      <c r="M944" t="s">
        <v>4</v>
      </c>
      <c r="N944" s="3" t="str">
        <f t="shared" si="29"/>
        <v>F</v>
      </c>
      <c r="O944" s="3" t="str">
        <f>IF(_xlfn.IFNA(MATCH(B944,Table1[UID],0),"F")="F","F","T")</f>
        <v>T</v>
      </c>
    </row>
    <row r="945" spans="2:15" x14ac:dyDescent="0.25">
      <c r="B945" s="42" t="str">
        <f t="shared" si="30"/>
        <v>GW1_N1212/BUGW-INFLOW</v>
      </c>
      <c r="C945" t="s">
        <v>3858</v>
      </c>
      <c r="D945" t="s">
        <v>3859</v>
      </c>
      <c r="E945" t="s">
        <v>4206</v>
      </c>
      <c r="F945">
        <v>174</v>
      </c>
      <c r="G945" t="s">
        <v>4207</v>
      </c>
      <c r="H945" t="s">
        <v>0</v>
      </c>
      <c r="I945" t="s">
        <v>108</v>
      </c>
      <c r="J945" t="s">
        <v>72</v>
      </c>
      <c r="L945" t="s">
        <v>3</v>
      </c>
      <c r="M945" t="s">
        <v>4</v>
      </c>
      <c r="N945" s="3" t="str">
        <f t="shared" si="29"/>
        <v>F</v>
      </c>
      <c r="O945" s="3" t="str">
        <f>IF(_xlfn.IFNA(MATCH(B945,Table1[UID],0),"F")="F","F","T")</f>
        <v>T</v>
      </c>
    </row>
    <row r="946" spans="2:15" x14ac:dyDescent="0.25">
      <c r="B946" s="42" t="str">
        <f t="shared" si="30"/>
        <v>GW1_N1213/BUGW-INFLOW</v>
      </c>
      <c r="C946" t="s">
        <v>3858</v>
      </c>
      <c r="D946" t="s">
        <v>3859</v>
      </c>
      <c r="E946" t="s">
        <v>4208</v>
      </c>
      <c r="F946">
        <v>175</v>
      </c>
      <c r="G946" t="s">
        <v>4209</v>
      </c>
      <c r="H946" t="s">
        <v>0</v>
      </c>
      <c r="I946" t="s">
        <v>109</v>
      </c>
      <c r="J946" t="s">
        <v>72</v>
      </c>
      <c r="L946" t="s">
        <v>3</v>
      </c>
      <c r="M946" t="s">
        <v>4</v>
      </c>
      <c r="N946" s="3" t="str">
        <f t="shared" si="29"/>
        <v>F</v>
      </c>
      <c r="O946" s="3" t="str">
        <f>IF(_xlfn.IFNA(MATCH(B946,Table1[UID],0),"F")="F","F","T")</f>
        <v>T</v>
      </c>
    </row>
    <row r="947" spans="2:15" x14ac:dyDescent="0.25">
      <c r="B947" s="42" t="str">
        <f t="shared" si="30"/>
        <v>GW1_N1214/BUGW-INFLOW</v>
      </c>
      <c r="C947" t="s">
        <v>3858</v>
      </c>
      <c r="D947" t="s">
        <v>3859</v>
      </c>
      <c r="E947" t="s">
        <v>4210</v>
      </c>
      <c r="F947">
        <v>176</v>
      </c>
      <c r="G947" t="s">
        <v>4211</v>
      </c>
      <c r="H947" t="s">
        <v>0</v>
      </c>
      <c r="I947" t="s">
        <v>110</v>
      </c>
      <c r="J947" t="s">
        <v>72</v>
      </c>
      <c r="L947" t="s">
        <v>3</v>
      </c>
      <c r="M947" t="s">
        <v>4</v>
      </c>
      <c r="N947" s="3" t="str">
        <f t="shared" si="29"/>
        <v>F</v>
      </c>
      <c r="O947" s="3" t="str">
        <f>IF(_xlfn.IFNA(MATCH(B947,Table1[UID],0),"F")="F","F","T")</f>
        <v>T</v>
      </c>
    </row>
    <row r="948" spans="2:15" x14ac:dyDescent="0.25">
      <c r="B948" s="42" t="str">
        <f t="shared" si="30"/>
        <v>GW1_N1227/BUGW-INFLOW</v>
      </c>
      <c r="C948" t="s">
        <v>3858</v>
      </c>
      <c r="D948" t="s">
        <v>3859</v>
      </c>
      <c r="E948" t="s">
        <v>4212</v>
      </c>
      <c r="F948">
        <v>177</v>
      </c>
      <c r="G948" t="s">
        <v>4213</v>
      </c>
      <c r="H948" t="s">
        <v>0</v>
      </c>
      <c r="I948" t="s">
        <v>112</v>
      </c>
      <c r="J948" t="s">
        <v>72</v>
      </c>
      <c r="L948" t="s">
        <v>3</v>
      </c>
      <c r="M948" t="s">
        <v>4</v>
      </c>
      <c r="N948" s="3" t="str">
        <f t="shared" si="29"/>
        <v>F</v>
      </c>
      <c r="O948" s="3" t="str">
        <f>IF(_xlfn.IFNA(MATCH(B948,Table1[UID],0),"F")="F","F","T")</f>
        <v>T</v>
      </c>
    </row>
    <row r="949" spans="2:15" x14ac:dyDescent="0.25">
      <c r="B949" s="42" t="str">
        <f t="shared" si="30"/>
        <v>GW1_N1228/BUGW-INFLOW</v>
      </c>
      <c r="C949" t="s">
        <v>3858</v>
      </c>
      <c r="D949" t="s">
        <v>3859</v>
      </c>
      <c r="E949" t="s">
        <v>4214</v>
      </c>
      <c r="F949">
        <v>178</v>
      </c>
      <c r="G949" t="s">
        <v>4215</v>
      </c>
      <c r="H949" t="s">
        <v>0</v>
      </c>
      <c r="I949" t="s">
        <v>113</v>
      </c>
      <c r="J949" t="s">
        <v>72</v>
      </c>
      <c r="L949" t="s">
        <v>3</v>
      </c>
      <c r="M949" t="s">
        <v>4</v>
      </c>
      <c r="N949" s="3" t="str">
        <f t="shared" si="29"/>
        <v>F</v>
      </c>
      <c r="O949" s="3" t="str">
        <f>IF(_xlfn.IFNA(MATCH(B949,Table1[UID],0),"F")="F","F","T")</f>
        <v>T</v>
      </c>
    </row>
    <row r="950" spans="2:15" x14ac:dyDescent="0.25">
      <c r="B950" s="42" t="str">
        <f t="shared" si="30"/>
        <v>GW1_N1243/BUGW-INFLOW</v>
      </c>
      <c r="C950" t="s">
        <v>3858</v>
      </c>
      <c r="D950" t="s">
        <v>3859</v>
      </c>
      <c r="E950" t="s">
        <v>4216</v>
      </c>
      <c r="F950">
        <v>179</v>
      </c>
      <c r="G950" t="s">
        <v>4217</v>
      </c>
      <c r="H950" t="s">
        <v>0</v>
      </c>
      <c r="I950" t="s">
        <v>114</v>
      </c>
      <c r="J950" t="s">
        <v>72</v>
      </c>
      <c r="L950" t="s">
        <v>3</v>
      </c>
      <c r="M950" t="s">
        <v>4</v>
      </c>
      <c r="N950" s="3" t="str">
        <f t="shared" si="29"/>
        <v>F</v>
      </c>
      <c r="O950" s="3" t="str">
        <f>IF(_xlfn.IFNA(MATCH(B950,Table1[UID],0),"F")="F","F","T")</f>
        <v>T</v>
      </c>
    </row>
    <row r="951" spans="2:15" x14ac:dyDescent="0.25">
      <c r="B951" s="42" t="str">
        <f t="shared" si="30"/>
        <v>GW1_N1244/BUGW-INFLOW</v>
      </c>
      <c r="C951" t="s">
        <v>3858</v>
      </c>
      <c r="D951" t="s">
        <v>3859</v>
      </c>
      <c r="E951" t="s">
        <v>4218</v>
      </c>
      <c r="F951">
        <v>180</v>
      </c>
      <c r="G951" t="s">
        <v>4219</v>
      </c>
      <c r="H951" t="s">
        <v>0</v>
      </c>
      <c r="I951" t="s">
        <v>115</v>
      </c>
      <c r="J951" t="s">
        <v>72</v>
      </c>
      <c r="L951" t="s">
        <v>3</v>
      </c>
      <c r="M951" t="s">
        <v>4</v>
      </c>
      <c r="N951" s="3" t="str">
        <f t="shared" si="29"/>
        <v>F</v>
      </c>
      <c r="O951" s="3" t="str">
        <f>IF(_xlfn.IFNA(MATCH(B951,Table1[UID],0),"F")="F","F","T")</f>
        <v>T</v>
      </c>
    </row>
    <row r="952" spans="2:15" x14ac:dyDescent="0.25">
      <c r="B952" s="42" t="str">
        <f t="shared" si="30"/>
        <v>GW1_N1253/BUGW-INFLOW</v>
      </c>
      <c r="C952" t="s">
        <v>3858</v>
      </c>
      <c r="D952" t="s">
        <v>3859</v>
      </c>
      <c r="E952" t="s">
        <v>4220</v>
      </c>
      <c r="F952">
        <v>181</v>
      </c>
      <c r="G952" t="s">
        <v>4221</v>
      </c>
      <c r="H952" t="s">
        <v>0</v>
      </c>
      <c r="I952" t="s">
        <v>116</v>
      </c>
      <c r="J952" t="s">
        <v>72</v>
      </c>
      <c r="L952" t="s">
        <v>3</v>
      </c>
      <c r="M952" t="s">
        <v>4</v>
      </c>
      <c r="N952" s="3" t="str">
        <f t="shared" si="29"/>
        <v>F</v>
      </c>
      <c r="O952" s="3" t="str">
        <f>IF(_xlfn.IFNA(MATCH(B952,Table1[UID],0),"F")="F","F","T")</f>
        <v>T</v>
      </c>
    </row>
    <row r="953" spans="2:15" x14ac:dyDescent="0.25">
      <c r="B953" s="42" t="str">
        <f t="shared" si="30"/>
        <v>GW1_N1255/BUGW-INFLOW</v>
      </c>
      <c r="C953" t="s">
        <v>3858</v>
      </c>
      <c r="D953" t="s">
        <v>3859</v>
      </c>
      <c r="E953" t="s">
        <v>4222</v>
      </c>
      <c r="F953">
        <v>182</v>
      </c>
      <c r="G953" t="s">
        <v>4223</v>
      </c>
      <c r="H953" t="s">
        <v>0</v>
      </c>
      <c r="I953" t="s">
        <v>117</v>
      </c>
      <c r="J953" t="s">
        <v>72</v>
      </c>
      <c r="L953" t="s">
        <v>3</v>
      </c>
      <c r="M953" t="s">
        <v>4</v>
      </c>
      <c r="N953" s="3" t="str">
        <f t="shared" si="29"/>
        <v>F</v>
      </c>
      <c r="O953" s="3" t="str">
        <f>IF(_xlfn.IFNA(MATCH(B953,Table1[UID],0),"F")="F","F","T")</f>
        <v>T</v>
      </c>
    </row>
    <row r="954" spans="2:15" x14ac:dyDescent="0.25">
      <c r="B954" s="42" t="str">
        <f t="shared" si="30"/>
        <v>GW1_N1266/BUGW-INFLOW</v>
      </c>
      <c r="C954" t="s">
        <v>3858</v>
      </c>
      <c r="D954" t="s">
        <v>3859</v>
      </c>
      <c r="E954" t="s">
        <v>4224</v>
      </c>
      <c r="F954">
        <v>183</v>
      </c>
      <c r="G954" t="s">
        <v>4225</v>
      </c>
      <c r="H954" t="s">
        <v>0</v>
      </c>
      <c r="I954" t="s">
        <v>118</v>
      </c>
      <c r="J954" t="s">
        <v>72</v>
      </c>
      <c r="L954" t="s">
        <v>3</v>
      </c>
      <c r="M954" t="s">
        <v>4</v>
      </c>
      <c r="N954" s="3" t="str">
        <f t="shared" si="29"/>
        <v>F</v>
      </c>
      <c r="O954" s="3" t="str">
        <f>IF(_xlfn.IFNA(MATCH(B954,Table1[UID],0),"F")="F","F","T")</f>
        <v>T</v>
      </c>
    </row>
    <row r="955" spans="2:15" x14ac:dyDescent="0.25">
      <c r="B955" s="42" t="str">
        <f t="shared" si="30"/>
        <v>GW1_N1267/BUGW-INFLOW</v>
      </c>
      <c r="C955" t="s">
        <v>3858</v>
      </c>
      <c r="D955" t="s">
        <v>3859</v>
      </c>
      <c r="E955" t="s">
        <v>4226</v>
      </c>
      <c r="F955">
        <v>184</v>
      </c>
      <c r="G955" t="s">
        <v>4227</v>
      </c>
      <c r="H955" t="s">
        <v>0</v>
      </c>
      <c r="I955" t="s">
        <v>119</v>
      </c>
      <c r="J955" t="s">
        <v>72</v>
      </c>
      <c r="L955" t="s">
        <v>3</v>
      </c>
      <c r="M955" t="s">
        <v>4</v>
      </c>
      <c r="N955" s="3" t="str">
        <f t="shared" si="29"/>
        <v>F</v>
      </c>
      <c r="O955" s="3" t="str">
        <f>IF(_xlfn.IFNA(MATCH(B955,Table1[UID],0),"F")="F","F","T")</f>
        <v>T</v>
      </c>
    </row>
    <row r="956" spans="2:15" x14ac:dyDescent="0.25">
      <c r="B956" s="42" t="str">
        <f t="shared" si="30"/>
        <v>GW1_N1279/BUGW-INFLOW</v>
      </c>
      <c r="C956" t="s">
        <v>3858</v>
      </c>
      <c r="D956" t="s">
        <v>3859</v>
      </c>
      <c r="E956" t="s">
        <v>4228</v>
      </c>
      <c r="F956">
        <v>185</v>
      </c>
      <c r="G956" t="s">
        <v>4229</v>
      </c>
      <c r="H956" t="s">
        <v>0</v>
      </c>
      <c r="I956" t="s">
        <v>120</v>
      </c>
      <c r="J956" t="s">
        <v>72</v>
      </c>
      <c r="L956" t="s">
        <v>3</v>
      </c>
      <c r="M956" t="s">
        <v>4</v>
      </c>
      <c r="N956" s="3" t="str">
        <f t="shared" si="29"/>
        <v>F</v>
      </c>
      <c r="O956" s="3" t="str">
        <f>IF(_xlfn.IFNA(MATCH(B956,Table1[UID],0),"F")="F","F","T")</f>
        <v>T</v>
      </c>
    </row>
    <row r="957" spans="2:15" x14ac:dyDescent="0.25">
      <c r="B957" s="42" t="str">
        <f t="shared" si="30"/>
        <v>GW1_N1280/BUGW-INFLOW</v>
      </c>
      <c r="C957" t="s">
        <v>3858</v>
      </c>
      <c r="D957" t="s">
        <v>3859</v>
      </c>
      <c r="E957" t="s">
        <v>4230</v>
      </c>
      <c r="F957">
        <v>186</v>
      </c>
      <c r="G957" t="s">
        <v>4231</v>
      </c>
      <c r="H957" t="s">
        <v>0</v>
      </c>
      <c r="I957" t="s">
        <v>121</v>
      </c>
      <c r="J957" t="s">
        <v>72</v>
      </c>
      <c r="L957" t="s">
        <v>3</v>
      </c>
      <c r="M957" t="s">
        <v>4</v>
      </c>
      <c r="N957" s="3" t="str">
        <f t="shared" si="29"/>
        <v>F</v>
      </c>
      <c r="O957" s="3" t="str">
        <f>IF(_xlfn.IFNA(MATCH(B957,Table1[UID],0),"F")="F","F","T")</f>
        <v>T</v>
      </c>
    </row>
    <row r="958" spans="2:15" x14ac:dyDescent="0.25">
      <c r="B958" s="42" t="str">
        <f t="shared" si="30"/>
        <v>GW1_N1292/BUGW-INFLOW</v>
      </c>
      <c r="C958" t="s">
        <v>3858</v>
      </c>
      <c r="D958" t="s">
        <v>3859</v>
      </c>
      <c r="E958" t="s">
        <v>4232</v>
      </c>
      <c r="F958">
        <v>187</v>
      </c>
      <c r="G958" t="s">
        <v>4233</v>
      </c>
      <c r="H958" t="s">
        <v>0</v>
      </c>
      <c r="I958" t="s">
        <v>122</v>
      </c>
      <c r="J958" t="s">
        <v>72</v>
      </c>
      <c r="L958" t="s">
        <v>3</v>
      </c>
      <c r="M958" t="s">
        <v>4</v>
      </c>
      <c r="N958" s="3" t="str">
        <f t="shared" si="29"/>
        <v>F</v>
      </c>
      <c r="O958" s="3" t="str">
        <f>IF(_xlfn.IFNA(MATCH(B958,Table1[UID],0),"F")="F","F","T")</f>
        <v>T</v>
      </c>
    </row>
    <row r="959" spans="2:15" x14ac:dyDescent="0.25">
      <c r="B959" s="42" t="str">
        <f t="shared" si="30"/>
        <v>GW1_N1293/BUGW-INFLOW</v>
      </c>
      <c r="C959" t="s">
        <v>3858</v>
      </c>
      <c r="D959" t="s">
        <v>3859</v>
      </c>
      <c r="E959" t="s">
        <v>4234</v>
      </c>
      <c r="F959">
        <v>188</v>
      </c>
      <c r="G959" t="s">
        <v>4235</v>
      </c>
      <c r="H959" t="s">
        <v>0</v>
      </c>
      <c r="I959" t="s">
        <v>123</v>
      </c>
      <c r="J959" t="s">
        <v>72</v>
      </c>
      <c r="L959" t="s">
        <v>3</v>
      </c>
      <c r="M959" t="s">
        <v>4</v>
      </c>
      <c r="N959" s="3" t="str">
        <f t="shared" si="29"/>
        <v>F</v>
      </c>
      <c r="O959" s="3" t="str">
        <f>IF(_xlfn.IFNA(MATCH(B959,Table1[UID],0),"F")="F","F","T")</f>
        <v>T</v>
      </c>
    </row>
    <row r="960" spans="2:15" x14ac:dyDescent="0.25">
      <c r="B960" s="42" t="str">
        <f t="shared" si="30"/>
        <v>GW1_N1305/BUGW-INFLOW</v>
      </c>
      <c r="C960" t="s">
        <v>3858</v>
      </c>
      <c r="D960" t="s">
        <v>3859</v>
      </c>
      <c r="E960" t="s">
        <v>4236</v>
      </c>
      <c r="F960">
        <v>189</v>
      </c>
      <c r="G960" t="s">
        <v>4237</v>
      </c>
      <c r="H960" t="s">
        <v>0</v>
      </c>
      <c r="I960" t="s">
        <v>125</v>
      </c>
      <c r="J960" t="s">
        <v>72</v>
      </c>
      <c r="L960" t="s">
        <v>3</v>
      </c>
      <c r="M960" t="s">
        <v>4</v>
      </c>
      <c r="N960" s="3" t="str">
        <f t="shared" si="29"/>
        <v>F</v>
      </c>
      <c r="O960" s="3" t="str">
        <f>IF(_xlfn.IFNA(MATCH(B960,Table1[UID],0),"F")="F","F","T")</f>
        <v>T</v>
      </c>
    </row>
    <row r="961" spans="2:15" x14ac:dyDescent="0.25">
      <c r="B961" s="42" t="str">
        <f t="shared" si="30"/>
        <v>GW1_N1316/BUGW-INFLOW</v>
      </c>
      <c r="C961" t="s">
        <v>3858</v>
      </c>
      <c r="D961" t="s">
        <v>3859</v>
      </c>
      <c r="E961" t="s">
        <v>4238</v>
      </c>
      <c r="F961">
        <v>190</v>
      </c>
      <c r="G961" t="s">
        <v>4239</v>
      </c>
      <c r="H961" t="s">
        <v>0</v>
      </c>
      <c r="I961" t="s">
        <v>126</v>
      </c>
      <c r="J961" t="s">
        <v>72</v>
      </c>
      <c r="L961" t="s">
        <v>3</v>
      </c>
      <c r="M961" t="s">
        <v>4</v>
      </c>
      <c r="N961" s="3" t="str">
        <f t="shared" si="29"/>
        <v>F</v>
      </c>
      <c r="O961" s="3" t="str">
        <f>IF(_xlfn.IFNA(MATCH(B961,Table1[UID],0),"F")="F","F","T")</f>
        <v>T</v>
      </c>
    </row>
    <row r="962" spans="2:15" x14ac:dyDescent="0.25">
      <c r="B962" s="42" t="str">
        <f t="shared" si="30"/>
        <v>GW1_N1318/BUGW-INFLOW</v>
      </c>
      <c r="C962" t="s">
        <v>3858</v>
      </c>
      <c r="D962" t="s">
        <v>3859</v>
      </c>
      <c r="E962" t="s">
        <v>4240</v>
      </c>
      <c r="F962">
        <v>191</v>
      </c>
      <c r="G962" t="s">
        <v>4241</v>
      </c>
      <c r="H962" t="s">
        <v>0</v>
      </c>
      <c r="I962" t="s">
        <v>127</v>
      </c>
      <c r="J962" t="s">
        <v>72</v>
      </c>
      <c r="L962" t="s">
        <v>3</v>
      </c>
      <c r="M962" t="s">
        <v>4</v>
      </c>
      <c r="N962" s="3" t="str">
        <f t="shared" si="29"/>
        <v>F</v>
      </c>
      <c r="O962" s="3" t="str">
        <f>IF(_xlfn.IFNA(MATCH(B962,Table1[UID],0),"F")="F","F","T")</f>
        <v>T</v>
      </c>
    </row>
    <row r="963" spans="2:15" x14ac:dyDescent="0.25">
      <c r="B963" s="42" t="str">
        <f t="shared" si="30"/>
        <v>GW1_N1329/BUGW-INFLOW</v>
      </c>
      <c r="C963" t="s">
        <v>3858</v>
      </c>
      <c r="D963" t="s">
        <v>3859</v>
      </c>
      <c r="E963" t="s">
        <v>4242</v>
      </c>
      <c r="F963">
        <v>192</v>
      </c>
      <c r="G963" t="s">
        <v>4243</v>
      </c>
      <c r="H963" t="s">
        <v>0</v>
      </c>
      <c r="I963" t="s">
        <v>128</v>
      </c>
      <c r="J963" t="s">
        <v>72</v>
      </c>
      <c r="L963" t="s">
        <v>3</v>
      </c>
      <c r="M963" t="s">
        <v>4</v>
      </c>
      <c r="N963" s="3" t="str">
        <f t="shared" ref="N963:N1026" si="31">IF(COUNTIF($B$3:$B$1760,"="&amp;B963)&gt;1,"T","F")</f>
        <v>F</v>
      </c>
      <c r="O963" s="3" t="str">
        <f>IF(_xlfn.IFNA(MATCH(B963,Table1[UID],0),"F")="F","F","T")</f>
        <v>T</v>
      </c>
    </row>
    <row r="964" spans="2:15" x14ac:dyDescent="0.25">
      <c r="B964" s="42" t="str">
        <f t="shared" si="30"/>
        <v>GW1_N1338/BUGW-INFLOW</v>
      </c>
      <c r="C964" t="s">
        <v>3858</v>
      </c>
      <c r="D964" t="s">
        <v>3859</v>
      </c>
      <c r="E964" t="s">
        <v>4244</v>
      </c>
      <c r="F964">
        <v>193</v>
      </c>
      <c r="G964" t="s">
        <v>4245</v>
      </c>
      <c r="H964" t="s">
        <v>0</v>
      </c>
      <c r="I964" t="s">
        <v>129</v>
      </c>
      <c r="J964" t="s">
        <v>72</v>
      </c>
      <c r="L964" t="s">
        <v>3</v>
      </c>
      <c r="M964" t="s">
        <v>4</v>
      </c>
      <c r="N964" s="3" t="str">
        <f t="shared" si="31"/>
        <v>F</v>
      </c>
      <c r="O964" s="3" t="str">
        <f>IF(_xlfn.IFNA(MATCH(B964,Table1[UID],0),"F")="F","F","T")</f>
        <v>T</v>
      </c>
    </row>
    <row r="965" spans="2:15" x14ac:dyDescent="0.25">
      <c r="B965" s="42" t="str">
        <f t="shared" si="30"/>
        <v>GW1_N1339/BUGW-INFLOW</v>
      </c>
      <c r="C965" t="s">
        <v>3858</v>
      </c>
      <c r="D965" t="s">
        <v>3859</v>
      </c>
      <c r="E965" t="s">
        <v>4246</v>
      </c>
      <c r="F965">
        <v>194</v>
      </c>
      <c r="G965" t="s">
        <v>4247</v>
      </c>
      <c r="H965" t="s">
        <v>0</v>
      </c>
      <c r="I965" t="s">
        <v>130</v>
      </c>
      <c r="J965" t="s">
        <v>72</v>
      </c>
      <c r="L965" t="s">
        <v>3</v>
      </c>
      <c r="M965" t="s">
        <v>4</v>
      </c>
      <c r="N965" s="3" t="str">
        <f t="shared" si="31"/>
        <v>F</v>
      </c>
      <c r="O965" s="3" t="str">
        <f>IF(_xlfn.IFNA(MATCH(B965,Table1[UID],0),"F")="F","F","T")</f>
        <v>T</v>
      </c>
    </row>
    <row r="966" spans="2:15" x14ac:dyDescent="0.25">
      <c r="B966" s="42" t="str">
        <f t="shared" si="30"/>
        <v>GW1_N1349/BUGW-INFLOW</v>
      </c>
      <c r="C966" t="s">
        <v>3858</v>
      </c>
      <c r="D966" t="s">
        <v>3859</v>
      </c>
      <c r="E966" t="s">
        <v>4248</v>
      </c>
      <c r="F966">
        <v>195</v>
      </c>
      <c r="G966" t="s">
        <v>4249</v>
      </c>
      <c r="H966" t="s">
        <v>0</v>
      </c>
      <c r="I966" t="s">
        <v>131</v>
      </c>
      <c r="J966" t="s">
        <v>72</v>
      </c>
      <c r="L966" t="s">
        <v>3</v>
      </c>
      <c r="M966" t="s">
        <v>4</v>
      </c>
      <c r="N966" s="3" t="str">
        <f t="shared" si="31"/>
        <v>F</v>
      </c>
      <c r="O966" s="3" t="str">
        <f>IF(_xlfn.IFNA(MATCH(B966,Table1[UID],0),"F")="F","F","T")</f>
        <v>T</v>
      </c>
    </row>
    <row r="967" spans="2:15" x14ac:dyDescent="0.25">
      <c r="B967" s="42" t="str">
        <f t="shared" si="30"/>
        <v>GW1_N1359/BUGW-INFLOW</v>
      </c>
      <c r="C967" t="s">
        <v>3858</v>
      </c>
      <c r="D967" t="s">
        <v>3859</v>
      </c>
      <c r="E967" t="s">
        <v>4250</v>
      </c>
      <c r="F967">
        <v>196</v>
      </c>
      <c r="G967" t="s">
        <v>4251</v>
      </c>
      <c r="H967" t="s">
        <v>0</v>
      </c>
      <c r="I967" t="s">
        <v>132</v>
      </c>
      <c r="J967" t="s">
        <v>72</v>
      </c>
      <c r="L967" t="s">
        <v>3</v>
      </c>
      <c r="M967" t="s">
        <v>4</v>
      </c>
      <c r="N967" s="3" t="str">
        <f t="shared" si="31"/>
        <v>F</v>
      </c>
      <c r="O967" s="3" t="str">
        <f>IF(_xlfn.IFNA(MATCH(B967,Table1[UID],0),"F")="F","F","T")</f>
        <v>T</v>
      </c>
    </row>
    <row r="968" spans="2:15" x14ac:dyDescent="0.25">
      <c r="B968" s="42" t="str">
        <f t="shared" si="30"/>
        <v>GW1_N1360/BUGW-INFLOW</v>
      </c>
      <c r="C968" t="s">
        <v>3858</v>
      </c>
      <c r="D968" t="s">
        <v>3859</v>
      </c>
      <c r="E968" t="s">
        <v>4252</v>
      </c>
      <c r="F968">
        <v>197</v>
      </c>
      <c r="G968" t="s">
        <v>4253</v>
      </c>
      <c r="H968" t="s">
        <v>0</v>
      </c>
      <c r="I968" t="s">
        <v>133</v>
      </c>
      <c r="J968" t="s">
        <v>72</v>
      </c>
      <c r="L968" t="s">
        <v>3</v>
      </c>
      <c r="M968" t="s">
        <v>4</v>
      </c>
      <c r="N968" s="3" t="str">
        <f t="shared" si="31"/>
        <v>F</v>
      </c>
      <c r="O968" s="3" t="str">
        <f>IF(_xlfn.IFNA(MATCH(B968,Table1[UID],0),"F")="F","F","T")</f>
        <v>T</v>
      </c>
    </row>
    <row r="969" spans="2:15" x14ac:dyDescent="0.25">
      <c r="B969" s="42" t="str">
        <f t="shared" si="30"/>
        <v>GW1_N1368/BUGW-INFLOW</v>
      </c>
      <c r="C969" t="s">
        <v>3858</v>
      </c>
      <c r="D969" t="s">
        <v>3859</v>
      </c>
      <c r="E969" t="s">
        <v>4254</v>
      </c>
      <c r="F969">
        <v>198</v>
      </c>
      <c r="G969" t="s">
        <v>4255</v>
      </c>
      <c r="H969" t="s">
        <v>0</v>
      </c>
      <c r="I969" t="s">
        <v>134</v>
      </c>
      <c r="J969" t="s">
        <v>72</v>
      </c>
      <c r="L969" t="s">
        <v>3</v>
      </c>
      <c r="M969" t="s">
        <v>4</v>
      </c>
      <c r="N969" s="3" t="str">
        <f t="shared" si="31"/>
        <v>F</v>
      </c>
      <c r="O969" s="3" t="str">
        <f>IF(_xlfn.IFNA(MATCH(B969,Table1[UID],0),"F")="F","F","T")</f>
        <v>T</v>
      </c>
    </row>
    <row r="970" spans="2:15" x14ac:dyDescent="0.25">
      <c r="B970" s="42" t="str">
        <f t="shared" ref="B970:B1033" si="32">_xlfn.CONCAT(I970,"/",J970)</f>
        <v>GW1_N1371/BUGW-INFLOW</v>
      </c>
      <c r="C970" t="s">
        <v>3858</v>
      </c>
      <c r="D970" t="s">
        <v>3859</v>
      </c>
      <c r="E970" t="s">
        <v>4256</v>
      </c>
      <c r="F970">
        <v>199</v>
      </c>
      <c r="G970" t="s">
        <v>4257</v>
      </c>
      <c r="H970" t="s">
        <v>0</v>
      </c>
      <c r="I970" t="s">
        <v>135</v>
      </c>
      <c r="J970" t="s">
        <v>72</v>
      </c>
      <c r="L970" t="s">
        <v>3</v>
      </c>
      <c r="M970" t="s">
        <v>4</v>
      </c>
      <c r="N970" s="3" t="str">
        <f t="shared" si="31"/>
        <v>F</v>
      </c>
      <c r="O970" s="3" t="str">
        <f>IF(_xlfn.IFNA(MATCH(B970,Table1[UID],0),"F")="F","F","T")</f>
        <v>T</v>
      </c>
    </row>
    <row r="971" spans="2:15" x14ac:dyDescent="0.25">
      <c r="B971" s="42" t="str">
        <f t="shared" si="32"/>
        <v>GW1_N1374/BUGW-INFLOW</v>
      </c>
      <c r="C971" t="s">
        <v>3858</v>
      </c>
      <c r="D971" t="s">
        <v>3859</v>
      </c>
      <c r="E971" t="s">
        <v>4258</v>
      </c>
      <c r="F971">
        <v>200</v>
      </c>
      <c r="G971" t="s">
        <v>4259</v>
      </c>
      <c r="H971" t="s">
        <v>0</v>
      </c>
      <c r="I971" t="s">
        <v>136</v>
      </c>
      <c r="J971" t="s">
        <v>72</v>
      </c>
      <c r="L971" t="s">
        <v>3</v>
      </c>
      <c r="M971" t="s">
        <v>4</v>
      </c>
      <c r="N971" s="3" t="str">
        <f t="shared" si="31"/>
        <v>F</v>
      </c>
      <c r="O971" s="3" t="str">
        <f>IF(_xlfn.IFNA(MATCH(B971,Table1[UID],0),"F")="F","F","T")</f>
        <v>T</v>
      </c>
    </row>
    <row r="972" spans="2:15" x14ac:dyDescent="0.25">
      <c r="B972" s="42" t="str">
        <f t="shared" si="32"/>
        <v>GW1_N1380/BUGW-INFLOW</v>
      </c>
      <c r="C972" t="s">
        <v>3858</v>
      </c>
      <c r="D972" t="s">
        <v>3859</v>
      </c>
      <c r="E972" t="s">
        <v>4260</v>
      </c>
      <c r="F972">
        <v>201</v>
      </c>
      <c r="G972" t="s">
        <v>4261</v>
      </c>
      <c r="H972" t="s">
        <v>0</v>
      </c>
      <c r="I972" t="s">
        <v>137</v>
      </c>
      <c r="J972" t="s">
        <v>72</v>
      </c>
      <c r="L972" t="s">
        <v>3</v>
      </c>
      <c r="M972" t="s">
        <v>4</v>
      </c>
      <c r="N972" s="3" t="str">
        <f t="shared" si="31"/>
        <v>F</v>
      </c>
      <c r="O972" s="3" t="str">
        <f>IF(_xlfn.IFNA(MATCH(B972,Table1[UID],0),"F")="F","F","T")</f>
        <v>T</v>
      </c>
    </row>
    <row r="973" spans="2:15" x14ac:dyDescent="0.25">
      <c r="B973" s="42" t="str">
        <f t="shared" si="32"/>
        <v>GW1_N1381/BUGW-INFLOW</v>
      </c>
      <c r="C973" t="s">
        <v>3858</v>
      </c>
      <c r="D973" t="s">
        <v>3859</v>
      </c>
      <c r="E973" t="s">
        <v>4262</v>
      </c>
      <c r="F973">
        <v>202</v>
      </c>
      <c r="G973" t="s">
        <v>4263</v>
      </c>
      <c r="H973" t="s">
        <v>0</v>
      </c>
      <c r="I973" t="s">
        <v>138</v>
      </c>
      <c r="J973" t="s">
        <v>72</v>
      </c>
      <c r="L973" t="s">
        <v>3</v>
      </c>
      <c r="M973" t="s">
        <v>4</v>
      </c>
      <c r="N973" s="3" t="str">
        <f t="shared" si="31"/>
        <v>F</v>
      </c>
      <c r="O973" s="3" t="str">
        <f>IF(_xlfn.IFNA(MATCH(B973,Table1[UID],0),"F")="F","F","T")</f>
        <v>T</v>
      </c>
    </row>
    <row r="974" spans="2:15" x14ac:dyDescent="0.25">
      <c r="B974" s="42" t="str">
        <f t="shared" si="32"/>
        <v>GW1_N1382/BUGW-INFLOW</v>
      </c>
      <c r="C974" t="s">
        <v>3858</v>
      </c>
      <c r="D974" t="s">
        <v>3859</v>
      </c>
      <c r="E974" t="s">
        <v>4264</v>
      </c>
      <c r="F974">
        <v>203</v>
      </c>
      <c r="G974" t="s">
        <v>4265</v>
      </c>
      <c r="H974" t="s">
        <v>0</v>
      </c>
      <c r="I974" t="s">
        <v>139</v>
      </c>
      <c r="J974" t="s">
        <v>72</v>
      </c>
      <c r="L974" t="s">
        <v>3</v>
      </c>
      <c r="M974" t="s">
        <v>4</v>
      </c>
      <c r="N974" s="3" t="str">
        <f t="shared" si="31"/>
        <v>F</v>
      </c>
      <c r="O974" s="3" t="str">
        <f>IF(_xlfn.IFNA(MATCH(B974,Table1[UID],0),"F")="F","F","T")</f>
        <v>T</v>
      </c>
    </row>
    <row r="975" spans="2:15" x14ac:dyDescent="0.25">
      <c r="B975" s="42" t="str">
        <f t="shared" si="32"/>
        <v>GW1_N1385/BUGW-INFLOW</v>
      </c>
      <c r="C975" t="s">
        <v>3858</v>
      </c>
      <c r="D975" t="s">
        <v>3859</v>
      </c>
      <c r="E975" t="s">
        <v>4266</v>
      </c>
      <c r="F975">
        <v>204</v>
      </c>
      <c r="G975" t="s">
        <v>4267</v>
      </c>
      <c r="H975" t="s">
        <v>0</v>
      </c>
      <c r="I975" t="s">
        <v>140</v>
      </c>
      <c r="J975" t="s">
        <v>72</v>
      </c>
      <c r="L975" t="s">
        <v>3</v>
      </c>
      <c r="M975" t="s">
        <v>4</v>
      </c>
      <c r="N975" s="3" t="str">
        <f t="shared" si="31"/>
        <v>F</v>
      </c>
      <c r="O975" s="3" t="str">
        <f>IF(_xlfn.IFNA(MATCH(B975,Table1[UID],0),"F")="F","F","T")</f>
        <v>T</v>
      </c>
    </row>
    <row r="976" spans="2:15" x14ac:dyDescent="0.25">
      <c r="B976" s="42" t="str">
        <f t="shared" si="32"/>
        <v>GW1_N1386/BUGW-INFLOW</v>
      </c>
      <c r="C976" t="s">
        <v>3858</v>
      </c>
      <c r="D976" t="s">
        <v>3859</v>
      </c>
      <c r="E976" t="s">
        <v>4268</v>
      </c>
      <c r="F976">
        <v>205</v>
      </c>
      <c r="G976" t="s">
        <v>4269</v>
      </c>
      <c r="H976" t="s">
        <v>0</v>
      </c>
      <c r="I976" t="s">
        <v>141</v>
      </c>
      <c r="J976" t="s">
        <v>72</v>
      </c>
      <c r="L976" t="s">
        <v>3</v>
      </c>
      <c r="M976" t="s">
        <v>4</v>
      </c>
      <c r="N976" s="3" t="str">
        <f t="shared" si="31"/>
        <v>F</v>
      </c>
      <c r="O976" s="3" t="str">
        <f>IF(_xlfn.IFNA(MATCH(B976,Table1[UID],0),"F")="F","F","T")</f>
        <v>T</v>
      </c>
    </row>
    <row r="977" spans="2:15" x14ac:dyDescent="0.25">
      <c r="B977" s="42" t="str">
        <f t="shared" si="32"/>
        <v>GW1_N1389/BUGW-INFLOW</v>
      </c>
      <c r="C977" t="s">
        <v>3858</v>
      </c>
      <c r="D977" t="s">
        <v>3859</v>
      </c>
      <c r="E977" t="s">
        <v>4270</v>
      </c>
      <c r="F977">
        <v>206</v>
      </c>
      <c r="G977" t="s">
        <v>4271</v>
      </c>
      <c r="H977" t="s">
        <v>0</v>
      </c>
      <c r="I977" t="s">
        <v>142</v>
      </c>
      <c r="J977" t="s">
        <v>72</v>
      </c>
      <c r="L977" t="s">
        <v>3</v>
      </c>
      <c r="M977" t="s">
        <v>4</v>
      </c>
      <c r="N977" s="3" t="str">
        <f t="shared" si="31"/>
        <v>F</v>
      </c>
      <c r="O977" s="3" t="str">
        <f>IF(_xlfn.IFNA(MATCH(B977,Table1[UID],0),"F")="F","F","T")</f>
        <v>T</v>
      </c>
    </row>
    <row r="978" spans="2:15" x14ac:dyDescent="0.25">
      <c r="B978" s="42" t="str">
        <f t="shared" si="32"/>
        <v>GW1_N1390/BUGW-INFLOW</v>
      </c>
      <c r="C978" t="s">
        <v>3858</v>
      </c>
      <c r="D978" t="s">
        <v>3859</v>
      </c>
      <c r="E978" t="s">
        <v>4272</v>
      </c>
      <c r="F978">
        <v>207</v>
      </c>
      <c r="G978" t="s">
        <v>4273</v>
      </c>
      <c r="H978" t="s">
        <v>0</v>
      </c>
      <c r="I978" t="s">
        <v>143</v>
      </c>
      <c r="J978" t="s">
        <v>72</v>
      </c>
      <c r="L978" t="s">
        <v>3</v>
      </c>
      <c r="M978" t="s">
        <v>4</v>
      </c>
      <c r="N978" s="3" t="str">
        <f t="shared" si="31"/>
        <v>F</v>
      </c>
      <c r="O978" s="3" t="str">
        <f>IF(_xlfn.IFNA(MATCH(B978,Table1[UID],0),"F")="F","F","T")</f>
        <v>T</v>
      </c>
    </row>
    <row r="979" spans="2:15" x14ac:dyDescent="0.25">
      <c r="B979" s="42" t="str">
        <f t="shared" si="32"/>
        <v>GW1_N1391/BUGW-INFLOW</v>
      </c>
      <c r="C979" t="s">
        <v>3858</v>
      </c>
      <c r="D979" t="s">
        <v>3859</v>
      </c>
      <c r="E979" t="s">
        <v>4274</v>
      </c>
      <c r="F979">
        <v>208</v>
      </c>
      <c r="G979" t="s">
        <v>4275</v>
      </c>
      <c r="H979" t="s">
        <v>0</v>
      </c>
      <c r="I979" t="s">
        <v>144</v>
      </c>
      <c r="J979" t="s">
        <v>72</v>
      </c>
      <c r="L979" t="s">
        <v>3</v>
      </c>
      <c r="M979" t="s">
        <v>4</v>
      </c>
      <c r="N979" s="3" t="str">
        <f t="shared" si="31"/>
        <v>F</v>
      </c>
      <c r="O979" s="3" t="str">
        <f>IF(_xlfn.IFNA(MATCH(B979,Table1[UID],0),"F")="F","F","T")</f>
        <v>T</v>
      </c>
    </row>
    <row r="980" spans="2:15" x14ac:dyDescent="0.25">
      <c r="B980" s="42" t="str">
        <f t="shared" si="32"/>
        <v>GW1_N1392/BUGW-INFLOW</v>
      </c>
      <c r="C980" t="s">
        <v>3858</v>
      </c>
      <c r="D980" t="s">
        <v>3859</v>
      </c>
      <c r="E980" t="s">
        <v>4276</v>
      </c>
      <c r="F980">
        <v>209</v>
      </c>
      <c r="G980" t="s">
        <v>4277</v>
      </c>
      <c r="H980" t="s">
        <v>0</v>
      </c>
      <c r="I980" t="s">
        <v>145</v>
      </c>
      <c r="J980" t="s">
        <v>72</v>
      </c>
      <c r="L980" t="s">
        <v>3</v>
      </c>
      <c r="M980" t="s">
        <v>4</v>
      </c>
      <c r="N980" s="3" t="str">
        <f t="shared" si="31"/>
        <v>F</v>
      </c>
      <c r="O980" s="3" t="str">
        <f>IF(_xlfn.IFNA(MATCH(B980,Table1[UID],0),"F")="F","F","T")</f>
        <v>T</v>
      </c>
    </row>
    <row r="981" spans="2:15" x14ac:dyDescent="0.25">
      <c r="B981" s="42" t="str">
        <f t="shared" si="32"/>
        <v>GW1_N1393/BUGW-INFLOW</v>
      </c>
      <c r="C981" t="s">
        <v>3858</v>
      </c>
      <c r="D981" t="s">
        <v>3859</v>
      </c>
      <c r="E981" t="s">
        <v>4278</v>
      </c>
      <c r="F981">
        <v>210</v>
      </c>
      <c r="G981" t="s">
        <v>4279</v>
      </c>
      <c r="H981" t="s">
        <v>0</v>
      </c>
      <c r="I981" t="s">
        <v>146</v>
      </c>
      <c r="J981" t="s">
        <v>72</v>
      </c>
      <c r="L981" t="s">
        <v>3</v>
      </c>
      <c r="M981" t="s">
        <v>4</v>
      </c>
      <c r="N981" s="3" t="str">
        <f t="shared" si="31"/>
        <v>F</v>
      </c>
      <c r="O981" s="3" t="str">
        <f>IF(_xlfn.IFNA(MATCH(B981,Table1[UID],0),"F")="F","F","T")</f>
        <v>T</v>
      </c>
    </row>
    <row r="982" spans="2:15" x14ac:dyDescent="0.25">
      <c r="B982" s="42" t="str">
        <f t="shared" si="32"/>
        <v>DP_EA_02/DEEP-PERCOLATION</v>
      </c>
      <c r="C982" t="s">
        <v>4280</v>
      </c>
      <c r="D982" t="s">
        <v>4281</v>
      </c>
      <c r="E982" t="s">
        <v>4282</v>
      </c>
      <c r="F982">
        <v>1</v>
      </c>
      <c r="G982" t="s">
        <v>4282</v>
      </c>
      <c r="H982" t="s">
        <v>0</v>
      </c>
      <c r="I982" t="s">
        <v>1079</v>
      </c>
      <c r="J982" t="s">
        <v>51</v>
      </c>
      <c r="L982" t="s">
        <v>3</v>
      </c>
      <c r="M982" t="s">
        <v>4</v>
      </c>
      <c r="N982" s="3" t="str">
        <f t="shared" si="31"/>
        <v>F</v>
      </c>
      <c r="O982" s="3" t="str">
        <f>IF(_xlfn.IFNA(MATCH(B982,Table1[UID],0),"F")="F","F","T")</f>
        <v>T</v>
      </c>
    </row>
    <row r="983" spans="2:15" x14ac:dyDescent="0.25">
      <c r="B983" s="42" t="str">
        <f t="shared" si="32"/>
        <v>DP_EA_03/DEEP-PERCOLATION</v>
      </c>
      <c r="C983" t="s">
        <v>4280</v>
      </c>
      <c r="D983" t="s">
        <v>4281</v>
      </c>
      <c r="E983" t="s">
        <v>4283</v>
      </c>
      <c r="F983">
        <v>2</v>
      </c>
      <c r="G983" t="s">
        <v>4283</v>
      </c>
      <c r="H983" t="s">
        <v>0</v>
      </c>
      <c r="I983" t="s">
        <v>1080</v>
      </c>
      <c r="J983" t="s">
        <v>51</v>
      </c>
      <c r="L983" t="s">
        <v>3</v>
      </c>
      <c r="M983" t="s">
        <v>4</v>
      </c>
      <c r="N983" s="3" t="str">
        <f t="shared" si="31"/>
        <v>F</v>
      </c>
      <c r="O983" s="3" t="str">
        <f>IF(_xlfn.IFNA(MATCH(B983,Table1[UID],0),"F")="F","F","T")</f>
        <v>T</v>
      </c>
    </row>
    <row r="984" spans="2:15" x14ac:dyDescent="0.25">
      <c r="B984" s="42" t="str">
        <f t="shared" si="32"/>
        <v>DP_EA_05/DEEP-PERCOLATION</v>
      </c>
      <c r="C984" t="s">
        <v>4280</v>
      </c>
      <c r="D984" t="s">
        <v>4281</v>
      </c>
      <c r="E984" t="s">
        <v>4284</v>
      </c>
      <c r="F984">
        <v>3</v>
      </c>
      <c r="G984" t="s">
        <v>4284</v>
      </c>
      <c r="H984" t="s">
        <v>0</v>
      </c>
      <c r="I984" t="s">
        <v>1081</v>
      </c>
      <c r="J984" t="s">
        <v>51</v>
      </c>
      <c r="L984" t="s">
        <v>3</v>
      </c>
      <c r="M984" t="s">
        <v>4</v>
      </c>
      <c r="N984" s="3" t="str">
        <f t="shared" si="31"/>
        <v>F</v>
      </c>
      <c r="O984" s="3" t="str">
        <f>IF(_xlfn.IFNA(MATCH(B984,Table1[UID],0),"F")="F","F","T")</f>
        <v>T</v>
      </c>
    </row>
    <row r="985" spans="2:15" x14ac:dyDescent="0.25">
      <c r="B985" s="42" t="str">
        <f t="shared" si="32"/>
        <v>DP_EA_06/DEEP-PERCOLATION</v>
      </c>
      <c r="C985" t="s">
        <v>4280</v>
      </c>
      <c r="D985" t="s">
        <v>4281</v>
      </c>
      <c r="E985" t="s">
        <v>4285</v>
      </c>
      <c r="F985">
        <v>4</v>
      </c>
      <c r="G985" t="s">
        <v>4285</v>
      </c>
      <c r="H985" t="s">
        <v>0</v>
      </c>
      <c r="I985" t="s">
        <v>1082</v>
      </c>
      <c r="J985" t="s">
        <v>51</v>
      </c>
      <c r="L985" t="s">
        <v>3</v>
      </c>
      <c r="M985" t="s">
        <v>4</v>
      </c>
      <c r="N985" s="3" t="str">
        <f t="shared" si="31"/>
        <v>F</v>
      </c>
      <c r="O985" s="3" t="str">
        <f>IF(_xlfn.IFNA(MATCH(B985,Table1[UID],0),"F")="F","F","T")</f>
        <v>T</v>
      </c>
    </row>
    <row r="986" spans="2:15" x14ac:dyDescent="0.25">
      <c r="B986" s="42" t="str">
        <f t="shared" si="32"/>
        <v>DP_EA_15S/DEEP-PERCOLATION</v>
      </c>
      <c r="C986" t="s">
        <v>4280</v>
      </c>
      <c r="D986" t="s">
        <v>4281</v>
      </c>
      <c r="E986" t="s">
        <v>4286</v>
      </c>
      <c r="F986">
        <v>5</v>
      </c>
      <c r="G986" t="s">
        <v>4286</v>
      </c>
      <c r="H986" t="s">
        <v>0</v>
      </c>
      <c r="I986" t="s">
        <v>1083</v>
      </c>
      <c r="J986" t="s">
        <v>51</v>
      </c>
      <c r="L986" t="s">
        <v>3</v>
      </c>
      <c r="M986" t="s">
        <v>4</v>
      </c>
      <c r="N986" s="3" t="str">
        <f t="shared" si="31"/>
        <v>F</v>
      </c>
      <c r="O986" s="3" t="str">
        <f>IF(_xlfn.IFNA(MATCH(B986,Table1[UID],0),"F")="F","F","T")</f>
        <v>T</v>
      </c>
    </row>
    <row r="987" spans="2:15" x14ac:dyDescent="0.25">
      <c r="B987" s="42" t="str">
        <f t="shared" si="32"/>
        <v>DP_EA_50/DEEP-PERCOLATION</v>
      </c>
      <c r="C987" t="s">
        <v>4280</v>
      </c>
      <c r="D987" t="s">
        <v>4281</v>
      </c>
      <c r="E987" t="s">
        <v>4287</v>
      </c>
      <c r="F987">
        <v>6</v>
      </c>
      <c r="G987" t="s">
        <v>4287</v>
      </c>
      <c r="H987" t="s">
        <v>0</v>
      </c>
      <c r="I987" t="s">
        <v>1084</v>
      </c>
      <c r="J987" t="s">
        <v>51</v>
      </c>
      <c r="L987" t="s">
        <v>3</v>
      </c>
      <c r="M987" t="s">
        <v>4</v>
      </c>
      <c r="N987" s="3" t="str">
        <f t="shared" si="31"/>
        <v>F</v>
      </c>
      <c r="O987" s="3" t="str">
        <f>IF(_xlfn.IFNA(MATCH(B987,Table1[UID],0),"F")="F","F","T")</f>
        <v>T</v>
      </c>
    </row>
    <row r="988" spans="2:15" x14ac:dyDescent="0.25">
      <c r="B988" s="42" t="str">
        <f t="shared" si="32"/>
        <v>DP_EA_60N/DEEP-PERCOLATION</v>
      </c>
      <c r="C988" t="s">
        <v>4280</v>
      </c>
      <c r="D988" t="s">
        <v>4281</v>
      </c>
      <c r="E988" t="s">
        <v>4288</v>
      </c>
      <c r="F988">
        <v>7</v>
      </c>
      <c r="G988" t="s">
        <v>4288</v>
      </c>
      <c r="H988" t="s">
        <v>0</v>
      </c>
      <c r="I988" t="s">
        <v>1085</v>
      </c>
      <c r="J988" t="s">
        <v>51</v>
      </c>
      <c r="L988" t="s">
        <v>3</v>
      </c>
      <c r="M988" t="s">
        <v>4</v>
      </c>
      <c r="N988" s="3" t="str">
        <f t="shared" si="31"/>
        <v>F</v>
      </c>
      <c r="O988" s="3" t="str">
        <f>IF(_xlfn.IFNA(MATCH(B988,Table1[UID],0),"F")="F","F","T")</f>
        <v>T</v>
      </c>
    </row>
    <row r="989" spans="2:15" x14ac:dyDescent="0.25">
      <c r="B989" s="42" t="str">
        <f t="shared" si="32"/>
        <v>DP_EA_60S/DEEP-PERCOLATION</v>
      </c>
      <c r="C989" t="s">
        <v>4280</v>
      </c>
      <c r="D989" t="s">
        <v>4281</v>
      </c>
      <c r="E989" t="s">
        <v>4289</v>
      </c>
      <c r="F989">
        <v>8</v>
      </c>
      <c r="G989" t="s">
        <v>4289</v>
      </c>
      <c r="H989" t="s">
        <v>0</v>
      </c>
      <c r="I989" t="s">
        <v>1086</v>
      </c>
      <c r="J989" t="s">
        <v>51</v>
      </c>
      <c r="L989" t="s">
        <v>3</v>
      </c>
      <c r="M989" t="s">
        <v>4</v>
      </c>
      <c r="N989" s="3" t="str">
        <f t="shared" si="31"/>
        <v>F</v>
      </c>
      <c r="O989" s="3" t="str">
        <f>IF(_xlfn.IFNA(MATCH(B989,Table1[UID],0),"F")="F","F","T")</f>
        <v>T</v>
      </c>
    </row>
    <row r="990" spans="2:15" x14ac:dyDescent="0.25">
      <c r="B990" s="42" t="str">
        <f t="shared" si="32"/>
        <v>DP_EA_61/DEEP-PERCOLATION</v>
      </c>
      <c r="C990" t="s">
        <v>4280</v>
      </c>
      <c r="D990" t="s">
        <v>4281</v>
      </c>
      <c r="E990" t="s">
        <v>4290</v>
      </c>
      <c r="F990">
        <v>9</v>
      </c>
      <c r="G990" t="s">
        <v>4290</v>
      </c>
      <c r="H990" t="s">
        <v>0</v>
      </c>
      <c r="I990" t="s">
        <v>1087</v>
      </c>
      <c r="J990" t="s">
        <v>51</v>
      </c>
      <c r="L990" t="s">
        <v>3</v>
      </c>
      <c r="M990" t="s">
        <v>4</v>
      </c>
      <c r="N990" s="3" t="str">
        <f t="shared" si="31"/>
        <v>F</v>
      </c>
      <c r="O990" s="3" t="str">
        <f>IF(_xlfn.IFNA(MATCH(B990,Table1[UID],0),"F")="F","F","T")</f>
        <v>T</v>
      </c>
    </row>
    <row r="991" spans="2:15" x14ac:dyDescent="0.25">
      <c r="B991" s="42" t="str">
        <f t="shared" si="32"/>
        <v>DP_EA_62/DEEP-PERCOLATION</v>
      </c>
      <c r="C991" t="s">
        <v>4280</v>
      </c>
      <c r="D991" t="s">
        <v>4281</v>
      </c>
      <c r="E991" t="s">
        <v>4291</v>
      </c>
      <c r="F991">
        <v>10</v>
      </c>
      <c r="G991" t="s">
        <v>4291</v>
      </c>
      <c r="H991" t="s">
        <v>0</v>
      </c>
      <c r="I991" t="s">
        <v>1088</v>
      </c>
      <c r="J991" t="s">
        <v>51</v>
      </c>
      <c r="L991" t="s">
        <v>3</v>
      </c>
      <c r="M991" t="s">
        <v>4</v>
      </c>
      <c r="N991" s="3" t="str">
        <f t="shared" si="31"/>
        <v>F</v>
      </c>
      <c r="O991" s="3" t="str">
        <f>IF(_xlfn.IFNA(MATCH(B991,Table1[UID],0),"F")="F","F","T")</f>
        <v>T</v>
      </c>
    </row>
    <row r="992" spans="2:15" x14ac:dyDescent="0.25">
      <c r="B992" s="42" t="str">
        <f t="shared" si="32"/>
        <v>DP_EA_63/DEEP-PERCOLATION</v>
      </c>
      <c r="C992" t="s">
        <v>4280</v>
      </c>
      <c r="D992" t="s">
        <v>4281</v>
      </c>
      <c r="E992" t="s">
        <v>4292</v>
      </c>
      <c r="F992">
        <v>11</v>
      </c>
      <c r="G992" t="s">
        <v>4292</v>
      </c>
      <c r="H992" t="s">
        <v>0</v>
      </c>
      <c r="I992" t="s">
        <v>1089</v>
      </c>
      <c r="J992" t="s">
        <v>51</v>
      </c>
      <c r="L992" t="s">
        <v>3</v>
      </c>
      <c r="M992" t="s">
        <v>4</v>
      </c>
      <c r="N992" s="3" t="str">
        <f t="shared" si="31"/>
        <v>F</v>
      </c>
      <c r="O992" s="3" t="str">
        <f>IF(_xlfn.IFNA(MATCH(B992,Table1[UID],0),"F")="F","F","T")</f>
        <v>T</v>
      </c>
    </row>
    <row r="993" spans="2:15" x14ac:dyDescent="0.25">
      <c r="B993" s="42" t="str">
        <f t="shared" si="32"/>
        <v>DP_EA_64/DEEP-PERCOLATION</v>
      </c>
      <c r="C993" t="s">
        <v>4280</v>
      </c>
      <c r="D993" t="s">
        <v>4281</v>
      </c>
      <c r="E993" t="s">
        <v>4293</v>
      </c>
      <c r="F993">
        <v>12</v>
      </c>
      <c r="G993" t="s">
        <v>4293</v>
      </c>
      <c r="H993" t="s">
        <v>0</v>
      </c>
      <c r="I993" t="s">
        <v>1090</v>
      </c>
      <c r="J993" t="s">
        <v>51</v>
      </c>
      <c r="L993" t="s">
        <v>3</v>
      </c>
      <c r="M993" t="s">
        <v>4</v>
      </c>
      <c r="N993" s="3" t="str">
        <f t="shared" si="31"/>
        <v>F</v>
      </c>
      <c r="O993" s="3" t="str">
        <f>IF(_xlfn.IFNA(MATCH(B993,Table1[UID],0),"F")="F","F","T")</f>
        <v>T</v>
      </c>
    </row>
    <row r="994" spans="2:15" x14ac:dyDescent="0.25">
      <c r="B994" s="42" t="str">
        <f t="shared" si="32"/>
        <v>DP_EA_71/DEEP-PERCOLATION</v>
      </c>
      <c r="C994" t="s">
        <v>4280</v>
      </c>
      <c r="D994" t="s">
        <v>4281</v>
      </c>
      <c r="E994" t="s">
        <v>4294</v>
      </c>
      <c r="F994">
        <v>13</v>
      </c>
      <c r="G994" t="s">
        <v>4294</v>
      </c>
      <c r="H994" t="s">
        <v>0</v>
      </c>
      <c r="I994" t="s">
        <v>1091</v>
      </c>
      <c r="J994" t="s">
        <v>51</v>
      </c>
      <c r="L994" t="s">
        <v>3</v>
      </c>
      <c r="M994" t="s">
        <v>4</v>
      </c>
      <c r="N994" s="3" t="str">
        <f t="shared" si="31"/>
        <v>F</v>
      </c>
      <c r="O994" s="3" t="str">
        <f>IF(_xlfn.IFNA(MATCH(B994,Table1[UID],0),"F")="F","F","T")</f>
        <v>T</v>
      </c>
    </row>
    <row r="995" spans="2:15" x14ac:dyDescent="0.25">
      <c r="B995" s="42" t="str">
        <f t="shared" si="32"/>
        <v>DP_EA_73/DEEP-PERCOLATION</v>
      </c>
      <c r="C995" t="s">
        <v>4280</v>
      </c>
      <c r="D995" t="s">
        <v>4281</v>
      </c>
      <c r="E995" t="s">
        <v>4295</v>
      </c>
      <c r="F995">
        <v>14</v>
      </c>
      <c r="G995" t="s">
        <v>4295</v>
      </c>
      <c r="H995" t="s">
        <v>0</v>
      </c>
      <c r="I995" t="s">
        <v>1092</v>
      </c>
      <c r="J995" t="s">
        <v>51</v>
      </c>
      <c r="L995" t="s">
        <v>3</v>
      </c>
      <c r="M995" t="s">
        <v>4</v>
      </c>
      <c r="N995" s="3" t="str">
        <f t="shared" si="31"/>
        <v>F</v>
      </c>
      <c r="O995" s="3" t="str">
        <f>IF(_xlfn.IFNA(MATCH(B995,Table1[UID],0),"F")="F","F","T")</f>
        <v>T</v>
      </c>
    </row>
    <row r="996" spans="2:15" x14ac:dyDescent="0.25">
      <c r="B996" s="42" t="str">
        <f t="shared" si="32"/>
        <v>DP_EA_90/DEEP-PERCOLATION</v>
      </c>
      <c r="C996" t="s">
        <v>4280</v>
      </c>
      <c r="D996" t="s">
        <v>4281</v>
      </c>
      <c r="E996" t="s">
        <v>4296</v>
      </c>
      <c r="F996">
        <v>15</v>
      </c>
      <c r="G996" t="s">
        <v>4296</v>
      </c>
      <c r="H996" t="s">
        <v>0</v>
      </c>
      <c r="I996" t="s">
        <v>1093</v>
      </c>
      <c r="J996" t="s">
        <v>51</v>
      </c>
      <c r="L996" t="s">
        <v>3</v>
      </c>
      <c r="M996" t="s">
        <v>4</v>
      </c>
      <c r="N996" s="3" t="str">
        <f t="shared" si="31"/>
        <v>F</v>
      </c>
      <c r="O996" s="3" t="str">
        <f>IF(_xlfn.IFNA(MATCH(B996,Table1[UID],0),"F")="F","F","T")</f>
        <v>T</v>
      </c>
    </row>
    <row r="997" spans="2:15" x14ac:dyDescent="0.25">
      <c r="B997" s="42" t="str">
        <f t="shared" si="32"/>
        <v>DP_EA_DETAW/DEEP-PERCOLATION</v>
      </c>
      <c r="C997" t="s">
        <v>4280</v>
      </c>
      <c r="D997" t="s">
        <v>4281</v>
      </c>
      <c r="E997" t="s">
        <v>4297</v>
      </c>
      <c r="F997">
        <v>16</v>
      </c>
      <c r="G997" t="s">
        <v>4297</v>
      </c>
      <c r="H997" t="s">
        <v>0</v>
      </c>
      <c r="I997" t="s">
        <v>1094</v>
      </c>
      <c r="J997" t="s">
        <v>51</v>
      </c>
      <c r="L997" t="s">
        <v>3</v>
      </c>
      <c r="M997" t="s">
        <v>4</v>
      </c>
      <c r="N997" s="3" t="str">
        <f t="shared" si="31"/>
        <v>F</v>
      </c>
      <c r="O997" s="3" t="str">
        <f>IF(_xlfn.IFNA(MATCH(B997,Table1[UID],0),"F")="F","F","T")</f>
        <v>T</v>
      </c>
    </row>
    <row r="998" spans="2:15" x14ac:dyDescent="0.25">
      <c r="B998" s="42" t="str">
        <f t="shared" si="32"/>
        <v>DP_EA_NBAY/DEEP-PERCOLATION</v>
      </c>
      <c r="C998" t="s">
        <v>4280</v>
      </c>
      <c r="D998" t="s">
        <v>4281</v>
      </c>
      <c r="E998" t="s">
        <v>4298</v>
      </c>
      <c r="F998">
        <v>17</v>
      </c>
      <c r="G998" t="s">
        <v>4298</v>
      </c>
      <c r="H998" t="s">
        <v>0</v>
      </c>
      <c r="I998" t="s">
        <v>1095</v>
      </c>
      <c r="J998" t="s">
        <v>51</v>
      </c>
      <c r="L998" t="s">
        <v>3</v>
      </c>
      <c r="M998" t="s">
        <v>4</v>
      </c>
      <c r="N998" s="3" t="str">
        <f t="shared" si="31"/>
        <v>F</v>
      </c>
      <c r="O998" s="3" t="str">
        <f>IF(_xlfn.IFNA(MATCH(B998,Table1[UID],0),"F")="F","F","T")</f>
        <v>T</v>
      </c>
    </row>
    <row r="999" spans="2:15" x14ac:dyDescent="0.25">
      <c r="B999" s="42" t="str">
        <f t="shared" si="32"/>
        <v>DRN_50_PA2/DRN</v>
      </c>
      <c r="C999" t="s">
        <v>4299</v>
      </c>
      <c r="D999" t="s">
        <v>4300</v>
      </c>
      <c r="E999" t="s">
        <v>4301</v>
      </c>
      <c r="F999">
        <v>1</v>
      </c>
      <c r="G999" t="s">
        <v>4302</v>
      </c>
      <c r="H999" t="s">
        <v>0</v>
      </c>
      <c r="I999" t="s">
        <v>1834</v>
      </c>
      <c r="J999" t="s">
        <v>1835</v>
      </c>
      <c r="L999" t="s">
        <v>3</v>
      </c>
      <c r="M999" t="s">
        <v>4</v>
      </c>
      <c r="N999" s="3" t="str">
        <f t="shared" si="31"/>
        <v>F</v>
      </c>
      <c r="O999" s="3" t="str">
        <f>IF(_xlfn.IFNA(MATCH(B999,Table1[UID],0),"F")="F","F","T")</f>
        <v>T</v>
      </c>
    </row>
    <row r="1000" spans="2:15" x14ac:dyDescent="0.25">
      <c r="B1000" s="42" t="str">
        <f t="shared" si="32"/>
        <v>DRN_MOK/DRN</v>
      </c>
      <c r="C1000" t="s">
        <v>4299</v>
      </c>
      <c r="D1000" t="s">
        <v>4300</v>
      </c>
      <c r="E1000" t="s">
        <v>4303</v>
      </c>
      <c r="F1000">
        <v>2</v>
      </c>
      <c r="G1000" t="s">
        <v>4304</v>
      </c>
      <c r="H1000" t="s">
        <v>0</v>
      </c>
      <c r="I1000" t="s">
        <v>1836</v>
      </c>
      <c r="J1000" t="s">
        <v>1835</v>
      </c>
      <c r="L1000" t="s">
        <v>3</v>
      </c>
      <c r="M1000" t="s">
        <v>4</v>
      </c>
      <c r="N1000" s="3" t="str">
        <f t="shared" si="31"/>
        <v>F</v>
      </c>
      <c r="O1000" s="3" t="str">
        <f>IF(_xlfn.IFNA(MATCH(B1000,Table1[UID],0),"F")="F","F","T")</f>
        <v>T</v>
      </c>
    </row>
    <row r="1001" spans="2:15" x14ac:dyDescent="0.25">
      <c r="B1001" s="42" t="str">
        <f t="shared" si="32"/>
        <v>DRN_OMR/DRN</v>
      </c>
      <c r="C1001" t="s">
        <v>4299</v>
      </c>
      <c r="D1001" t="s">
        <v>4300</v>
      </c>
      <c r="E1001" t="s">
        <v>4305</v>
      </c>
      <c r="F1001">
        <v>3</v>
      </c>
      <c r="G1001" t="s">
        <v>4306</v>
      </c>
      <c r="H1001" t="s">
        <v>0</v>
      </c>
      <c r="I1001" t="s">
        <v>1837</v>
      </c>
      <c r="J1001" t="s">
        <v>1835</v>
      </c>
      <c r="L1001" t="s">
        <v>3</v>
      </c>
      <c r="M1001" t="s">
        <v>4</v>
      </c>
      <c r="N1001" s="3" t="str">
        <f t="shared" si="31"/>
        <v>F</v>
      </c>
      <c r="O1001" s="3" t="str">
        <f>IF(_xlfn.IFNA(MATCH(B1001,Table1[UID],0),"F")="F","F","T")</f>
        <v>T</v>
      </c>
    </row>
    <row r="1002" spans="2:15" x14ac:dyDescent="0.25">
      <c r="B1002" s="42" t="str">
        <f t="shared" si="32"/>
        <v>DRN_SAC_NORTH/DRN</v>
      </c>
      <c r="C1002" t="s">
        <v>4299</v>
      </c>
      <c r="D1002" t="s">
        <v>4300</v>
      </c>
      <c r="E1002" t="s">
        <v>4307</v>
      </c>
      <c r="F1002">
        <v>4</v>
      </c>
      <c r="G1002" t="s">
        <v>4308</v>
      </c>
      <c r="H1002" t="s">
        <v>0</v>
      </c>
      <c r="I1002" t="s">
        <v>1838</v>
      </c>
      <c r="J1002" t="s">
        <v>1835</v>
      </c>
      <c r="L1002" t="s">
        <v>3</v>
      </c>
      <c r="M1002" t="s">
        <v>4</v>
      </c>
      <c r="N1002" s="3" t="str">
        <f t="shared" si="31"/>
        <v>F</v>
      </c>
      <c r="O1002" s="3" t="str">
        <f>IF(_xlfn.IFNA(MATCH(B1002,Table1[UID],0),"F")="F","F","T")</f>
        <v>T</v>
      </c>
    </row>
    <row r="1003" spans="2:15" x14ac:dyDescent="0.25">
      <c r="B1003" s="42" t="str">
        <f t="shared" si="32"/>
        <v>DRN_SAC_SOUTH/DRN</v>
      </c>
      <c r="C1003" t="s">
        <v>4299</v>
      </c>
      <c r="D1003" t="s">
        <v>4300</v>
      </c>
      <c r="E1003" t="s">
        <v>4309</v>
      </c>
      <c r="F1003">
        <v>5</v>
      </c>
      <c r="G1003" t="s">
        <v>4310</v>
      </c>
      <c r="H1003" t="s">
        <v>0</v>
      </c>
      <c r="I1003" t="s">
        <v>1839</v>
      </c>
      <c r="J1003" t="s">
        <v>1835</v>
      </c>
      <c r="L1003" t="s">
        <v>3</v>
      </c>
      <c r="M1003" t="s">
        <v>4</v>
      </c>
      <c r="N1003" s="3" t="str">
        <f t="shared" si="31"/>
        <v>F</v>
      </c>
      <c r="O1003" s="3" t="str">
        <f>IF(_xlfn.IFNA(MATCH(B1003,Table1[UID],0),"F")="F","F","T")</f>
        <v>T</v>
      </c>
    </row>
    <row r="1004" spans="2:15" x14ac:dyDescent="0.25">
      <c r="B1004" s="42" t="str">
        <f t="shared" si="32"/>
        <v>DRN_SAC_WEST/DRN</v>
      </c>
      <c r="C1004" t="s">
        <v>4299</v>
      </c>
      <c r="D1004" t="s">
        <v>4300</v>
      </c>
      <c r="E1004" t="s">
        <v>4311</v>
      </c>
      <c r="F1004">
        <v>6</v>
      </c>
      <c r="G1004" t="s">
        <v>4312</v>
      </c>
      <c r="H1004" t="s">
        <v>0</v>
      </c>
      <c r="I1004" t="s">
        <v>1840</v>
      </c>
      <c r="J1004" t="s">
        <v>1835</v>
      </c>
      <c r="L1004" t="s">
        <v>3</v>
      </c>
      <c r="M1004" t="s">
        <v>4</v>
      </c>
      <c r="N1004" s="3" t="str">
        <f t="shared" si="31"/>
        <v>F</v>
      </c>
      <c r="O1004" s="3" t="str">
        <f>IF(_xlfn.IFNA(MATCH(B1004,Table1[UID],0),"F")="F","F","T")</f>
        <v>T</v>
      </c>
    </row>
    <row r="1005" spans="2:15" x14ac:dyDescent="0.25">
      <c r="B1005" s="42" t="str">
        <f t="shared" si="32"/>
        <v>DRN_SJR_EAST/DRN</v>
      </c>
      <c r="C1005" t="s">
        <v>4299</v>
      </c>
      <c r="D1005" t="s">
        <v>4300</v>
      </c>
      <c r="E1005" t="s">
        <v>4313</v>
      </c>
      <c r="F1005">
        <v>7</v>
      </c>
      <c r="G1005" t="s">
        <v>4314</v>
      </c>
      <c r="H1005" t="s">
        <v>0</v>
      </c>
      <c r="I1005" t="s">
        <v>1841</v>
      </c>
      <c r="J1005" t="s">
        <v>1835</v>
      </c>
      <c r="L1005" t="s">
        <v>3</v>
      </c>
      <c r="M1005" t="s">
        <v>4</v>
      </c>
      <c r="N1005" s="3" t="str">
        <f t="shared" si="31"/>
        <v>F</v>
      </c>
      <c r="O1005" s="3" t="str">
        <f>IF(_xlfn.IFNA(MATCH(B1005,Table1[UID],0),"F")="F","F","T")</f>
        <v>T</v>
      </c>
    </row>
    <row r="1006" spans="2:15" x14ac:dyDescent="0.25">
      <c r="B1006" s="42" t="str">
        <f t="shared" si="32"/>
        <v>DRN_SJR_WEST/DRN</v>
      </c>
      <c r="C1006" t="s">
        <v>4299</v>
      </c>
      <c r="D1006" t="s">
        <v>4300</v>
      </c>
      <c r="E1006" t="s">
        <v>4315</v>
      </c>
      <c r="F1006">
        <v>8</v>
      </c>
      <c r="G1006" t="s">
        <v>4316</v>
      </c>
      <c r="H1006" t="s">
        <v>0</v>
      </c>
      <c r="I1006" t="s">
        <v>1842</v>
      </c>
      <c r="J1006" t="s">
        <v>1835</v>
      </c>
      <c r="L1006" t="s">
        <v>3</v>
      </c>
      <c r="M1006" t="s">
        <v>4</v>
      </c>
      <c r="N1006" s="3" t="str">
        <f t="shared" si="31"/>
        <v>F</v>
      </c>
      <c r="O1006" s="3" t="str">
        <f>IF(_xlfn.IFNA(MATCH(B1006,Table1[UID],0),"F")="F","F","T")</f>
        <v>T</v>
      </c>
    </row>
    <row r="1007" spans="2:15" x14ac:dyDescent="0.25">
      <c r="B1007" s="42" t="str">
        <f t="shared" si="32"/>
        <v>IRR_50_PA2/IRR</v>
      </c>
      <c r="C1007" t="s">
        <v>4299</v>
      </c>
      <c r="D1007" t="s">
        <v>4300</v>
      </c>
      <c r="E1007" t="s">
        <v>4317</v>
      </c>
      <c r="F1007">
        <v>9</v>
      </c>
      <c r="G1007" t="s">
        <v>4318</v>
      </c>
      <c r="H1007" t="s">
        <v>0</v>
      </c>
      <c r="I1007" t="s">
        <v>1846</v>
      </c>
      <c r="J1007" t="s">
        <v>1847</v>
      </c>
      <c r="L1007" t="s">
        <v>3</v>
      </c>
      <c r="M1007" t="s">
        <v>4</v>
      </c>
      <c r="N1007" s="3" t="str">
        <f t="shared" si="31"/>
        <v>F</v>
      </c>
      <c r="O1007" s="3" t="str">
        <f>IF(_xlfn.IFNA(MATCH(B1007,Table1[UID],0),"F")="F","F","T")</f>
        <v>T</v>
      </c>
    </row>
    <row r="1008" spans="2:15" x14ac:dyDescent="0.25">
      <c r="B1008" s="42" t="str">
        <f t="shared" si="32"/>
        <v>IRR_MOK/IRR</v>
      </c>
      <c r="C1008" t="s">
        <v>4299</v>
      </c>
      <c r="D1008" t="s">
        <v>4300</v>
      </c>
      <c r="E1008" t="s">
        <v>4319</v>
      </c>
      <c r="F1008">
        <v>10</v>
      </c>
      <c r="G1008" t="s">
        <v>4320</v>
      </c>
      <c r="H1008" t="s">
        <v>0</v>
      </c>
      <c r="I1008" t="s">
        <v>1848</v>
      </c>
      <c r="J1008" t="s">
        <v>1847</v>
      </c>
      <c r="L1008" t="s">
        <v>3</v>
      </c>
      <c r="M1008" t="s">
        <v>4</v>
      </c>
      <c r="N1008" s="3" t="str">
        <f t="shared" si="31"/>
        <v>F</v>
      </c>
      <c r="O1008" s="3" t="str">
        <f>IF(_xlfn.IFNA(MATCH(B1008,Table1[UID],0),"F")="F","F","T")</f>
        <v>T</v>
      </c>
    </row>
    <row r="1009" spans="2:15" x14ac:dyDescent="0.25">
      <c r="B1009" s="42" t="str">
        <f t="shared" si="32"/>
        <v>IRR_OMR/IRR</v>
      </c>
      <c r="C1009" t="s">
        <v>4299</v>
      </c>
      <c r="D1009" t="s">
        <v>4300</v>
      </c>
      <c r="E1009" t="s">
        <v>4321</v>
      </c>
      <c r="F1009">
        <v>11</v>
      </c>
      <c r="G1009" t="s">
        <v>4322</v>
      </c>
      <c r="H1009" t="s">
        <v>0</v>
      </c>
      <c r="I1009" t="s">
        <v>1849</v>
      </c>
      <c r="J1009" t="s">
        <v>1847</v>
      </c>
      <c r="L1009" t="s">
        <v>3</v>
      </c>
      <c r="M1009" t="s">
        <v>4</v>
      </c>
      <c r="N1009" s="3" t="str">
        <f t="shared" si="31"/>
        <v>F</v>
      </c>
      <c r="O1009" s="3" t="str">
        <f>IF(_xlfn.IFNA(MATCH(B1009,Table1[UID],0),"F")="F","F","T")</f>
        <v>T</v>
      </c>
    </row>
    <row r="1010" spans="2:15" x14ac:dyDescent="0.25">
      <c r="B1010" s="42" t="str">
        <f t="shared" si="32"/>
        <v>IRR_SAC_NORTH/IRR</v>
      </c>
      <c r="C1010" t="s">
        <v>4299</v>
      </c>
      <c r="D1010" t="s">
        <v>4300</v>
      </c>
      <c r="E1010" t="s">
        <v>4323</v>
      </c>
      <c r="F1010">
        <v>12</v>
      </c>
      <c r="G1010" t="s">
        <v>4324</v>
      </c>
      <c r="H1010" t="s">
        <v>0</v>
      </c>
      <c r="I1010" t="s">
        <v>1850</v>
      </c>
      <c r="J1010" t="s">
        <v>1847</v>
      </c>
      <c r="L1010" t="s">
        <v>3</v>
      </c>
      <c r="M1010" t="s">
        <v>4</v>
      </c>
      <c r="N1010" s="3" t="str">
        <f t="shared" si="31"/>
        <v>F</v>
      </c>
      <c r="O1010" s="3" t="str">
        <f>IF(_xlfn.IFNA(MATCH(B1010,Table1[UID],0),"F")="F","F","T")</f>
        <v>T</v>
      </c>
    </row>
    <row r="1011" spans="2:15" x14ac:dyDescent="0.25">
      <c r="B1011" s="42" t="str">
        <f t="shared" si="32"/>
        <v>IRR_SAC_SOUTH/IRR</v>
      </c>
      <c r="C1011" t="s">
        <v>4299</v>
      </c>
      <c r="D1011" t="s">
        <v>4300</v>
      </c>
      <c r="E1011" t="s">
        <v>4325</v>
      </c>
      <c r="F1011">
        <v>13</v>
      </c>
      <c r="G1011" t="s">
        <v>4326</v>
      </c>
      <c r="H1011" t="s">
        <v>0</v>
      </c>
      <c r="I1011" t="s">
        <v>1851</v>
      </c>
      <c r="J1011" t="s">
        <v>1847</v>
      </c>
      <c r="L1011" t="s">
        <v>3</v>
      </c>
      <c r="M1011" t="s">
        <v>4</v>
      </c>
      <c r="N1011" s="3" t="str">
        <f t="shared" si="31"/>
        <v>F</v>
      </c>
      <c r="O1011" s="3" t="str">
        <f>IF(_xlfn.IFNA(MATCH(B1011,Table1[UID],0),"F")="F","F","T")</f>
        <v>T</v>
      </c>
    </row>
    <row r="1012" spans="2:15" x14ac:dyDescent="0.25">
      <c r="B1012" s="42" t="str">
        <f t="shared" si="32"/>
        <v>IRR_SAC_WEST/IRR</v>
      </c>
      <c r="C1012" t="s">
        <v>4299</v>
      </c>
      <c r="D1012" t="s">
        <v>4300</v>
      </c>
      <c r="E1012" t="s">
        <v>4327</v>
      </c>
      <c r="F1012">
        <v>14</v>
      </c>
      <c r="G1012" t="s">
        <v>4328</v>
      </c>
      <c r="H1012" t="s">
        <v>0</v>
      </c>
      <c r="I1012" t="s">
        <v>1852</v>
      </c>
      <c r="J1012" t="s">
        <v>1847</v>
      </c>
      <c r="L1012" t="s">
        <v>3</v>
      </c>
      <c r="M1012" t="s">
        <v>4</v>
      </c>
      <c r="N1012" s="3" t="str">
        <f t="shared" si="31"/>
        <v>F</v>
      </c>
      <c r="O1012" s="3" t="str">
        <f>IF(_xlfn.IFNA(MATCH(B1012,Table1[UID],0),"F")="F","F","T")</f>
        <v>T</v>
      </c>
    </row>
    <row r="1013" spans="2:15" x14ac:dyDescent="0.25">
      <c r="B1013" s="42" t="str">
        <f t="shared" si="32"/>
        <v>IRR_SJR_EAST/IRR</v>
      </c>
      <c r="C1013" t="s">
        <v>4299</v>
      </c>
      <c r="D1013" t="s">
        <v>4300</v>
      </c>
      <c r="E1013" t="s">
        <v>4329</v>
      </c>
      <c r="F1013">
        <v>15</v>
      </c>
      <c r="G1013" t="s">
        <v>4330</v>
      </c>
      <c r="H1013" t="s">
        <v>0</v>
      </c>
      <c r="I1013" t="s">
        <v>1853</v>
      </c>
      <c r="J1013" t="s">
        <v>1847</v>
      </c>
      <c r="L1013" t="s">
        <v>3</v>
      </c>
      <c r="M1013" t="s">
        <v>4</v>
      </c>
      <c r="N1013" s="3" t="str">
        <f t="shared" si="31"/>
        <v>F</v>
      </c>
      <c r="O1013" s="3" t="str">
        <f>IF(_xlfn.IFNA(MATCH(B1013,Table1[UID],0),"F")="F","F","T")</f>
        <v>T</v>
      </c>
    </row>
    <row r="1014" spans="2:15" x14ac:dyDescent="0.25">
      <c r="B1014" s="42" t="str">
        <f t="shared" si="32"/>
        <v>IRR_SJR_WEST/IRR</v>
      </c>
      <c r="C1014" t="s">
        <v>4299</v>
      </c>
      <c r="D1014" t="s">
        <v>4300</v>
      </c>
      <c r="E1014" t="s">
        <v>4331</v>
      </c>
      <c r="F1014">
        <v>16</v>
      </c>
      <c r="G1014" t="s">
        <v>4332</v>
      </c>
      <c r="H1014" t="s">
        <v>0</v>
      </c>
      <c r="I1014" t="s">
        <v>1854</v>
      </c>
      <c r="J1014" t="s">
        <v>1847</v>
      </c>
      <c r="L1014" t="s">
        <v>3</v>
      </c>
      <c r="M1014" t="s">
        <v>4</v>
      </c>
      <c r="N1014" s="3" t="str">
        <f t="shared" si="31"/>
        <v>F</v>
      </c>
      <c r="O1014" s="3" t="str">
        <f>IF(_xlfn.IFNA(MATCH(B1014,Table1[UID],0),"F")="F","F","T")</f>
        <v>T</v>
      </c>
    </row>
    <row r="1015" spans="2:15" x14ac:dyDescent="0.25">
      <c r="B1015" s="42" t="str">
        <f t="shared" si="32"/>
        <v>SEEP_50_PA2/SEEP</v>
      </c>
      <c r="C1015" t="s">
        <v>4299</v>
      </c>
      <c r="D1015" t="s">
        <v>4300</v>
      </c>
      <c r="E1015" t="s">
        <v>4333</v>
      </c>
      <c r="F1015">
        <v>17</v>
      </c>
      <c r="G1015" t="s">
        <v>4334</v>
      </c>
      <c r="H1015" t="s">
        <v>0</v>
      </c>
      <c r="I1015" t="s">
        <v>1855</v>
      </c>
      <c r="J1015" t="s">
        <v>1856</v>
      </c>
      <c r="L1015" t="s">
        <v>3</v>
      </c>
      <c r="M1015" t="s">
        <v>4</v>
      </c>
      <c r="N1015" s="3" t="str">
        <f t="shared" si="31"/>
        <v>F</v>
      </c>
      <c r="O1015" s="3" t="str">
        <f>IF(_xlfn.IFNA(MATCH(B1015,Table1[UID],0),"F")="F","F","T")</f>
        <v>T</v>
      </c>
    </row>
    <row r="1016" spans="2:15" x14ac:dyDescent="0.25">
      <c r="B1016" s="42" t="str">
        <f t="shared" si="32"/>
        <v>SEEP_MOK/SEEP</v>
      </c>
      <c r="C1016" t="s">
        <v>4299</v>
      </c>
      <c r="D1016" t="s">
        <v>4300</v>
      </c>
      <c r="E1016" t="s">
        <v>4335</v>
      </c>
      <c r="F1016">
        <v>18</v>
      </c>
      <c r="G1016" t="s">
        <v>4336</v>
      </c>
      <c r="H1016" t="s">
        <v>0</v>
      </c>
      <c r="I1016" t="s">
        <v>1857</v>
      </c>
      <c r="J1016" t="s">
        <v>1856</v>
      </c>
      <c r="L1016" t="s">
        <v>3</v>
      </c>
      <c r="M1016" t="s">
        <v>4</v>
      </c>
      <c r="N1016" s="3" t="str">
        <f t="shared" si="31"/>
        <v>F</v>
      </c>
      <c r="O1016" s="3" t="str">
        <f>IF(_xlfn.IFNA(MATCH(B1016,Table1[UID],0),"F")="F","F","T")</f>
        <v>T</v>
      </c>
    </row>
    <row r="1017" spans="2:15" x14ac:dyDescent="0.25">
      <c r="B1017" s="42" t="str">
        <f t="shared" si="32"/>
        <v>SEEP_OMR/SEEP</v>
      </c>
      <c r="C1017" t="s">
        <v>4299</v>
      </c>
      <c r="D1017" t="s">
        <v>4300</v>
      </c>
      <c r="E1017" t="s">
        <v>4337</v>
      </c>
      <c r="F1017">
        <v>19</v>
      </c>
      <c r="G1017" t="s">
        <v>4338</v>
      </c>
      <c r="H1017" t="s">
        <v>0</v>
      </c>
      <c r="I1017" t="s">
        <v>1858</v>
      </c>
      <c r="J1017" t="s">
        <v>1856</v>
      </c>
      <c r="L1017" t="s">
        <v>3</v>
      </c>
      <c r="M1017" t="s">
        <v>4</v>
      </c>
      <c r="N1017" s="3" t="str">
        <f t="shared" si="31"/>
        <v>F</v>
      </c>
      <c r="O1017" s="3" t="str">
        <f>IF(_xlfn.IFNA(MATCH(B1017,Table1[UID],0),"F")="F","F","T")</f>
        <v>T</v>
      </c>
    </row>
    <row r="1018" spans="2:15" x14ac:dyDescent="0.25">
      <c r="B1018" s="42" t="str">
        <f t="shared" si="32"/>
        <v>SEEP_SAC_NORTH/SEEP</v>
      </c>
      <c r="C1018" t="s">
        <v>4299</v>
      </c>
      <c r="D1018" t="s">
        <v>4300</v>
      </c>
      <c r="E1018" t="s">
        <v>4339</v>
      </c>
      <c r="F1018">
        <v>20</v>
      </c>
      <c r="G1018" t="s">
        <v>4340</v>
      </c>
      <c r="H1018" t="s">
        <v>0</v>
      </c>
      <c r="I1018" t="s">
        <v>1859</v>
      </c>
      <c r="J1018" t="s">
        <v>1856</v>
      </c>
      <c r="L1018" t="s">
        <v>3</v>
      </c>
      <c r="M1018" t="s">
        <v>4</v>
      </c>
      <c r="N1018" s="3" t="str">
        <f t="shared" si="31"/>
        <v>F</v>
      </c>
      <c r="O1018" s="3" t="str">
        <f>IF(_xlfn.IFNA(MATCH(B1018,Table1[UID],0),"F")="F","F","T")</f>
        <v>T</v>
      </c>
    </row>
    <row r="1019" spans="2:15" x14ac:dyDescent="0.25">
      <c r="B1019" s="42" t="str">
        <f t="shared" si="32"/>
        <v>SEEP_SAC_SOUTH/SEEP</v>
      </c>
      <c r="C1019" t="s">
        <v>4299</v>
      </c>
      <c r="D1019" t="s">
        <v>4300</v>
      </c>
      <c r="E1019" t="s">
        <v>4341</v>
      </c>
      <c r="F1019">
        <v>21</v>
      </c>
      <c r="G1019" t="s">
        <v>4342</v>
      </c>
      <c r="H1019" t="s">
        <v>0</v>
      </c>
      <c r="I1019" t="s">
        <v>1860</v>
      </c>
      <c r="J1019" t="s">
        <v>1856</v>
      </c>
      <c r="L1019" t="s">
        <v>3</v>
      </c>
      <c r="M1019" t="s">
        <v>4</v>
      </c>
      <c r="N1019" s="3" t="str">
        <f t="shared" si="31"/>
        <v>F</v>
      </c>
      <c r="O1019" s="3" t="str">
        <f>IF(_xlfn.IFNA(MATCH(B1019,Table1[UID],0),"F")="F","F","T")</f>
        <v>T</v>
      </c>
    </row>
    <row r="1020" spans="2:15" x14ac:dyDescent="0.25">
      <c r="B1020" s="42" t="str">
        <f t="shared" si="32"/>
        <v>SEEP_SAC_WEST/SEEP</v>
      </c>
      <c r="C1020" t="s">
        <v>4299</v>
      </c>
      <c r="D1020" t="s">
        <v>4300</v>
      </c>
      <c r="E1020" t="s">
        <v>4343</v>
      </c>
      <c r="F1020">
        <v>22</v>
      </c>
      <c r="G1020" t="s">
        <v>4344</v>
      </c>
      <c r="H1020" t="s">
        <v>0</v>
      </c>
      <c r="I1020" t="s">
        <v>1861</v>
      </c>
      <c r="J1020" t="s">
        <v>1856</v>
      </c>
      <c r="L1020" t="s">
        <v>3</v>
      </c>
      <c r="M1020" t="s">
        <v>4</v>
      </c>
      <c r="N1020" s="3" t="str">
        <f t="shared" si="31"/>
        <v>F</v>
      </c>
      <c r="O1020" s="3" t="str">
        <f>IF(_xlfn.IFNA(MATCH(B1020,Table1[UID],0),"F")="F","F","T")</f>
        <v>T</v>
      </c>
    </row>
    <row r="1021" spans="2:15" x14ac:dyDescent="0.25">
      <c r="B1021" s="42" t="str">
        <f t="shared" si="32"/>
        <v>SEEP_SJR_EAST/SEEP</v>
      </c>
      <c r="C1021" t="s">
        <v>4299</v>
      </c>
      <c r="D1021" t="s">
        <v>4300</v>
      </c>
      <c r="E1021" t="s">
        <v>4345</v>
      </c>
      <c r="F1021">
        <v>23</v>
      </c>
      <c r="G1021" t="s">
        <v>4346</v>
      </c>
      <c r="H1021" t="s">
        <v>0</v>
      </c>
      <c r="I1021" t="s">
        <v>1862</v>
      </c>
      <c r="J1021" t="s">
        <v>1856</v>
      </c>
      <c r="L1021" t="s">
        <v>3</v>
      </c>
      <c r="M1021" t="s">
        <v>4</v>
      </c>
      <c r="N1021" s="3" t="str">
        <f t="shared" si="31"/>
        <v>F</v>
      </c>
      <c r="O1021" s="3" t="str">
        <f>IF(_xlfn.IFNA(MATCH(B1021,Table1[UID],0),"F")="F","F","T")</f>
        <v>T</v>
      </c>
    </row>
    <row r="1022" spans="2:15" x14ac:dyDescent="0.25">
      <c r="B1022" s="42" t="str">
        <f t="shared" si="32"/>
        <v>SEEP_SJR_WEST/SEEP</v>
      </c>
      <c r="C1022" t="s">
        <v>4299</v>
      </c>
      <c r="D1022" t="s">
        <v>4300</v>
      </c>
      <c r="E1022" t="s">
        <v>4347</v>
      </c>
      <c r="F1022">
        <v>24</v>
      </c>
      <c r="G1022" t="s">
        <v>4348</v>
      </c>
      <c r="H1022" t="s">
        <v>0</v>
      </c>
      <c r="I1022" t="s">
        <v>1863</v>
      </c>
      <c r="J1022" t="s">
        <v>1856</v>
      </c>
      <c r="L1022" t="s">
        <v>3</v>
      </c>
      <c r="M1022" t="s">
        <v>4</v>
      </c>
      <c r="N1022" s="3" t="str">
        <f t="shared" si="31"/>
        <v>F</v>
      </c>
      <c r="O1022" s="3" t="str">
        <f>IF(_xlfn.IFNA(MATCH(B1022,Table1[UID],0),"F")="F","F","T")</f>
        <v>T</v>
      </c>
    </row>
    <row r="1023" spans="2:15" x14ac:dyDescent="0.25">
      <c r="B1023" s="42" t="str">
        <f t="shared" si="32"/>
        <v>DP_DELTA_DCD/DP-FLOW</v>
      </c>
      <c r="C1023" t="s">
        <v>4349</v>
      </c>
      <c r="D1023" t="s">
        <v>4300</v>
      </c>
      <c r="E1023" t="s">
        <v>4350</v>
      </c>
      <c r="F1023">
        <v>1</v>
      </c>
      <c r="G1023" t="s">
        <v>4350</v>
      </c>
      <c r="H1023" t="s">
        <v>0</v>
      </c>
      <c r="I1023" t="s">
        <v>1831</v>
      </c>
      <c r="J1023" t="s">
        <v>62</v>
      </c>
      <c r="L1023" t="s">
        <v>3</v>
      </c>
      <c r="M1023" t="s">
        <v>4</v>
      </c>
      <c r="N1023" s="3" t="str">
        <f t="shared" si="31"/>
        <v>F</v>
      </c>
      <c r="O1023" s="3" t="str">
        <f>IF(_xlfn.IFNA(MATCH(B1023,Table1[UID],0),"F")="F","F","T")</f>
        <v>T</v>
      </c>
    </row>
    <row r="1024" spans="2:15" x14ac:dyDescent="0.25">
      <c r="B1024" s="42" t="str">
        <f t="shared" si="32"/>
        <v>DP_WBA50_DCD/DP-FLOW</v>
      </c>
      <c r="C1024" t="s">
        <v>4349</v>
      </c>
      <c r="D1024" t="s">
        <v>4300</v>
      </c>
      <c r="E1024" t="s">
        <v>4351</v>
      </c>
      <c r="F1024">
        <v>2</v>
      </c>
      <c r="G1024" t="s">
        <v>4351</v>
      </c>
      <c r="H1024" t="s">
        <v>0</v>
      </c>
      <c r="I1024" t="s">
        <v>61</v>
      </c>
      <c r="J1024" t="s">
        <v>62</v>
      </c>
      <c r="L1024" t="s">
        <v>3</v>
      </c>
      <c r="M1024" t="s">
        <v>4</v>
      </c>
      <c r="N1024" s="3" t="str">
        <f t="shared" si="31"/>
        <v>F</v>
      </c>
      <c r="O1024" s="3" t="str">
        <f>IF(_xlfn.IFNA(MATCH(B1024,Table1[UID],0),"F")="F","F","T")</f>
        <v>T</v>
      </c>
    </row>
    <row r="1025" spans="2:15" x14ac:dyDescent="0.25">
      <c r="B1025" s="42" t="str">
        <f t="shared" si="32"/>
        <v>GW_DELTA_DCD/GW-FLOW</v>
      </c>
      <c r="C1025" t="s">
        <v>4352</v>
      </c>
      <c r="D1025" t="s">
        <v>4300</v>
      </c>
      <c r="E1025" t="s">
        <v>4353</v>
      </c>
      <c r="F1025">
        <v>1</v>
      </c>
      <c r="G1025" t="s">
        <v>4353</v>
      </c>
      <c r="H1025" t="s">
        <v>0</v>
      </c>
      <c r="I1025" t="s">
        <v>1843</v>
      </c>
      <c r="J1025" t="s">
        <v>1844</v>
      </c>
      <c r="L1025" t="s">
        <v>3</v>
      </c>
      <c r="M1025" t="s">
        <v>4</v>
      </c>
      <c r="N1025" s="3" t="str">
        <f t="shared" si="31"/>
        <v>F</v>
      </c>
      <c r="O1025" s="3" t="str">
        <f>IF(_xlfn.IFNA(MATCH(B1025,Table1[UID],0),"F")="F","F","T")</f>
        <v>T</v>
      </c>
    </row>
    <row r="1026" spans="2:15" x14ac:dyDescent="0.25">
      <c r="B1026" s="42" t="str">
        <f t="shared" si="32"/>
        <v>GW_WBA50_DCD/GW-FLOW</v>
      </c>
      <c r="C1026" t="s">
        <v>4352</v>
      </c>
      <c r="D1026" t="s">
        <v>4300</v>
      </c>
      <c r="E1026" t="s">
        <v>4354</v>
      </c>
      <c r="F1026">
        <v>2</v>
      </c>
      <c r="G1026" t="s">
        <v>4354</v>
      </c>
      <c r="H1026" t="s">
        <v>0</v>
      </c>
      <c r="I1026" t="s">
        <v>1845</v>
      </c>
      <c r="J1026" t="s">
        <v>1844</v>
      </c>
      <c r="L1026" t="s">
        <v>3</v>
      </c>
      <c r="M1026" t="s">
        <v>4</v>
      </c>
      <c r="N1026" s="3" t="str">
        <f t="shared" si="31"/>
        <v>F</v>
      </c>
      <c r="O1026" s="3" t="str">
        <f>IF(_xlfn.IFNA(MATCH(B1026,Table1[UID],0),"F")="F","F","T")</f>
        <v>T</v>
      </c>
    </row>
    <row r="1027" spans="2:15" x14ac:dyDescent="0.25">
      <c r="B1027" s="42" t="str">
        <f t="shared" si="32"/>
        <v>CL_DGR/CONTRACT-LIMIT</v>
      </c>
      <c r="C1027" t="s">
        <v>4355</v>
      </c>
      <c r="D1027" t="s">
        <v>4356</v>
      </c>
      <c r="E1027" t="s">
        <v>4357</v>
      </c>
      <c r="F1027">
        <v>1</v>
      </c>
      <c r="G1027" t="s">
        <v>4357</v>
      </c>
      <c r="H1027" t="s">
        <v>0</v>
      </c>
      <c r="I1027" t="s">
        <v>37</v>
      </c>
      <c r="J1027" t="s">
        <v>38</v>
      </c>
      <c r="L1027" t="s">
        <v>3</v>
      </c>
      <c r="M1027" t="s">
        <v>4</v>
      </c>
      <c r="N1027" s="3" t="str">
        <f t="shared" ref="N1027:N1090" si="33">IF(COUNTIF($B$3:$B$1760,"="&amp;B1027)&gt;1,"T","F")</f>
        <v>T</v>
      </c>
      <c r="O1027" s="3" t="str">
        <f>IF(_xlfn.IFNA(MATCH(B1027,Table1[UID],0),"F")="F","F","T")</f>
        <v>T</v>
      </c>
    </row>
    <row r="1028" spans="2:15" x14ac:dyDescent="0.25">
      <c r="B1028" s="42" t="str">
        <f t="shared" si="32"/>
        <v>WR_DGR/WATER-RIGHT</v>
      </c>
      <c r="C1028" t="s">
        <v>4355</v>
      </c>
      <c r="D1028" t="s">
        <v>4356</v>
      </c>
      <c r="E1028" t="s">
        <v>4358</v>
      </c>
      <c r="F1028">
        <v>2</v>
      </c>
      <c r="G1028" t="s">
        <v>4358</v>
      </c>
      <c r="H1028" t="s">
        <v>0</v>
      </c>
      <c r="I1028" t="s">
        <v>2204</v>
      </c>
      <c r="J1028" t="s">
        <v>2205</v>
      </c>
      <c r="L1028" t="s">
        <v>3</v>
      </c>
      <c r="M1028" t="s">
        <v>4</v>
      </c>
      <c r="N1028" s="3" t="str">
        <f t="shared" si="33"/>
        <v>T</v>
      </c>
      <c r="O1028" s="3" t="str">
        <f>IF(_xlfn.IFNA(MATCH(B1028,Table1[UID],0),"F")="F","F","T")</f>
        <v>T</v>
      </c>
    </row>
    <row r="1029" spans="2:15" x14ac:dyDescent="0.25">
      <c r="B1029" s="42" t="str">
        <f t="shared" si="32"/>
        <v>APR_FORECAST_GOODYEAR_B120/FLOW</v>
      </c>
      <c r="C1029" t="s">
        <v>4359</v>
      </c>
      <c r="D1029" t="s">
        <v>4356</v>
      </c>
      <c r="E1029" t="s">
        <v>4360</v>
      </c>
      <c r="F1029">
        <v>1</v>
      </c>
      <c r="G1029" t="s">
        <v>4360</v>
      </c>
      <c r="H1029" t="s">
        <v>0</v>
      </c>
      <c r="I1029" t="s">
        <v>1908</v>
      </c>
      <c r="J1029" t="s">
        <v>1893</v>
      </c>
      <c r="L1029" t="s">
        <v>3</v>
      </c>
      <c r="M1029" t="s">
        <v>4</v>
      </c>
      <c r="N1029" s="3" t="str">
        <f t="shared" si="33"/>
        <v>F</v>
      </c>
      <c r="O1029" s="3" t="str">
        <f>IF(_xlfn.IFNA(MATCH(B1029,Table1[UID],0),"F")="F","F","T")</f>
        <v>T</v>
      </c>
    </row>
    <row r="1030" spans="2:15" x14ac:dyDescent="0.25">
      <c r="B1030" s="42" t="str">
        <f t="shared" si="32"/>
        <v>APR_FORECAST_SMARTVILLE_B120/FLOW</v>
      </c>
      <c r="C1030" t="s">
        <v>4359</v>
      </c>
      <c r="D1030" t="s">
        <v>4356</v>
      </c>
      <c r="E1030" t="s">
        <v>4361</v>
      </c>
      <c r="F1030">
        <v>2</v>
      </c>
      <c r="G1030" t="s">
        <v>4361</v>
      </c>
      <c r="H1030" t="s">
        <v>0</v>
      </c>
      <c r="I1030" t="s">
        <v>1910</v>
      </c>
      <c r="J1030" t="s">
        <v>1893</v>
      </c>
      <c r="L1030" t="s">
        <v>3</v>
      </c>
      <c r="M1030" t="s">
        <v>4</v>
      </c>
      <c r="N1030" s="3" t="str">
        <f t="shared" si="33"/>
        <v>F</v>
      </c>
      <c r="O1030" s="3" t="str">
        <f>IF(_xlfn.IFNA(MATCH(B1030,Table1[UID],0),"F")="F","F","T")</f>
        <v>T</v>
      </c>
    </row>
    <row r="1031" spans="2:15" x14ac:dyDescent="0.25">
      <c r="B1031" s="42" t="str">
        <f t="shared" si="32"/>
        <v>AW_EDCOCA_NA1/AG-DEMAND</v>
      </c>
      <c r="C1031" t="s">
        <v>4359</v>
      </c>
      <c r="D1031" t="s">
        <v>4356</v>
      </c>
      <c r="E1031" t="s">
        <v>4362</v>
      </c>
      <c r="F1031">
        <v>3</v>
      </c>
      <c r="G1031" t="s">
        <v>4362</v>
      </c>
      <c r="H1031" t="s">
        <v>0</v>
      </c>
      <c r="I1031" t="s">
        <v>1</v>
      </c>
      <c r="J1031" t="s">
        <v>2</v>
      </c>
      <c r="L1031" t="s">
        <v>3</v>
      </c>
      <c r="M1031" t="s">
        <v>4</v>
      </c>
      <c r="N1031" s="3" t="str">
        <f t="shared" si="33"/>
        <v>F</v>
      </c>
      <c r="O1031" s="3" t="str">
        <f>IF(_xlfn.IFNA(MATCH(B1031,Table1[UID],0),"F")="F","F","T")</f>
        <v>T</v>
      </c>
    </row>
    <row r="1032" spans="2:15" x14ac:dyDescent="0.25">
      <c r="B1032" s="42" t="str">
        <f t="shared" si="32"/>
        <v>AW_EDCOCA_NA2/AG-DEMAND</v>
      </c>
      <c r="C1032" t="s">
        <v>4359</v>
      </c>
      <c r="D1032" t="s">
        <v>4356</v>
      </c>
      <c r="E1032" t="s">
        <v>4363</v>
      </c>
      <c r="F1032">
        <v>4</v>
      </c>
      <c r="G1032" t="s">
        <v>4363</v>
      </c>
      <c r="H1032" t="s">
        <v>0</v>
      </c>
      <c r="I1032" t="s">
        <v>10</v>
      </c>
      <c r="J1032" t="s">
        <v>2</v>
      </c>
      <c r="L1032" t="s">
        <v>3</v>
      </c>
      <c r="M1032" t="s">
        <v>4</v>
      </c>
      <c r="N1032" s="3" t="str">
        <f t="shared" si="33"/>
        <v>F</v>
      </c>
      <c r="O1032" s="3" t="str">
        <f>IF(_xlfn.IFNA(MATCH(B1032,Table1[UID],0),"F")="F","F","T")</f>
        <v>T</v>
      </c>
    </row>
    <row r="1033" spans="2:15" x14ac:dyDescent="0.25">
      <c r="B1033" s="42" t="str">
        <f t="shared" si="32"/>
        <v>AW_EDCOCA_NA3/AG-DEMAND</v>
      </c>
      <c r="C1033" t="s">
        <v>4359</v>
      </c>
      <c r="D1033" t="s">
        <v>4356</v>
      </c>
      <c r="E1033" t="s">
        <v>4364</v>
      </c>
      <c r="F1033">
        <v>5</v>
      </c>
      <c r="G1033" t="s">
        <v>4364</v>
      </c>
      <c r="H1033" t="s">
        <v>0</v>
      </c>
      <c r="I1033" t="s">
        <v>11</v>
      </c>
      <c r="J1033" t="s">
        <v>2</v>
      </c>
      <c r="L1033" t="s">
        <v>3</v>
      </c>
      <c r="M1033" t="s">
        <v>4</v>
      </c>
      <c r="N1033" s="3" t="str">
        <f t="shared" si="33"/>
        <v>F</v>
      </c>
      <c r="O1033" s="3" t="str">
        <f>IF(_xlfn.IFNA(MATCH(B1033,Table1[UID],0),"F")="F","F","T")</f>
        <v>T</v>
      </c>
    </row>
    <row r="1034" spans="2:15" x14ac:dyDescent="0.25">
      <c r="B1034" s="42" t="str">
        <f t="shared" ref="B1034:B1097" si="34">_xlfn.CONCAT(I1034,"/",J1034)</f>
        <v>AW_ELDID_NA1/AG-DEMAND</v>
      </c>
      <c r="C1034" t="s">
        <v>4359</v>
      </c>
      <c r="D1034" t="s">
        <v>4356</v>
      </c>
      <c r="E1034" t="s">
        <v>4365</v>
      </c>
      <c r="F1034">
        <v>6</v>
      </c>
      <c r="G1034" t="s">
        <v>4365</v>
      </c>
      <c r="H1034" t="s">
        <v>0</v>
      </c>
      <c r="I1034" t="s">
        <v>12</v>
      </c>
      <c r="J1034" t="s">
        <v>2</v>
      </c>
      <c r="L1034" t="s">
        <v>3</v>
      </c>
      <c r="M1034" t="s">
        <v>4</v>
      </c>
      <c r="N1034" s="3" t="str">
        <f t="shared" si="33"/>
        <v>F</v>
      </c>
      <c r="O1034" s="3" t="str">
        <f>IF(_xlfn.IFNA(MATCH(B1034,Table1[UID],0),"F")="F","F","T")</f>
        <v>T</v>
      </c>
    </row>
    <row r="1035" spans="2:15" x14ac:dyDescent="0.25">
      <c r="B1035" s="42" t="str">
        <f t="shared" si="34"/>
        <v>AW_ELDID_NA2/AG-DEMAND</v>
      </c>
      <c r="C1035" t="s">
        <v>4359</v>
      </c>
      <c r="D1035" t="s">
        <v>4356</v>
      </c>
      <c r="E1035" t="s">
        <v>4366</v>
      </c>
      <c r="F1035">
        <v>7</v>
      </c>
      <c r="G1035" t="s">
        <v>4366</v>
      </c>
      <c r="H1035" t="s">
        <v>0</v>
      </c>
      <c r="I1035" t="s">
        <v>14</v>
      </c>
      <c r="J1035" t="s">
        <v>2</v>
      </c>
      <c r="L1035" t="s">
        <v>3</v>
      </c>
      <c r="M1035" t="s">
        <v>4</v>
      </c>
      <c r="N1035" s="3" t="str">
        <f t="shared" si="33"/>
        <v>F</v>
      </c>
      <c r="O1035" s="3" t="str">
        <f>IF(_xlfn.IFNA(MATCH(B1035,Table1[UID],0),"F")="F","F","T")</f>
        <v>T</v>
      </c>
    </row>
    <row r="1036" spans="2:15" x14ac:dyDescent="0.25">
      <c r="B1036" s="42" t="str">
        <f t="shared" si="34"/>
        <v>AW_ELDID_NA3/AG-DEMAND</v>
      </c>
      <c r="C1036" t="s">
        <v>4359</v>
      </c>
      <c r="D1036" t="s">
        <v>4356</v>
      </c>
      <c r="E1036" t="s">
        <v>4367</v>
      </c>
      <c r="F1036">
        <v>8</v>
      </c>
      <c r="G1036" t="s">
        <v>4367</v>
      </c>
      <c r="H1036" t="s">
        <v>0</v>
      </c>
      <c r="I1036" t="s">
        <v>15</v>
      </c>
      <c r="J1036" t="s">
        <v>2</v>
      </c>
      <c r="L1036" t="s">
        <v>3</v>
      </c>
      <c r="M1036" t="s">
        <v>4</v>
      </c>
      <c r="N1036" s="3" t="str">
        <f t="shared" si="33"/>
        <v>F</v>
      </c>
      <c r="O1036" s="3" t="str">
        <f>IF(_xlfn.IFNA(MATCH(B1036,Table1[UID],0),"F")="F","F","T")</f>
        <v>T</v>
      </c>
    </row>
    <row r="1037" spans="2:15" x14ac:dyDescent="0.25">
      <c r="B1037" s="42" t="str">
        <f t="shared" si="34"/>
        <v>AW_GDPUD_NA/AG-DEMAND</v>
      </c>
      <c r="C1037" t="s">
        <v>4359</v>
      </c>
      <c r="D1037" t="s">
        <v>4356</v>
      </c>
      <c r="E1037" t="s">
        <v>4368</v>
      </c>
      <c r="F1037">
        <v>9</v>
      </c>
      <c r="G1037" t="s">
        <v>4368</v>
      </c>
      <c r="H1037" t="s">
        <v>0</v>
      </c>
      <c r="I1037" t="s">
        <v>16</v>
      </c>
      <c r="J1037" t="s">
        <v>2</v>
      </c>
      <c r="L1037" t="s">
        <v>3</v>
      </c>
      <c r="M1037" t="s">
        <v>4</v>
      </c>
      <c r="N1037" s="3" t="str">
        <f t="shared" si="33"/>
        <v>F</v>
      </c>
      <c r="O1037" s="3" t="str">
        <f>IF(_xlfn.IFNA(MATCH(B1037,Table1[UID],0),"F")="F","F","T")</f>
        <v>T</v>
      </c>
    </row>
    <row r="1038" spans="2:15" x14ac:dyDescent="0.25">
      <c r="B1038" s="42" t="str">
        <f t="shared" si="34"/>
        <v>AW_NIDBR_NA/APPLIED-WATER</v>
      </c>
      <c r="C1038" t="s">
        <v>4359</v>
      </c>
      <c r="D1038" t="s">
        <v>4356</v>
      </c>
      <c r="E1038" t="s">
        <v>4369</v>
      </c>
      <c r="F1038">
        <v>10</v>
      </c>
      <c r="G1038" t="s">
        <v>4369</v>
      </c>
      <c r="H1038" t="s">
        <v>0</v>
      </c>
      <c r="I1038" t="s">
        <v>17</v>
      </c>
      <c r="J1038" t="s">
        <v>18</v>
      </c>
      <c r="L1038" t="s">
        <v>3</v>
      </c>
      <c r="M1038" t="s">
        <v>4</v>
      </c>
      <c r="N1038" s="3" t="str">
        <f t="shared" si="33"/>
        <v>F</v>
      </c>
      <c r="O1038" s="3" t="str">
        <f>IF(_xlfn.IFNA(MATCH(B1038,Table1[UID],0),"F")="F","F","T")</f>
        <v>T</v>
      </c>
    </row>
    <row r="1039" spans="2:15" x14ac:dyDescent="0.25">
      <c r="B1039" s="42" t="str">
        <f t="shared" si="34"/>
        <v>AW_NIDDC_NA1/APPLIED-WATER</v>
      </c>
      <c r="C1039" t="s">
        <v>4359</v>
      </c>
      <c r="D1039" t="s">
        <v>4356</v>
      </c>
      <c r="E1039" t="s">
        <v>4370</v>
      </c>
      <c r="F1039">
        <v>11</v>
      </c>
      <c r="G1039" t="s">
        <v>4370</v>
      </c>
      <c r="H1039" t="s">
        <v>0</v>
      </c>
      <c r="I1039" t="s">
        <v>20</v>
      </c>
      <c r="J1039" t="s">
        <v>18</v>
      </c>
      <c r="L1039" t="s">
        <v>3</v>
      </c>
      <c r="M1039" t="s">
        <v>4</v>
      </c>
      <c r="N1039" s="3" t="str">
        <f t="shared" si="33"/>
        <v>F</v>
      </c>
      <c r="O1039" s="3" t="str">
        <f>IF(_xlfn.IFNA(MATCH(B1039,Table1[UID],0),"F")="F","F","T")</f>
        <v>T</v>
      </c>
    </row>
    <row r="1040" spans="2:15" x14ac:dyDescent="0.25">
      <c r="B1040" s="42" t="str">
        <f t="shared" si="34"/>
        <v>AW_NIDDC_NA2/APPLIED-WATER</v>
      </c>
      <c r="C1040" t="s">
        <v>4359</v>
      </c>
      <c r="D1040" t="s">
        <v>4356</v>
      </c>
      <c r="E1040" t="s">
        <v>4371</v>
      </c>
      <c r="F1040">
        <v>12</v>
      </c>
      <c r="G1040" t="s">
        <v>4371</v>
      </c>
      <c r="H1040" t="s">
        <v>0</v>
      </c>
      <c r="I1040" t="s">
        <v>21</v>
      </c>
      <c r="J1040" t="s">
        <v>18</v>
      </c>
      <c r="L1040" t="s">
        <v>3</v>
      </c>
      <c r="M1040" t="s">
        <v>4</v>
      </c>
      <c r="N1040" s="3" t="str">
        <f t="shared" si="33"/>
        <v>F</v>
      </c>
      <c r="O1040" s="3" t="str">
        <f>IF(_xlfn.IFNA(MATCH(B1040,Table1[UID],0),"F")="F","F","T")</f>
        <v>T</v>
      </c>
    </row>
    <row r="1041" spans="2:15" x14ac:dyDescent="0.25">
      <c r="B1041" s="42" t="str">
        <f t="shared" si="34"/>
        <v>AW_NIDDC_NA3/APPLIED-WATER</v>
      </c>
      <c r="C1041" t="s">
        <v>4359</v>
      </c>
      <c r="D1041" t="s">
        <v>4356</v>
      </c>
      <c r="E1041" t="s">
        <v>4372</v>
      </c>
      <c r="F1041">
        <v>13</v>
      </c>
      <c r="G1041" t="s">
        <v>4372</v>
      </c>
      <c r="H1041" t="s">
        <v>0</v>
      </c>
      <c r="I1041" t="s">
        <v>22</v>
      </c>
      <c r="J1041" t="s">
        <v>18</v>
      </c>
      <c r="L1041" t="s">
        <v>3</v>
      </c>
      <c r="M1041" t="s">
        <v>4</v>
      </c>
      <c r="N1041" s="3" t="str">
        <f t="shared" si="33"/>
        <v>F</v>
      </c>
      <c r="O1041" s="3" t="str">
        <f>IF(_xlfn.IFNA(MATCH(B1041,Table1[UID],0),"F")="F","F","T")</f>
        <v>T</v>
      </c>
    </row>
    <row r="1042" spans="2:15" x14ac:dyDescent="0.25">
      <c r="B1042" s="42" t="str">
        <f t="shared" si="34"/>
        <v>CAP_C_CAA238_CVC_F/CAPACITY</v>
      </c>
      <c r="C1042" t="s">
        <v>4359</v>
      </c>
      <c r="D1042" t="s">
        <v>4356</v>
      </c>
      <c r="E1042" t="s">
        <v>4373</v>
      </c>
      <c r="F1042">
        <v>14</v>
      </c>
      <c r="G1042" t="s">
        <v>4373</v>
      </c>
      <c r="H1042" t="s">
        <v>0</v>
      </c>
      <c r="I1042" t="s">
        <v>1978</v>
      </c>
      <c r="J1042" t="s">
        <v>1979</v>
      </c>
      <c r="L1042" t="s">
        <v>3</v>
      </c>
      <c r="M1042" t="s">
        <v>4</v>
      </c>
      <c r="N1042" s="3" t="str">
        <f t="shared" si="33"/>
        <v>F</v>
      </c>
      <c r="O1042" s="3" t="str">
        <f>IF(_xlfn.IFNA(MATCH(B1042,Table1[UID],0),"F")="F","F","T")</f>
        <v>T</v>
      </c>
    </row>
    <row r="1043" spans="2:15" x14ac:dyDescent="0.25">
      <c r="B1043" s="42" t="str">
        <f t="shared" si="34"/>
        <v>CAP_C_CAA238_CVC_R/CAPACITY</v>
      </c>
      <c r="C1043" t="s">
        <v>4359</v>
      </c>
      <c r="D1043" t="s">
        <v>4356</v>
      </c>
      <c r="E1043" t="s">
        <v>4374</v>
      </c>
      <c r="F1043">
        <v>15</v>
      </c>
      <c r="G1043" t="s">
        <v>4374</v>
      </c>
      <c r="H1043" t="s">
        <v>0</v>
      </c>
      <c r="I1043" t="s">
        <v>1983</v>
      </c>
      <c r="J1043" t="s">
        <v>1979</v>
      </c>
      <c r="L1043" t="s">
        <v>3</v>
      </c>
      <c r="M1043" t="s">
        <v>4</v>
      </c>
      <c r="N1043" s="3" t="str">
        <f t="shared" si="33"/>
        <v>F</v>
      </c>
      <c r="O1043" s="3" t="str">
        <f>IF(_xlfn.IFNA(MATCH(B1043,Table1[UID],0),"F")="F","F","T")</f>
        <v>T</v>
      </c>
    </row>
    <row r="1044" spans="2:15" x14ac:dyDescent="0.25">
      <c r="B1044" s="42" t="str">
        <f t="shared" si="34"/>
        <v>COSMA_MIDMD/COSMA-DEMAND</v>
      </c>
      <c r="C1044" t="s">
        <v>4359</v>
      </c>
      <c r="D1044" t="s">
        <v>4356</v>
      </c>
      <c r="E1044" t="s">
        <v>4375</v>
      </c>
      <c r="F1044">
        <v>16</v>
      </c>
      <c r="G1044" t="s">
        <v>4375</v>
      </c>
      <c r="H1044" t="s">
        <v>0</v>
      </c>
      <c r="I1044" t="s">
        <v>4376</v>
      </c>
      <c r="J1044" t="s">
        <v>4377</v>
      </c>
      <c r="L1044" t="s">
        <v>3</v>
      </c>
      <c r="M1044" t="s">
        <v>4</v>
      </c>
      <c r="N1044" s="3" t="str">
        <f t="shared" si="33"/>
        <v>F</v>
      </c>
      <c r="O1044" s="3" t="str">
        <f>IF(_xlfn.IFNA(MATCH(B1044,Table1[UID],0),"F")="F","F","T")</f>
        <v>F</v>
      </c>
    </row>
    <row r="1045" spans="2:15" x14ac:dyDescent="0.25">
      <c r="B1045" s="42" t="str">
        <f t="shared" si="34"/>
        <v>C_BRR050_NID_SV/CHANNEL</v>
      </c>
      <c r="C1045" t="s">
        <v>4359</v>
      </c>
      <c r="D1045" t="s">
        <v>4356</v>
      </c>
      <c r="E1045" t="s">
        <v>4378</v>
      </c>
      <c r="F1045">
        <v>17</v>
      </c>
      <c r="G1045" t="s">
        <v>4378</v>
      </c>
      <c r="H1045" t="s">
        <v>0</v>
      </c>
      <c r="I1045" t="s">
        <v>2126</v>
      </c>
      <c r="J1045" t="s">
        <v>2043</v>
      </c>
      <c r="L1045" t="s">
        <v>3</v>
      </c>
      <c r="M1045" t="s">
        <v>4</v>
      </c>
      <c r="N1045" s="3" t="str">
        <f t="shared" si="33"/>
        <v>F</v>
      </c>
      <c r="O1045" s="3" t="str">
        <f>IF(_xlfn.IFNA(MATCH(B1045,Table1[UID],0),"F")="F","F","T")</f>
        <v>T</v>
      </c>
    </row>
    <row r="1046" spans="2:15" x14ac:dyDescent="0.25">
      <c r="B1046" s="42" t="str">
        <f t="shared" si="34"/>
        <v>C_BRR050_PGE_SV/CHANNEL</v>
      </c>
      <c r="C1046" t="s">
        <v>4359</v>
      </c>
      <c r="D1046" t="s">
        <v>4356</v>
      </c>
      <c r="E1046" t="s">
        <v>4379</v>
      </c>
      <c r="F1046">
        <v>18</v>
      </c>
      <c r="G1046" t="s">
        <v>4379</v>
      </c>
      <c r="H1046" t="s">
        <v>0</v>
      </c>
      <c r="I1046" t="s">
        <v>2128</v>
      </c>
      <c r="J1046" t="s">
        <v>2043</v>
      </c>
      <c r="L1046" t="s">
        <v>3</v>
      </c>
      <c r="M1046" t="s">
        <v>4</v>
      </c>
      <c r="N1046" s="3" t="str">
        <f t="shared" si="33"/>
        <v>F</v>
      </c>
      <c r="O1046" s="3" t="str">
        <f>IF(_xlfn.IFNA(MATCH(B1046,Table1[UID],0),"F")="F","F","T")</f>
        <v>T</v>
      </c>
    </row>
    <row r="1047" spans="2:15" x14ac:dyDescent="0.25">
      <c r="B1047" s="42" t="str">
        <f t="shared" si="34"/>
        <v>C_BRR050_SV/CHANNEL</v>
      </c>
      <c r="C1047" t="s">
        <v>4359</v>
      </c>
      <c r="D1047" t="s">
        <v>4356</v>
      </c>
      <c r="E1047" t="s">
        <v>4380</v>
      </c>
      <c r="F1047">
        <v>19</v>
      </c>
      <c r="G1047" t="s">
        <v>4380</v>
      </c>
      <c r="H1047" t="s">
        <v>0</v>
      </c>
      <c r="I1047" t="s">
        <v>2129</v>
      </c>
      <c r="J1047" t="s">
        <v>2043</v>
      </c>
      <c r="L1047" t="s">
        <v>3</v>
      </c>
      <c r="M1047" t="s">
        <v>4</v>
      </c>
      <c r="N1047" s="3" t="str">
        <f t="shared" si="33"/>
        <v>F</v>
      </c>
      <c r="O1047" s="3" t="str">
        <f>IF(_xlfn.IFNA(MATCH(B1047,Table1[UID],0),"F")="F","F","T")</f>
        <v>T</v>
      </c>
    </row>
    <row r="1048" spans="2:15" x14ac:dyDescent="0.25">
      <c r="B1048" s="42" t="str">
        <f t="shared" si="34"/>
        <v>C_CBC000_SV/CHANNEL</v>
      </c>
      <c r="C1048" t="s">
        <v>4359</v>
      </c>
      <c r="D1048" t="s">
        <v>4356</v>
      </c>
      <c r="E1048" t="s">
        <v>4381</v>
      </c>
      <c r="F1048">
        <v>20</v>
      </c>
      <c r="G1048" t="s">
        <v>4381</v>
      </c>
      <c r="H1048" t="s">
        <v>0</v>
      </c>
      <c r="I1048" t="s">
        <v>2130</v>
      </c>
      <c r="J1048" t="s">
        <v>2043</v>
      </c>
      <c r="L1048" t="s">
        <v>3</v>
      </c>
      <c r="M1048" t="s">
        <v>4</v>
      </c>
      <c r="N1048" s="3" t="str">
        <f t="shared" si="33"/>
        <v>F</v>
      </c>
      <c r="O1048" s="3" t="str">
        <f>IF(_xlfn.IFNA(MATCH(B1048,Table1[UID],0),"F")="F","F","T")</f>
        <v>T</v>
      </c>
    </row>
    <row r="1049" spans="2:15" x14ac:dyDescent="0.25">
      <c r="B1049" s="42" t="str">
        <f t="shared" si="34"/>
        <v>C_CBD001HIST/FLOW</v>
      </c>
      <c r="C1049" t="s">
        <v>4359</v>
      </c>
      <c r="D1049" t="s">
        <v>4356</v>
      </c>
      <c r="E1049" t="s">
        <v>4382</v>
      </c>
      <c r="F1049">
        <v>21</v>
      </c>
      <c r="G1049" t="s">
        <v>4382</v>
      </c>
      <c r="H1049" t="s">
        <v>0</v>
      </c>
      <c r="I1049" t="s">
        <v>1892</v>
      </c>
      <c r="J1049" t="s">
        <v>1893</v>
      </c>
      <c r="L1049" t="s">
        <v>3</v>
      </c>
      <c r="M1049" t="s">
        <v>4</v>
      </c>
      <c r="N1049" s="3" t="str">
        <f t="shared" si="33"/>
        <v>F</v>
      </c>
      <c r="O1049" s="3" t="str">
        <f>IF(_xlfn.IFNA(MATCH(B1049,Table1[UID],0),"F")="F","F","T")</f>
        <v>T</v>
      </c>
    </row>
    <row r="1050" spans="2:15" x14ac:dyDescent="0.25">
      <c r="B1050" s="42" t="str">
        <f t="shared" si="34"/>
        <v>C_CMBIE_SV/CHANNEL</v>
      </c>
      <c r="C1050" t="s">
        <v>4359</v>
      </c>
      <c r="D1050" t="s">
        <v>4356</v>
      </c>
      <c r="E1050" t="s">
        <v>4383</v>
      </c>
      <c r="F1050">
        <v>22</v>
      </c>
      <c r="G1050" t="s">
        <v>4383</v>
      </c>
      <c r="H1050" t="s">
        <v>0</v>
      </c>
      <c r="I1050" t="s">
        <v>2131</v>
      </c>
      <c r="J1050" t="s">
        <v>2043</v>
      </c>
      <c r="L1050" t="s">
        <v>3</v>
      </c>
      <c r="M1050" t="s">
        <v>4</v>
      </c>
      <c r="N1050" s="3" t="str">
        <f t="shared" si="33"/>
        <v>F</v>
      </c>
      <c r="O1050" s="3" t="str">
        <f>IF(_xlfn.IFNA(MATCH(B1050,Table1[UID],0),"F")="F","F","T")</f>
        <v>T</v>
      </c>
    </row>
    <row r="1051" spans="2:15" x14ac:dyDescent="0.25">
      <c r="B1051" s="42" t="str">
        <f t="shared" si="34"/>
        <v>C_CMP014_SV/CHANNEL</v>
      </c>
      <c r="C1051" t="s">
        <v>4359</v>
      </c>
      <c r="D1051" t="s">
        <v>4356</v>
      </c>
      <c r="E1051" t="s">
        <v>4384</v>
      </c>
      <c r="F1051">
        <v>23</v>
      </c>
      <c r="G1051" t="s">
        <v>4384</v>
      </c>
      <c r="H1051" t="s">
        <v>0</v>
      </c>
      <c r="I1051" t="s">
        <v>2059</v>
      </c>
      <c r="J1051" t="s">
        <v>2043</v>
      </c>
      <c r="L1051" t="s">
        <v>3</v>
      </c>
      <c r="M1051" t="s">
        <v>4</v>
      </c>
      <c r="N1051" s="3" t="str">
        <f t="shared" si="33"/>
        <v>F</v>
      </c>
      <c r="O1051" s="3" t="str">
        <f>IF(_xlfn.IFNA(MATCH(B1051,Table1[UID],0),"F")="F","F","T")</f>
        <v>T</v>
      </c>
    </row>
    <row r="1052" spans="2:15" x14ac:dyDescent="0.25">
      <c r="B1052" s="42" t="str">
        <f t="shared" si="34"/>
        <v>C_DER001_SV/CHANNEL</v>
      </c>
      <c r="C1052" t="s">
        <v>4359</v>
      </c>
      <c r="D1052" t="s">
        <v>4356</v>
      </c>
      <c r="E1052" t="s">
        <v>4385</v>
      </c>
      <c r="F1052">
        <v>24</v>
      </c>
      <c r="G1052" t="s">
        <v>4385</v>
      </c>
      <c r="H1052" t="s">
        <v>0</v>
      </c>
      <c r="I1052" t="s">
        <v>2042</v>
      </c>
      <c r="J1052" t="s">
        <v>2043</v>
      </c>
      <c r="L1052" t="s">
        <v>3</v>
      </c>
      <c r="M1052" t="s">
        <v>4</v>
      </c>
      <c r="N1052" s="3" t="str">
        <f t="shared" si="33"/>
        <v>F</v>
      </c>
      <c r="O1052" s="3" t="str">
        <f>IF(_xlfn.IFNA(MATCH(B1052,Table1[UID],0),"F")="F","F","T")</f>
        <v>T</v>
      </c>
    </row>
    <row r="1053" spans="2:15" x14ac:dyDescent="0.25">
      <c r="B1053" s="42" t="str">
        <f t="shared" si="34"/>
        <v>C_FTR074_SV/CHANNEL</v>
      </c>
      <c r="C1053" t="s">
        <v>4359</v>
      </c>
      <c r="D1053" t="s">
        <v>4356</v>
      </c>
      <c r="E1053" t="s">
        <v>4386</v>
      </c>
      <c r="F1053">
        <v>25</v>
      </c>
      <c r="G1053" t="s">
        <v>4386</v>
      </c>
      <c r="H1053" t="s">
        <v>0</v>
      </c>
      <c r="I1053" t="s">
        <v>2097</v>
      </c>
      <c r="J1053" t="s">
        <v>2043</v>
      </c>
      <c r="L1053" t="s">
        <v>3</v>
      </c>
      <c r="M1053" t="s">
        <v>4</v>
      </c>
      <c r="N1053" s="3" t="str">
        <f t="shared" si="33"/>
        <v>F</v>
      </c>
      <c r="O1053" s="3" t="str">
        <f>IF(_xlfn.IFNA(MATCH(B1053,Table1[UID],0),"F")="F","F","T")</f>
        <v>T</v>
      </c>
    </row>
    <row r="1054" spans="2:15" x14ac:dyDescent="0.25">
      <c r="B1054" s="42" t="str">
        <f t="shared" si="34"/>
        <v>C_JNKSN_SV/CHANNEL</v>
      </c>
      <c r="C1054" t="s">
        <v>4359</v>
      </c>
      <c r="D1054" t="s">
        <v>4356</v>
      </c>
      <c r="E1054" t="s">
        <v>4387</v>
      </c>
      <c r="F1054">
        <v>26</v>
      </c>
      <c r="G1054" t="s">
        <v>4387</v>
      </c>
      <c r="H1054" t="s">
        <v>0</v>
      </c>
      <c r="I1054" t="s">
        <v>2061</v>
      </c>
      <c r="J1054" t="s">
        <v>2043</v>
      </c>
      <c r="L1054" t="s">
        <v>3</v>
      </c>
      <c r="M1054" t="s">
        <v>4</v>
      </c>
      <c r="N1054" s="3" t="str">
        <f t="shared" si="33"/>
        <v>F</v>
      </c>
      <c r="O1054" s="3" t="str">
        <f>IF(_xlfn.IFNA(MATCH(B1054,Table1[UID],0),"F")="F","F","T")</f>
        <v>T</v>
      </c>
    </row>
    <row r="1055" spans="2:15" x14ac:dyDescent="0.25">
      <c r="B1055" s="42" t="str">
        <f t="shared" si="34"/>
        <v>C_KLR005HIST/FLOW</v>
      </c>
      <c r="C1055" t="s">
        <v>4359</v>
      </c>
      <c r="D1055" t="s">
        <v>4356</v>
      </c>
      <c r="E1055" t="s">
        <v>4388</v>
      </c>
      <c r="F1055">
        <v>27</v>
      </c>
      <c r="G1055" t="s">
        <v>4388</v>
      </c>
      <c r="H1055" t="s">
        <v>0</v>
      </c>
      <c r="I1055" t="s">
        <v>1896</v>
      </c>
      <c r="J1055" t="s">
        <v>1893</v>
      </c>
      <c r="L1055" t="s">
        <v>3</v>
      </c>
      <c r="M1055" t="s">
        <v>4</v>
      </c>
      <c r="N1055" s="3" t="str">
        <f t="shared" si="33"/>
        <v>F</v>
      </c>
      <c r="O1055" s="3" t="str">
        <f>IF(_xlfn.IFNA(MATCH(B1055,Table1[UID],0),"F")="F","F","T")</f>
        <v>T</v>
      </c>
    </row>
    <row r="1056" spans="2:15" x14ac:dyDescent="0.25">
      <c r="B1056" s="42" t="str">
        <f t="shared" si="34"/>
        <v>C_KRT000_SV/CHANNEL</v>
      </c>
      <c r="C1056" t="s">
        <v>4359</v>
      </c>
      <c r="D1056" t="s">
        <v>4356</v>
      </c>
      <c r="E1056" t="s">
        <v>4389</v>
      </c>
      <c r="F1056">
        <v>28</v>
      </c>
      <c r="G1056" t="s">
        <v>4389</v>
      </c>
      <c r="H1056" t="s">
        <v>0</v>
      </c>
      <c r="I1056" t="s">
        <v>2099</v>
      </c>
      <c r="J1056" t="s">
        <v>2043</v>
      </c>
      <c r="L1056" t="s">
        <v>3</v>
      </c>
      <c r="M1056" t="s">
        <v>4</v>
      </c>
      <c r="N1056" s="3" t="str">
        <f t="shared" si="33"/>
        <v>F</v>
      </c>
      <c r="O1056" s="3" t="str">
        <f>IF(_xlfn.IFNA(MATCH(B1056,Table1[UID],0),"F")="F","F","T")</f>
        <v>T</v>
      </c>
    </row>
    <row r="1057" spans="2:15" x14ac:dyDescent="0.25">
      <c r="B1057" s="42" t="str">
        <f t="shared" si="34"/>
        <v>C_LBC010_SV/CHANNEL</v>
      </c>
      <c r="C1057" t="s">
        <v>4359</v>
      </c>
      <c r="D1057" t="s">
        <v>4356</v>
      </c>
      <c r="E1057" t="s">
        <v>4390</v>
      </c>
      <c r="F1057">
        <v>29</v>
      </c>
      <c r="G1057" t="s">
        <v>4390</v>
      </c>
      <c r="H1057" t="s">
        <v>0</v>
      </c>
      <c r="I1057" t="s">
        <v>2132</v>
      </c>
      <c r="J1057" t="s">
        <v>2043</v>
      </c>
      <c r="L1057" t="s">
        <v>3</v>
      </c>
      <c r="M1057" t="s">
        <v>4</v>
      </c>
      <c r="N1057" s="3" t="str">
        <f t="shared" si="33"/>
        <v>F</v>
      </c>
      <c r="O1057" s="3" t="str">
        <f>IF(_xlfn.IFNA(MATCH(B1057,Table1[UID],0),"F")="F","F","T")</f>
        <v>T</v>
      </c>
    </row>
    <row r="1058" spans="2:15" x14ac:dyDescent="0.25">
      <c r="B1058" s="42" t="str">
        <f t="shared" si="34"/>
        <v>C_MERLC_SV/CHANNEL</v>
      </c>
      <c r="C1058" t="s">
        <v>4359</v>
      </c>
      <c r="D1058" t="s">
        <v>4356</v>
      </c>
      <c r="E1058" t="s">
        <v>4391</v>
      </c>
      <c r="F1058">
        <v>30</v>
      </c>
      <c r="G1058" t="s">
        <v>4391</v>
      </c>
      <c r="H1058" t="s">
        <v>0</v>
      </c>
      <c r="I1058" t="s">
        <v>2045</v>
      </c>
      <c r="J1058" t="s">
        <v>2043</v>
      </c>
      <c r="L1058" t="s">
        <v>3</v>
      </c>
      <c r="M1058" t="s">
        <v>4</v>
      </c>
      <c r="N1058" s="3" t="str">
        <f t="shared" si="33"/>
        <v>F</v>
      </c>
      <c r="O1058" s="3" t="str">
        <f>IF(_xlfn.IFNA(MATCH(B1058,Table1[UID],0),"F")="F","F","T")</f>
        <v>T</v>
      </c>
    </row>
    <row r="1059" spans="2:15" x14ac:dyDescent="0.25">
      <c r="B1059" s="42" t="str">
        <f t="shared" si="34"/>
        <v>C_MFY044_SV/CHANNEL</v>
      </c>
      <c r="C1059" t="s">
        <v>4359</v>
      </c>
      <c r="D1059" t="s">
        <v>4356</v>
      </c>
      <c r="E1059" t="s">
        <v>4392</v>
      </c>
      <c r="F1059">
        <v>31</v>
      </c>
      <c r="G1059" t="s">
        <v>4392</v>
      </c>
      <c r="H1059" t="s">
        <v>0</v>
      </c>
      <c r="I1059" t="s">
        <v>2133</v>
      </c>
      <c r="J1059" t="s">
        <v>2043</v>
      </c>
      <c r="L1059" t="s">
        <v>3</v>
      </c>
      <c r="M1059" t="s">
        <v>4</v>
      </c>
      <c r="N1059" s="3" t="str">
        <f t="shared" si="33"/>
        <v>F</v>
      </c>
      <c r="O1059" s="3" t="str">
        <f>IF(_xlfn.IFNA(MATCH(B1059,Table1[UID],0),"F")="F","F","T")</f>
        <v>T</v>
      </c>
    </row>
    <row r="1060" spans="2:15" x14ac:dyDescent="0.25">
      <c r="B1060" s="42" t="str">
        <f t="shared" si="34"/>
        <v>C_MOK079_SV/CHANNEL</v>
      </c>
      <c r="C1060" t="s">
        <v>4359</v>
      </c>
      <c r="D1060" t="s">
        <v>4356</v>
      </c>
      <c r="E1060" t="s">
        <v>4393</v>
      </c>
      <c r="F1060">
        <v>32</v>
      </c>
      <c r="G1060" t="s">
        <v>4393</v>
      </c>
      <c r="H1060" t="s">
        <v>0</v>
      </c>
      <c r="I1060" t="s">
        <v>2114</v>
      </c>
      <c r="J1060" t="s">
        <v>2043</v>
      </c>
      <c r="L1060" t="s">
        <v>3</v>
      </c>
      <c r="M1060" t="s">
        <v>4</v>
      </c>
      <c r="N1060" s="3" t="str">
        <f t="shared" si="33"/>
        <v>F</v>
      </c>
      <c r="O1060" s="3" t="str">
        <f>IF(_xlfn.IFNA(MATCH(B1060,Table1[UID],0),"F")="F","F","T")</f>
        <v>T</v>
      </c>
    </row>
    <row r="1061" spans="2:15" x14ac:dyDescent="0.25">
      <c r="B1061" s="42" t="str">
        <f t="shared" si="34"/>
        <v>C_MRM001_SV/CHANNEL</v>
      </c>
      <c r="C1061" t="s">
        <v>4359</v>
      </c>
      <c r="D1061" t="s">
        <v>4356</v>
      </c>
      <c r="E1061" t="s">
        <v>4394</v>
      </c>
      <c r="F1061">
        <v>33</v>
      </c>
      <c r="G1061" t="s">
        <v>4394</v>
      </c>
      <c r="H1061" t="s">
        <v>0</v>
      </c>
      <c r="I1061" t="s">
        <v>2076</v>
      </c>
      <c r="J1061" t="s">
        <v>2043</v>
      </c>
      <c r="L1061" t="s">
        <v>3</v>
      </c>
      <c r="M1061" t="s">
        <v>4</v>
      </c>
      <c r="N1061" s="3" t="str">
        <f t="shared" si="33"/>
        <v>F</v>
      </c>
      <c r="O1061" s="3" t="str">
        <f>IF(_xlfn.IFNA(MATCH(B1061,Table1[UID],0),"F")="F","F","T")</f>
        <v>T</v>
      </c>
    </row>
    <row r="1062" spans="2:15" x14ac:dyDescent="0.25">
      <c r="B1062" s="42" t="str">
        <f t="shared" si="34"/>
        <v>C_NFA016_SV/CHANNEL</v>
      </c>
      <c r="C1062" t="s">
        <v>4359</v>
      </c>
      <c r="D1062" t="s">
        <v>4356</v>
      </c>
      <c r="E1062" t="s">
        <v>4395</v>
      </c>
      <c r="F1062">
        <v>34</v>
      </c>
      <c r="G1062" t="s">
        <v>4395</v>
      </c>
      <c r="H1062" t="s">
        <v>0</v>
      </c>
      <c r="I1062" t="s">
        <v>2062</v>
      </c>
      <c r="J1062" t="s">
        <v>2043</v>
      </c>
      <c r="L1062" t="s">
        <v>3</v>
      </c>
      <c r="M1062" t="s">
        <v>4</v>
      </c>
      <c r="N1062" s="3" t="str">
        <f t="shared" si="33"/>
        <v>F</v>
      </c>
      <c r="O1062" s="3" t="str">
        <f>IF(_xlfn.IFNA(MATCH(B1062,Table1[UID],0),"F")="F","F","T")</f>
        <v>T</v>
      </c>
    </row>
    <row r="1063" spans="2:15" x14ac:dyDescent="0.25">
      <c r="B1063" s="42" t="str">
        <f t="shared" si="34"/>
        <v>C_NFA048_SV/CHANNEL</v>
      </c>
      <c r="C1063" t="s">
        <v>4359</v>
      </c>
      <c r="D1063" t="s">
        <v>4356</v>
      </c>
      <c r="E1063" t="s">
        <v>4396</v>
      </c>
      <c r="F1063">
        <v>35</v>
      </c>
      <c r="G1063" t="s">
        <v>4396</v>
      </c>
      <c r="H1063" t="s">
        <v>0</v>
      </c>
      <c r="I1063" t="s">
        <v>2078</v>
      </c>
      <c r="J1063" t="s">
        <v>2043</v>
      </c>
      <c r="L1063" t="s">
        <v>3</v>
      </c>
      <c r="M1063" t="s">
        <v>4</v>
      </c>
      <c r="N1063" s="3" t="str">
        <f t="shared" si="33"/>
        <v>F</v>
      </c>
      <c r="O1063" s="3" t="str">
        <f>IF(_xlfn.IFNA(MATCH(B1063,Table1[UID],0),"F")="F","F","T")</f>
        <v>T</v>
      </c>
    </row>
    <row r="1064" spans="2:15" x14ac:dyDescent="0.25">
      <c r="B1064" s="42" t="str">
        <f t="shared" si="34"/>
        <v>C_SFA011_SV/CHANNEL</v>
      </c>
      <c r="C1064" t="s">
        <v>4359</v>
      </c>
      <c r="D1064" t="s">
        <v>4356</v>
      </c>
      <c r="E1064" t="s">
        <v>4397</v>
      </c>
      <c r="F1064">
        <v>36</v>
      </c>
      <c r="G1064" t="s">
        <v>4397</v>
      </c>
      <c r="H1064" t="s">
        <v>0</v>
      </c>
      <c r="I1064" t="s">
        <v>2063</v>
      </c>
      <c r="J1064" t="s">
        <v>2043</v>
      </c>
      <c r="L1064" t="s">
        <v>3</v>
      </c>
      <c r="M1064" t="s">
        <v>4</v>
      </c>
      <c r="N1064" s="3" t="str">
        <f t="shared" si="33"/>
        <v>F</v>
      </c>
      <c r="O1064" s="3" t="str">
        <f>IF(_xlfn.IFNA(MATCH(B1064,Table1[UID],0),"F")="F","F","T")</f>
        <v>T</v>
      </c>
    </row>
    <row r="1065" spans="2:15" x14ac:dyDescent="0.25">
      <c r="B1065" s="42" t="str">
        <f t="shared" si="34"/>
        <v>C_SFY007_SV/CHANNEL</v>
      </c>
      <c r="C1065" t="s">
        <v>4359</v>
      </c>
      <c r="D1065" t="s">
        <v>4356</v>
      </c>
      <c r="E1065" t="s">
        <v>4398</v>
      </c>
      <c r="F1065">
        <v>37</v>
      </c>
      <c r="G1065" t="s">
        <v>4398</v>
      </c>
      <c r="H1065" t="s">
        <v>0</v>
      </c>
      <c r="I1065" t="s">
        <v>2134</v>
      </c>
      <c r="J1065" t="s">
        <v>2043</v>
      </c>
      <c r="L1065" t="s">
        <v>3</v>
      </c>
      <c r="M1065" t="s">
        <v>4</v>
      </c>
      <c r="N1065" s="3" t="str">
        <f t="shared" si="33"/>
        <v>F</v>
      </c>
      <c r="O1065" s="3" t="str">
        <f>IF(_xlfn.IFNA(MATCH(B1065,Table1[UID],0),"F")="F","F","T")</f>
        <v>T</v>
      </c>
    </row>
    <row r="1066" spans="2:15" x14ac:dyDescent="0.25">
      <c r="B1066" s="42" t="str">
        <f t="shared" si="34"/>
        <v>C_STH007_SV/CHANNEL</v>
      </c>
      <c r="C1066" t="s">
        <v>4359</v>
      </c>
      <c r="D1066" t="s">
        <v>4356</v>
      </c>
      <c r="E1066" t="s">
        <v>4399</v>
      </c>
      <c r="F1066">
        <v>38</v>
      </c>
      <c r="G1066" t="s">
        <v>4399</v>
      </c>
      <c r="H1066" t="s">
        <v>0</v>
      </c>
      <c r="I1066" t="s">
        <v>2135</v>
      </c>
      <c r="J1066" t="s">
        <v>2043</v>
      </c>
      <c r="L1066" t="s">
        <v>3</v>
      </c>
      <c r="M1066" t="s">
        <v>4</v>
      </c>
      <c r="N1066" s="3" t="str">
        <f t="shared" si="33"/>
        <v>F</v>
      </c>
      <c r="O1066" s="3" t="str">
        <f>IF(_xlfn.IFNA(MATCH(B1066,Table1[UID],0),"F")="F","F","T")</f>
        <v>T</v>
      </c>
    </row>
    <row r="1067" spans="2:15" x14ac:dyDescent="0.25">
      <c r="B1067" s="42" t="str">
        <f t="shared" si="34"/>
        <v>C_STS072_SV/CHANNEL</v>
      </c>
      <c r="C1067" t="s">
        <v>4359</v>
      </c>
      <c r="D1067" t="s">
        <v>4356</v>
      </c>
      <c r="E1067" t="s">
        <v>4400</v>
      </c>
      <c r="F1067">
        <v>39</v>
      </c>
      <c r="G1067" t="s">
        <v>4400</v>
      </c>
      <c r="H1067" t="s">
        <v>0</v>
      </c>
      <c r="I1067" t="s">
        <v>2120</v>
      </c>
      <c r="J1067" t="s">
        <v>2043</v>
      </c>
      <c r="L1067" t="s">
        <v>3</v>
      </c>
      <c r="M1067" t="s">
        <v>4</v>
      </c>
      <c r="N1067" s="3" t="str">
        <f t="shared" si="33"/>
        <v>F</v>
      </c>
      <c r="O1067" s="3" t="str">
        <f>IF(_xlfn.IFNA(MATCH(B1067,Table1[UID],0),"F")="F","F","T")</f>
        <v>T</v>
      </c>
    </row>
    <row r="1068" spans="2:15" x14ac:dyDescent="0.25">
      <c r="B1068" s="42" t="str">
        <f t="shared" si="34"/>
        <v>C_TTC002_SV/CHANNEL</v>
      </c>
      <c r="C1068" t="s">
        <v>4359</v>
      </c>
      <c r="D1068" t="s">
        <v>4356</v>
      </c>
      <c r="E1068" t="s">
        <v>4401</v>
      </c>
      <c r="F1068">
        <v>40</v>
      </c>
      <c r="G1068" t="s">
        <v>4401</v>
      </c>
      <c r="H1068" t="s">
        <v>0</v>
      </c>
      <c r="I1068" t="s">
        <v>2100</v>
      </c>
      <c r="J1068" t="s">
        <v>2043</v>
      </c>
      <c r="L1068" t="s">
        <v>3</v>
      </c>
      <c r="M1068" t="s">
        <v>4</v>
      </c>
      <c r="N1068" s="3" t="str">
        <f t="shared" si="33"/>
        <v>F</v>
      </c>
      <c r="O1068" s="3" t="str">
        <f>IF(_xlfn.IFNA(MATCH(B1068,Table1[UID],0),"F")="F","F","T")</f>
        <v>T</v>
      </c>
    </row>
    <row r="1069" spans="2:15" x14ac:dyDescent="0.25">
      <c r="B1069" s="42" t="str">
        <f t="shared" si="34"/>
        <v>C_TUO073_SV/CHANNEL</v>
      </c>
      <c r="C1069" t="s">
        <v>4359</v>
      </c>
      <c r="D1069" t="s">
        <v>4356</v>
      </c>
      <c r="E1069" t="s">
        <v>4402</v>
      </c>
      <c r="F1069">
        <v>41</v>
      </c>
      <c r="G1069" t="s">
        <v>4402</v>
      </c>
      <c r="H1069" t="s">
        <v>0</v>
      </c>
      <c r="I1069" t="s">
        <v>2122</v>
      </c>
      <c r="J1069" t="s">
        <v>2043</v>
      </c>
      <c r="L1069" t="s">
        <v>3</v>
      </c>
      <c r="M1069" t="s">
        <v>4</v>
      </c>
      <c r="N1069" s="3" t="str">
        <f t="shared" si="33"/>
        <v>F</v>
      </c>
      <c r="O1069" s="3" t="str">
        <f>IF(_xlfn.IFNA(MATCH(B1069,Table1[UID],0),"F")="F","F","T")</f>
        <v>T</v>
      </c>
    </row>
    <row r="1070" spans="2:15" x14ac:dyDescent="0.25">
      <c r="B1070" s="42" t="str">
        <f t="shared" si="34"/>
        <v>C_WLF013_SV/CHANNEL</v>
      </c>
      <c r="C1070" t="s">
        <v>4359</v>
      </c>
      <c r="D1070" t="s">
        <v>4356</v>
      </c>
      <c r="E1070" t="s">
        <v>4403</v>
      </c>
      <c r="F1070">
        <v>42</v>
      </c>
      <c r="G1070" t="s">
        <v>4403</v>
      </c>
      <c r="H1070" t="s">
        <v>0</v>
      </c>
      <c r="I1070" t="s">
        <v>2136</v>
      </c>
      <c r="J1070" t="s">
        <v>2043</v>
      </c>
      <c r="L1070" t="s">
        <v>3</v>
      </c>
      <c r="M1070" t="s">
        <v>4</v>
      </c>
      <c r="N1070" s="3" t="str">
        <f t="shared" si="33"/>
        <v>F</v>
      </c>
      <c r="O1070" s="3" t="str">
        <f>IF(_xlfn.IFNA(MATCH(B1070,Table1[UID],0),"F")="F","F","T")</f>
        <v>T</v>
      </c>
    </row>
    <row r="1071" spans="2:15" x14ac:dyDescent="0.25">
      <c r="B1071" s="42" t="str">
        <f t="shared" si="34"/>
        <v>C_YUB003_SV/CHANNEL</v>
      </c>
      <c r="C1071" t="s">
        <v>4359</v>
      </c>
      <c r="D1071" t="s">
        <v>4356</v>
      </c>
      <c r="E1071" t="s">
        <v>4404</v>
      </c>
      <c r="F1071">
        <v>43</v>
      </c>
      <c r="G1071" t="s">
        <v>4404</v>
      </c>
      <c r="H1071" t="s">
        <v>0</v>
      </c>
      <c r="I1071" t="s">
        <v>2137</v>
      </c>
      <c r="J1071" t="s">
        <v>2043</v>
      </c>
      <c r="L1071" t="s">
        <v>3</v>
      </c>
      <c r="M1071" t="s">
        <v>4</v>
      </c>
      <c r="N1071" s="3" t="str">
        <f t="shared" si="33"/>
        <v>F</v>
      </c>
      <c r="O1071" s="3" t="str">
        <f>IF(_xlfn.IFNA(MATCH(B1071,Table1[UID],0),"F")="F","F","T")</f>
        <v>T</v>
      </c>
    </row>
    <row r="1072" spans="2:15" x14ac:dyDescent="0.25">
      <c r="B1072" s="42" t="str">
        <f t="shared" si="34"/>
        <v>C_YUB006_SV/CHANNEL</v>
      </c>
      <c r="C1072" t="s">
        <v>4359</v>
      </c>
      <c r="D1072" t="s">
        <v>4356</v>
      </c>
      <c r="E1072" t="s">
        <v>4405</v>
      </c>
      <c r="F1072">
        <v>44</v>
      </c>
      <c r="G1072" t="s">
        <v>4405</v>
      </c>
      <c r="H1072" t="s">
        <v>0</v>
      </c>
      <c r="I1072" t="s">
        <v>2138</v>
      </c>
      <c r="J1072" t="s">
        <v>2043</v>
      </c>
      <c r="L1072" t="s">
        <v>3</v>
      </c>
      <c r="M1072" t="s">
        <v>4</v>
      </c>
      <c r="N1072" s="3" t="str">
        <f t="shared" si="33"/>
        <v>F</v>
      </c>
      <c r="O1072" s="3" t="str">
        <f>IF(_xlfn.IFNA(MATCH(B1072,Table1[UID],0),"F")="F","F","T")</f>
        <v>T</v>
      </c>
    </row>
    <row r="1073" spans="2:15" x14ac:dyDescent="0.25">
      <c r="B1073" s="42" t="str">
        <f t="shared" si="34"/>
        <v>C_YUB011_SV/CHANNEL</v>
      </c>
      <c r="C1073" t="s">
        <v>4359</v>
      </c>
      <c r="D1073" t="s">
        <v>4356</v>
      </c>
      <c r="E1073" t="s">
        <v>4406</v>
      </c>
      <c r="F1073">
        <v>45</v>
      </c>
      <c r="G1073" t="s">
        <v>4406</v>
      </c>
      <c r="H1073" t="s">
        <v>0</v>
      </c>
      <c r="I1073" t="s">
        <v>2139</v>
      </c>
      <c r="J1073" t="s">
        <v>2043</v>
      </c>
      <c r="L1073" t="s">
        <v>3</v>
      </c>
      <c r="M1073" t="s">
        <v>4</v>
      </c>
      <c r="N1073" s="3" t="str">
        <f t="shared" si="33"/>
        <v>F</v>
      </c>
      <c r="O1073" s="3" t="str">
        <f>IF(_xlfn.IFNA(MATCH(B1073,Table1[UID],0),"F")="F","F","T")</f>
        <v>T</v>
      </c>
    </row>
    <row r="1074" spans="2:15" x14ac:dyDescent="0.25">
      <c r="B1074" s="42" t="str">
        <f t="shared" si="34"/>
        <v>C_YUB013_SV/CHANNEL</v>
      </c>
      <c r="C1074" t="s">
        <v>4359</v>
      </c>
      <c r="D1074" t="s">
        <v>4356</v>
      </c>
      <c r="E1074" t="s">
        <v>4407</v>
      </c>
      <c r="F1074">
        <v>46</v>
      </c>
      <c r="G1074" t="s">
        <v>4407</v>
      </c>
      <c r="H1074" t="s">
        <v>0</v>
      </c>
      <c r="I1074" t="s">
        <v>2140</v>
      </c>
      <c r="J1074" t="s">
        <v>2043</v>
      </c>
      <c r="L1074" t="s">
        <v>3</v>
      </c>
      <c r="M1074" t="s">
        <v>4</v>
      </c>
      <c r="N1074" s="3" t="str">
        <f t="shared" si="33"/>
        <v>F</v>
      </c>
      <c r="O1074" s="3" t="str">
        <f>IF(_xlfn.IFNA(MATCH(B1074,Table1[UID],0),"F")="F","F","T")</f>
        <v>T</v>
      </c>
    </row>
    <row r="1075" spans="2:15" x14ac:dyDescent="0.25">
      <c r="B1075" s="42" t="str">
        <f t="shared" si="34"/>
        <v>C_YUB022_SV/CHANNEL</v>
      </c>
      <c r="C1075" t="s">
        <v>4359</v>
      </c>
      <c r="D1075" t="s">
        <v>4356</v>
      </c>
      <c r="E1075" t="s">
        <v>4408</v>
      </c>
      <c r="F1075">
        <v>47</v>
      </c>
      <c r="G1075" t="s">
        <v>4408</v>
      </c>
      <c r="H1075" t="s">
        <v>0</v>
      </c>
      <c r="I1075" t="s">
        <v>2046</v>
      </c>
      <c r="J1075" t="s">
        <v>2043</v>
      </c>
      <c r="L1075" t="s">
        <v>3</v>
      </c>
      <c r="M1075" t="s">
        <v>4</v>
      </c>
      <c r="N1075" s="3" t="str">
        <f t="shared" si="33"/>
        <v>F</v>
      </c>
      <c r="O1075" s="3" t="str">
        <f>IF(_xlfn.IFNA(MATCH(B1075,Table1[UID],0),"F")="F","F","T")</f>
        <v>T</v>
      </c>
    </row>
    <row r="1076" spans="2:15" x14ac:dyDescent="0.25">
      <c r="B1076" s="42" t="str">
        <f t="shared" si="34"/>
        <v>DAY1/VOL-FRACTION</v>
      </c>
      <c r="C1076" t="s">
        <v>4359</v>
      </c>
      <c r="D1076" t="s">
        <v>4356</v>
      </c>
      <c r="E1076" t="s">
        <v>4409</v>
      </c>
      <c r="F1076">
        <v>48</v>
      </c>
      <c r="G1076" t="s">
        <v>4409</v>
      </c>
      <c r="H1076" t="s">
        <v>0</v>
      </c>
      <c r="I1076" t="s">
        <v>1960</v>
      </c>
      <c r="J1076" t="s">
        <v>1961</v>
      </c>
      <c r="L1076" t="s">
        <v>3</v>
      </c>
      <c r="M1076" t="s">
        <v>4</v>
      </c>
      <c r="N1076" s="3" t="str">
        <f t="shared" si="33"/>
        <v>F</v>
      </c>
      <c r="O1076" s="3" t="str">
        <f>IF(_xlfn.IFNA(MATCH(B1076,Table1[UID],0),"F")="F","F","T")</f>
        <v>T</v>
      </c>
    </row>
    <row r="1077" spans="2:15" x14ac:dyDescent="0.25">
      <c r="B1077" s="42" t="str">
        <f t="shared" si="34"/>
        <v>DAY10/VOL-FRACTION</v>
      </c>
      <c r="C1077" t="s">
        <v>4359</v>
      </c>
      <c r="D1077" t="s">
        <v>4356</v>
      </c>
      <c r="E1077" t="s">
        <v>4410</v>
      </c>
      <c r="F1077">
        <v>49</v>
      </c>
      <c r="G1077" t="s">
        <v>4410</v>
      </c>
      <c r="H1077" t="s">
        <v>0</v>
      </c>
      <c r="I1077" t="s">
        <v>1963</v>
      </c>
      <c r="J1077" t="s">
        <v>1961</v>
      </c>
      <c r="L1077" t="s">
        <v>3</v>
      </c>
      <c r="M1077" t="s">
        <v>4</v>
      </c>
      <c r="N1077" s="3" t="str">
        <f t="shared" si="33"/>
        <v>F</v>
      </c>
      <c r="O1077" s="3" t="str">
        <f>IF(_xlfn.IFNA(MATCH(B1077,Table1[UID],0),"F")="F","F","T")</f>
        <v>T</v>
      </c>
    </row>
    <row r="1078" spans="2:15" x14ac:dyDescent="0.25">
      <c r="B1078" s="42" t="str">
        <f t="shared" si="34"/>
        <v>DAY11/VOL-FRACTION</v>
      </c>
      <c r="C1078" t="s">
        <v>4359</v>
      </c>
      <c r="D1078" t="s">
        <v>4356</v>
      </c>
      <c r="E1078" t="s">
        <v>4411</v>
      </c>
      <c r="F1078">
        <v>50</v>
      </c>
      <c r="G1078" t="s">
        <v>4411</v>
      </c>
      <c r="H1078" t="s">
        <v>0</v>
      </c>
      <c r="I1078" t="s">
        <v>1964</v>
      </c>
      <c r="J1078" t="s">
        <v>1961</v>
      </c>
      <c r="L1078" t="s">
        <v>3</v>
      </c>
      <c r="M1078" t="s">
        <v>4</v>
      </c>
      <c r="N1078" s="3" t="str">
        <f t="shared" si="33"/>
        <v>F</v>
      </c>
      <c r="O1078" s="3" t="str">
        <f>IF(_xlfn.IFNA(MATCH(B1078,Table1[UID],0),"F")="F","F","T")</f>
        <v>T</v>
      </c>
    </row>
    <row r="1079" spans="2:15" x14ac:dyDescent="0.25">
      <c r="B1079" s="42" t="str">
        <f t="shared" si="34"/>
        <v>DAY12/VOL-FRACTION</v>
      </c>
      <c r="C1079" t="s">
        <v>4359</v>
      </c>
      <c r="D1079" t="s">
        <v>4356</v>
      </c>
      <c r="E1079" t="s">
        <v>4412</v>
      </c>
      <c r="F1079">
        <v>51</v>
      </c>
      <c r="G1079" t="s">
        <v>4412</v>
      </c>
      <c r="H1079" t="s">
        <v>0</v>
      </c>
      <c r="I1079" t="s">
        <v>1965</v>
      </c>
      <c r="J1079" t="s">
        <v>1961</v>
      </c>
      <c r="L1079" t="s">
        <v>3</v>
      </c>
      <c r="M1079" t="s">
        <v>4</v>
      </c>
      <c r="N1079" s="3" t="str">
        <f t="shared" si="33"/>
        <v>F</v>
      </c>
      <c r="O1079" s="3" t="str">
        <f>IF(_xlfn.IFNA(MATCH(B1079,Table1[UID],0),"F")="F","F","T")</f>
        <v>T</v>
      </c>
    </row>
    <row r="1080" spans="2:15" x14ac:dyDescent="0.25">
      <c r="B1080" s="42" t="str">
        <f t="shared" si="34"/>
        <v>DAY13/VOL-FRACTION</v>
      </c>
      <c r="C1080" t="s">
        <v>4359</v>
      </c>
      <c r="D1080" t="s">
        <v>4356</v>
      </c>
      <c r="E1080" t="s">
        <v>4413</v>
      </c>
      <c r="F1080">
        <v>52</v>
      </c>
      <c r="G1080" t="s">
        <v>4413</v>
      </c>
      <c r="H1080" t="s">
        <v>0</v>
      </c>
      <c r="I1080" t="s">
        <v>1967</v>
      </c>
      <c r="J1080" t="s">
        <v>1961</v>
      </c>
      <c r="L1080" t="s">
        <v>3</v>
      </c>
      <c r="M1080" t="s">
        <v>4</v>
      </c>
      <c r="N1080" s="3" t="str">
        <f t="shared" si="33"/>
        <v>F</v>
      </c>
      <c r="O1080" s="3" t="str">
        <f>IF(_xlfn.IFNA(MATCH(B1080,Table1[UID],0),"F")="F","F","T")</f>
        <v>T</v>
      </c>
    </row>
    <row r="1081" spans="2:15" x14ac:dyDescent="0.25">
      <c r="B1081" s="42" t="str">
        <f t="shared" si="34"/>
        <v>DAY14/VOL-FRACTION</v>
      </c>
      <c r="C1081" t="s">
        <v>4359</v>
      </c>
      <c r="D1081" t="s">
        <v>4356</v>
      </c>
      <c r="E1081" t="s">
        <v>4414</v>
      </c>
      <c r="F1081">
        <v>53</v>
      </c>
      <c r="G1081" t="s">
        <v>4414</v>
      </c>
      <c r="H1081" t="s">
        <v>0</v>
      </c>
      <c r="I1081" t="s">
        <v>1968</v>
      </c>
      <c r="J1081" t="s">
        <v>1961</v>
      </c>
      <c r="L1081" t="s">
        <v>3</v>
      </c>
      <c r="M1081" t="s">
        <v>4</v>
      </c>
      <c r="N1081" s="3" t="str">
        <f t="shared" si="33"/>
        <v>F</v>
      </c>
      <c r="O1081" s="3" t="str">
        <f>IF(_xlfn.IFNA(MATCH(B1081,Table1[UID],0),"F")="F","F","T")</f>
        <v>T</v>
      </c>
    </row>
    <row r="1082" spans="2:15" x14ac:dyDescent="0.25">
      <c r="B1082" s="42" t="str">
        <f t="shared" si="34"/>
        <v>DAY15/VOL-FRACTION</v>
      </c>
      <c r="C1082" t="s">
        <v>4359</v>
      </c>
      <c r="D1082" t="s">
        <v>4356</v>
      </c>
      <c r="E1082" t="s">
        <v>4415</v>
      </c>
      <c r="F1082">
        <v>54</v>
      </c>
      <c r="G1082" t="s">
        <v>4415</v>
      </c>
      <c r="H1082" t="s">
        <v>0</v>
      </c>
      <c r="I1082" t="s">
        <v>1969</v>
      </c>
      <c r="J1082" t="s">
        <v>1961</v>
      </c>
      <c r="L1082" t="s">
        <v>3</v>
      </c>
      <c r="M1082" t="s">
        <v>4</v>
      </c>
      <c r="N1082" s="3" t="str">
        <f t="shared" si="33"/>
        <v>F</v>
      </c>
      <c r="O1082" s="3" t="str">
        <f>IF(_xlfn.IFNA(MATCH(B1082,Table1[UID],0),"F")="F","F","T")</f>
        <v>T</v>
      </c>
    </row>
    <row r="1083" spans="2:15" x14ac:dyDescent="0.25">
      <c r="B1083" s="42" t="str">
        <f t="shared" si="34"/>
        <v>DAY16/VOL-FRACTION</v>
      </c>
      <c r="C1083" t="s">
        <v>4359</v>
      </c>
      <c r="D1083" t="s">
        <v>4356</v>
      </c>
      <c r="E1083" t="s">
        <v>4416</v>
      </c>
      <c r="F1083">
        <v>55</v>
      </c>
      <c r="G1083" t="s">
        <v>4416</v>
      </c>
      <c r="H1083" t="s">
        <v>0</v>
      </c>
      <c r="I1083" t="s">
        <v>1970</v>
      </c>
      <c r="J1083" t="s">
        <v>1961</v>
      </c>
      <c r="L1083" t="s">
        <v>3</v>
      </c>
      <c r="M1083" t="s">
        <v>4</v>
      </c>
      <c r="N1083" s="3" t="str">
        <f t="shared" si="33"/>
        <v>F</v>
      </c>
      <c r="O1083" s="3" t="str">
        <f>IF(_xlfn.IFNA(MATCH(B1083,Table1[UID],0),"F")="F","F","T")</f>
        <v>T</v>
      </c>
    </row>
    <row r="1084" spans="2:15" x14ac:dyDescent="0.25">
      <c r="B1084" s="42" t="str">
        <f t="shared" si="34"/>
        <v>DAY17/VOL-FRACTION</v>
      </c>
      <c r="C1084" t="s">
        <v>4359</v>
      </c>
      <c r="D1084" t="s">
        <v>4356</v>
      </c>
      <c r="E1084" t="s">
        <v>4417</v>
      </c>
      <c r="F1084">
        <v>56</v>
      </c>
      <c r="G1084" t="s">
        <v>4417</v>
      </c>
      <c r="H1084" t="s">
        <v>0</v>
      </c>
      <c r="I1084" t="s">
        <v>1971</v>
      </c>
      <c r="J1084" t="s">
        <v>1961</v>
      </c>
      <c r="L1084" t="s">
        <v>3</v>
      </c>
      <c r="M1084" t="s">
        <v>4</v>
      </c>
      <c r="N1084" s="3" t="str">
        <f t="shared" si="33"/>
        <v>F</v>
      </c>
      <c r="O1084" s="3" t="str">
        <f>IF(_xlfn.IFNA(MATCH(B1084,Table1[UID],0),"F")="F","F","T")</f>
        <v>T</v>
      </c>
    </row>
    <row r="1085" spans="2:15" x14ac:dyDescent="0.25">
      <c r="B1085" s="42" t="str">
        <f t="shared" si="34"/>
        <v>DAY18/VOL-FRACTION</v>
      </c>
      <c r="C1085" t="s">
        <v>4359</v>
      </c>
      <c r="D1085" t="s">
        <v>4356</v>
      </c>
      <c r="E1085" t="s">
        <v>4418</v>
      </c>
      <c r="F1085">
        <v>57</v>
      </c>
      <c r="G1085" t="s">
        <v>4418</v>
      </c>
      <c r="H1085" t="s">
        <v>0</v>
      </c>
      <c r="I1085" t="s">
        <v>1972</v>
      </c>
      <c r="J1085" t="s">
        <v>1961</v>
      </c>
      <c r="L1085" t="s">
        <v>3</v>
      </c>
      <c r="M1085" t="s">
        <v>4</v>
      </c>
      <c r="N1085" s="3" t="str">
        <f t="shared" si="33"/>
        <v>F</v>
      </c>
      <c r="O1085" s="3" t="str">
        <f>IF(_xlfn.IFNA(MATCH(B1085,Table1[UID],0),"F")="F","F","T")</f>
        <v>T</v>
      </c>
    </row>
    <row r="1086" spans="2:15" x14ac:dyDescent="0.25">
      <c r="B1086" s="42" t="str">
        <f t="shared" si="34"/>
        <v>DAY19/VOL-FRACTION</v>
      </c>
      <c r="C1086" t="s">
        <v>4359</v>
      </c>
      <c r="D1086" t="s">
        <v>4356</v>
      </c>
      <c r="E1086" t="s">
        <v>4419</v>
      </c>
      <c r="F1086">
        <v>58</v>
      </c>
      <c r="G1086" t="s">
        <v>4419</v>
      </c>
      <c r="H1086" t="s">
        <v>0</v>
      </c>
      <c r="I1086" t="s">
        <v>1973</v>
      </c>
      <c r="J1086" t="s">
        <v>1961</v>
      </c>
      <c r="L1086" t="s">
        <v>3</v>
      </c>
      <c r="M1086" t="s">
        <v>4</v>
      </c>
      <c r="N1086" s="3" t="str">
        <f t="shared" si="33"/>
        <v>F</v>
      </c>
      <c r="O1086" s="3" t="str">
        <f>IF(_xlfn.IFNA(MATCH(B1086,Table1[UID],0),"F")="F","F","T")</f>
        <v>T</v>
      </c>
    </row>
    <row r="1087" spans="2:15" x14ac:dyDescent="0.25">
      <c r="B1087" s="42" t="str">
        <f t="shared" si="34"/>
        <v>DAY2/VOL-FRACTION</v>
      </c>
      <c r="C1087" t="s">
        <v>4359</v>
      </c>
      <c r="D1087" t="s">
        <v>4356</v>
      </c>
      <c r="E1087" t="s">
        <v>4420</v>
      </c>
      <c r="F1087">
        <v>59</v>
      </c>
      <c r="G1087" t="s">
        <v>4420</v>
      </c>
      <c r="H1087" t="s">
        <v>0</v>
      </c>
      <c r="I1087" t="s">
        <v>1974</v>
      </c>
      <c r="J1087" t="s">
        <v>1961</v>
      </c>
      <c r="L1087" t="s">
        <v>3</v>
      </c>
      <c r="M1087" t="s">
        <v>4</v>
      </c>
      <c r="N1087" s="3" t="str">
        <f t="shared" si="33"/>
        <v>F</v>
      </c>
      <c r="O1087" s="3" t="str">
        <f>IF(_xlfn.IFNA(MATCH(B1087,Table1[UID],0),"F")="F","F","T")</f>
        <v>T</v>
      </c>
    </row>
    <row r="1088" spans="2:15" x14ac:dyDescent="0.25">
      <c r="B1088" s="42" t="str">
        <f t="shared" si="34"/>
        <v>DAY20/VOL-FRACTION</v>
      </c>
      <c r="C1088" t="s">
        <v>4359</v>
      </c>
      <c r="D1088" t="s">
        <v>4356</v>
      </c>
      <c r="E1088" t="s">
        <v>4421</v>
      </c>
      <c r="F1088">
        <v>60</v>
      </c>
      <c r="G1088" t="s">
        <v>4421</v>
      </c>
      <c r="H1088" t="s">
        <v>0</v>
      </c>
      <c r="I1088" t="s">
        <v>1975</v>
      </c>
      <c r="J1088" t="s">
        <v>1961</v>
      </c>
      <c r="L1088" t="s">
        <v>3</v>
      </c>
      <c r="M1088" t="s">
        <v>4</v>
      </c>
      <c r="N1088" s="3" t="str">
        <f t="shared" si="33"/>
        <v>F</v>
      </c>
      <c r="O1088" s="3" t="str">
        <f>IF(_xlfn.IFNA(MATCH(B1088,Table1[UID],0),"F")="F","F","T")</f>
        <v>T</v>
      </c>
    </row>
    <row r="1089" spans="2:15" x14ac:dyDescent="0.25">
      <c r="B1089" s="42" t="str">
        <f t="shared" si="34"/>
        <v>DAY21/VOL-FRACTION</v>
      </c>
      <c r="C1089" t="s">
        <v>4359</v>
      </c>
      <c r="D1089" t="s">
        <v>4356</v>
      </c>
      <c r="E1089" t="s">
        <v>4422</v>
      </c>
      <c r="F1089">
        <v>61</v>
      </c>
      <c r="G1089" t="s">
        <v>4422</v>
      </c>
      <c r="H1089" t="s">
        <v>0</v>
      </c>
      <c r="I1089" t="s">
        <v>1976</v>
      </c>
      <c r="J1089" t="s">
        <v>1961</v>
      </c>
      <c r="L1089" t="s">
        <v>3</v>
      </c>
      <c r="M1089" t="s">
        <v>4</v>
      </c>
      <c r="N1089" s="3" t="str">
        <f t="shared" si="33"/>
        <v>F</v>
      </c>
      <c r="O1089" s="3" t="str">
        <f>IF(_xlfn.IFNA(MATCH(B1089,Table1[UID],0),"F")="F","F","T")</f>
        <v>T</v>
      </c>
    </row>
    <row r="1090" spans="2:15" x14ac:dyDescent="0.25">
      <c r="B1090" s="42" t="str">
        <f t="shared" si="34"/>
        <v>DAY22/VOL-FRACTION</v>
      </c>
      <c r="C1090" t="s">
        <v>4359</v>
      </c>
      <c r="D1090" t="s">
        <v>4356</v>
      </c>
      <c r="E1090" t="s">
        <v>4423</v>
      </c>
      <c r="F1090">
        <v>62</v>
      </c>
      <c r="G1090" t="s">
        <v>4423</v>
      </c>
      <c r="H1090" t="s">
        <v>0</v>
      </c>
      <c r="I1090" t="s">
        <v>1977</v>
      </c>
      <c r="J1090" t="s">
        <v>1961</v>
      </c>
      <c r="L1090" t="s">
        <v>3</v>
      </c>
      <c r="M1090" t="s">
        <v>4</v>
      </c>
      <c r="N1090" s="3" t="str">
        <f t="shared" si="33"/>
        <v>F</v>
      </c>
      <c r="O1090" s="3" t="str">
        <f>IF(_xlfn.IFNA(MATCH(B1090,Table1[UID],0),"F")="F","F","T")</f>
        <v>T</v>
      </c>
    </row>
    <row r="1091" spans="2:15" x14ac:dyDescent="0.25">
      <c r="B1091" s="42" t="str">
        <f t="shared" si="34"/>
        <v>DAY23/VOL-FRACTION</v>
      </c>
      <c r="C1091" t="s">
        <v>4359</v>
      </c>
      <c r="D1091" t="s">
        <v>4356</v>
      </c>
      <c r="E1091" t="s">
        <v>4424</v>
      </c>
      <c r="F1091">
        <v>63</v>
      </c>
      <c r="G1091" t="s">
        <v>4424</v>
      </c>
      <c r="H1091" t="s">
        <v>0</v>
      </c>
      <c r="I1091" t="s">
        <v>2033</v>
      </c>
      <c r="J1091" t="s">
        <v>1961</v>
      </c>
      <c r="L1091" t="s">
        <v>3</v>
      </c>
      <c r="M1091" t="s">
        <v>4</v>
      </c>
      <c r="N1091" s="3" t="str">
        <f t="shared" ref="N1091:N1154" si="35">IF(COUNTIF($B$3:$B$1760,"="&amp;B1091)&gt;1,"T","F")</f>
        <v>F</v>
      </c>
      <c r="O1091" s="3" t="str">
        <f>IF(_xlfn.IFNA(MATCH(B1091,Table1[UID],0),"F")="F","F","T")</f>
        <v>T</v>
      </c>
    </row>
    <row r="1092" spans="2:15" x14ac:dyDescent="0.25">
      <c r="B1092" s="42" t="str">
        <f t="shared" si="34"/>
        <v>DAY24/VOL-FRACTION</v>
      </c>
      <c r="C1092" t="s">
        <v>4359</v>
      </c>
      <c r="D1092" t="s">
        <v>4356</v>
      </c>
      <c r="E1092" t="s">
        <v>4425</v>
      </c>
      <c r="F1092">
        <v>64</v>
      </c>
      <c r="G1092" t="s">
        <v>4425</v>
      </c>
      <c r="H1092" t="s">
        <v>0</v>
      </c>
      <c r="I1092" t="s">
        <v>2034</v>
      </c>
      <c r="J1092" t="s">
        <v>1961</v>
      </c>
      <c r="L1092" t="s">
        <v>3</v>
      </c>
      <c r="M1092" t="s">
        <v>4</v>
      </c>
      <c r="N1092" s="3" t="str">
        <f t="shared" si="35"/>
        <v>F</v>
      </c>
      <c r="O1092" s="3" t="str">
        <f>IF(_xlfn.IFNA(MATCH(B1092,Table1[UID],0),"F")="F","F","T")</f>
        <v>T</v>
      </c>
    </row>
    <row r="1093" spans="2:15" x14ac:dyDescent="0.25">
      <c r="B1093" s="42" t="str">
        <f t="shared" si="34"/>
        <v>DAY25/VOL-FRACTION</v>
      </c>
      <c r="C1093" t="s">
        <v>4359</v>
      </c>
      <c r="D1093" t="s">
        <v>4356</v>
      </c>
      <c r="E1093" t="s">
        <v>4426</v>
      </c>
      <c r="F1093">
        <v>65</v>
      </c>
      <c r="G1093" t="s">
        <v>4426</v>
      </c>
      <c r="H1093" t="s">
        <v>0</v>
      </c>
      <c r="I1093" t="s">
        <v>2035</v>
      </c>
      <c r="J1093" t="s">
        <v>1961</v>
      </c>
      <c r="L1093" t="s">
        <v>3</v>
      </c>
      <c r="M1093" t="s">
        <v>4</v>
      </c>
      <c r="N1093" s="3" t="str">
        <f t="shared" si="35"/>
        <v>F</v>
      </c>
      <c r="O1093" s="3" t="str">
        <f>IF(_xlfn.IFNA(MATCH(B1093,Table1[UID],0),"F")="F","F","T")</f>
        <v>T</v>
      </c>
    </row>
    <row r="1094" spans="2:15" x14ac:dyDescent="0.25">
      <c r="B1094" s="42" t="str">
        <f t="shared" si="34"/>
        <v>DAY26/VOL-FRACTION</v>
      </c>
      <c r="C1094" t="s">
        <v>4359</v>
      </c>
      <c r="D1094" t="s">
        <v>4356</v>
      </c>
      <c r="E1094" t="s">
        <v>4427</v>
      </c>
      <c r="F1094">
        <v>66</v>
      </c>
      <c r="G1094" t="s">
        <v>4427</v>
      </c>
      <c r="H1094" t="s">
        <v>0</v>
      </c>
      <c r="I1094" t="s">
        <v>2036</v>
      </c>
      <c r="J1094" t="s">
        <v>1961</v>
      </c>
      <c r="L1094" t="s">
        <v>3</v>
      </c>
      <c r="M1094" t="s">
        <v>4</v>
      </c>
      <c r="N1094" s="3" t="str">
        <f t="shared" si="35"/>
        <v>F</v>
      </c>
      <c r="O1094" s="3" t="str">
        <f>IF(_xlfn.IFNA(MATCH(B1094,Table1[UID],0),"F")="F","F","T")</f>
        <v>T</v>
      </c>
    </row>
    <row r="1095" spans="2:15" x14ac:dyDescent="0.25">
      <c r="B1095" s="42" t="str">
        <f t="shared" si="34"/>
        <v>DAY27/VOL-FRACTION</v>
      </c>
      <c r="C1095" t="s">
        <v>4359</v>
      </c>
      <c r="D1095" t="s">
        <v>4356</v>
      </c>
      <c r="E1095" t="s">
        <v>4428</v>
      </c>
      <c r="F1095">
        <v>67</v>
      </c>
      <c r="G1095" t="s">
        <v>4428</v>
      </c>
      <c r="H1095" t="s">
        <v>0</v>
      </c>
      <c r="I1095" t="s">
        <v>2037</v>
      </c>
      <c r="J1095" t="s">
        <v>1961</v>
      </c>
      <c r="L1095" t="s">
        <v>3</v>
      </c>
      <c r="M1095" t="s">
        <v>4</v>
      </c>
      <c r="N1095" s="3" t="str">
        <f t="shared" si="35"/>
        <v>F</v>
      </c>
      <c r="O1095" s="3" t="str">
        <f>IF(_xlfn.IFNA(MATCH(B1095,Table1[UID],0),"F")="F","F","T")</f>
        <v>T</v>
      </c>
    </row>
    <row r="1096" spans="2:15" x14ac:dyDescent="0.25">
      <c r="B1096" s="42" t="str">
        <f t="shared" si="34"/>
        <v>DAY28/VOL-FRACTION</v>
      </c>
      <c r="C1096" t="s">
        <v>4359</v>
      </c>
      <c r="D1096" t="s">
        <v>4356</v>
      </c>
      <c r="E1096" t="s">
        <v>4429</v>
      </c>
      <c r="F1096">
        <v>68</v>
      </c>
      <c r="G1096" t="s">
        <v>4429</v>
      </c>
      <c r="H1096" t="s">
        <v>0</v>
      </c>
      <c r="I1096" t="s">
        <v>2193</v>
      </c>
      <c r="J1096" t="s">
        <v>1961</v>
      </c>
      <c r="L1096" t="s">
        <v>3</v>
      </c>
      <c r="M1096" t="s">
        <v>4</v>
      </c>
      <c r="N1096" s="3" t="str">
        <f t="shared" si="35"/>
        <v>F</v>
      </c>
      <c r="O1096" s="3" t="str">
        <f>IF(_xlfn.IFNA(MATCH(B1096,Table1[UID],0),"F")="F","F","T")</f>
        <v>T</v>
      </c>
    </row>
    <row r="1097" spans="2:15" x14ac:dyDescent="0.25">
      <c r="B1097" s="42" t="str">
        <f t="shared" si="34"/>
        <v>DAY29/VOL-FRACTION</v>
      </c>
      <c r="C1097" t="s">
        <v>4359</v>
      </c>
      <c r="D1097" t="s">
        <v>4356</v>
      </c>
      <c r="E1097" t="s">
        <v>4430</v>
      </c>
      <c r="F1097">
        <v>69</v>
      </c>
      <c r="G1097" t="s">
        <v>4430</v>
      </c>
      <c r="H1097" t="s">
        <v>0</v>
      </c>
      <c r="I1097" t="s">
        <v>2194</v>
      </c>
      <c r="J1097" t="s">
        <v>1961</v>
      </c>
      <c r="L1097" t="s">
        <v>3</v>
      </c>
      <c r="M1097" t="s">
        <v>4</v>
      </c>
      <c r="N1097" s="3" t="str">
        <f t="shared" si="35"/>
        <v>F</v>
      </c>
      <c r="O1097" s="3" t="str">
        <f>IF(_xlfn.IFNA(MATCH(B1097,Table1[UID],0),"F")="F","F","T")</f>
        <v>T</v>
      </c>
    </row>
    <row r="1098" spans="2:15" x14ac:dyDescent="0.25">
      <c r="B1098" s="42" t="str">
        <f t="shared" ref="B1098:B1161" si="36">_xlfn.CONCAT(I1098,"/",J1098)</f>
        <v>DAY3/VOL-FRACTION</v>
      </c>
      <c r="C1098" t="s">
        <v>4359</v>
      </c>
      <c r="D1098" t="s">
        <v>4356</v>
      </c>
      <c r="E1098" t="s">
        <v>4431</v>
      </c>
      <c r="F1098">
        <v>70</v>
      </c>
      <c r="G1098" t="s">
        <v>4431</v>
      </c>
      <c r="H1098" t="s">
        <v>0</v>
      </c>
      <c r="I1098" t="s">
        <v>2195</v>
      </c>
      <c r="J1098" t="s">
        <v>1961</v>
      </c>
      <c r="L1098" t="s">
        <v>3</v>
      </c>
      <c r="M1098" t="s">
        <v>4</v>
      </c>
      <c r="N1098" s="3" t="str">
        <f t="shared" si="35"/>
        <v>F</v>
      </c>
      <c r="O1098" s="3" t="str">
        <f>IF(_xlfn.IFNA(MATCH(B1098,Table1[UID],0),"F")="F","F","T")</f>
        <v>T</v>
      </c>
    </row>
    <row r="1099" spans="2:15" x14ac:dyDescent="0.25">
      <c r="B1099" s="42" t="str">
        <f t="shared" si="36"/>
        <v>DAY30/VOL-FRACTION</v>
      </c>
      <c r="C1099" t="s">
        <v>4359</v>
      </c>
      <c r="D1099" t="s">
        <v>4356</v>
      </c>
      <c r="E1099" t="s">
        <v>4432</v>
      </c>
      <c r="F1099">
        <v>71</v>
      </c>
      <c r="G1099" t="s">
        <v>4432</v>
      </c>
      <c r="H1099" t="s">
        <v>0</v>
      </c>
      <c r="I1099" t="s">
        <v>2196</v>
      </c>
      <c r="J1099" t="s">
        <v>1961</v>
      </c>
      <c r="L1099" t="s">
        <v>3</v>
      </c>
      <c r="M1099" t="s">
        <v>4</v>
      </c>
      <c r="N1099" s="3" t="str">
        <f t="shared" si="35"/>
        <v>F</v>
      </c>
      <c r="O1099" s="3" t="str">
        <f>IF(_xlfn.IFNA(MATCH(B1099,Table1[UID],0),"F")="F","F","T")</f>
        <v>T</v>
      </c>
    </row>
    <row r="1100" spans="2:15" x14ac:dyDescent="0.25">
      <c r="B1100" s="42" t="str">
        <f t="shared" si="36"/>
        <v>DAY31/VOL-FRACTION</v>
      </c>
      <c r="C1100" t="s">
        <v>4359</v>
      </c>
      <c r="D1100" t="s">
        <v>4356</v>
      </c>
      <c r="E1100" t="s">
        <v>4433</v>
      </c>
      <c r="F1100">
        <v>72</v>
      </c>
      <c r="G1100" t="s">
        <v>4433</v>
      </c>
      <c r="H1100" t="s">
        <v>0</v>
      </c>
      <c r="I1100" t="s">
        <v>2197</v>
      </c>
      <c r="J1100" t="s">
        <v>1961</v>
      </c>
      <c r="L1100" t="s">
        <v>3</v>
      </c>
      <c r="M1100" t="s">
        <v>4</v>
      </c>
      <c r="N1100" s="3" t="str">
        <f t="shared" si="35"/>
        <v>F</v>
      </c>
      <c r="O1100" s="3" t="str">
        <f>IF(_xlfn.IFNA(MATCH(B1100,Table1[UID],0),"F")="F","F","T")</f>
        <v>T</v>
      </c>
    </row>
    <row r="1101" spans="2:15" x14ac:dyDescent="0.25">
      <c r="B1101" s="42" t="str">
        <f t="shared" si="36"/>
        <v>DAY4/VOL-FRACTION</v>
      </c>
      <c r="C1101" t="s">
        <v>4359</v>
      </c>
      <c r="D1101" t="s">
        <v>4356</v>
      </c>
      <c r="E1101" t="s">
        <v>4434</v>
      </c>
      <c r="F1101">
        <v>73</v>
      </c>
      <c r="G1101" t="s">
        <v>4434</v>
      </c>
      <c r="H1101" t="s">
        <v>0</v>
      </c>
      <c r="I1101" t="s">
        <v>2198</v>
      </c>
      <c r="J1101" t="s">
        <v>1961</v>
      </c>
      <c r="L1101" t="s">
        <v>3</v>
      </c>
      <c r="M1101" t="s">
        <v>4</v>
      </c>
      <c r="N1101" s="3" t="str">
        <f t="shared" si="35"/>
        <v>F</v>
      </c>
      <c r="O1101" s="3" t="str">
        <f>IF(_xlfn.IFNA(MATCH(B1101,Table1[UID],0),"F")="F","F","T")</f>
        <v>T</v>
      </c>
    </row>
    <row r="1102" spans="2:15" x14ac:dyDescent="0.25">
      <c r="B1102" s="42" t="str">
        <f t="shared" si="36"/>
        <v>DAY5/VOL-FRACTION</v>
      </c>
      <c r="C1102" t="s">
        <v>4359</v>
      </c>
      <c r="D1102" t="s">
        <v>4356</v>
      </c>
      <c r="E1102" t="s">
        <v>4435</v>
      </c>
      <c r="F1102">
        <v>74</v>
      </c>
      <c r="G1102" t="s">
        <v>4435</v>
      </c>
      <c r="H1102" t="s">
        <v>0</v>
      </c>
      <c r="I1102" t="s">
        <v>2199</v>
      </c>
      <c r="J1102" t="s">
        <v>1961</v>
      </c>
      <c r="L1102" t="s">
        <v>3</v>
      </c>
      <c r="M1102" t="s">
        <v>4</v>
      </c>
      <c r="N1102" s="3" t="str">
        <f t="shared" si="35"/>
        <v>F</v>
      </c>
      <c r="O1102" s="3" t="str">
        <f>IF(_xlfn.IFNA(MATCH(B1102,Table1[UID],0),"F")="F","F","T")</f>
        <v>T</v>
      </c>
    </row>
    <row r="1103" spans="2:15" x14ac:dyDescent="0.25">
      <c r="B1103" s="42" t="str">
        <f t="shared" si="36"/>
        <v>DAY6/VOL-FRACTION</v>
      </c>
      <c r="C1103" t="s">
        <v>4359</v>
      </c>
      <c r="D1103" t="s">
        <v>4356</v>
      </c>
      <c r="E1103" t="s">
        <v>4436</v>
      </c>
      <c r="F1103">
        <v>75</v>
      </c>
      <c r="G1103" t="s">
        <v>4436</v>
      </c>
      <c r="H1103" t="s">
        <v>0</v>
      </c>
      <c r="I1103" t="s">
        <v>2200</v>
      </c>
      <c r="J1103" t="s">
        <v>1961</v>
      </c>
      <c r="L1103" t="s">
        <v>3</v>
      </c>
      <c r="M1103" t="s">
        <v>4</v>
      </c>
      <c r="N1103" s="3" t="str">
        <f t="shared" si="35"/>
        <v>F</v>
      </c>
      <c r="O1103" s="3" t="str">
        <f>IF(_xlfn.IFNA(MATCH(B1103,Table1[UID],0),"F")="F","F","T")</f>
        <v>T</v>
      </c>
    </row>
    <row r="1104" spans="2:15" x14ac:dyDescent="0.25">
      <c r="B1104" s="42" t="str">
        <f t="shared" si="36"/>
        <v>DAY7/VOL-FRACTION</v>
      </c>
      <c r="C1104" t="s">
        <v>4359</v>
      </c>
      <c r="D1104" t="s">
        <v>4356</v>
      </c>
      <c r="E1104" t="s">
        <v>4437</v>
      </c>
      <c r="F1104">
        <v>76</v>
      </c>
      <c r="G1104" t="s">
        <v>4437</v>
      </c>
      <c r="H1104" t="s">
        <v>0</v>
      </c>
      <c r="I1104" t="s">
        <v>2201</v>
      </c>
      <c r="J1104" t="s">
        <v>1961</v>
      </c>
      <c r="L1104" t="s">
        <v>3</v>
      </c>
      <c r="M1104" t="s">
        <v>4</v>
      </c>
      <c r="N1104" s="3" t="str">
        <f t="shared" si="35"/>
        <v>F</v>
      </c>
      <c r="O1104" s="3" t="str">
        <f>IF(_xlfn.IFNA(MATCH(B1104,Table1[UID],0),"F")="F","F","T")</f>
        <v>T</v>
      </c>
    </row>
    <row r="1105" spans="2:15" x14ac:dyDescent="0.25">
      <c r="B1105" s="42" t="str">
        <f t="shared" si="36"/>
        <v>DAY8/VOL-FRACTION</v>
      </c>
      <c r="C1105" t="s">
        <v>4359</v>
      </c>
      <c r="D1105" t="s">
        <v>4356</v>
      </c>
      <c r="E1105" t="s">
        <v>4438</v>
      </c>
      <c r="F1105">
        <v>77</v>
      </c>
      <c r="G1105" t="s">
        <v>4438</v>
      </c>
      <c r="H1105" t="s">
        <v>0</v>
      </c>
      <c r="I1105" t="s">
        <v>2202</v>
      </c>
      <c r="J1105" t="s">
        <v>1961</v>
      </c>
      <c r="L1105" t="s">
        <v>3</v>
      </c>
      <c r="M1105" t="s">
        <v>4</v>
      </c>
      <c r="N1105" s="3" t="str">
        <f t="shared" si="35"/>
        <v>F</v>
      </c>
      <c r="O1105" s="3" t="str">
        <f>IF(_xlfn.IFNA(MATCH(B1105,Table1[UID],0),"F")="F","F","T")</f>
        <v>T</v>
      </c>
    </row>
    <row r="1106" spans="2:15" x14ac:dyDescent="0.25">
      <c r="B1106" s="42" t="str">
        <f t="shared" si="36"/>
        <v>DAY9/VOL-FRACTION</v>
      </c>
      <c r="C1106" t="s">
        <v>4359</v>
      </c>
      <c r="D1106" t="s">
        <v>4356</v>
      </c>
      <c r="E1106" t="s">
        <v>4439</v>
      </c>
      <c r="F1106">
        <v>78</v>
      </c>
      <c r="G1106" t="s">
        <v>4439</v>
      </c>
      <c r="H1106" t="s">
        <v>0</v>
      </c>
      <c r="I1106" t="s">
        <v>2203</v>
      </c>
      <c r="J1106" t="s">
        <v>1961</v>
      </c>
      <c r="L1106" t="s">
        <v>3</v>
      </c>
      <c r="M1106" t="s">
        <v>4</v>
      </c>
      <c r="N1106" s="3" t="str">
        <f t="shared" si="35"/>
        <v>F</v>
      </c>
      <c r="O1106" s="3" t="str">
        <f>IF(_xlfn.IFNA(MATCH(B1106,Table1[UID],0),"F")="F","F","T")</f>
        <v>T</v>
      </c>
    </row>
    <row r="1107" spans="2:15" x14ac:dyDescent="0.25">
      <c r="B1107" s="42" t="str">
        <f t="shared" si="36"/>
        <v>DELTAACCRETIONFORNDOI/FLOW</v>
      </c>
      <c r="C1107" t="s">
        <v>4359</v>
      </c>
      <c r="D1107" t="s">
        <v>4356</v>
      </c>
      <c r="E1107" t="s">
        <v>4440</v>
      </c>
      <c r="F1107">
        <v>79</v>
      </c>
      <c r="G1107" t="s">
        <v>4440</v>
      </c>
      <c r="H1107" t="s">
        <v>0</v>
      </c>
      <c r="I1107" t="s">
        <v>1900</v>
      </c>
      <c r="J1107" t="s">
        <v>1893</v>
      </c>
      <c r="L1107" t="s">
        <v>3</v>
      </c>
      <c r="M1107" t="s">
        <v>4</v>
      </c>
      <c r="N1107" s="3" t="str">
        <f t="shared" si="35"/>
        <v>F</v>
      </c>
      <c r="O1107" s="3" t="str">
        <f>IF(_xlfn.IFNA(MATCH(B1107,Table1[UID],0),"F")="F","F","T")</f>
        <v>T</v>
      </c>
    </row>
    <row r="1108" spans="2:15" x14ac:dyDescent="0.25">
      <c r="B1108" s="42" t="str">
        <f t="shared" si="36"/>
        <v>DELTADEPLETIONFORNDOI/FLOW</v>
      </c>
      <c r="C1108" t="s">
        <v>4359</v>
      </c>
      <c r="D1108" t="s">
        <v>4356</v>
      </c>
      <c r="E1108" t="s">
        <v>4441</v>
      </c>
      <c r="F1108">
        <v>80</v>
      </c>
      <c r="G1108" t="s">
        <v>4441</v>
      </c>
      <c r="H1108" t="s">
        <v>0</v>
      </c>
      <c r="I1108" t="s">
        <v>1907</v>
      </c>
      <c r="J1108" t="s">
        <v>1893</v>
      </c>
      <c r="L1108" t="s">
        <v>3</v>
      </c>
      <c r="M1108" t="s">
        <v>4</v>
      </c>
      <c r="N1108" s="3" t="str">
        <f t="shared" si="35"/>
        <v>F</v>
      </c>
      <c r="O1108" s="3" t="str">
        <f>IF(_xlfn.IFNA(MATCH(B1108,Table1[UID],0),"F")="F","F","T")</f>
        <v>T</v>
      </c>
    </row>
    <row r="1109" spans="2:15" x14ac:dyDescent="0.25">
      <c r="B1109" s="42" t="str">
        <f t="shared" si="36"/>
        <v>DEM_D810_PIN/DEMAND-SWP-IN</v>
      </c>
      <c r="C1109" t="s">
        <v>4359</v>
      </c>
      <c r="D1109" t="s">
        <v>4356</v>
      </c>
      <c r="E1109" t="s">
        <v>4442</v>
      </c>
      <c r="F1109">
        <v>81</v>
      </c>
      <c r="G1109" t="s">
        <v>4442</v>
      </c>
      <c r="H1109" t="s">
        <v>0</v>
      </c>
      <c r="I1109" t="s">
        <v>42</v>
      </c>
      <c r="J1109" t="s">
        <v>43</v>
      </c>
      <c r="L1109" t="s">
        <v>3</v>
      </c>
      <c r="M1109" t="s">
        <v>4</v>
      </c>
      <c r="N1109" s="3" t="str">
        <f t="shared" si="35"/>
        <v>F</v>
      </c>
      <c r="O1109" s="3" t="str">
        <f>IF(_xlfn.IFNA(MATCH(B1109,Table1[UID],0),"F")="F","F","T")</f>
        <v>T</v>
      </c>
    </row>
    <row r="1110" spans="2:15" x14ac:dyDescent="0.25">
      <c r="B1110" s="42" t="str">
        <f t="shared" si="36"/>
        <v>DEM_D814_PIN/DEMAND-SWP-IN</v>
      </c>
      <c r="C1110" t="s">
        <v>4359</v>
      </c>
      <c r="D1110" t="s">
        <v>4356</v>
      </c>
      <c r="E1110" t="s">
        <v>4443</v>
      </c>
      <c r="F1110">
        <v>82</v>
      </c>
      <c r="G1110" t="s">
        <v>4443</v>
      </c>
      <c r="H1110" t="s">
        <v>0</v>
      </c>
      <c r="I1110" t="s">
        <v>46</v>
      </c>
      <c r="J1110" t="s">
        <v>43</v>
      </c>
      <c r="L1110" t="s">
        <v>3</v>
      </c>
      <c r="M1110" t="s">
        <v>4</v>
      </c>
      <c r="N1110" s="3" t="str">
        <f t="shared" si="35"/>
        <v>F</v>
      </c>
      <c r="O1110" s="3" t="str">
        <f>IF(_xlfn.IFNA(MATCH(B1110,Table1[UID],0),"F")="F","F","T")</f>
        <v>T</v>
      </c>
    </row>
    <row r="1111" spans="2:15" x14ac:dyDescent="0.25">
      <c r="B1111" s="42" t="str">
        <f t="shared" si="36"/>
        <v>DEM_D815_PIN/DEMAND-SWP-IN</v>
      </c>
      <c r="C1111" t="s">
        <v>4359</v>
      </c>
      <c r="D1111" t="s">
        <v>4356</v>
      </c>
      <c r="E1111" t="s">
        <v>4444</v>
      </c>
      <c r="F1111">
        <v>83</v>
      </c>
      <c r="G1111" t="s">
        <v>4444</v>
      </c>
      <c r="H1111" t="s">
        <v>0</v>
      </c>
      <c r="I1111" t="s">
        <v>48</v>
      </c>
      <c r="J1111" t="s">
        <v>43</v>
      </c>
      <c r="L1111" t="s">
        <v>3</v>
      </c>
      <c r="M1111" t="s">
        <v>4</v>
      </c>
      <c r="N1111" s="3" t="str">
        <f t="shared" si="35"/>
        <v>F</v>
      </c>
      <c r="O1111" s="3" t="str">
        <f>IF(_xlfn.IFNA(MATCH(B1111,Table1[UID],0),"F")="F","F","T")</f>
        <v>T</v>
      </c>
    </row>
    <row r="1112" spans="2:15" x14ac:dyDescent="0.25">
      <c r="B1112" s="42" t="str">
        <f t="shared" si="36"/>
        <v>DEM_D816_PLS/DEMAND-SWP-LS</v>
      </c>
      <c r="C1112" t="s">
        <v>4359</v>
      </c>
      <c r="D1112" t="s">
        <v>4356</v>
      </c>
      <c r="E1112" t="s">
        <v>4445</v>
      </c>
      <c r="F1112">
        <v>84</v>
      </c>
      <c r="G1112" t="s">
        <v>4445</v>
      </c>
      <c r="H1112" t="s">
        <v>0</v>
      </c>
      <c r="I1112" t="s">
        <v>1879</v>
      </c>
      <c r="J1112" t="s">
        <v>1880</v>
      </c>
      <c r="L1112" t="s">
        <v>3</v>
      </c>
      <c r="M1112" t="s">
        <v>4</v>
      </c>
      <c r="N1112" s="3" t="str">
        <f t="shared" si="35"/>
        <v>F</v>
      </c>
      <c r="O1112" s="3" t="str">
        <f>IF(_xlfn.IFNA(MATCH(B1112,Table1[UID],0),"F")="F","F","T")</f>
        <v>T</v>
      </c>
    </row>
    <row r="1113" spans="2:15" x14ac:dyDescent="0.25">
      <c r="B1113" s="42" t="str">
        <f t="shared" si="36"/>
        <v>DEM_D_CAA046_71_PA7_PIN/DEMAND-SWP-IN</v>
      </c>
      <c r="C1113" t="s">
        <v>4359</v>
      </c>
      <c r="D1113" t="s">
        <v>4356</v>
      </c>
      <c r="E1113" t="s">
        <v>4446</v>
      </c>
      <c r="F1113">
        <v>85</v>
      </c>
      <c r="G1113" t="s">
        <v>4446</v>
      </c>
      <c r="H1113" t="s">
        <v>0</v>
      </c>
      <c r="I1113" t="s">
        <v>282</v>
      </c>
      <c r="J1113" t="s">
        <v>43</v>
      </c>
      <c r="L1113" t="s">
        <v>3</v>
      </c>
      <c r="M1113" t="s">
        <v>4</v>
      </c>
      <c r="N1113" s="3" t="str">
        <f t="shared" si="35"/>
        <v>F</v>
      </c>
      <c r="O1113" s="3" t="str">
        <f>IF(_xlfn.IFNA(MATCH(B1113,Table1[UID],0),"F")="F","F","T")</f>
        <v>T</v>
      </c>
    </row>
    <row r="1114" spans="2:15" x14ac:dyDescent="0.25">
      <c r="B1114" s="42" t="str">
        <f t="shared" si="36"/>
        <v>DEM_D_CAA173_EMPIRE_PIN/DEMAND-SWP-IN</v>
      </c>
      <c r="C1114" t="s">
        <v>4359</v>
      </c>
      <c r="D1114" t="s">
        <v>4356</v>
      </c>
      <c r="E1114" t="s">
        <v>4447</v>
      </c>
      <c r="F1114">
        <v>86</v>
      </c>
      <c r="G1114" t="s">
        <v>4447</v>
      </c>
      <c r="H1114" t="s">
        <v>0</v>
      </c>
      <c r="I1114" t="s">
        <v>1864</v>
      </c>
      <c r="J1114" t="s">
        <v>43</v>
      </c>
      <c r="L1114" t="s">
        <v>3</v>
      </c>
      <c r="M1114" t="s">
        <v>4</v>
      </c>
      <c r="N1114" s="3" t="str">
        <f t="shared" si="35"/>
        <v>F</v>
      </c>
      <c r="O1114" s="3" t="str">
        <f>IF(_xlfn.IFNA(MATCH(B1114,Table1[UID],0),"F")="F","F","T")</f>
        <v>T</v>
      </c>
    </row>
    <row r="1115" spans="2:15" x14ac:dyDescent="0.25">
      <c r="B1115" s="42" t="str">
        <f t="shared" si="36"/>
        <v>DEM_D_CAA181_KINGS_PIN/DEMAND-SWP-IN</v>
      </c>
      <c r="C1115" t="s">
        <v>4359</v>
      </c>
      <c r="D1115" t="s">
        <v>4356</v>
      </c>
      <c r="E1115" t="s">
        <v>4448</v>
      </c>
      <c r="F1115">
        <v>87</v>
      </c>
      <c r="G1115" t="s">
        <v>4448</v>
      </c>
      <c r="H1115" t="s">
        <v>0</v>
      </c>
      <c r="I1115" t="s">
        <v>1866</v>
      </c>
      <c r="J1115" t="s">
        <v>43</v>
      </c>
      <c r="L1115" t="s">
        <v>3</v>
      </c>
      <c r="M1115" t="s">
        <v>4</v>
      </c>
      <c r="N1115" s="3" t="str">
        <f t="shared" si="35"/>
        <v>F</v>
      </c>
      <c r="O1115" s="3" t="str">
        <f>IF(_xlfn.IFNA(MATCH(B1115,Table1[UID],0),"F")="F","F","T")</f>
        <v>T</v>
      </c>
    </row>
    <row r="1116" spans="2:15" x14ac:dyDescent="0.25">
      <c r="B1116" s="42" t="str">
        <f t="shared" si="36"/>
        <v>DEM_D_CAA183_TULARE_PIN/DEMAND-SWP-IN</v>
      </c>
      <c r="C1116" t="s">
        <v>4359</v>
      </c>
      <c r="D1116" t="s">
        <v>4356</v>
      </c>
      <c r="E1116" t="s">
        <v>4449</v>
      </c>
      <c r="F1116">
        <v>88</v>
      </c>
      <c r="G1116" t="s">
        <v>4449</v>
      </c>
      <c r="H1116" t="s">
        <v>0</v>
      </c>
      <c r="I1116" t="s">
        <v>1867</v>
      </c>
      <c r="J1116" t="s">
        <v>43</v>
      </c>
      <c r="L1116" t="s">
        <v>3</v>
      </c>
      <c r="M1116" t="s">
        <v>4</v>
      </c>
      <c r="N1116" s="3" t="str">
        <f t="shared" si="35"/>
        <v>F</v>
      </c>
      <c r="O1116" s="3" t="str">
        <f>IF(_xlfn.IFNA(MATCH(B1116,Table1[UID],0),"F")="F","F","T")</f>
        <v>T</v>
      </c>
    </row>
    <row r="1117" spans="2:15" x14ac:dyDescent="0.25">
      <c r="B1117" s="42" t="str">
        <f t="shared" si="36"/>
        <v>DEM_D_CAA184_DUDLEY_PIN/DEMAND-SWP-IN</v>
      </c>
      <c r="C1117" t="s">
        <v>4359</v>
      </c>
      <c r="D1117" t="s">
        <v>4356</v>
      </c>
      <c r="E1117" t="s">
        <v>4450</v>
      </c>
      <c r="F1117">
        <v>89</v>
      </c>
      <c r="G1117" t="s">
        <v>4450</v>
      </c>
      <c r="H1117" t="s">
        <v>0</v>
      </c>
      <c r="I1117" t="s">
        <v>284</v>
      </c>
      <c r="J1117" t="s">
        <v>43</v>
      </c>
      <c r="L1117" t="s">
        <v>3</v>
      </c>
      <c r="M1117" t="s">
        <v>4</v>
      </c>
      <c r="N1117" s="3" t="str">
        <f t="shared" si="35"/>
        <v>F</v>
      </c>
      <c r="O1117" s="3" t="str">
        <f>IF(_xlfn.IFNA(MATCH(B1117,Table1[UID],0),"F")="F","F","T")</f>
        <v>T</v>
      </c>
    </row>
    <row r="1118" spans="2:15" x14ac:dyDescent="0.25">
      <c r="B1118" s="42" t="str">
        <f t="shared" si="36"/>
        <v>DEM_D_CAA220_CAALOS_PLS/DEMAND-SWP-LS</v>
      </c>
      <c r="C1118" t="s">
        <v>4359</v>
      </c>
      <c r="D1118" t="s">
        <v>4356</v>
      </c>
      <c r="E1118" t="s">
        <v>4451</v>
      </c>
      <c r="F1118">
        <v>90</v>
      </c>
      <c r="G1118" t="s">
        <v>4451</v>
      </c>
      <c r="H1118" t="s">
        <v>0</v>
      </c>
      <c r="I1118" t="s">
        <v>1882</v>
      </c>
      <c r="J1118" t="s">
        <v>1880</v>
      </c>
      <c r="L1118" t="s">
        <v>3</v>
      </c>
      <c r="M1118" t="s">
        <v>4</v>
      </c>
      <c r="N1118" s="3" t="str">
        <f t="shared" si="35"/>
        <v>F</v>
      </c>
      <c r="O1118" s="3" t="str">
        <f>IF(_xlfn.IFNA(MATCH(B1118,Table1[UID],0),"F")="F","F","T")</f>
        <v>T</v>
      </c>
    </row>
    <row r="1119" spans="2:15" x14ac:dyDescent="0.25">
      <c r="B1119" s="42" t="str">
        <f t="shared" si="36"/>
        <v>DEM_D_CAA239_CVPRF_PRF/DEMAND-CVP-RF</v>
      </c>
      <c r="C1119" t="s">
        <v>4359</v>
      </c>
      <c r="D1119" t="s">
        <v>4356</v>
      </c>
      <c r="E1119" t="s">
        <v>4452</v>
      </c>
      <c r="F1119">
        <v>91</v>
      </c>
      <c r="G1119" t="s">
        <v>4452</v>
      </c>
      <c r="H1119" t="s">
        <v>0</v>
      </c>
      <c r="I1119" t="s">
        <v>1985</v>
      </c>
      <c r="J1119" t="s">
        <v>1986</v>
      </c>
      <c r="L1119" t="s">
        <v>3</v>
      </c>
      <c r="M1119" t="s">
        <v>4</v>
      </c>
      <c r="N1119" s="3" t="str">
        <f t="shared" si="35"/>
        <v>F</v>
      </c>
      <c r="O1119" s="3" t="str">
        <f>IF(_xlfn.IFNA(MATCH(B1119,Table1[UID],0),"F")="F","F","T")</f>
        <v>T</v>
      </c>
    </row>
    <row r="1120" spans="2:15" x14ac:dyDescent="0.25">
      <c r="B1120" s="42" t="str">
        <f t="shared" si="36"/>
        <v>DEM_D_CAA242_KERN_PIN/DEMAND-SWP-IN</v>
      </c>
      <c r="C1120" t="s">
        <v>4359</v>
      </c>
      <c r="D1120" t="s">
        <v>4356</v>
      </c>
      <c r="E1120" t="s">
        <v>4453</v>
      </c>
      <c r="F1120">
        <v>92</v>
      </c>
      <c r="G1120" t="s">
        <v>4453</v>
      </c>
      <c r="H1120" t="s">
        <v>0</v>
      </c>
      <c r="I1120" t="s">
        <v>1877</v>
      </c>
      <c r="J1120" t="s">
        <v>43</v>
      </c>
      <c r="L1120" t="s">
        <v>3</v>
      </c>
      <c r="M1120" t="s">
        <v>4</v>
      </c>
      <c r="N1120" s="3" t="str">
        <f t="shared" si="35"/>
        <v>F</v>
      </c>
      <c r="O1120" s="3" t="str">
        <f>IF(_xlfn.IFNA(MATCH(B1120,Table1[UID],0),"F")="F","F","T")</f>
        <v>T</v>
      </c>
    </row>
    <row r="1121" spans="2:15" x14ac:dyDescent="0.25">
      <c r="B1121" s="42" t="str">
        <f t="shared" si="36"/>
        <v>DEM_D_CAA278_CAALOS_PLS/DEMAND-SWP-LS</v>
      </c>
      <c r="C1121" t="s">
        <v>4359</v>
      </c>
      <c r="D1121" t="s">
        <v>4356</v>
      </c>
      <c r="E1121" t="s">
        <v>4454</v>
      </c>
      <c r="F1121">
        <v>93</v>
      </c>
      <c r="G1121" t="s">
        <v>4454</v>
      </c>
      <c r="H1121" t="s">
        <v>0</v>
      </c>
      <c r="I1121" t="s">
        <v>1883</v>
      </c>
      <c r="J1121" t="s">
        <v>1880</v>
      </c>
      <c r="L1121" t="s">
        <v>3</v>
      </c>
      <c r="M1121" t="s">
        <v>4</v>
      </c>
      <c r="N1121" s="3" t="str">
        <f t="shared" si="35"/>
        <v>F</v>
      </c>
      <c r="O1121" s="3" t="str">
        <f>IF(_xlfn.IFNA(MATCH(B1121,Table1[UID],0),"F")="F","F","T")</f>
        <v>T</v>
      </c>
    </row>
    <row r="1122" spans="2:15" x14ac:dyDescent="0.25">
      <c r="B1122" s="42" t="str">
        <f t="shared" si="36"/>
        <v>DEM_D_CAA280_CAALOS_PLS/DEMAND-SWP-LS</v>
      </c>
      <c r="C1122" t="s">
        <v>4359</v>
      </c>
      <c r="D1122" t="s">
        <v>4356</v>
      </c>
      <c r="E1122" t="s">
        <v>4455</v>
      </c>
      <c r="F1122">
        <v>94</v>
      </c>
      <c r="G1122" t="s">
        <v>4455</v>
      </c>
      <c r="H1122" t="s">
        <v>0</v>
      </c>
      <c r="I1122" t="s">
        <v>1884</v>
      </c>
      <c r="J1122" t="s">
        <v>1880</v>
      </c>
      <c r="L1122" t="s">
        <v>3</v>
      </c>
      <c r="M1122" t="s">
        <v>4</v>
      </c>
      <c r="N1122" s="3" t="str">
        <f t="shared" si="35"/>
        <v>F</v>
      </c>
      <c r="O1122" s="3" t="str">
        <f>IF(_xlfn.IFNA(MATCH(B1122,Table1[UID],0),"F")="F","F","T")</f>
        <v>T</v>
      </c>
    </row>
    <row r="1123" spans="2:15" x14ac:dyDescent="0.25">
      <c r="B1123" s="42" t="str">
        <f t="shared" si="36"/>
        <v>DEM_D_CSB009_CLRTA1_DDWD_PIN/DEMAND-SWP-IN</v>
      </c>
      <c r="C1123" t="s">
        <v>4359</v>
      </c>
      <c r="D1123" t="s">
        <v>4356</v>
      </c>
      <c r="E1123" t="s">
        <v>4456</v>
      </c>
      <c r="F1123">
        <v>95</v>
      </c>
      <c r="G1123" t="s">
        <v>4456</v>
      </c>
      <c r="H1123" t="s">
        <v>0</v>
      </c>
      <c r="I1123" t="s">
        <v>1878</v>
      </c>
      <c r="J1123" t="s">
        <v>43</v>
      </c>
      <c r="L1123" t="s">
        <v>3</v>
      </c>
      <c r="M1123" t="s">
        <v>4</v>
      </c>
      <c r="N1123" s="3" t="str">
        <f t="shared" si="35"/>
        <v>F</v>
      </c>
      <c r="O1123" s="3" t="str">
        <f>IF(_xlfn.IFNA(MATCH(B1123,Table1[UID],0),"F")="F","F","T")</f>
        <v>T</v>
      </c>
    </row>
    <row r="1124" spans="2:15" x14ac:dyDescent="0.25">
      <c r="B1124" s="42" t="str">
        <f t="shared" si="36"/>
        <v>DEM_D_CSB038_OBISPO_PIN/DEMAND-SWP-IN</v>
      </c>
      <c r="C1124" t="s">
        <v>4359</v>
      </c>
      <c r="D1124" t="s">
        <v>4356</v>
      </c>
      <c r="E1124" t="s">
        <v>4457</v>
      </c>
      <c r="F1124">
        <v>96</v>
      </c>
      <c r="G1124" t="s">
        <v>4457</v>
      </c>
      <c r="H1124" t="s">
        <v>0</v>
      </c>
      <c r="I1124" t="s">
        <v>286</v>
      </c>
      <c r="J1124" t="s">
        <v>43</v>
      </c>
      <c r="L1124" t="s">
        <v>3</v>
      </c>
      <c r="M1124" t="s">
        <v>4</v>
      </c>
      <c r="N1124" s="3" t="str">
        <f t="shared" si="35"/>
        <v>F</v>
      </c>
      <c r="O1124" s="3" t="str">
        <f>IF(_xlfn.IFNA(MATCH(B1124,Table1[UID],0),"F")="F","F","T")</f>
        <v>T</v>
      </c>
    </row>
    <row r="1125" spans="2:15" x14ac:dyDescent="0.25">
      <c r="B1125" s="42" t="str">
        <f t="shared" si="36"/>
        <v>DEM_D_CSB103_BRBRA_PIN/DEMAND-SWP-IN</v>
      </c>
      <c r="C1125" t="s">
        <v>4359</v>
      </c>
      <c r="D1125" t="s">
        <v>4356</v>
      </c>
      <c r="E1125" t="s">
        <v>4458</v>
      </c>
      <c r="F1125">
        <v>97</v>
      </c>
      <c r="G1125" t="s">
        <v>4458</v>
      </c>
      <c r="H1125" t="s">
        <v>0</v>
      </c>
      <c r="I1125" t="s">
        <v>288</v>
      </c>
      <c r="J1125" t="s">
        <v>43</v>
      </c>
      <c r="L1125" t="s">
        <v>3</v>
      </c>
      <c r="M1125" t="s">
        <v>4</v>
      </c>
      <c r="N1125" s="3" t="str">
        <f t="shared" si="35"/>
        <v>F</v>
      </c>
      <c r="O1125" s="3" t="str">
        <f>IF(_xlfn.IFNA(MATCH(B1125,Table1[UID],0),"F")="F","F","T")</f>
        <v>T</v>
      </c>
    </row>
    <row r="1126" spans="2:15" x14ac:dyDescent="0.25">
      <c r="B1126" s="42" t="str">
        <f t="shared" si="36"/>
        <v>DEM_D_CSTIC_VNTRA_PIN/DEMAND-SWP-IN</v>
      </c>
      <c r="C1126" t="s">
        <v>4359</v>
      </c>
      <c r="D1126" t="s">
        <v>4356</v>
      </c>
      <c r="E1126" t="s">
        <v>4459</v>
      </c>
      <c r="F1126">
        <v>98</v>
      </c>
      <c r="G1126" t="s">
        <v>4459</v>
      </c>
      <c r="H1126" t="s">
        <v>0</v>
      </c>
      <c r="I1126" t="s">
        <v>290</v>
      </c>
      <c r="J1126" t="s">
        <v>43</v>
      </c>
      <c r="L1126" t="s">
        <v>3</v>
      </c>
      <c r="M1126" t="s">
        <v>4</v>
      </c>
      <c r="N1126" s="3" t="str">
        <f t="shared" si="35"/>
        <v>F</v>
      </c>
      <c r="O1126" s="3" t="str">
        <f>IF(_xlfn.IFNA(MATCH(B1126,Table1[UID],0),"F")="F","F","T")</f>
        <v>T</v>
      </c>
    </row>
    <row r="1127" spans="2:15" x14ac:dyDescent="0.25">
      <c r="B1127" s="42" t="str">
        <f t="shared" si="36"/>
        <v>DEM_D_ESB324_AVEK_PIN/DEMAND-SWP-IN</v>
      </c>
      <c r="C1127" t="s">
        <v>4359</v>
      </c>
      <c r="D1127" t="s">
        <v>4356</v>
      </c>
      <c r="E1127" t="s">
        <v>4460</v>
      </c>
      <c r="F1127">
        <v>99</v>
      </c>
      <c r="G1127" t="s">
        <v>4460</v>
      </c>
      <c r="H1127" t="s">
        <v>0</v>
      </c>
      <c r="I1127" t="s">
        <v>292</v>
      </c>
      <c r="J1127" t="s">
        <v>43</v>
      </c>
      <c r="L1127" t="s">
        <v>3</v>
      </c>
      <c r="M1127" t="s">
        <v>4</v>
      </c>
      <c r="N1127" s="3" t="str">
        <f t="shared" si="35"/>
        <v>F</v>
      </c>
      <c r="O1127" s="3" t="str">
        <f>IF(_xlfn.IFNA(MATCH(B1127,Table1[UID],0),"F")="F","F","T")</f>
        <v>T</v>
      </c>
    </row>
    <row r="1128" spans="2:15" x14ac:dyDescent="0.25">
      <c r="B1128" s="42" t="str">
        <f t="shared" si="36"/>
        <v>DEM_D_ESB347_PLMDL_PIN/DEMAND-SWP-IN</v>
      </c>
      <c r="C1128" t="s">
        <v>4359</v>
      </c>
      <c r="D1128" t="s">
        <v>4356</v>
      </c>
      <c r="E1128" t="s">
        <v>4461</v>
      </c>
      <c r="F1128">
        <v>100</v>
      </c>
      <c r="G1128" t="s">
        <v>4461</v>
      </c>
      <c r="H1128" t="s">
        <v>0</v>
      </c>
      <c r="I1128" t="s">
        <v>294</v>
      </c>
      <c r="J1128" t="s">
        <v>43</v>
      </c>
      <c r="L1128" t="s">
        <v>3</v>
      </c>
      <c r="M1128" t="s">
        <v>4</v>
      </c>
      <c r="N1128" s="3" t="str">
        <f t="shared" si="35"/>
        <v>F</v>
      </c>
      <c r="O1128" s="3" t="str">
        <f>IF(_xlfn.IFNA(MATCH(B1128,Table1[UID],0),"F")="F","F","T")</f>
        <v>T</v>
      </c>
    </row>
    <row r="1129" spans="2:15" x14ac:dyDescent="0.25">
      <c r="B1129" s="42" t="str">
        <f t="shared" si="36"/>
        <v>DEM_D_ESB361_ESBLOS_PLS/DEMAND-SWP-LS</v>
      </c>
      <c r="C1129" t="s">
        <v>4359</v>
      </c>
      <c r="D1129" t="s">
        <v>4356</v>
      </c>
      <c r="E1129" t="s">
        <v>4462</v>
      </c>
      <c r="F1129">
        <v>101</v>
      </c>
      <c r="G1129" t="s">
        <v>4462</v>
      </c>
      <c r="H1129" t="s">
        <v>0</v>
      </c>
      <c r="I1129" t="s">
        <v>1885</v>
      </c>
      <c r="J1129" t="s">
        <v>1880</v>
      </c>
      <c r="L1129" t="s">
        <v>3</v>
      </c>
      <c r="M1129" t="s">
        <v>4</v>
      </c>
      <c r="N1129" s="3" t="str">
        <f t="shared" si="35"/>
        <v>F</v>
      </c>
      <c r="O1129" s="3" t="str">
        <f>IF(_xlfn.IFNA(MATCH(B1129,Table1[UID],0),"F")="F","F","T")</f>
        <v>T</v>
      </c>
    </row>
    <row r="1130" spans="2:15" x14ac:dyDescent="0.25">
      <c r="B1130" s="42" t="str">
        <f t="shared" si="36"/>
        <v>DEM_D_ESB406_ESBLOS_PLS/DEMAND-SWP-LS</v>
      </c>
      <c r="C1130" t="s">
        <v>4359</v>
      </c>
      <c r="D1130" t="s">
        <v>4356</v>
      </c>
      <c r="E1130" t="s">
        <v>4463</v>
      </c>
      <c r="F1130">
        <v>102</v>
      </c>
      <c r="G1130" t="s">
        <v>4463</v>
      </c>
      <c r="H1130" t="s">
        <v>0</v>
      </c>
      <c r="I1130" t="s">
        <v>1886</v>
      </c>
      <c r="J1130" t="s">
        <v>1880</v>
      </c>
      <c r="L1130" t="s">
        <v>3</v>
      </c>
      <c r="M1130" t="s">
        <v>4</v>
      </c>
      <c r="N1130" s="3" t="str">
        <f t="shared" si="35"/>
        <v>F</v>
      </c>
      <c r="O1130" s="3" t="str">
        <f>IF(_xlfn.IFNA(MATCH(B1130,Table1[UID],0),"F")="F","F","T")</f>
        <v>T</v>
      </c>
    </row>
    <row r="1131" spans="2:15" x14ac:dyDescent="0.25">
      <c r="B1131" s="42" t="str">
        <f t="shared" si="36"/>
        <v>DEM_D_ESB407_CCHLA_PIN/DEMAND-SWP-IN</v>
      </c>
      <c r="C1131" t="s">
        <v>4359</v>
      </c>
      <c r="D1131" t="s">
        <v>4356</v>
      </c>
      <c r="E1131" t="s">
        <v>4464</v>
      </c>
      <c r="F1131">
        <v>103</v>
      </c>
      <c r="G1131" t="s">
        <v>4464</v>
      </c>
      <c r="H1131" t="s">
        <v>0</v>
      </c>
      <c r="I1131" t="s">
        <v>296</v>
      </c>
      <c r="J1131" t="s">
        <v>43</v>
      </c>
      <c r="L1131" t="s">
        <v>3</v>
      </c>
      <c r="M1131" t="s">
        <v>4</v>
      </c>
      <c r="N1131" s="3" t="str">
        <f t="shared" si="35"/>
        <v>F</v>
      </c>
      <c r="O1131" s="3" t="str">
        <f>IF(_xlfn.IFNA(MATCH(B1131,Table1[UID],0),"F")="F","F","T")</f>
        <v>T</v>
      </c>
    </row>
    <row r="1132" spans="2:15" x14ac:dyDescent="0.25">
      <c r="B1132" s="42" t="str">
        <f t="shared" si="36"/>
        <v>DEM_D_ESB408_DESRT_PIN/DEMAND-SWP-IN</v>
      </c>
      <c r="C1132" t="s">
        <v>4359</v>
      </c>
      <c r="D1132" t="s">
        <v>4356</v>
      </c>
      <c r="E1132" t="s">
        <v>4465</v>
      </c>
      <c r="F1132">
        <v>104</v>
      </c>
      <c r="G1132" t="s">
        <v>4465</v>
      </c>
      <c r="H1132" t="s">
        <v>0</v>
      </c>
      <c r="I1132" t="s">
        <v>298</v>
      </c>
      <c r="J1132" t="s">
        <v>43</v>
      </c>
      <c r="L1132" t="s">
        <v>3</v>
      </c>
      <c r="M1132" t="s">
        <v>4</v>
      </c>
      <c r="N1132" s="3" t="str">
        <f t="shared" si="35"/>
        <v>F</v>
      </c>
      <c r="O1132" s="3" t="str">
        <f>IF(_xlfn.IFNA(MATCH(B1132,Table1[UID],0),"F")="F","F","T")</f>
        <v>T</v>
      </c>
    </row>
    <row r="1133" spans="2:15" x14ac:dyDescent="0.25">
      <c r="B1133" s="42" t="str">
        <f t="shared" si="36"/>
        <v>DEM_D_ESB413_MWDSC_PIN/DEMAND-SWP-IN</v>
      </c>
      <c r="C1133" t="s">
        <v>4359</v>
      </c>
      <c r="D1133" t="s">
        <v>4356</v>
      </c>
      <c r="E1133" t="s">
        <v>4466</v>
      </c>
      <c r="F1133">
        <v>105</v>
      </c>
      <c r="G1133" t="s">
        <v>4466</v>
      </c>
      <c r="H1133" t="s">
        <v>0</v>
      </c>
      <c r="I1133" t="s">
        <v>300</v>
      </c>
      <c r="J1133" t="s">
        <v>43</v>
      </c>
      <c r="L1133" t="s">
        <v>3</v>
      </c>
      <c r="M1133" t="s">
        <v>4</v>
      </c>
      <c r="N1133" s="3" t="str">
        <f t="shared" si="35"/>
        <v>F</v>
      </c>
      <c r="O1133" s="3" t="str">
        <f>IF(_xlfn.IFNA(MATCH(B1133,Table1[UID],0),"F")="F","F","T")</f>
        <v>T</v>
      </c>
    </row>
    <row r="1134" spans="2:15" x14ac:dyDescent="0.25">
      <c r="B1134" s="42" t="str">
        <f t="shared" si="36"/>
        <v>DEM_D_ESB414_BRDNO_PIN/DEMAND-SWP-IN</v>
      </c>
      <c r="C1134" t="s">
        <v>4359</v>
      </c>
      <c r="D1134" t="s">
        <v>4356</v>
      </c>
      <c r="E1134" t="s">
        <v>4467</v>
      </c>
      <c r="F1134">
        <v>106</v>
      </c>
      <c r="G1134" t="s">
        <v>4467</v>
      </c>
      <c r="H1134" t="s">
        <v>0</v>
      </c>
      <c r="I1134" t="s">
        <v>302</v>
      </c>
      <c r="J1134" t="s">
        <v>43</v>
      </c>
      <c r="L1134" t="s">
        <v>3</v>
      </c>
      <c r="M1134" t="s">
        <v>4</v>
      </c>
      <c r="N1134" s="3" t="str">
        <f t="shared" si="35"/>
        <v>F</v>
      </c>
      <c r="O1134" s="3" t="str">
        <f>IF(_xlfn.IFNA(MATCH(B1134,Table1[UID],0),"F")="F","F","T")</f>
        <v>T</v>
      </c>
    </row>
    <row r="1135" spans="2:15" x14ac:dyDescent="0.25">
      <c r="B1135" s="42" t="str">
        <f t="shared" si="36"/>
        <v>DEM_D_ESB415_GABRL_PIN/DEMAND-SWP-IN</v>
      </c>
      <c r="C1135" t="s">
        <v>4359</v>
      </c>
      <c r="D1135" t="s">
        <v>4356</v>
      </c>
      <c r="E1135" t="s">
        <v>4468</v>
      </c>
      <c r="F1135">
        <v>107</v>
      </c>
      <c r="G1135" t="s">
        <v>4468</v>
      </c>
      <c r="H1135" t="s">
        <v>0</v>
      </c>
      <c r="I1135" t="s">
        <v>1096</v>
      </c>
      <c r="J1135" t="s">
        <v>43</v>
      </c>
      <c r="L1135" t="s">
        <v>3</v>
      </c>
      <c r="M1135" t="s">
        <v>4</v>
      </c>
      <c r="N1135" s="3" t="str">
        <f t="shared" si="35"/>
        <v>F</v>
      </c>
      <c r="O1135" s="3" t="str">
        <f>IF(_xlfn.IFNA(MATCH(B1135,Table1[UID],0),"F")="F","F","T")</f>
        <v>T</v>
      </c>
    </row>
    <row r="1136" spans="2:15" x14ac:dyDescent="0.25">
      <c r="B1136" s="42" t="str">
        <f t="shared" si="36"/>
        <v>DEM_D_ESB420_GRGNO_PIN/DEMAND-SWP-IN</v>
      </c>
      <c r="C1136" t="s">
        <v>4359</v>
      </c>
      <c r="D1136" t="s">
        <v>4356</v>
      </c>
      <c r="E1136" t="s">
        <v>4469</v>
      </c>
      <c r="F1136">
        <v>108</v>
      </c>
      <c r="G1136" t="s">
        <v>4469</v>
      </c>
      <c r="H1136" t="s">
        <v>0</v>
      </c>
      <c r="I1136" t="s">
        <v>1098</v>
      </c>
      <c r="J1136" t="s">
        <v>43</v>
      </c>
      <c r="L1136" t="s">
        <v>3</v>
      </c>
      <c r="M1136" t="s">
        <v>4</v>
      </c>
      <c r="N1136" s="3" t="str">
        <f t="shared" si="35"/>
        <v>F</v>
      </c>
      <c r="O1136" s="3" t="str">
        <f>IF(_xlfn.IFNA(MATCH(B1136,Table1[UID],0),"F")="F","F","T")</f>
        <v>T</v>
      </c>
    </row>
    <row r="1137" spans="2:15" x14ac:dyDescent="0.25">
      <c r="B1137" s="42" t="str">
        <f t="shared" si="36"/>
        <v>DEM_D_ESB425_ESBLOS_PLS/DEMAND-SWP-LS</v>
      </c>
      <c r="C1137" t="s">
        <v>4359</v>
      </c>
      <c r="D1137" t="s">
        <v>4356</v>
      </c>
      <c r="E1137" t="s">
        <v>4470</v>
      </c>
      <c r="F1137">
        <v>109</v>
      </c>
      <c r="G1137" t="s">
        <v>4470</v>
      </c>
      <c r="H1137" t="s">
        <v>0</v>
      </c>
      <c r="I1137" t="s">
        <v>1887</v>
      </c>
      <c r="J1137" t="s">
        <v>1880</v>
      </c>
      <c r="L1137" t="s">
        <v>3</v>
      </c>
      <c r="M1137" t="s">
        <v>4</v>
      </c>
      <c r="N1137" s="3" t="str">
        <f t="shared" si="35"/>
        <v>F</v>
      </c>
      <c r="O1137" s="3" t="str">
        <f>IF(_xlfn.IFNA(MATCH(B1137,Table1[UID],0),"F")="F","F","T")</f>
        <v>T</v>
      </c>
    </row>
    <row r="1138" spans="2:15" x14ac:dyDescent="0.25">
      <c r="B1138" s="42" t="str">
        <f t="shared" si="36"/>
        <v>DEM_D_ESB433_MWDSC_PIN/DEMAND-SWP-IN</v>
      </c>
      <c r="C1138" t="s">
        <v>4359</v>
      </c>
      <c r="D1138" t="s">
        <v>4356</v>
      </c>
      <c r="E1138" t="s">
        <v>4471</v>
      </c>
      <c r="F1138">
        <v>110</v>
      </c>
      <c r="G1138" t="s">
        <v>4471</v>
      </c>
      <c r="H1138" t="s">
        <v>0</v>
      </c>
      <c r="I1138" t="s">
        <v>1100</v>
      </c>
      <c r="J1138" t="s">
        <v>43</v>
      </c>
      <c r="L1138" t="s">
        <v>3</v>
      </c>
      <c r="M1138" t="s">
        <v>4</v>
      </c>
      <c r="N1138" s="3" t="str">
        <f t="shared" si="35"/>
        <v>F</v>
      </c>
      <c r="O1138" s="3" t="str">
        <f>IF(_xlfn.IFNA(MATCH(B1138,Table1[UID],0),"F")="F","F","T")</f>
        <v>T</v>
      </c>
    </row>
    <row r="1139" spans="2:15" x14ac:dyDescent="0.25">
      <c r="B1139" s="42" t="str">
        <f t="shared" si="36"/>
        <v>DEM_D_PRRIS_MWDSC_PIN/DEMAND-SWP-IN</v>
      </c>
      <c r="C1139" t="s">
        <v>4359</v>
      </c>
      <c r="D1139" t="s">
        <v>4356</v>
      </c>
      <c r="E1139" t="s">
        <v>4472</v>
      </c>
      <c r="F1139">
        <v>111</v>
      </c>
      <c r="G1139" t="s">
        <v>4472</v>
      </c>
      <c r="H1139" t="s">
        <v>0</v>
      </c>
      <c r="I1139" t="s">
        <v>1102</v>
      </c>
      <c r="J1139" t="s">
        <v>43</v>
      </c>
      <c r="L1139" t="s">
        <v>3</v>
      </c>
      <c r="M1139" t="s">
        <v>4</v>
      </c>
      <c r="N1139" s="3" t="str">
        <f t="shared" si="35"/>
        <v>F</v>
      </c>
      <c r="O1139" s="3" t="str">
        <f>IF(_xlfn.IFNA(MATCH(B1139,Table1[UID],0),"F")="F","F","T")</f>
        <v>T</v>
      </c>
    </row>
    <row r="1140" spans="2:15" x14ac:dyDescent="0.25">
      <c r="B1140" s="42" t="str">
        <f t="shared" si="36"/>
        <v>DEM_D_SBA009_ACFC_PIN/DEMAND-SWP-IN</v>
      </c>
      <c r="C1140" t="s">
        <v>4359</v>
      </c>
      <c r="D1140" t="s">
        <v>4356</v>
      </c>
      <c r="E1140" t="s">
        <v>4473</v>
      </c>
      <c r="F1140">
        <v>112</v>
      </c>
      <c r="G1140" t="s">
        <v>4473</v>
      </c>
      <c r="H1140" t="s">
        <v>0</v>
      </c>
      <c r="I1140" t="s">
        <v>1104</v>
      </c>
      <c r="J1140" t="s">
        <v>43</v>
      </c>
      <c r="L1140" t="s">
        <v>3</v>
      </c>
      <c r="M1140" t="s">
        <v>4</v>
      </c>
      <c r="N1140" s="3" t="str">
        <f t="shared" si="35"/>
        <v>F</v>
      </c>
      <c r="O1140" s="3" t="str">
        <f>IF(_xlfn.IFNA(MATCH(B1140,Table1[UID],0),"F")="F","F","T")</f>
        <v>T</v>
      </c>
    </row>
    <row r="1141" spans="2:15" x14ac:dyDescent="0.25">
      <c r="B1141" s="42" t="str">
        <f t="shared" si="36"/>
        <v>DEM_D_SBA029_ACWD_PIN/DEMAND-SWP-IN</v>
      </c>
      <c r="C1141" t="s">
        <v>4359</v>
      </c>
      <c r="D1141" t="s">
        <v>4356</v>
      </c>
      <c r="E1141" t="s">
        <v>4474</v>
      </c>
      <c r="F1141">
        <v>113</v>
      </c>
      <c r="G1141" t="s">
        <v>4474</v>
      </c>
      <c r="H1141" t="s">
        <v>0</v>
      </c>
      <c r="I1141" t="s">
        <v>1106</v>
      </c>
      <c r="J1141" t="s">
        <v>43</v>
      </c>
      <c r="L1141" t="s">
        <v>3</v>
      </c>
      <c r="M1141" t="s">
        <v>4</v>
      </c>
      <c r="N1141" s="3" t="str">
        <f t="shared" si="35"/>
        <v>F</v>
      </c>
      <c r="O1141" s="3" t="str">
        <f>IF(_xlfn.IFNA(MATCH(B1141,Table1[UID],0),"F")="F","F","T")</f>
        <v>T</v>
      </c>
    </row>
    <row r="1142" spans="2:15" x14ac:dyDescent="0.25">
      <c r="B1142" s="42" t="str">
        <f t="shared" si="36"/>
        <v>DEM_D_SBA036_SCVWD_PIN/DEMAND-SWP-IN</v>
      </c>
      <c r="C1142" t="s">
        <v>4359</v>
      </c>
      <c r="D1142" t="s">
        <v>4356</v>
      </c>
      <c r="E1142" t="s">
        <v>4475</v>
      </c>
      <c r="F1142">
        <v>114</v>
      </c>
      <c r="G1142" t="s">
        <v>4475</v>
      </c>
      <c r="H1142" t="s">
        <v>0</v>
      </c>
      <c r="I1142" t="s">
        <v>1108</v>
      </c>
      <c r="J1142" t="s">
        <v>43</v>
      </c>
      <c r="L1142" t="s">
        <v>3</v>
      </c>
      <c r="M1142" t="s">
        <v>4</v>
      </c>
      <c r="N1142" s="3" t="str">
        <f t="shared" si="35"/>
        <v>F</v>
      </c>
      <c r="O1142" s="3" t="str">
        <f>IF(_xlfn.IFNA(MATCH(B1142,Table1[UID],0),"F")="F","F","T")</f>
        <v>T</v>
      </c>
    </row>
    <row r="1143" spans="2:15" x14ac:dyDescent="0.25">
      <c r="B1143" s="42" t="str">
        <f t="shared" si="36"/>
        <v>DEM_D_SBA042_SBALOS_PLS/DEMAND-SWP-LS</v>
      </c>
      <c r="C1143" t="s">
        <v>4359</v>
      </c>
      <c r="D1143" t="s">
        <v>4356</v>
      </c>
      <c r="E1143" t="s">
        <v>4476</v>
      </c>
      <c r="F1143">
        <v>115</v>
      </c>
      <c r="G1143" t="s">
        <v>4476</v>
      </c>
      <c r="H1143" t="s">
        <v>0</v>
      </c>
      <c r="I1143" t="s">
        <v>1888</v>
      </c>
      <c r="J1143" t="s">
        <v>1880</v>
      </c>
      <c r="L1143" t="s">
        <v>3</v>
      </c>
      <c r="M1143" t="s">
        <v>4</v>
      </c>
      <c r="N1143" s="3" t="str">
        <f t="shared" si="35"/>
        <v>F</v>
      </c>
      <c r="O1143" s="3" t="str">
        <f>IF(_xlfn.IFNA(MATCH(B1143,Table1[UID],0),"F")="F","F","T")</f>
        <v>T</v>
      </c>
    </row>
    <row r="1144" spans="2:15" x14ac:dyDescent="0.25">
      <c r="B1144" s="42" t="str">
        <f t="shared" si="36"/>
        <v>DEM_D_WSB006_WSBLOS_PLS/DEMAND-SWP-LS</v>
      </c>
      <c r="C1144" t="s">
        <v>4359</v>
      </c>
      <c r="D1144" t="s">
        <v>4356</v>
      </c>
      <c r="E1144" t="s">
        <v>4477</v>
      </c>
      <c r="F1144">
        <v>116</v>
      </c>
      <c r="G1144" t="s">
        <v>4477</v>
      </c>
      <c r="H1144" t="s">
        <v>0</v>
      </c>
      <c r="I1144" t="s">
        <v>1889</v>
      </c>
      <c r="J1144" t="s">
        <v>1880</v>
      </c>
      <c r="L1144" t="s">
        <v>3</v>
      </c>
      <c r="M1144" t="s">
        <v>4</v>
      </c>
      <c r="N1144" s="3" t="str">
        <f t="shared" si="35"/>
        <v>F</v>
      </c>
      <c r="O1144" s="3" t="str">
        <f>IF(_xlfn.IFNA(MATCH(B1144,Table1[UID],0),"F")="F","F","T")</f>
        <v>T</v>
      </c>
    </row>
    <row r="1145" spans="2:15" x14ac:dyDescent="0.25">
      <c r="B1145" s="42" t="str">
        <f t="shared" si="36"/>
        <v>DEM_D_WSB026_WSBLOS_PLS/DEMAND-SWP-LS</v>
      </c>
      <c r="C1145" t="s">
        <v>4359</v>
      </c>
      <c r="D1145" t="s">
        <v>4356</v>
      </c>
      <c r="E1145" t="s">
        <v>4478</v>
      </c>
      <c r="F1145">
        <v>117</v>
      </c>
      <c r="G1145" t="s">
        <v>4478</v>
      </c>
      <c r="H1145" t="s">
        <v>0</v>
      </c>
      <c r="I1145" t="s">
        <v>1890</v>
      </c>
      <c r="J1145" t="s">
        <v>1880</v>
      </c>
      <c r="L1145" t="s">
        <v>3</v>
      </c>
      <c r="M1145" t="s">
        <v>4</v>
      </c>
      <c r="N1145" s="3" t="str">
        <f t="shared" si="35"/>
        <v>F</v>
      </c>
      <c r="O1145" s="3" t="str">
        <f>IF(_xlfn.IFNA(MATCH(B1145,Table1[UID],0),"F")="F","F","T")</f>
        <v>T</v>
      </c>
    </row>
    <row r="1146" spans="2:15" x14ac:dyDescent="0.25">
      <c r="B1146" s="42" t="str">
        <f t="shared" si="36"/>
        <v>DEM_D_WSB027_WSBLOS_PLS/DEMAND-SWP-LS</v>
      </c>
      <c r="C1146" t="s">
        <v>4359</v>
      </c>
      <c r="D1146" t="s">
        <v>4356</v>
      </c>
      <c r="E1146" t="s">
        <v>4479</v>
      </c>
      <c r="F1146">
        <v>118</v>
      </c>
      <c r="G1146" t="s">
        <v>4479</v>
      </c>
      <c r="H1146" t="s">
        <v>0</v>
      </c>
      <c r="I1146" t="s">
        <v>1891</v>
      </c>
      <c r="J1146" t="s">
        <v>1880</v>
      </c>
      <c r="L1146" t="s">
        <v>3</v>
      </c>
      <c r="M1146" t="s">
        <v>4</v>
      </c>
      <c r="N1146" s="3" t="str">
        <f t="shared" si="35"/>
        <v>F</v>
      </c>
      <c r="O1146" s="3" t="str">
        <f>IF(_xlfn.IFNA(MATCH(B1146,Table1[UID],0),"F")="F","F","T")</f>
        <v>T</v>
      </c>
    </row>
    <row r="1147" spans="2:15" x14ac:dyDescent="0.25">
      <c r="B1147" s="42" t="str">
        <f t="shared" si="36"/>
        <v>DEM_D_WSB031_MWDSC_PIN/DEMAND-SWP-IN</v>
      </c>
      <c r="C1147" t="s">
        <v>4359</v>
      </c>
      <c r="D1147" t="s">
        <v>4356</v>
      </c>
      <c r="E1147" t="s">
        <v>4480</v>
      </c>
      <c r="F1147">
        <v>119</v>
      </c>
      <c r="G1147" t="s">
        <v>4480</v>
      </c>
      <c r="H1147" t="s">
        <v>0</v>
      </c>
      <c r="I1147" t="s">
        <v>1110</v>
      </c>
      <c r="J1147" t="s">
        <v>43</v>
      </c>
      <c r="L1147" t="s">
        <v>3</v>
      </c>
      <c r="M1147" t="s">
        <v>4</v>
      </c>
      <c r="N1147" s="3" t="str">
        <f t="shared" si="35"/>
        <v>F</v>
      </c>
      <c r="O1147" s="3" t="str">
        <f>IF(_xlfn.IFNA(MATCH(B1147,Table1[UID],0),"F")="F","F","T")</f>
        <v>T</v>
      </c>
    </row>
    <row r="1148" spans="2:15" x14ac:dyDescent="0.25">
      <c r="B1148" s="42" t="str">
        <f t="shared" si="36"/>
        <v>DEM_D_WTPCYC_16_PU_SWP_PIN/DEMAND-SWP-IN</v>
      </c>
      <c r="C1148" t="s">
        <v>4359</v>
      </c>
      <c r="D1148" t="s">
        <v>4356</v>
      </c>
      <c r="E1148" t="s">
        <v>4481</v>
      </c>
      <c r="F1148">
        <v>120</v>
      </c>
      <c r="G1148" t="s">
        <v>4481</v>
      </c>
      <c r="H1148" t="s">
        <v>0</v>
      </c>
      <c r="I1148" t="s">
        <v>1112</v>
      </c>
      <c r="J1148" t="s">
        <v>43</v>
      </c>
      <c r="L1148" t="s">
        <v>3</v>
      </c>
      <c r="M1148" t="s">
        <v>4</v>
      </c>
      <c r="N1148" s="3" t="str">
        <f t="shared" si="35"/>
        <v>F</v>
      </c>
      <c r="O1148" s="3" t="str">
        <f>IF(_xlfn.IFNA(MATCH(B1148,Table1[UID],0),"F")="F","F","T")</f>
        <v>T</v>
      </c>
    </row>
    <row r="1149" spans="2:15" x14ac:dyDescent="0.25">
      <c r="B1149" s="42" t="str">
        <f t="shared" si="36"/>
        <v>DEM_NAPA_PIN/DEMAND-SWP-IN</v>
      </c>
      <c r="C1149" t="s">
        <v>4359</v>
      </c>
      <c r="D1149" t="s">
        <v>4356</v>
      </c>
      <c r="E1149" t="s">
        <v>4482</v>
      </c>
      <c r="F1149">
        <v>121</v>
      </c>
      <c r="G1149" t="s">
        <v>4482</v>
      </c>
      <c r="H1149" t="s">
        <v>0</v>
      </c>
      <c r="I1149" t="s">
        <v>1377</v>
      </c>
      <c r="J1149" t="s">
        <v>43</v>
      </c>
      <c r="L1149" t="s">
        <v>3</v>
      </c>
      <c r="M1149" t="s">
        <v>4</v>
      </c>
      <c r="N1149" s="3" t="str">
        <f t="shared" si="35"/>
        <v>F</v>
      </c>
      <c r="O1149" s="3" t="str">
        <f>IF(_xlfn.IFNA(MATCH(B1149,Table1[UID],0),"F")="F","F","T")</f>
        <v>T</v>
      </c>
    </row>
    <row r="1150" spans="2:15" x14ac:dyDescent="0.25">
      <c r="B1150" s="42" t="str">
        <f t="shared" si="36"/>
        <v>DEM_SCWA_PIN/DEMAND-SWP-IN</v>
      </c>
      <c r="C1150" t="s">
        <v>4359</v>
      </c>
      <c r="D1150" t="s">
        <v>4356</v>
      </c>
      <c r="E1150" t="s">
        <v>4483</v>
      </c>
      <c r="F1150">
        <v>122</v>
      </c>
      <c r="G1150" t="s">
        <v>4483</v>
      </c>
      <c r="H1150" t="s">
        <v>0</v>
      </c>
      <c r="I1150" t="s">
        <v>1378</v>
      </c>
      <c r="J1150" t="s">
        <v>43</v>
      </c>
      <c r="L1150" t="s">
        <v>3</v>
      </c>
      <c r="M1150" t="s">
        <v>4</v>
      </c>
      <c r="N1150" s="3" t="str">
        <f t="shared" si="35"/>
        <v>F</v>
      </c>
      <c r="O1150" s="3" t="str">
        <f>IF(_xlfn.IFNA(MATCH(B1150,Table1[UID],0),"F")="F","F","T")</f>
        <v>T</v>
      </c>
    </row>
    <row r="1151" spans="2:15" x14ac:dyDescent="0.25">
      <c r="B1151" s="42" t="str">
        <f t="shared" si="36"/>
        <v>DMD_CBC001_24_NA1_NID/DEMAND</v>
      </c>
      <c r="C1151" t="s">
        <v>4359</v>
      </c>
      <c r="D1151" t="s">
        <v>4356</v>
      </c>
      <c r="E1151" t="s">
        <v>4484</v>
      </c>
      <c r="F1151">
        <v>123</v>
      </c>
      <c r="G1151" t="s">
        <v>4484</v>
      </c>
      <c r="H1151" t="s">
        <v>0</v>
      </c>
      <c r="I1151" t="s">
        <v>1987</v>
      </c>
      <c r="J1151" t="s">
        <v>1988</v>
      </c>
      <c r="L1151" t="s">
        <v>3</v>
      </c>
      <c r="M1151" t="s">
        <v>4</v>
      </c>
      <c r="N1151" s="3" t="str">
        <f t="shared" si="35"/>
        <v>F</v>
      </c>
      <c r="O1151" s="3" t="str">
        <f>IF(_xlfn.IFNA(MATCH(B1151,Table1[UID],0),"F")="F","F","T")</f>
        <v>T</v>
      </c>
    </row>
    <row r="1152" spans="2:15" x14ac:dyDescent="0.25">
      <c r="B1152" s="42" t="str">
        <f t="shared" si="36"/>
        <v>DMD_CBC001_CCK036_NID/DEMAND</v>
      </c>
      <c r="C1152" t="s">
        <v>4359</v>
      </c>
      <c r="D1152" t="s">
        <v>4356</v>
      </c>
      <c r="E1152" t="s">
        <v>4485</v>
      </c>
      <c r="F1152">
        <v>124</v>
      </c>
      <c r="G1152" t="s">
        <v>4485</v>
      </c>
      <c r="H1152" t="s">
        <v>0</v>
      </c>
      <c r="I1152" t="s">
        <v>1990</v>
      </c>
      <c r="J1152" t="s">
        <v>1988</v>
      </c>
      <c r="L1152" t="s">
        <v>3</v>
      </c>
      <c r="M1152" t="s">
        <v>4</v>
      </c>
      <c r="N1152" s="3" t="str">
        <f t="shared" si="35"/>
        <v>F</v>
      </c>
      <c r="O1152" s="3" t="str">
        <f>IF(_xlfn.IFNA(MATCH(B1152,Table1[UID],0),"F")="F","F","T")</f>
        <v>T</v>
      </c>
    </row>
    <row r="1153" spans="2:15" x14ac:dyDescent="0.25">
      <c r="B1153" s="42" t="str">
        <f t="shared" si="36"/>
        <v>DP_GWR15/DEEP-PERCOLATION</v>
      </c>
      <c r="C1153" t="s">
        <v>4359</v>
      </c>
      <c r="D1153" t="s">
        <v>4356</v>
      </c>
      <c r="E1153" t="s">
        <v>4486</v>
      </c>
      <c r="F1153">
        <v>125</v>
      </c>
      <c r="G1153" t="s">
        <v>4486</v>
      </c>
      <c r="H1153" t="s">
        <v>0</v>
      </c>
      <c r="I1153" t="s">
        <v>50</v>
      </c>
      <c r="J1153" t="s">
        <v>51</v>
      </c>
      <c r="L1153" t="s">
        <v>3</v>
      </c>
      <c r="M1153" t="s">
        <v>4</v>
      </c>
      <c r="N1153" s="3" t="str">
        <f t="shared" si="35"/>
        <v>F</v>
      </c>
      <c r="O1153" s="3" t="str">
        <f>IF(_xlfn.IFNA(MATCH(B1153,Table1[UID],0),"F")="F","F","T")</f>
        <v>T</v>
      </c>
    </row>
    <row r="1154" spans="2:15" x14ac:dyDescent="0.25">
      <c r="B1154" s="42" t="str">
        <f t="shared" si="36"/>
        <v>DP_GWR16/DEEP-PERCOLATION</v>
      </c>
      <c r="C1154" t="s">
        <v>4359</v>
      </c>
      <c r="D1154" t="s">
        <v>4356</v>
      </c>
      <c r="E1154" t="s">
        <v>4487</v>
      </c>
      <c r="F1154">
        <v>126</v>
      </c>
      <c r="G1154" t="s">
        <v>4487</v>
      </c>
      <c r="H1154" t="s">
        <v>0</v>
      </c>
      <c r="I1154" t="s">
        <v>55</v>
      </c>
      <c r="J1154" t="s">
        <v>51</v>
      </c>
      <c r="L1154" t="s">
        <v>3</v>
      </c>
      <c r="M1154" t="s">
        <v>4</v>
      </c>
      <c r="N1154" s="3" t="str">
        <f t="shared" si="35"/>
        <v>F</v>
      </c>
      <c r="O1154" s="3" t="str">
        <f>IF(_xlfn.IFNA(MATCH(B1154,Table1[UID],0),"F")="F","F","T")</f>
        <v>T</v>
      </c>
    </row>
    <row r="1155" spans="2:15" x14ac:dyDescent="0.25">
      <c r="B1155" s="42" t="str">
        <f t="shared" si="36"/>
        <v>DP_GWR17/DEEP-PERCOLATION</v>
      </c>
      <c r="C1155" t="s">
        <v>4359</v>
      </c>
      <c r="D1155" t="s">
        <v>4356</v>
      </c>
      <c r="E1155" t="s">
        <v>4488</v>
      </c>
      <c r="F1155">
        <v>127</v>
      </c>
      <c r="G1155" t="s">
        <v>4488</v>
      </c>
      <c r="H1155" t="s">
        <v>0</v>
      </c>
      <c r="I1155" t="s">
        <v>56</v>
      </c>
      <c r="J1155" t="s">
        <v>51</v>
      </c>
      <c r="L1155" t="s">
        <v>3</v>
      </c>
      <c r="M1155" t="s">
        <v>4</v>
      </c>
      <c r="N1155" s="3" t="str">
        <f t="shared" ref="N1155:N1218" si="37">IF(COUNTIF($B$3:$B$1760,"="&amp;B1155)&gt;1,"T","F")</f>
        <v>F</v>
      </c>
      <c r="O1155" s="3" t="str">
        <f>IF(_xlfn.IFNA(MATCH(B1155,Table1[UID],0),"F")="F","F","T")</f>
        <v>T</v>
      </c>
    </row>
    <row r="1156" spans="2:15" x14ac:dyDescent="0.25">
      <c r="B1156" s="42" t="str">
        <f t="shared" si="36"/>
        <v>DP_GWR18/DEEP-PERCOLATION</v>
      </c>
      <c r="C1156" t="s">
        <v>4359</v>
      </c>
      <c r="D1156" t="s">
        <v>4356</v>
      </c>
      <c r="E1156" t="s">
        <v>4489</v>
      </c>
      <c r="F1156">
        <v>128</v>
      </c>
      <c r="G1156" t="s">
        <v>4489</v>
      </c>
      <c r="H1156" t="s">
        <v>0</v>
      </c>
      <c r="I1156" t="s">
        <v>57</v>
      </c>
      <c r="J1156" t="s">
        <v>51</v>
      </c>
      <c r="L1156" t="s">
        <v>3</v>
      </c>
      <c r="M1156" t="s">
        <v>4</v>
      </c>
      <c r="N1156" s="3" t="str">
        <f t="shared" si="37"/>
        <v>F</v>
      </c>
      <c r="O1156" s="3" t="str">
        <f>IF(_xlfn.IFNA(MATCH(B1156,Table1[UID],0),"F")="F","F","T")</f>
        <v>T</v>
      </c>
    </row>
    <row r="1157" spans="2:15" x14ac:dyDescent="0.25">
      <c r="B1157" s="42" t="str">
        <f t="shared" si="36"/>
        <v>DP_GWR19/DEEP-PERCOLATION</v>
      </c>
      <c r="C1157" t="s">
        <v>4359</v>
      </c>
      <c r="D1157" t="s">
        <v>4356</v>
      </c>
      <c r="E1157" t="s">
        <v>4490</v>
      </c>
      <c r="F1157">
        <v>129</v>
      </c>
      <c r="G1157" t="s">
        <v>4490</v>
      </c>
      <c r="H1157" t="s">
        <v>0</v>
      </c>
      <c r="I1157" t="s">
        <v>58</v>
      </c>
      <c r="J1157" t="s">
        <v>51</v>
      </c>
      <c r="L1157" t="s">
        <v>3</v>
      </c>
      <c r="M1157" t="s">
        <v>4</v>
      </c>
      <c r="N1157" s="3" t="str">
        <f t="shared" si="37"/>
        <v>F</v>
      </c>
      <c r="O1157" s="3" t="str">
        <f>IF(_xlfn.IFNA(MATCH(B1157,Table1[UID],0),"F")="F","F","T")</f>
        <v>T</v>
      </c>
    </row>
    <row r="1158" spans="2:15" x14ac:dyDescent="0.25">
      <c r="B1158" s="42" t="str">
        <f t="shared" si="36"/>
        <v>DP_GWR20/DEEP-PERCOLATION</v>
      </c>
      <c r="C1158" t="s">
        <v>4359</v>
      </c>
      <c r="D1158" t="s">
        <v>4356</v>
      </c>
      <c r="E1158" t="s">
        <v>4491</v>
      </c>
      <c r="F1158">
        <v>130</v>
      </c>
      <c r="G1158" t="s">
        <v>4491</v>
      </c>
      <c r="H1158" t="s">
        <v>0</v>
      </c>
      <c r="I1158" t="s">
        <v>59</v>
      </c>
      <c r="J1158" t="s">
        <v>51</v>
      </c>
      <c r="L1158" t="s">
        <v>3</v>
      </c>
      <c r="M1158" t="s">
        <v>4</v>
      </c>
      <c r="N1158" s="3" t="str">
        <f t="shared" si="37"/>
        <v>F</v>
      </c>
      <c r="O1158" s="3" t="str">
        <f>IF(_xlfn.IFNA(MATCH(B1158,Table1[UID],0),"F")="F","F","T")</f>
        <v>T</v>
      </c>
    </row>
    <row r="1159" spans="2:15" x14ac:dyDescent="0.25">
      <c r="B1159" s="42" t="str">
        <f t="shared" si="36"/>
        <v>DP_GWR21/DEEP-PERCOLATION</v>
      </c>
      <c r="C1159" t="s">
        <v>4359</v>
      </c>
      <c r="D1159" t="s">
        <v>4356</v>
      </c>
      <c r="E1159" t="s">
        <v>4492</v>
      </c>
      <c r="F1159">
        <v>131</v>
      </c>
      <c r="G1159" t="s">
        <v>4492</v>
      </c>
      <c r="H1159" t="s">
        <v>0</v>
      </c>
      <c r="I1159" t="s">
        <v>60</v>
      </c>
      <c r="J1159" t="s">
        <v>51</v>
      </c>
      <c r="L1159" t="s">
        <v>3</v>
      </c>
      <c r="M1159" t="s">
        <v>4</v>
      </c>
      <c r="N1159" s="3" t="str">
        <f t="shared" si="37"/>
        <v>F</v>
      </c>
      <c r="O1159" s="3" t="str">
        <f>IF(_xlfn.IFNA(MATCH(B1159,Table1[UID],0),"F")="F","F","T")</f>
        <v>T</v>
      </c>
    </row>
    <row r="1160" spans="2:15" x14ac:dyDescent="0.25">
      <c r="B1160" s="42" t="str">
        <f t="shared" si="36"/>
        <v>D_ANG007_UPANG_DEM/FLOW-HISTORICAL</v>
      </c>
      <c r="C1160" t="s">
        <v>4359</v>
      </c>
      <c r="D1160" t="s">
        <v>4356</v>
      </c>
      <c r="E1160" t="s">
        <v>4493</v>
      </c>
      <c r="F1160">
        <v>132</v>
      </c>
      <c r="G1160" t="s">
        <v>4493</v>
      </c>
      <c r="H1160" t="s">
        <v>0</v>
      </c>
      <c r="I1160" t="s">
        <v>4494</v>
      </c>
      <c r="J1160" t="s">
        <v>1992</v>
      </c>
      <c r="L1160" t="s">
        <v>3</v>
      </c>
      <c r="M1160" t="s">
        <v>4</v>
      </c>
      <c r="N1160" s="3" t="str">
        <f t="shared" si="37"/>
        <v>F</v>
      </c>
      <c r="O1160" s="3" t="str">
        <f>IF(_xlfn.IFNA(MATCH(B1160,Table1[UID],0),"F")="F","F","T")</f>
        <v>F</v>
      </c>
    </row>
    <row r="1161" spans="2:15" x14ac:dyDescent="0.25">
      <c r="B1161" s="42" t="str">
        <f t="shared" si="36"/>
        <v>D_ANG015_UPANG_DEM/FLOW-HISTORICAL</v>
      </c>
      <c r="C1161" t="s">
        <v>4359</v>
      </c>
      <c r="D1161" t="s">
        <v>4356</v>
      </c>
      <c r="E1161" t="s">
        <v>4495</v>
      </c>
      <c r="F1161">
        <v>133</v>
      </c>
      <c r="G1161" t="s">
        <v>4495</v>
      </c>
      <c r="H1161" t="s">
        <v>0</v>
      </c>
      <c r="I1161" t="s">
        <v>4496</v>
      </c>
      <c r="J1161" t="s">
        <v>1992</v>
      </c>
      <c r="L1161" t="s">
        <v>3</v>
      </c>
      <c r="M1161" t="s">
        <v>4</v>
      </c>
      <c r="N1161" s="3" t="str">
        <f t="shared" si="37"/>
        <v>F</v>
      </c>
      <c r="O1161" s="3" t="str">
        <f>IF(_xlfn.IFNA(MATCH(B1161,Table1[UID],0),"F")="F","F","T")</f>
        <v>F</v>
      </c>
    </row>
    <row r="1162" spans="2:15" x14ac:dyDescent="0.25">
      <c r="B1162" s="42" t="str">
        <f t="shared" ref="B1162:B1225" si="38">_xlfn.CONCAT(I1162,"/",J1162)</f>
        <v>D_LYONS_TCN00_DEM/FLOW-HISTORICAL</v>
      </c>
      <c r="C1162" t="s">
        <v>4359</v>
      </c>
      <c r="D1162" t="s">
        <v>4356</v>
      </c>
      <c r="E1162" t="s">
        <v>4497</v>
      </c>
      <c r="F1162">
        <v>134</v>
      </c>
      <c r="G1162" t="s">
        <v>4497</v>
      </c>
      <c r="H1162" t="s">
        <v>0</v>
      </c>
      <c r="I1162" t="s">
        <v>4498</v>
      </c>
      <c r="J1162" t="s">
        <v>1992</v>
      </c>
      <c r="L1162" t="s">
        <v>3</v>
      </c>
      <c r="M1162" t="s">
        <v>4</v>
      </c>
      <c r="N1162" s="3" t="str">
        <f t="shared" si="37"/>
        <v>F</v>
      </c>
      <c r="O1162" s="3" t="str">
        <f>IF(_xlfn.IFNA(MATCH(B1162,Table1[UID],0),"F")="F","F","T")</f>
        <v>F</v>
      </c>
    </row>
    <row r="1163" spans="2:15" x14ac:dyDescent="0.25">
      <c r="B1163" s="42" t="str">
        <f t="shared" si="38"/>
        <v>D_UTC000_CACWD_DEM/FLOW-HISTORICAL</v>
      </c>
      <c r="C1163" t="s">
        <v>4359</v>
      </c>
      <c r="D1163" t="s">
        <v>4356</v>
      </c>
      <c r="E1163" t="s">
        <v>4499</v>
      </c>
      <c r="F1163">
        <v>135</v>
      </c>
      <c r="G1163" t="s">
        <v>4499</v>
      </c>
      <c r="H1163" t="s">
        <v>0</v>
      </c>
      <c r="I1163" t="s">
        <v>1994</v>
      </c>
      <c r="J1163" t="s">
        <v>1992</v>
      </c>
      <c r="L1163" t="s">
        <v>3</v>
      </c>
      <c r="M1163" t="s">
        <v>4</v>
      </c>
      <c r="N1163" s="3" t="str">
        <f t="shared" si="37"/>
        <v>F</v>
      </c>
      <c r="O1163" s="3" t="str">
        <f>IF(_xlfn.IFNA(MATCH(B1163,Table1[UID],0),"F")="F","F","T")</f>
        <v>T</v>
      </c>
    </row>
    <row r="1164" spans="2:15" x14ac:dyDescent="0.25">
      <c r="B1164" s="42" t="str">
        <f t="shared" si="38"/>
        <v>D_BRR050_BEC000_NID_SV/DIVERSION</v>
      </c>
      <c r="C1164" t="s">
        <v>4359</v>
      </c>
      <c r="D1164" t="s">
        <v>4356</v>
      </c>
      <c r="E1164" t="s">
        <v>4500</v>
      </c>
      <c r="F1164">
        <v>136</v>
      </c>
      <c r="G1164" t="s">
        <v>4500</v>
      </c>
      <c r="H1164" t="s">
        <v>0</v>
      </c>
      <c r="I1164" t="s">
        <v>2141</v>
      </c>
      <c r="J1164" t="s">
        <v>2039</v>
      </c>
      <c r="L1164" t="s">
        <v>3</v>
      </c>
      <c r="M1164" t="s">
        <v>4</v>
      </c>
      <c r="N1164" s="3" t="str">
        <f t="shared" si="37"/>
        <v>F</v>
      </c>
      <c r="O1164" s="3" t="str">
        <f>IF(_xlfn.IFNA(MATCH(B1164,Table1[UID],0),"F")="F","F","T")</f>
        <v>T</v>
      </c>
    </row>
    <row r="1165" spans="2:15" x14ac:dyDescent="0.25">
      <c r="B1165" s="42" t="str">
        <f t="shared" si="38"/>
        <v>D_BRR050_BEC000_PGE_SV/DIVERSION</v>
      </c>
      <c r="C1165" t="s">
        <v>4359</v>
      </c>
      <c r="D1165" t="s">
        <v>4356</v>
      </c>
      <c r="E1165" t="s">
        <v>4501</v>
      </c>
      <c r="F1165">
        <v>137</v>
      </c>
      <c r="G1165" t="s">
        <v>4501</v>
      </c>
      <c r="H1165" t="s">
        <v>0</v>
      </c>
      <c r="I1165" t="s">
        <v>2142</v>
      </c>
      <c r="J1165" t="s">
        <v>2039</v>
      </c>
      <c r="L1165" t="s">
        <v>3</v>
      </c>
      <c r="M1165" t="s">
        <v>4</v>
      </c>
      <c r="N1165" s="3" t="str">
        <f t="shared" si="37"/>
        <v>F</v>
      </c>
      <c r="O1165" s="3" t="str">
        <f>IF(_xlfn.IFNA(MATCH(B1165,Table1[UID],0),"F")="F","F","T")</f>
        <v>T</v>
      </c>
    </row>
    <row r="1166" spans="2:15" x14ac:dyDescent="0.25">
      <c r="B1166" s="42" t="str">
        <f t="shared" si="38"/>
        <v>D_BRR050_BEC000_SV/DIVERSION</v>
      </c>
      <c r="C1166" t="s">
        <v>4359</v>
      </c>
      <c r="D1166" t="s">
        <v>4356</v>
      </c>
      <c r="E1166" t="s">
        <v>4502</v>
      </c>
      <c r="F1166">
        <v>138</v>
      </c>
      <c r="G1166" t="s">
        <v>4502</v>
      </c>
      <c r="H1166" t="s">
        <v>0</v>
      </c>
      <c r="I1166" t="s">
        <v>2143</v>
      </c>
      <c r="J1166" t="s">
        <v>2039</v>
      </c>
      <c r="L1166" t="s">
        <v>3</v>
      </c>
      <c r="M1166" t="s">
        <v>4</v>
      </c>
      <c r="N1166" s="3" t="str">
        <f t="shared" si="37"/>
        <v>F</v>
      </c>
      <c r="O1166" s="3" t="str">
        <f>IF(_xlfn.IFNA(MATCH(B1166,Table1[UID],0),"F")="F","F","T")</f>
        <v>T</v>
      </c>
    </row>
    <row r="1167" spans="2:15" x14ac:dyDescent="0.25">
      <c r="B1167" s="42" t="str">
        <f t="shared" si="38"/>
        <v>D_CMBIE_CBC000_SV/DIVERSION</v>
      </c>
      <c r="C1167" t="s">
        <v>4359</v>
      </c>
      <c r="D1167" t="s">
        <v>4356</v>
      </c>
      <c r="E1167" t="s">
        <v>4503</v>
      </c>
      <c r="F1167">
        <v>139</v>
      </c>
      <c r="G1167" t="s">
        <v>4503</v>
      </c>
      <c r="H1167" t="s">
        <v>0</v>
      </c>
      <c r="I1167" t="s">
        <v>2144</v>
      </c>
      <c r="J1167" t="s">
        <v>2039</v>
      </c>
      <c r="L1167" t="s">
        <v>3</v>
      </c>
      <c r="M1167" t="s">
        <v>4</v>
      </c>
      <c r="N1167" s="3" t="str">
        <f t="shared" si="37"/>
        <v>F</v>
      </c>
      <c r="O1167" s="3" t="str">
        <f>IF(_xlfn.IFNA(MATCH(B1167,Table1[UID],0),"F")="F","F","T")</f>
        <v>T</v>
      </c>
    </row>
    <row r="1168" spans="2:15" x14ac:dyDescent="0.25">
      <c r="B1168" s="42" t="str">
        <f t="shared" si="38"/>
        <v>D_COL009_UTC000_DEM/FLOW-HISTORICAL</v>
      </c>
      <c r="C1168" t="s">
        <v>4359</v>
      </c>
      <c r="D1168" t="s">
        <v>4356</v>
      </c>
      <c r="E1168" t="s">
        <v>4504</v>
      </c>
      <c r="F1168">
        <v>140</v>
      </c>
      <c r="G1168" t="s">
        <v>4504</v>
      </c>
      <c r="H1168" t="s">
        <v>0</v>
      </c>
      <c r="I1168" t="s">
        <v>4505</v>
      </c>
      <c r="J1168" t="s">
        <v>1992</v>
      </c>
      <c r="L1168" t="s">
        <v>3</v>
      </c>
      <c r="M1168" t="s">
        <v>4</v>
      </c>
      <c r="N1168" s="3" t="str">
        <f t="shared" si="37"/>
        <v>F</v>
      </c>
      <c r="O1168" s="3" t="str">
        <f>IF(_xlfn.IFNA(MATCH(B1168,Table1[UID],0),"F")="F","F","T")</f>
        <v>F</v>
      </c>
    </row>
    <row r="1169" spans="2:15" x14ac:dyDescent="0.25">
      <c r="B1169" s="42" t="str">
        <f t="shared" si="38"/>
        <v>D_CVT005_UTC001_DEM/FLOW-HISTORICAL</v>
      </c>
      <c r="C1169" t="s">
        <v>4359</v>
      </c>
      <c r="D1169" t="s">
        <v>4356</v>
      </c>
      <c r="E1169" t="s">
        <v>4506</v>
      </c>
      <c r="F1169">
        <v>141</v>
      </c>
      <c r="G1169" t="s">
        <v>4506</v>
      </c>
      <c r="H1169" t="s">
        <v>0</v>
      </c>
      <c r="I1169" t="s">
        <v>4507</v>
      </c>
      <c r="J1169" t="s">
        <v>1992</v>
      </c>
      <c r="L1169" t="s">
        <v>3</v>
      </c>
      <c r="M1169" t="s">
        <v>4</v>
      </c>
      <c r="N1169" s="3" t="str">
        <f t="shared" si="37"/>
        <v>F</v>
      </c>
      <c r="O1169" s="3" t="str">
        <f>IF(_xlfn.IFNA(MATCH(B1169,Table1[UID],0),"F")="F","F","T")</f>
        <v>F</v>
      </c>
    </row>
    <row r="1170" spans="2:15" x14ac:dyDescent="0.25">
      <c r="B1170" s="42" t="str">
        <f t="shared" si="38"/>
        <v>D_CYN009_LBC001_SV/DIVERSION</v>
      </c>
      <c r="C1170" t="s">
        <v>4359</v>
      </c>
      <c r="D1170" t="s">
        <v>4356</v>
      </c>
      <c r="E1170" t="s">
        <v>4508</v>
      </c>
      <c r="F1170">
        <v>142</v>
      </c>
      <c r="G1170" t="s">
        <v>4508</v>
      </c>
      <c r="H1170" t="s">
        <v>0</v>
      </c>
      <c r="I1170" t="s">
        <v>2145</v>
      </c>
      <c r="J1170" t="s">
        <v>2039</v>
      </c>
      <c r="L1170" t="s">
        <v>3</v>
      </c>
      <c r="M1170" t="s">
        <v>4</v>
      </c>
      <c r="N1170" s="3" t="str">
        <f t="shared" si="37"/>
        <v>F</v>
      </c>
      <c r="O1170" s="3" t="str">
        <f>IF(_xlfn.IFNA(MATCH(B1170,Table1[UID],0),"F")="F","F","T")</f>
        <v>T</v>
      </c>
    </row>
    <row r="1171" spans="2:15" x14ac:dyDescent="0.25">
      <c r="B1171" s="42" t="str">
        <f t="shared" si="38"/>
        <v>D_EPARK_SCKWD_SV/DIVERSION</v>
      </c>
      <c r="C1171" t="s">
        <v>4359</v>
      </c>
      <c r="D1171" t="s">
        <v>4356</v>
      </c>
      <c r="E1171" t="s">
        <v>4509</v>
      </c>
      <c r="F1171">
        <v>143</v>
      </c>
      <c r="G1171" t="s">
        <v>4509</v>
      </c>
      <c r="H1171" t="s">
        <v>0</v>
      </c>
      <c r="I1171" t="s">
        <v>2038</v>
      </c>
      <c r="J1171" t="s">
        <v>2039</v>
      </c>
      <c r="L1171" t="s">
        <v>3</v>
      </c>
      <c r="M1171" t="s">
        <v>4</v>
      </c>
      <c r="N1171" s="3" t="str">
        <f t="shared" si="37"/>
        <v>F</v>
      </c>
      <c r="O1171" s="3" t="str">
        <f>IF(_xlfn.IFNA(MATCH(B1171,Table1[UID],0),"F")="F","F","T")</f>
        <v>T</v>
      </c>
    </row>
    <row r="1172" spans="2:15" x14ac:dyDescent="0.25">
      <c r="B1172" s="42" t="str">
        <f t="shared" si="38"/>
        <v>D_FDC006_14_NA_SV/DIVERSION</v>
      </c>
      <c r="C1172" t="s">
        <v>4359</v>
      </c>
      <c r="D1172" t="s">
        <v>4356</v>
      </c>
      <c r="E1172" t="s">
        <v>4510</v>
      </c>
      <c r="F1172">
        <v>144</v>
      </c>
      <c r="G1172" t="s">
        <v>4510</v>
      </c>
      <c r="H1172" t="s">
        <v>0</v>
      </c>
      <c r="I1172" t="s">
        <v>2047</v>
      </c>
      <c r="J1172" t="s">
        <v>2039</v>
      </c>
      <c r="L1172" t="s">
        <v>3</v>
      </c>
      <c r="M1172" t="s">
        <v>4</v>
      </c>
      <c r="N1172" s="3" t="str">
        <f t="shared" si="37"/>
        <v>F</v>
      </c>
      <c r="O1172" s="3" t="str">
        <f>IF(_xlfn.IFNA(MATCH(B1172,Table1[UID],0),"F")="F","F","T")</f>
        <v>T</v>
      </c>
    </row>
    <row r="1173" spans="2:15" x14ac:dyDescent="0.25">
      <c r="B1173" s="42" t="str">
        <f t="shared" si="38"/>
        <v>D_FOLSM_EDCOCA_CVP_SV/DIVERSION</v>
      </c>
      <c r="C1173" t="s">
        <v>4359</v>
      </c>
      <c r="D1173" t="s">
        <v>4356</v>
      </c>
      <c r="E1173" t="s">
        <v>4511</v>
      </c>
      <c r="F1173">
        <v>145</v>
      </c>
      <c r="G1173" t="s">
        <v>4511</v>
      </c>
      <c r="H1173" t="s">
        <v>0</v>
      </c>
      <c r="I1173" t="s">
        <v>2079</v>
      </c>
      <c r="J1173" t="s">
        <v>2039</v>
      </c>
      <c r="L1173" t="s">
        <v>3</v>
      </c>
      <c r="M1173" t="s">
        <v>4</v>
      </c>
      <c r="N1173" s="3" t="str">
        <f t="shared" si="37"/>
        <v>F</v>
      </c>
      <c r="O1173" s="3" t="str">
        <f>IF(_xlfn.IFNA(MATCH(B1173,Table1[UID],0),"F")="F","F","T")</f>
        <v>T</v>
      </c>
    </row>
    <row r="1174" spans="2:15" x14ac:dyDescent="0.25">
      <c r="B1174" s="42" t="str">
        <f t="shared" si="38"/>
        <v>D_FOLSM_EDCOCA_NA1_SV/DIVERSION</v>
      </c>
      <c r="C1174" t="s">
        <v>4359</v>
      </c>
      <c r="D1174" t="s">
        <v>4356</v>
      </c>
      <c r="E1174" t="s">
        <v>4512</v>
      </c>
      <c r="F1174">
        <v>146</v>
      </c>
      <c r="G1174" t="s">
        <v>4512</v>
      </c>
      <c r="H1174" t="s">
        <v>0</v>
      </c>
      <c r="I1174" t="s">
        <v>2064</v>
      </c>
      <c r="J1174" t="s">
        <v>2039</v>
      </c>
      <c r="L1174" t="s">
        <v>3</v>
      </c>
      <c r="M1174" t="s">
        <v>4</v>
      </c>
      <c r="N1174" s="3" t="str">
        <f t="shared" si="37"/>
        <v>F</v>
      </c>
      <c r="O1174" s="3" t="str">
        <f>IF(_xlfn.IFNA(MATCH(B1174,Table1[UID],0),"F")="F","F","T")</f>
        <v>T</v>
      </c>
    </row>
    <row r="1175" spans="2:15" x14ac:dyDescent="0.25">
      <c r="B1175" s="42" t="str">
        <f t="shared" si="38"/>
        <v>D_FOLSM_EDCOCA_NA2_SV/DIVERSION</v>
      </c>
      <c r="C1175" t="s">
        <v>4359</v>
      </c>
      <c r="D1175" t="s">
        <v>4356</v>
      </c>
      <c r="E1175" t="s">
        <v>4513</v>
      </c>
      <c r="F1175">
        <v>147</v>
      </c>
      <c r="G1175" t="s">
        <v>4513</v>
      </c>
      <c r="H1175" t="s">
        <v>0</v>
      </c>
      <c r="I1175" t="s">
        <v>2080</v>
      </c>
      <c r="J1175" t="s">
        <v>2039</v>
      </c>
      <c r="L1175" t="s">
        <v>3</v>
      </c>
      <c r="M1175" t="s">
        <v>4</v>
      </c>
      <c r="N1175" s="3" t="str">
        <f t="shared" si="37"/>
        <v>F</v>
      </c>
      <c r="O1175" s="3" t="str">
        <f>IF(_xlfn.IFNA(MATCH(B1175,Table1[UID],0),"F")="F","F","T")</f>
        <v>T</v>
      </c>
    </row>
    <row r="1176" spans="2:15" x14ac:dyDescent="0.25">
      <c r="B1176" s="42" t="str">
        <f t="shared" si="38"/>
        <v>D_FOLSM_EDCOCA_NU1_SV/DIVERSION</v>
      </c>
      <c r="C1176" t="s">
        <v>4359</v>
      </c>
      <c r="D1176" t="s">
        <v>4356</v>
      </c>
      <c r="E1176" t="s">
        <v>4514</v>
      </c>
      <c r="F1176">
        <v>148</v>
      </c>
      <c r="G1176" t="s">
        <v>4514</v>
      </c>
      <c r="H1176" t="s">
        <v>0</v>
      </c>
      <c r="I1176" t="s">
        <v>2065</v>
      </c>
      <c r="J1176" t="s">
        <v>2039</v>
      </c>
      <c r="L1176" t="s">
        <v>3</v>
      </c>
      <c r="M1176" t="s">
        <v>4</v>
      </c>
      <c r="N1176" s="3" t="str">
        <f t="shared" si="37"/>
        <v>F</v>
      </c>
      <c r="O1176" s="3" t="str">
        <f>IF(_xlfn.IFNA(MATCH(B1176,Table1[UID],0),"F")="F","F","T")</f>
        <v>T</v>
      </c>
    </row>
    <row r="1177" spans="2:15" x14ac:dyDescent="0.25">
      <c r="B1177" s="42" t="str">
        <f t="shared" si="38"/>
        <v>D_FOLSM_EDCOCA_NU2_SV/DIVERSION</v>
      </c>
      <c r="C1177" t="s">
        <v>4359</v>
      </c>
      <c r="D1177" t="s">
        <v>4356</v>
      </c>
      <c r="E1177" t="s">
        <v>4515</v>
      </c>
      <c r="F1177">
        <v>149</v>
      </c>
      <c r="G1177" t="s">
        <v>4515</v>
      </c>
      <c r="H1177" t="s">
        <v>0</v>
      </c>
      <c r="I1177" t="s">
        <v>2081</v>
      </c>
      <c r="J1177" t="s">
        <v>2039</v>
      </c>
      <c r="L1177" t="s">
        <v>3</v>
      </c>
      <c r="M1177" t="s">
        <v>4</v>
      </c>
      <c r="N1177" s="3" t="str">
        <f t="shared" si="37"/>
        <v>F</v>
      </c>
      <c r="O1177" s="3" t="str">
        <f>IF(_xlfn.IFNA(MATCH(B1177,Table1[UID],0),"F")="F","F","T")</f>
        <v>T</v>
      </c>
    </row>
    <row r="1178" spans="2:15" x14ac:dyDescent="0.25">
      <c r="B1178" s="42" t="str">
        <f t="shared" si="38"/>
        <v>D_FOLSM_EDCOCA_SV/DIVERSION</v>
      </c>
      <c r="C1178" t="s">
        <v>4359</v>
      </c>
      <c r="D1178" t="s">
        <v>4356</v>
      </c>
      <c r="E1178" t="s">
        <v>4516</v>
      </c>
      <c r="F1178">
        <v>150</v>
      </c>
      <c r="G1178" t="s">
        <v>4516</v>
      </c>
      <c r="H1178" t="s">
        <v>0</v>
      </c>
      <c r="I1178" t="s">
        <v>2082</v>
      </c>
      <c r="J1178" t="s">
        <v>2039</v>
      </c>
      <c r="L1178" t="s">
        <v>3</v>
      </c>
      <c r="M1178" t="s">
        <v>4</v>
      </c>
      <c r="N1178" s="3" t="str">
        <f t="shared" si="37"/>
        <v>F</v>
      </c>
      <c r="O1178" s="3" t="str">
        <f>IF(_xlfn.IFNA(MATCH(B1178,Table1[UID],0),"F")="F","F","T")</f>
        <v>T</v>
      </c>
    </row>
    <row r="1179" spans="2:15" x14ac:dyDescent="0.25">
      <c r="B1179" s="42" t="str">
        <f t="shared" si="38"/>
        <v>D_FOLSM_WTPEDH_WR_SV/DIVERSION</v>
      </c>
      <c r="C1179" t="s">
        <v>4359</v>
      </c>
      <c r="D1179" t="s">
        <v>4356</v>
      </c>
      <c r="E1179" t="s">
        <v>4517</v>
      </c>
      <c r="F1179">
        <v>151</v>
      </c>
      <c r="G1179" t="s">
        <v>4517</v>
      </c>
      <c r="H1179" t="s">
        <v>0</v>
      </c>
      <c r="I1179" t="s">
        <v>2066</v>
      </c>
      <c r="J1179" t="s">
        <v>2039</v>
      </c>
      <c r="L1179" t="s">
        <v>3</v>
      </c>
      <c r="M1179" t="s">
        <v>4</v>
      </c>
      <c r="N1179" s="3" t="str">
        <f t="shared" si="37"/>
        <v>F</v>
      </c>
      <c r="O1179" s="3" t="str">
        <f>IF(_xlfn.IFNA(MATCH(B1179,Table1[UID],0),"F")="F","F","T")</f>
        <v>T</v>
      </c>
    </row>
    <row r="1180" spans="2:15" x14ac:dyDescent="0.25">
      <c r="B1180" s="42" t="str">
        <f t="shared" si="38"/>
        <v>D_LBR002_LBC001_SV/DIVERSION</v>
      </c>
      <c r="C1180" t="s">
        <v>4359</v>
      </c>
      <c r="D1180" t="s">
        <v>4356</v>
      </c>
      <c r="E1180" t="s">
        <v>4518</v>
      </c>
      <c r="F1180">
        <v>152</v>
      </c>
      <c r="G1180" t="s">
        <v>4518</v>
      </c>
      <c r="H1180" t="s">
        <v>0</v>
      </c>
      <c r="I1180" t="s">
        <v>2146</v>
      </c>
      <c r="J1180" t="s">
        <v>2039</v>
      </c>
      <c r="L1180" t="s">
        <v>3</v>
      </c>
      <c r="M1180" t="s">
        <v>4</v>
      </c>
      <c r="N1180" s="3" t="str">
        <f t="shared" si="37"/>
        <v>F</v>
      </c>
      <c r="O1180" s="3" t="str">
        <f>IF(_xlfn.IFNA(MATCH(B1180,Table1[UID],0),"F")="F","F","T")</f>
        <v>T</v>
      </c>
    </row>
    <row r="1181" spans="2:15" x14ac:dyDescent="0.25">
      <c r="B1181" s="42" t="str">
        <f t="shared" si="38"/>
        <v>D_LYONS_TCN000_DEM/FLOW-HISTORICAL</v>
      </c>
      <c r="C1181" t="s">
        <v>4359</v>
      </c>
      <c r="D1181" t="s">
        <v>4356</v>
      </c>
      <c r="E1181" t="s">
        <v>4519</v>
      </c>
      <c r="F1181">
        <v>153</v>
      </c>
      <c r="G1181" t="s">
        <v>4519</v>
      </c>
      <c r="H1181" t="s">
        <v>0</v>
      </c>
      <c r="I1181" t="s">
        <v>1991</v>
      </c>
      <c r="J1181" t="s">
        <v>1992</v>
      </c>
      <c r="L1181" t="s">
        <v>3</v>
      </c>
      <c r="M1181" t="s">
        <v>4</v>
      </c>
      <c r="N1181" s="3" t="str">
        <f t="shared" si="37"/>
        <v>F</v>
      </c>
      <c r="O1181" s="3" t="str">
        <f>IF(_xlfn.IFNA(MATCH(B1181,Table1[UID],0),"F")="F","F","T")</f>
        <v>T</v>
      </c>
    </row>
    <row r="1182" spans="2:15" x14ac:dyDescent="0.25">
      <c r="B1182" s="42" t="str">
        <f t="shared" si="38"/>
        <v>D_MIO023_10_NA_SV/DIVERSION</v>
      </c>
      <c r="C1182" t="s">
        <v>4359</v>
      </c>
      <c r="D1182" t="s">
        <v>4356</v>
      </c>
      <c r="E1182" t="s">
        <v>4520</v>
      </c>
      <c r="F1182">
        <v>154</v>
      </c>
      <c r="G1182" t="s">
        <v>4520</v>
      </c>
      <c r="H1182" t="s">
        <v>0</v>
      </c>
      <c r="I1182" t="s">
        <v>2101</v>
      </c>
      <c r="J1182" t="s">
        <v>2039</v>
      </c>
      <c r="L1182" t="s">
        <v>3</v>
      </c>
      <c r="M1182" t="s">
        <v>4</v>
      </c>
      <c r="N1182" s="3" t="str">
        <f t="shared" si="37"/>
        <v>F</v>
      </c>
      <c r="O1182" s="3" t="str">
        <f>IF(_xlfn.IFNA(MATCH(B1182,Table1[UID],0),"F")="F","F","T")</f>
        <v>T</v>
      </c>
    </row>
    <row r="1183" spans="2:15" x14ac:dyDescent="0.25">
      <c r="B1183" s="42" t="str">
        <f t="shared" si="38"/>
        <v>D_MIO023_12_NU1_SV/DIVERSION</v>
      </c>
      <c r="C1183" t="s">
        <v>4359</v>
      </c>
      <c r="D1183" t="s">
        <v>4356</v>
      </c>
      <c r="E1183" t="s">
        <v>4521</v>
      </c>
      <c r="F1183">
        <v>155</v>
      </c>
      <c r="G1183" t="s">
        <v>4521</v>
      </c>
      <c r="H1183" t="s">
        <v>0</v>
      </c>
      <c r="I1183" t="s">
        <v>2102</v>
      </c>
      <c r="J1183" t="s">
        <v>2039</v>
      </c>
      <c r="L1183" t="s">
        <v>3</v>
      </c>
      <c r="M1183" t="s">
        <v>4</v>
      </c>
      <c r="N1183" s="3" t="str">
        <f t="shared" si="37"/>
        <v>F</v>
      </c>
      <c r="O1183" s="3" t="str">
        <f>IF(_xlfn.IFNA(MATCH(B1183,Table1[UID],0),"F")="F","F","T")</f>
        <v>T</v>
      </c>
    </row>
    <row r="1184" spans="2:15" x14ac:dyDescent="0.25">
      <c r="B1184" s="42" t="str">
        <f t="shared" si="38"/>
        <v>D_MNRRH_13_NA_SV/DIVERSION</v>
      </c>
      <c r="C1184" t="s">
        <v>4359</v>
      </c>
      <c r="D1184" t="s">
        <v>4356</v>
      </c>
      <c r="E1184" t="s">
        <v>4522</v>
      </c>
      <c r="F1184">
        <v>156</v>
      </c>
      <c r="G1184" t="s">
        <v>4522</v>
      </c>
      <c r="H1184" t="s">
        <v>0</v>
      </c>
      <c r="I1184" t="s">
        <v>2103</v>
      </c>
      <c r="J1184" t="s">
        <v>2039</v>
      </c>
      <c r="L1184" t="s">
        <v>3</v>
      </c>
      <c r="M1184" t="s">
        <v>4</v>
      </c>
      <c r="N1184" s="3" t="str">
        <f t="shared" si="37"/>
        <v>F</v>
      </c>
      <c r="O1184" s="3" t="str">
        <f>IF(_xlfn.IFNA(MATCH(B1184,Table1[UID],0),"F")="F","F","T")</f>
        <v>T</v>
      </c>
    </row>
    <row r="1185" spans="2:15" x14ac:dyDescent="0.25">
      <c r="B1185" s="42" t="str">
        <f t="shared" si="38"/>
        <v>D_MNRRH_13_NU2_SV/DIVERSION</v>
      </c>
      <c r="C1185" t="s">
        <v>4359</v>
      </c>
      <c r="D1185" t="s">
        <v>4356</v>
      </c>
      <c r="E1185" t="s">
        <v>4523</v>
      </c>
      <c r="F1185">
        <v>157</v>
      </c>
      <c r="G1185" t="s">
        <v>4523</v>
      </c>
      <c r="H1185" t="s">
        <v>0</v>
      </c>
      <c r="I1185" t="s">
        <v>2104</v>
      </c>
      <c r="J1185" t="s">
        <v>2039</v>
      </c>
      <c r="L1185" t="s">
        <v>3</v>
      </c>
      <c r="M1185" t="s">
        <v>4</v>
      </c>
      <c r="N1185" s="3" t="str">
        <f t="shared" si="37"/>
        <v>F</v>
      </c>
      <c r="O1185" s="3" t="str">
        <f>IF(_xlfn.IFNA(MATCH(B1185,Table1[UID],0),"F")="F","F","T")</f>
        <v>T</v>
      </c>
    </row>
    <row r="1186" spans="2:15" x14ac:dyDescent="0.25">
      <c r="B1186" s="42" t="str">
        <f t="shared" si="38"/>
        <v>D_NFA016_ABT002_SV/DIVERSION</v>
      </c>
      <c r="C1186" t="s">
        <v>4359</v>
      </c>
      <c r="D1186" t="s">
        <v>4356</v>
      </c>
      <c r="E1186" t="s">
        <v>4524</v>
      </c>
      <c r="F1186">
        <v>158</v>
      </c>
      <c r="G1186" t="s">
        <v>4524</v>
      </c>
      <c r="H1186" t="s">
        <v>0</v>
      </c>
      <c r="I1186" t="s">
        <v>2067</v>
      </c>
      <c r="J1186" t="s">
        <v>2039</v>
      </c>
      <c r="L1186" t="s">
        <v>3</v>
      </c>
      <c r="M1186" t="s">
        <v>4</v>
      </c>
      <c r="N1186" s="3" t="str">
        <f t="shared" si="37"/>
        <v>F</v>
      </c>
      <c r="O1186" s="3" t="str">
        <f>IF(_xlfn.IFNA(MATCH(B1186,Table1[UID],0),"F")="F","F","T")</f>
        <v>T</v>
      </c>
    </row>
    <row r="1187" spans="2:15" x14ac:dyDescent="0.25">
      <c r="B1187" s="42" t="str">
        <f t="shared" si="38"/>
        <v>D_NNA013_LVC001_SV/DIVERSION</v>
      </c>
      <c r="C1187" t="s">
        <v>4359</v>
      </c>
      <c r="D1187" t="s">
        <v>4356</v>
      </c>
      <c r="E1187" t="s">
        <v>4525</v>
      </c>
      <c r="F1187">
        <v>159</v>
      </c>
      <c r="G1187" t="s">
        <v>4525</v>
      </c>
      <c r="H1187" t="s">
        <v>0</v>
      </c>
      <c r="I1187" t="s">
        <v>2083</v>
      </c>
      <c r="J1187" t="s">
        <v>2039</v>
      </c>
      <c r="L1187" t="s">
        <v>3</v>
      </c>
      <c r="M1187" t="s">
        <v>4</v>
      </c>
      <c r="N1187" s="3" t="str">
        <f t="shared" si="37"/>
        <v>F</v>
      </c>
      <c r="O1187" s="3" t="str">
        <f>IF(_xlfn.IFNA(MATCH(B1187,Table1[UID],0),"F")="F","F","T")</f>
        <v>T</v>
      </c>
    </row>
    <row r="1188" spans="2:15" x14ac:dyDescent="0.25">
      <c r="B1188" s="42" t="str">
        <f t="shared" si="38"/>
        <v>D_OWC000_13_NA_SV/DIVERSION</v>
      </c>
      <c r="C1188" t="s">
        <v>4359</v>
      </c>
      <c r="D1188" t="s">
        <v>4356</v>
      </c>
      <c r="E1188" t="s">
        <v>4526</v>
      </c>
      <c r="F1188">
        <v>160</v>
      </c>
      <c r="G1188" t="s">
        <v>4526</v>
      </c>
      <c r="H1188" t="s">
        <v>0</v>
      </c>
      <c r="I1188" t="s">
        <v>2105</v>
      </c>
      <c r="J1188" t="s">
        <v>2039</v>
      </c>
      <c r="L1188" t="s">
        <v>3</v>
      </c>
      <c r="M1188" t="s">
        <v>4</v>
      </c>
      <c r="N1188" s="3" t="str">
        <f t="shared" si="37"/>
        <v>F</v>
      </c>
      <c r="O1188" s="3" t="str">
        <f>IF(_xlfn.IFNA(MATCH(B1188,Table1[UID],0),"F")="F","F","T")</f>
        <v>T</v>
      </c>
    </row>
    <row r="1189" spans="2:15" x14ac:dyDescent="0.25">
      <c r="B1189" s="42" t="str">
        <f t="shared" si="38"/>
        <v>D_SFF011_MNRRH_SV/DIVERSION</v>
      </c>
      <c r="C1189" t="s">
        <v>4359</v>
      </c>
      <c r="D1189" t="s">
        <v>4356</v>
      </c>
      <c r="E1189" t="s">
        <v>4527</v>
      </c>
      <c r="F1189">
        <v>161</v>
      </c>
      <c r="G1189" t="s">
        <v>4527</v>
      </c>
      <c r="H1189" t="s">
        <v>0</v>
      </c>
      <c r="I1189" t="s">
        <v>2106</v>
      </c>
      <c r="J1189" t="s">
        <v>2039</v>
      </c>
      <c r="L1189" t="s">
        <v>3</v>
      </c>
      <c r="M1189" t="s">
        <v>4</v>
      </c>
      <c r="N1189" s="3" t="str">
        <f t="shared" si="37"/>
        <v>F</v>
      </c>
      <c r="O1189" s="3" t="str">
        <f>IF(_xlfn.IFNA(MATCH(B1189,Table1[UID],0),"F")="F","F","T")</f>
        <v>T</v>
      </c>
    </row>
    <row r="1190" spans="2:15" x14ac:dyDescent="0.25">
      <c r="B1190" s="42" t="str">
        <f t="shared" si="38"/>
        <v>D_SLT009_SCT000_SV/DIVERSION</v>
      </c>
      <c r="C1190" t="s">
        <v>4359</v>
      </c>
      <c r="D1190" t="s">
        <v>4356</v>
      </c>
      <c r="E1190" t="s">
        <v>4528</v>
      </c>
      <c r="F1190">
        <v>162</v>
      </c>
      <c r="G1190" t="s">
        <v>4528</v>
      </c>
      <c r="H1190" t="s">
        <v>0</v>
      </c>
      <c r="I1190" t="s">
        <v>2107</v>
      </c>
      <c r="J1190" t="s">
        <v>2039</v>
      </c>
      <c r="L1190" t="s">
        <v>3</v>
      </c>
      <c r="M1190" t="s">
        <v>4</v>
      </c>
      <c r="N1190" s="3" t="str">
        <f t="shared" si="37"/>
        <v>F</v>
      </c>
      <c r="O1190" s="3" t="str">
        <f>IF(_xlfn.IFNA(MATCH(B1190,Table1[UID],0),"F")="F","F","T")</f>
        <v>T</v>
      </c>
    </row>
    <row r="1191" spans="2:15" x14ac:dyDescent="0.25">
      <c r="B1191" s="42" t="str">
        <f t="shared" si="38"/>
        <v>D_SPLDG_DRM000_SV/DIVERSION</v>
      </c>
      <c r="C1191" t="s">
        <v>4359</v>
      </c>
      <c r="D1191" t="s">
        <v>4356</v>
      </c>
      <c r="E1191" t="s">
        <v>4529</v>
      </c>
      <c r="F1191">
        <v>163</v>
      </c>
      <c r="G1191" t="s">
        <v>4529</v>
      </c>
      <c r="H1191" t="s">
        <v>0</v>
      </c>
      <c r="I1191" t="s">
        <v>2147</v>
      </c>
      <c r="J1191" t="s">
        <v>2039</v>
      </c>
      <c r="L1191" t="s">
        <v>3</v>
      </c>
      <c r="M1191" t="s">
        <v>4</v>
      </c>
      <c r="N1191" s="3" t="str">
        <f t="shared" si="37"/>
        <v>F</v>
      </c>
      <c r="O1191" s="3" t="str">
        <f>IF(_xlfn.IFNA(MATCH(B1191,Table1[UID],0),"F")="F","F","T")</f>
        <v>T</v>
      </c>
    </row>
    <row r="1192" spans="2:15" x14ac:dyDescent="0.25">
      <c r="B1192" s="42" t="str">
        <f t="shared" si="38"/>
        <v>D_STH000_ABN027_NID_SV/DIVERSION</v>
      </c>
      <c r="C1192" t="s">
        <v>4359</v>
      </c>
      <c r="D1192" t="s">
        <v>4356</v>
      </c>
      <c r="E1192" t="s">
        <v>4530</v>
      </c>
      <c r="F1192">
        <v>164</v>
      </c>
      <c r="G1192" t="s">
        <v>4530</v>
      </c>
      <c r="H1192" t="s">
        <v>0</v>
      </c>
      <c r="I1192" t="s">
        <v>2148</v>
      </c>
      <c r="J1192" t="s">
        <v>2039</v>
      </c>
      <c r="L1192" t="s">
        <v>3</v>
      </c>
      <c r="M1192" t="s">
        <v>4</v>
      </c>
      <c r="N1192" s="3" t="str">
        <f t="shared" si="37"/>
        <v>F</v>
      </c>
      <c r="O1192" s="3" t="str">
        <f>IF(_xlfn.IFNA(MATCH(B1192,Table1[UID],0),"F")="F","F","T")</f>
        <v>T</v>
      </c>
    </row>
    <row r="1193" spans="2:15" x14ac:dyDescent="0.25">
      <c r="B1193" s="42" t="str">
        <f t="shared" si="38"/>
        <v>D_STH000_ABN027_PCWA_SV/DIVERSION</v>
      </c>
      <c r="C1193" t="s">
        <v>4359</v>
      </c>
      <c r="D1193" t="s">
        <v>4356</v>
      </c>
      <c r="E1193" t="s">
        <v>4531</v>
      </c>
      <c r="F1193">
        <v>165</v>
      </c>
      <c r="G1193" t="s">
        <v>4531</v>
      </c>
      <c r="H1193" t="s">
        <v>0</v>
      </c>
      <c r="I1193" t="s">
        <v>2149</v>
      </c>
      <c r="J1193" t="s">
        <v>2039</v>
      </c>
      <c r="L1193" t="s">
        <v>3</v>
      </c>
      <c r="M1193" t="s">
        <v>4</v>
      </c>
      <c r="N1193" s="3" t="str">
        <f t="shared" si="37"/>
        <v>F</v>
      </c>
      <c r="O1193" s="3" t="str">
        <f>IF(_xlfn.IFNA(MATCH(B1193,Table1[UID],0),"F")="F","F","T")</f>
        <v>T</v>
      </c>
    </row>
    <row r="1194" spans="2:15" x14ac:dyDescent="0.25">
      <c r="B1194" s="42" t="str">
        <f t="shared" si="38"/>
        <v>D_SYC002_BRR074_SV/DIVERSION</v>
      </c>
      <c r="C1194" t="s">
        <v>4359</v>
      </c>
      <c r="D1194" t="s">
        <v>4356</v>
      </c>
      <c r="E1194" t="s">
        <v>4532</v>
      </c>
      <c r="F1194">
        <v>166</v>
      </c>
      <c r="G1194" t="s">
        <v>4532</v>
      </c>
      <c r="H1194" t="s">
        <v>0</v>
      </c>
      <c r="I1194" t="s">
        <v>2150</v>
      </c>
      <c r="J1194" t="s">
        <v>2039</v>
      </c>
      <c r="L1194" t="s">
        <v>3</v>
      </c>
      <c r="M1194" t="s">
        <v>4</v>
      </c>
      <c r="N1194" s="3" t="str">
        <f t="shared" si="37"/>
        <v>F</v>
      </c>
      <c r="O1194" s="3" t="str">
        <f>IF(_xlfn.IFNA(MATCH(B1194,Table1[UID],0),"F")="F","F","T")</f>
        <v>T</v>
      </c>
    </row>
    <row r="1195" spans="2:15" x14ac:dyDescent="0.25">
      <c r="B1195" s="42" t="str">
        <f t="shared" si="38"/>
        <v>D_UTC014_CACWDI_DEM/FLOW-HISTORICAL</v>
      </c>
      <c r="C1195" t="s">
        <v>4359</v>
      </c>
      <c r="D1195" t="s">
        <v>4356</v>
      </c>
      <c r="E1195" t="s">
        <v>4533</v>
      </c>
      <c r="F1195">
        <v>167</v>
      </c>
      <c r="G1195" t="s">
        <v>4533</v>
      </c>
      <c r="H1195" t="s">
        <v>0</v>
      </c>
      <c r="I1195" t="s">
        <v>4534</v>
      </c>
      <c r="J1195" t="s">
        <v>1992</v>
      </c>
      <c r="L1195" t="s">
        <v>3</v>
      </c>
      <c r="M1195" t="s">
        <v>4</v>
      </c>
      <c r="N1195" s="3" t="str">
        <f t="shared" si="37"/>
        <v>F</v>
      </c>
      <c r="O1195" s="3" t="str">
        <f>IF(_xlfn.IFNA(MATCH(B1195,Table1[UID],0),"F")="F","F","T")</f>
        <v>F</v>
      </c>
    </row>
    <row r="1196" spans="2:15" x14ac:dyDescent="0.25">
      <c r="B1196" s="42" t="str">
        <f t="shared" si="38"/>
        <v>D_WBF030_HKC002_SV/DIVERSION</v>
      </c>
      <c r="C1196" t="s">
        <v>4359</v>
      </c>
      <c r="D1196" t="s">
        <v>4356</v>
      </c>
      <c r="E1196" t="s">
        <v>4535</v>
      </c>
      <c r="F1196">
        <v>168</v>
      </c>
      <c r="G1196" t="s">
        <v>4535</v>
      </c>
      <c r="H1196" t="s">
        <v>0</v>
      </c>
      <c r="I1196" t="s">
        <v>2108</v>
      </c>
      <c r="J1196" t="s">
        <v>2039</v>
      </c>
      <c r="L1196" t="s">
        <v>3</v>
      </c>
      <c r="M1196" t="s">
        <v>4</v>
      </c>
      <c r="N1196" s="3" t="str">
        <f t="shared" si="37"/>
        <v>F</v>
      </c>
      <c r="O1196" s="3" t="str">
        <f>IF(_xlfn.IFNA(MATCH(B1196,Table1[UID],0),"F")="F","F","T")</f>
        <v>T</v>
      </c>
    </row>
    <row r="1197" spans="2:15" x14ac:dyDescent="0.25">
      <c r="B1197" s="42" t="str">
        <f t="shared" si="38"/>
        <v>D_WTPMNR_13_NU1_SV/DIVERSION</v>
      </c>
      <c r="C1197" t="s">
        <v>4359</v>
      </c>
      <c r="D1197" t="s">
        <v>4356</v>
      </c>
      <c r="E1197" t="s">
        <v>4536</v>
      </c>
      <c r="F1197">
        <v>169</v>
      </c>
      <c r="G1197" t="s">
        <v>4536</v>
      </c>
      <c r="H1197" t="s">
        <v>0</v>
      </c>
      <c r="I1197" t="s">
        <v>2109</v>
      </c>
      <c r="J1197" t="s">
        <v>2039</v>
      </c>
      <c r="L1197" t="s">
        <v>3</v>
      </c>
      <c r="M1197" t="s">
        <v>4</v>
      </c>
      <c r="N1197" s="3" t="str">
        <f t="shared" si="37"/>
        <v>F</v>
      </c>
      <c r="O1197" s="3" t="str">
        <f>IF(_xlfn.IFNA(MATCH(B1197,Table1[UID],0),"F")="F","F","T")</f>
        <v>T</v>
      </c>
    </row>
    <row r="1198" spans="2:15" x14ac:dyDescent="0.25">
      <c r="B1198" s="42" t="str">
        <f t="shared" si="38"/>
        <v>D_WTPRS1_ELDID_NU3_SV/DIVERSION</v>
      </c>
      <c r="C1198" t="s">
        <v>4359</v>
      </c>
      <c r="D1198" t="s">
        <v>4356</v>
      </c>
      <c r="E1198" t="s">
        <v>4537</v>
      </c>
      <c r="F1198">
        <v>170</v>
      </c>
      <c r="G1198" t="s">
        <v>4537</v>
      </c>
      <c r="H1198" t="s">
        <v>0</v>
      </c>
      <c r="I1198" t="s">
        <v>2084</v>
      </c>
      <c r="J1198" t="s">
        <v>2039</v>
      </c>
      <c r="L1198" t="s">
        <v>3</v>
      </c>
      <c r="M1198" t="s">
        <v>4</v>
      </c>
      <c r="N1198" s="3" t="str">
        <f t="shared" si="37"/>
        <v>F</v>
      </c>
      <c r="O1198" s="3" t="str">
        <f>IF(_xlfn.IFNA(MATCH(B1198,Table1[UID],0),"F")="F","F","T")</f>
        <v>T</v>
      </c>
    </row>
    <row r="1199" spans="2:15" x14ac:dyDescent="0.25">
      <c r="B1199" s="42" t="str">
        <f t="shared" si="38"/>
        <v>D_WTPRSA_ELDID_NU3_SV/DIVERSION</v>
      </c>
      <c r="C1199" t="s">
        <v>4359</v>
      </c>
      <c r="D1199" t="s">
        <v>4356</v>
      </c>
      <c r="E1199" t="s">
        <v>4538</v>
      </c>
      <c r="F1199">
        <v>171</v>
      </c>
      <c r="G1199" t="s">
        <v>4538</v>
      </c>
      <c r="H1199" t="s">
        <v>0</v>
      </c>
      <c r="I1199" t="s">
        <v>2085</v>
      </c>
      <c r="J1199" t="s">
        <v>2039</v>
      </c>
      <c r="L1199" t="s">
        <v>3</v>
      </c>
      <c r="M1199" t="s">
        <v>4</v>
      </c>
      <c r="N1199" s="3" t="str">
        <f t="shared" si="37"/>
        <v>F</v>
      </c>
      <c r="O1199" s="3" t="str">
        <f>IF(_xlfn.IFNA(MATCH(B1199,Table1[UID],0),"F")="F","F","T")</f>
        <v>T</v>
      </c>
    </row>
    <row r="1200" spans="2:15" x14ac:dyDescent="0.25">
      <c r="B1200" s="42" t="str">
        <f t="shared" si="38"/>
        <v>D_YUB003_15N_NU_SV/DIVERSION</v>
      </c>
      <c r="C1200" t="s">
        <v>4359</v>
      </c>
      <c r="D1200" t="s">
        <v>4356</v>
      </c>
      <c r="E1200" t="s">
        <v>4539</v>
      </c>
      <c r="F1200">
        <v>172</v>
      </c>
      <c r="G1200" t="s">
        <v>4539</v>
      </c>
      <c r="H1200" t="s">
        <v>0</v>
      </c>
      <c r="I1200" t="s">
        <v>2048</v>
      </c>
      <c r="J1200" t="s">
        <v>2039</v>
      </c>
      <c r="L1200" t="s">
        <v>3</v>
      </c>
      <c r="M1200" t="s">
        <v>4</v>
      </c>
      <c r="N1200" s="3" t="str">
        <f t="shared" si="37"/>
        <v>F</v>
      </c>
      <c r="O1200" s="3" t="str">
        <f>IF(_xlfn.IFNA(MATCH(B1200,Table1[UID],0),"F")="F","F","T")</f>
        <v>T</v>
      </c>
    </row>
    <row r="1201" spans="2:15" x14ac:dyDescent="0.25">
      <c r="B1201" s="42" t="str">
        <f t="shared" si="38"/>
        <v>D_YUB011_15N_NA2_SV/DIVERSION</v>
      </c>
      <c r="C1201" t="s">
        <v>4359</v>
      </c>
      <c r="D1201" t="s">
        <v>4356</v>
      </c>
      <c r="E1201" t="s">
        <v>4540</v>
      </c>
      <c r="F1201">
        <v>173</v>
      </c>
      <c r="G1201" t="s">
        <v>4540</v>
      </c>
      <c r="H1201" t="s">
        <v>0</v>
      </c>
      <c r="I1201" t="s">
        <v>2049</v>
      </c>
      <c r="J1201" t="s">
        <v>2039</v>
      </c>
      <c r="L1201" t="s">
        <v>3</v>
      </c>
      <c r="M1201" t="s">
        <v>4</v>
      </c>
      <c r="N1201" s="3" t="str">
        <f t="shared" si="37"/>
        <v>F</v>
      </c>
      <c r="O1201" s="3" t="str">
        <f>IF(_xlfn.IFNA(MATCH(B1201,Table1[UID],0),"F")="F","F","T")</f>
        <v>T</v>
      </c>
    </row>
    <row r="1202" spans="2:15" x14ac:dyDescent="0.25">
      <c r="B1202" s="42" t="str">
        <f t="shared" si="38"/>
        <v>D_YUB011_15S_NA2_SV/DIVERSION</v>
      </c>
      <c r="C1202" t="s">
        <v>4359</v>
      </c>
      <c r="D1202" t="s">
        <v>4356</v>
      </c>
      <c r="E1202" t="s">
        <v>4541</v>
      </c>
      <c r="F1202">
        <v>174</v>
      </c>
      <c r="G1202" t="s">
        <v>4541</v>
      </c>
      <c r="H1202" t="s">
        <v>0</v>
      </c>
      <c r="I1202" t="s">
        <v>2050</v>
      </c>
      <c r="J1202" t="s">
        <v>2039</v>
      </c>
      <c r="L1202" t="s">
        <v>3</v>
      </c>
      <c r="M1202" t="s">
        <v>4</v>
      </c>
      <c r="N1202" s="3" t="str">
        <f t="shared" si="37"/>
        <v>F</v>
      </c>
      <c r="O1202" s="3" t="str">
        <f>IF(_xlfn.IFNA(MATCH(B1202,Table1[UID],0),"F")="F","F","T")</f>
        <v>T</v>
      </c>
    </row>
    <row r="1203" spans="2:15" x14ac:dyDescent="0.25">
      <c r="B1203" s="42" t="str">
        <f t="shared" si="38"/>
        <v>D_YUB013_14_NA_SV/DIVERSION</v>
      </c>
      <c r="C1203" t="s">
        <v>4359</v>
      </c>
      <c r="D1203" t="s">
        <v>4356</v>
      </c>
      <c r="E1203" t="s">
        <v>4542</v>
      </c>
      <c r="F1203">
        <v>175</v>
      </c>
      <c r="G1203" t="s">
        <v>4542</v>
      </c>
      <c r="H1203" t="s">
        <v>0</v>
      </c>
      <c r="I1203" t="s">
        <v>2051</v>
      </c>
      <c r="J1203" t="s">
        <v>2039</v>
      </c>
      <c r="L1203" t="s">
        <v>3</v>
      </c>
      <c r="M1203" t="s">
        <v>4</v>
      </c>
      <c r="N1203" s="3" t="str">
        <f t="shared" si="37"/>
        <v>F</v>
      </c>
      <c r="O1203" s="3" t="str">
        <f>IF(_xlfn.IFNA(MATCH(B1203,Table1[UID],0),"F")="F","F","T")</f>
        <v>T</v>
      </c>
    </row>
    <row r="1204" spans="2:15" x14ac:dyDescent="0.25">
      <c r="B1204" s="42" t="str">
        <f t="shared" si="38"/>
        <v>EBTML_LOSS/LOSS</v>
      </c>
      <c r="C1204" t="s">
        <v>4359</v>
      </c>
      <c r="D1204" t="s">
        <v>4356</v>
      </c>
      <c r="E1204" t="s">
        <v>4543</v>
      </c>
      <c r="F1204">
        <v>176</v>
      </c>
      <c r="G1204" t="s">
        <v>4543</v>
      </c>
      <c r="H1204" t="s">
        <v>0</v>
      </c>
      <c r="I1204" t="s">
        <v>1394</v>
      </c>
      <c r="J1204" t="s">
        <v>1395</v>
      </c>
      <c r="L1204" t="s">
        <v>3</v>
      </c>
      <c r="M1204" t="s">
        <v>4</v>
      </c>
      <c r="N1204" s="3" t="str">
        <f t="shared" si="37"/>
        <v>F</v>
      </c>
      <c r="O1204" s="3" t="str">
        <f>IF(_xlfn.IFNA(MATCH(B1204,Table1[UID],0),"F")="F","F","T")</f>
        <v>T</v>
      </c>
    </row>
    <row r="1205" spans="2:15" x14ac:dyDescent="0.25">
      <c r="B1205" s="42" t="str">
        <f t="shared" si="38"/>
        <v>E_PEDRO_SV/EVAPORATION</v>
      </c>
      <c r="C1205" t="s">
        <v>4359</v>
      </c>
      <c r="D1205" t="s">
        <v>4356</v>
      </c>
      <c r="E1205" t="s">
        <v>4544</v>
      </c>
      <c r="F1205">
        <v>177</v>
      </c>
      <c r="G1205" t="s">
        <v>4544</v>
      </c>
      <c r="H1205" t="s">
        <v>0</v>
      </c>
      <c r="I1205" t="s">
        <v>1373</v>
      </c>
      <c r="J1205" t="s">
        <v>1374</v>
      </c>
      <c r="L1205" t="s">
        <v>3</v>
      </c>
      <c r="M1205" t="s">
        <v>4</v>
      </c>
      <c r="N1205" s="3" t="str">
        <f t="shared" si="37"/>
        <v>F</v>
      </c>
      <c r="O1205" s="3" t="str">
        <f>IF(_xlfn.IFNA(MATCH(B1205,Table1[UID],0),"F")="F","F","T")</f>
        <v>T</v>
      </c>
    </row>
    <row r="1206" spans="2:15" x14ac:dyDescent="0.25">
      <c r="B1206" s="42" t="str">
        <f t="shared" si="38"/>
        <v>ER_ALDER/EVAPORATION-RATE</v>
      </c>
      <c r="C1206" t="s">
        <v>4359</v>
      </c>
      <c r="D1206" t="s">
        <v>4356</v>
      </c>
      <c r="E1206" t="s">
        <v>4545</v>
      </c>
      <c r="F1206">
        <v>178</v>
      </c>
      <c r="G1206" t="s">
        <v>4545</v>
      </c>
      <c r="H1206" t="s">
        <v>0</v>
      </c>
      <c r="I1206" t="s">
        <v>1181</v>
      </c>
      <c r="J1206" t="s">
        <v>1182</v>
      </c>
      <c r="L1206" t="s">
        <v>3</v>
      </c>
      <c r="M1206" t="s">
        <v>4</v>
      </c>
      <c r="N1206" s="3" t="str">
        <f t="shared" si="37"/>
        <v>F</v>
      </c>
      <c r="O1206" s="3" t="str">
        <f>IF(_xlfn.IFNA(MATCH(B1206,Table1[UID],0),"F")="F","F","T")</f>
        <v>T</v>
      </c>
    </row>
    <row r="1207" spans="2:15" x14ac:dyDescent="0.25">
      <c r="B1207" s="42" t="str">
        <f t="shared" si="38"/>
        <v>ER_ALMNR/EVAPORATION-RATE</v>
      </c>
      <c r="C1207" t="s">
        <v>4359</v>
      </c>
      <c r="D1207" t="s">
        <v>4356</v>
      </c>
      <c r="E1207" t="s">
        <v>4546</v>
      </c>
      <c r="F1207">
        <v>179</v>
      </c>
      <c r="G1207" t="s">
        <v>4546</v>
      </c>
      <c r="H1207" t="s">
        <v>0</v>
      </c>
      <c r="I1207" t="s">
        <v>1186</v>
      </c>
      <c r="J1207" t="s">
        <v>1182</v>
      </c>
      <c r="L1207" t="s">
        <v>3</v>
      </c>
      <c r="M1207" t="s">
        <v>4</v>
      </c>
      <c r="N1207" s="3" t="str">
        <f t="shared" si="37"/>
        <v>F</v>
      </c>
      <c r="O1207" s="3" t="str">
        <f>IF(_xlfn.IFNA(MATCH(B1207,Table1[UID],0),"F")="F","F","T")</f>
        <v>T</v>
      </c>
    </row>
    <row r="1208" spans="2:15" x14ac:dyDescent="0.25">
      <c r="B1208" s="42" t="str">
        <f t="shared" si="38"/>
        <v>ER_ALOHA/EVAPORATION-RATE</v>
      </c>
      <c r="C1208" t="s">
        <v>4359</v>
      </c>
      <c r="D1208" t="s">
        <v>4356</v>
      </c>
      <c r="E1208" t="s">
        <v>4547</v>
      </c>
      <c r="F1208">
        <v>180</v>
      </c>
      <c r="G1208" t="s">
        <v>4547</v>
      </c>
      <c r="H1208" t="s">
        <v>0</v>
      </c>
      <c r="I1208" t="s">
        <v>1188</v>
      </c>
      <c r="J1208" t="s">
        <v>1182</v>
      </c>
      <c r="L1208" t="s">
        <v>3</v>
      </c>
      <c r="M1208" t="s">
        <v>4</v>
      </c>
      <c r="N1208" s="3" t="str">
        <f t="shared" si="37"/>
        <v>F</v>
      </c>
      <c r="O1208" s="3" t="str">
        <f>IF(_xlfn.IFNA(MATCH(B1208,Table1[UID],0),"F")="F","F","T")</f>
        <v>T</v>
      </c>
    </row>
    <row r="1209" spans="2:15" x14ac:dyDescent="0.25">
      <c r="B1209" s="42" t="str">
        <f t="shared" si="38"/>
        <v>ER_AMADR/EVAPORATION-RATE</v>
      </c>
      <c r="C1209" t="s">
        <v>4359</v>
      </c>
      <c r="D1209" t="s">
        <v>4356</v>
      </c>
      <c r="E1209" t="s">
        <v>4548</v>
      </c>
      <c r="F1209">
        <v>181</v>
      </c>
      <c r="G1209" t="s">
        <v>4548</v>
      </c>
      <c r="H1209" t="s">
        <v>0</v>
      </c>
      <c r="I1209" t="s">
        <v>1190</v>
      </c>
      <c r="J1209" t="s">
        <v>1182</v>
      </c>
      <c r="L1209" t="s">
        <v>3</v>
      </c>
      <c r="M1209" t="s">
        <v>4</v>
      </c>
      <c r="N1209" s="3" t="str">
        <f t="shared" si="37"/>
        <v>F</v>
      </c>
      <c r="O1209" s="3" t="str">
        <f>IF(_xlfn.IFNA(MATCH(B1209,Table1[UID],0),"F")="F","F","T")</f>
        <v>T</v>
      </c>
    </row>
    <row r="1210" spans="2:15" x14ac:dyDescent="0.25">
      <c r="B1210" s="42" t="str">
        <f t="shared" si="38"/>
        <v>ER_ANTLP/EVAPORATION-RATE</v>
      </c>
      <c r="C1210" t="s">
        <v>4359</v>
      </c>
      <c r="D1210" t="s">
        <v>4356</v>
      </c>
      <c r="E1210" t="s">
        <v>4549</v>
      </c>
      <c r="F1210">
        <v>182</v>
      </c>
      <c r="G1210" t="s">
        <v>4549</v>
      </c>
      <c r="H1210" t="s">
        <v>0</v>
      </c>
      <c r="I1210" t="s">
        <v>1192</v>
      </c>
      <c r="J1210" t="s">
        <v>1182</v>
      </c>
      <c r="L1210" t="s">
        <v>3</v>
      </c>
      <c r="M1210" t="s">
        <v>4</v>
      </c>
      <c r="N1210" s="3" t="str">
        <f t="shared" si="37"/>
        <v>F</v>
      </c>
      <c r="O1210" s="3" t="str">
        <f>IF(_xlfn.IFNA(MATCH(B1210,Table1[UID],0),"F")="F","F","T")</f>
        <v>T</v>
      </c>
    </row>
    <row r="1211" spans="2:15" x14ac:dyDescent="0.25">
      <c r="B1211" s="42" t="str">
        <f t="shared" si="38"/>
        <v>ER_BANOS/EVAPORATION-RATE</v>
      </c>
      <c r="C1211" t="s">
        <v>4359</v>
      </c>
      <c r="D1211" t="s">
        <v>4356</v>
      </c>
      <c r="E1211" t="s">
        <v>4550</v>
      </c>
      <c r="F1211">
        <v>183</v>
      </c>
      <c r="G1211" t="s">
        <v>4550</v>
      </c>
      <c r="H1211" t="s">
        <v>0</v>
      </c>
      <c r="I1211" t="s">
        <v>1194</v>
      </c>
      <c r="J1211" t="s">
        <v>1182</v>
      </c>
      <c r="L1211" t="s">
        <v>3</v>
      </c>
      <c r="M1211" t="s">
        <v>4</v>
      </c>
      <c r="N1211" s="3" t="str">
        <f t="shared" si="37"/>
        <v>F</v>
      </c>
      <c r="O1211" s="3" t="str">
        <f>IF(_xlfn.IFNA(MATCH(B1211,Table1[UID],0),"F")="F","F","T")</f>
        <v>T</v>
      </c>
    </row>
    <row r="1212" spans="2:15" x14ac:dyDescent="0.25">
      <c r="B1212" s="42" t="str">
        <f t="shared" si="38"/>
        <v>ER_BASSL/EVAPORATION-RATE</v>
      </c>
      <c r="C1212" t="s">
        <v>4359</v>
      </c>
      <c r="D1212" t="s">
        <v>4356</v>
      </c>
      <c r="E1212" t="s">
        <v>4551</v>
      </c>
      <c r="F1212">
        <v>184</v>
      </c>
      <c r="G1212" t="s">
        <v>4551</v>
      </c>
      <c r="H1212" t="s">
        <v>0</v>
      </c>
      <c r="I1212" t="s">
        <v>1196</v>
      </c>
      <c r="J1212" t="s">
        <v>1182</v>
      </c>
      <c r="L1212" t="s">
        <v>3</v>
      </c>
      <c r="M1212" t="s">
        <v>4</v>
      </c>
      <c r="N1212" s="3" t="str">
        <f t="shared" si="37"/>
        <v>F</v>
      </c>
      <c r="O1212" s="3" t="str">
        <f>IF(_xlfn.IFNA(MATCH(B1212,Table1[UID],0),"F")="F","F","T")</f>
        <v>T</v>
      </c>
    </row>
    <row r="1213" spans="2:15" x14ac:dyDescent="0.25">
      <c r="B1213" s="42" t="str">
        <f t="shared" si="38"/>
        <v>ER_BEARD/EVAPORATION-RATE</v>
      </c>
      <c r="C1213" t="s">
        <v>4359</v>
      </c>
      <c r="D1213" t="s">
        <v>4356</v>
      </c>
      <c r="E1213" t="s">
        <v>4552</v>
      </c>
      <c r="F1213">
        <v>185</v>
      </c>
      <c r="G1213" t="s">
        <v>4552</v>
      </c>
      <c r="H1213" t="s">
        <v>0</v>
      </c>
      <c r="I1213" t="s">
        <v>1198</v>
      </c>
      <c r="J1213" t="s">
        <v>1182</v>
      </c>
      <c r="L1213" t="s">
        <v>3</v>
      </c>
      <c r="M1213" t="s">
        <v>4</v>
      </c>
      <c r="N1213" s="3" t="str">
        <f t="shared" si="37"/>
        <v>F</v>
      </c>
      <c r="O1213" s="3" t="str">
        <f>IF(_xlfn.IFNA(MATCH(B1213,Table1[UID],0),"F")="F","F","T")</f>
        <v>T</v>
      </c>
    </row>
    <row r="1214" spans="2:15" x14ac:dyDescent="0.25">
      <c r="B1214" s="42" t="str">
        <f t="shared" si="38"/>
        <v>ER_BLKBT/EVAPORATION-RATE</v>
      </c>
      <c r="C1214" t="s">
        <v>4359</v>
      </c>
      <c r="D1214" t="s">
        <v>4356</v>
      </c>
      <c r="E1214" t="s">
        <v>4553</v>
      </c>
      <c r="F1214">
        <v>186</v>
      </c>
      <c r="G1214" t="s">
        <v>4553</v>
      </c>
      <c r="H1214" t="s">
        <v>0</v>
      </c>
      <c r="I1214" t="s">
        <v>1200</v>
      </c>
      <c r="J1214" t="s">
        <v>1182</v>
      </c>
      <c r="L1214" t="s">
        <v>3</v>
      </c>
      <c r="M1214" t="s">
        <v>4</v>
      </c>
      <c r="N1214" s="3" t="str">
        <f t="shared" si="37"/>
        <v>F</v>
      </c>
      <c r="O1214" s="3" t="str">
        <f>IF(_xlfn.IFNA(MATCH(B1214,Table1[UID],0),"F")="F","F","T")</f>
        <v>T</v>
      </c>
    </row>
    <row r="1215" spans="2:15" x14ac:dyDescent="0.25">
      <c r="B1215" s="42" t="str">
        <f t="shared" si="38"/>
        <v>ER_BOWMN/EVAPORATION-RATE</v>
      </c>
      <c r="C1215" t="s">
        <v>4359</v>
      </c>
      <c r="D1215" t="s">
        <v>4356</v>
      </c>
      <c r="E1215" t="s">
        <v>4554</v>
      </c>
      <c r="F1215">
        <v>187</v>
      </c>
      <c r="G1215" t="s">
        <v>4554</v>
      </c>
      <c r="H1215" t="s">
        <v>0</v>
      </c>
      <c r="I1215" t="s">
        <v>1202</v>
      </c>
      <c r="J1215" t="s">
        <v>1182</v>
      </c>
      <c r="L1215" t="s">
        <v>3</v>
      </c>
      <c r="M1215" t="s">
        <v>4</v>
      </c>
      <c r="N1215" s="3" t="str">
        <f t="shared" si="37"/>
        <v>F</v>
      </c>
      <c r="O1215" s="3" t="str">
        <f>IF(_xlfn.IFNA(MATCH(B1215,Table1[UID],0),"F")="F","F","T")</f>
        <v>T</v>
      </c>
    </row>
    <row r="1216" spans="2:15" x14ac:dyDescent="0.25">
      <c r="B1216" s="42" t="str">
        <f t="shared" si="38"/>
        <v>ER_BRYSA/EVAPORATION-RATE</v>
      </c>
      <c r="C1216" t="s">
        <v>4359</v>
      </c>
      <c r="D1216" t="s">
        <v>4356</v>
      </c>
      <c r="E1216" t="s">
        <v>4555</v>
      </c>
      <c r="F1216">
        <v>188</v>
      </c>
      <c r="G1216" t="s">
        <v>4555</v>
      </c>
      <c r="H1216" t="s">
        <v>0</v>
      </c>
      <c r="I1216" t="s">
        <v>1204</v>
      </c>
      <c r="J1216" t="s">
        <v>1182</v>
      </c>
      <c r="L1216" t="s">
        <v>3</v>
      </c>
      <c r="M1216" t="s">
        <v>4</v>
      </c>
      <c r="N1216" s="3" t="str">
        <f t="shared" si="37"/>
        <v>F</v>
      </c>
      <c r="O1216" s="3" t="str">
        <f>IF(_xlfn.IFNA(MATCH(B1216,Table1[UID],0),"F")="F","F","T")</f>
        <v>T</v>
      </c>
    </row>
    <row r="1217" spans="2:15" x14ac:dyDescent="0.25">
      <c r="B1217" s="42" t="str">
        <f t="shared" si="38"/>
        <v>ER_BTVLY/EVAPORATION-RATE</v>
      </c>
      <c r="C1217" t="s">
        <v>4359</v>
      </c>
      <c r="D1217" t="s">
        <v>4356</v>
      </c>
      <c r="E1217" t="s">
        <v>4556</v>
      </c>
      <c r="F1217">
        <v>189</v>
      </c>
      <c r="G1217" t="s">
        <v>4556</v>
      </c>
      <c r="H1217" t="s">
        <v>0</v>
      </c>
      <c r="I1217" t="s">
        <v>1206</v>
      </c>
      <c r="J1217" t="s">
        <v>1182</v>
      </c>
      <c r="L1217" t="s">
        <v>3</v>
      </c>
      <c r="M1217" t="s">
        <v>4</v>
      </c>
      <c r="N1217" s="3" t="str">
        <f t="shared" si="37"/>
        <v>F</v>
      </c>
      <c r="O1217" s="3" t="str">
        <f>IF(_xlfn.IFNA(MATCH(B1217,Table1[UID],0),"F")="F","F","T")</f>
        <v>T</v>
      </c>
    </row>
    <row r="1218" spans="2:15" x14ac:dyDescent="0.25">
      <c r="B1218" s="42" t="str">
        <f t="shared" si="38"/>
        <v>ER_BUCKS/EVAPORATION-RATE</v>
      </c>
      <c r="C1218" t="s">
        <v>4359</v>
      </c>
      <c r="D1218" t="s">
        <v>4356</v>
      </c>
      <c r="E1218" t="s">
        <v>4557</v>
      </c>
      <c r="F1218">
        <v>190</v>
      </c>
      <c r="G1218" t="s">
        <v>4557</v>
      </c>
      <c r="H1218" t="s">
        <v>0</v>
      </c>
      <c r="I1218" t="s">
        <v>1208</v>
      </c>
      <c r="J1218" t="s">
        <v>1182</v>
      </c>
      <c r="L1218" t="s">
        <v>3</v>
      </c>
      <c r="M1218" t="s">
        <v>4</v>
      </c>
      <c r="N1218" s="3" t="str">
        <f t="shared" si="37"/>
        <v>F</v>
      </c>
      <c r="O1218" s="3" t="str">
        <f>IF(_xlfn.IFNA(MATCH(B1218,Table1[UID],0),"F")="F","F","T")</f>
        <v>T</v>
      </c>
    </row>
    <row r="1219" spans="2:15" x14ac:dyDescent="0.25">
      <c r="B1219" s="42" t="str">
        <f t="shared" si="38"/>
        <v>ER_CAPLS/EVAPORATION-RATE</v>
      </c>
      <c r="C1219" t="s">
        <v>4359</v>
      </c>
      <c r="D1219" t="s">
        <v>4356</v>
      </c>
      <c r="E1219" t="s">
        <v>4558</v>
      </c>
      <c r="F1219">
        <v>191</v>
      </c>
      <c r="G1219" t="s">
        <v>4558</v>
      </c>
      <c r="H1219" t="s">
        <v>0</v>
      </c>
      <c r="I1219" t="s">
        <v>1210</v>
      </c>
      <c r="J1219" t="s">
        <v>1182</v>
      </c>
      <c r="L1219" t="s">
        <v>3</v>
      </c>
      <c r="M1219" t="s">
        <v>4</v>
      </c>
      <c r="N1219" s="3" t="str">
        <f t="shared" ref="N1219:N1282" si="39">IF(COUNTIF($B$3:$B$1760,"="&amp;B1219)&gt;1,"T","F")</f>
        <v>F</v>
      </c>
      <c r="O1219" s="3" t="str">
        <f>IF(_xlfn.IFNA(MATCH(B1219,Table1[UID],0),"F")="F","F","T")</f>
        <v>T</v>
      </c>
    </row>
    <row r="1220" spans="2:15" x14ac:dyDescent="0.25">
      <c r="B1220" s="42" t="str">
        <f t="shared" si="38"/>
        <v>ER_CHRRY/EVAPORATION-RATE</v>
      </c>
      <c r="C1220" t="s">
        <v>4359</v>
      </c>
      <c r="D1220" t="s">
        <v>4356</v>
      </c>
      <c r="E1220" t="s">
        <v>4559</v>
      </c>
      <c r="F1220">
        <v>192</v>
      </c>
      <c r="G1220" t="s">
        <v>4559</v>
      </c>
      <c r="H1220" t="s">
        <v>0</v>
      </c>
      <c r="I1220" t="s">
        <v>1898</v>
      </c>
      <c r="J1220" t="s">
        <v>1182</v>
      </c>
      <c r="L1220" t="s">
        <v>3</v>
      </c>
      <c r="M1220" t="s">
        <v>4</v>
      </c>
      <c r="N1220" s="3" t="str">
        <f t="shared" si="39"/>
        <v>F</v>
      </c>
      <c r="O1220" s="3" t="str">
        <f>IF(_xlfn.IFNA(MATCH(B1220,Table1[UID],0),"F")="F","F","T")</f>
        <v>T</v>
      </c>
    </row>
    <row r="1221" spans="2:15" x14ac:dyDescent="0.25">
      <c r="B1221" s="42" t="str">
        <f t="shared" si="38"/>
        <v>ER_CLRLK/EVAPORATION-RATE</v>
      </c>
      <c r="C1221" t="s">
        <v>4359</v>
      </c>
      <c r="D1221" t="s">
        <v>4356</v>
      </c>
      <c r="E1221" t="s">
        <v>4560</v>
      </c>
      <c r="F1221">
        <v>193</v>
      </c>
      <c r="G1221" t="s">
        <v>4560</v>
      </c>
      <c r="H1221" t="s">
        <v>0</v>
      </c>
      <c r="I1221" t="s">
        <v>1212</v>
      </c>
      <c r="J1221" t="s">
        <v>1182</v>
      </c>
      <c r="L1221" t="s">
        <v>3</v>
      </c>
      <c r="M1221" t="s">
        <v>4</v>
      </c>
      <c r="N1221" s="3" t="str">
        <f t="shared" si="39"/>
        <v>F</v>
      </c>
      <c r="O1221" s="3" t="str">
        <f>IF(_xlfn.IFNA(MATCH(B1221,Table1[UID],0),"F")="F","F","T")</f>
        <v>T</v>
      </c>
    </row>
    <row r="1222" spans="2:15" x14ac:dyDescent="0.25">
      <c r="B1222" s="42" t="str">
        <f t="shared" si="38"/>
        <v>ER_CMBIE/EVAPORATION-RATE</v>
      </c>
      <c r="C1222" t="s">
        <v>4359</v>
      </c>
      <c r="D1222" t="s">
        <v>4356</v>
      </c>
      <c r="E1222" t="s">
        <v>4561</v>
      </c>
      <c r="F1222">
        <v>194</v>
      </c>
      <c r="G1222" t="s">
        <v>4561</v>
      </c>
      <c r="H1222" t="s">
        <v>0</v>
      </c>
      <c r="I1222" t="s">
        <v>1214</v>
      </c>
      <c r="J1222" t="s">
        <v>1182</v>
      </c>
      <c r="L1222" t="s">
        <v>3</v>
      </c>
      <c r="M1222" t="s">
        <v>4</v>
      </c>
      <c r="N1222" s="3" t="str">
        <f t="shared" si="39"/>
        <v>F</v>
      </c>
      <c r="O1222" s="3" t="str">
        <f>IF(_xlfn.IFNA(MATCH(B1222,Table1[UID],0),"F")="F","F","T")</f>
        <v>T</v>
      </c>
    </row>
    <row r="1223" spans="2:15" x14ac:dyDescent="0.25">
      <c r="B1223" s="42" t="str">
        <f t="shared" si="38"/>
        <v>ER_CMCHE/EVAPORATION-RATE</v>
      </c>
      <c r="C1223" t="s">
        <v>4359</v>
      </c>
      <c r="D1223" t="s">
        <v>4356</v>
      </c>
      <c r="E1223" t="s">
        <v>4562</v>
      </c>
      <c r="F1223">
        <v>195</v>
      </c>
      <c r="G1223" t="s">
        <v>4562</v>
      </c>
      <c r="H1223" t="s">
        <v>0</v>
      </c>
      <c r="I1223" t="s">
        <v>1216</v>
      </c>
      <c r="J1223" t="s">
        <v>1182</v>
      </c>
      <c r="L1223" t="s">
        <v>3</v>
      </c>
      <c r="M1223" t="s">
        <v>4</v>
      </c>
      <c r="N1223" s="3" t="str">
        <f t="shared" si="39"/>
        <v>F</v>
      </c>
      <c r="O1223" s="3" t="str">
        <f>IF(_xlfn.IFNA(MATCH(B1223,Table1[UID],0),"F")="F","F","T")</f>
        <v>T</v>
      </c>
    </row>
    <row r="1224" spans="2:15" x14ac:dyDescent="0.25">
      <c r="B1224" s="42" t="str">
        <f t="shared" si="38"/>
        <v>ER_CMPFW/EVAPORATION-RATE</v>
      </c>
      <c r="C1224" t="s">
        <v>4359</v>
      </c>
      <c r="D1224" t="s">
        <v>4356</v>
      </c>
      <c r="E1224" t="s">
        <v>4563</v>
      </c>
      <c r="F1224">
        <v>196</v>
      </c>
      <c r="G1224" t="s">
        <v>4563</v>
      </c>
      <c r="H1224" t="s">
        <v>0</v>
      </c>
      <c r="I1224" t="s">
        <v>1218</v>
      </c>
      <c r="J1224" t="s">
        <v>1182</v>
      </c>
      <c r="L1224" t="s">
        <v>3</v>
      </c>
      <c r="M1224" t="s">
        <v>4</v>
      </c>
      <c r="N1224" s="3" t="str">
        <f t="shared" si="39"/>
        <v>F</v>
      </c>
      <c r="O1224" s="3" t="str">
        <f>IF(_xlfn.IFNA(MATCH(B1224,Table1[UID],0),"F")="F","F","T")</f>
        <v>T</v>
      </c>
    </row>
    <row r="1225" spans="2:15" x14ac:dyDescent="0.25">
      <c r="B1225" s="42" t="str">
        <f t="shared" si="38"/>
        <v>ER_CSTIC/EVAPORATION-RATE</v>
      </c>
      <c r="C1225" t="s">
        <v>4359</v>
      </c>
      <c r="D1225" t="s">
        <v>4356</v>
      </c>
      <c r="E1225" t="s">
        <v>4564</v>
      </c>
      <c r="F1225">
        <v>197</v>
      </c>
      <c r="G1225" t="s">
        <v>4564</v>
      </c>
      <c r="H1225" t="s">
        <v>0</v>
      </c>
      <c r="I1225" t="s">
        <v>1220</v>
      </c>
      <c r="J1225" t="s">
        <v>1182</v>
      </c>
      <c r="L1225" t="s">
        <v>3</v>
      </c>
      <c r="M1225" t="s">
        <v>4</v>
      </c>
      <c r="N1225" s="3" t="str">
        <f t="shared" si="39"/>
        <v>F</v>
      </c>
      <c r="O1225" s="3" t="str">
        <f>IF(_xlfn.IFNA(MATCH(B1225,Table1[UID],0),"F")="F","F","T")</f>
        <v>T</v>
      </c>
    </row>
    <row r="1226" spans="2:15" x14ac:dyDescent="0.25">
      <c r="B1226" s="42" t="str">
        <f t="shared" ref="B1226:B1289" si="40">_xlfn.CONCAT(I1226,"/",J1226)</f>
        <v>ER_DAVIS/EVAPORATION-RATE</v>
      </c>
      <c r="C1226" t="s">
        <v>4359</v>
      </c>
      <c r="D1226" t="s">
        <v>4356</v>
      </c>
      <c r="E1226" t="s">
        <v>4565</v>
      </c>
      <c r="F1226">
        <v>198</v>
      </c>
      <c r="G1226" t="s">
        <v>4565</v>
      </c>
      <c r="H1226" t="s">
        <v>0</v>
      </c>
      <c r="I1226" t="s">
        <v>1223</v>
      </c>
      <c r="J1226" t="s">
        <v>1182</v>
      </c>
      <c r="L1226" t="s">
        <v>3</v>
      </c>
      <c r="M1226" t="s">
        <v>4</v>
      </c>
      <c r="N1226" s="3" t="str">
        <f t="shared" si="39"/>
        <v>F</v>
      </c>
      <c r="O1226" s="3" t="str">
        <f>IF(_xlfn.IFNA(MATCH(B1226,Table1[UID],0),"F")="F","F","T")</f>
        <v>T</v>
      </c>
    </row>
    <row r="1227" spans="2:15" x14ac:dyDescent="0.25">
      <c r="B1227" s="42" t="str">
        <f t="shared" si="40"/>
        <v>ER_DELVE/EVAPORATION-RATE</v>
      </c>
      <c r="C1227" t="s">
        <v>4359</v>
      </c>
      <c r="D1227" t="s">
        <v>4356</v>
      </c>
      <c r="E1227" t="s">
        <v>4566</v>
      </c>
      <c r="F1227">
        <v>199</v>
      </c>
      <c r="G1227" t="s">
        <v>4566</v>
      </c>
      <c r="H1227" t="s">
        <v>0</v>
      </c>
      <c r="I1227" t="s">
        <v>1225</v>
      </c>
      <c r="J1227" t="s">
        <v>1182</v>
      </c>
      <c r="L1227" t="s">
        <v>3</v>
      </c>
      <c r="M1227" t="s">
        <v>4</v>
      </c>
      <c r="N1227" s="3" t="str">
        <f t="shared" si="39"/>
        <v>F</v>
      </c>
      <c r="O1227" s="3" t="str">
        <f>IF(_xlfn.IFNA(MATCH(B1227,Table1[UID],0),"F")="F","F","T")</f>
        <v>T</v>
      </c>
    </row>
    <row r="1228" spans="2:15" x14ac:dyDescent="0.25">
      <c r="B1228" s="42" t="str">
        <f t="shared" si="40"/>
        <v>ER_DONLL/EVAPORATION-RATE</v>
      </c>
      <c r="C1228" t="s">
        <v>4359</v>
      </c>
      <c r="D1228" t="s">
        <v>4356</v>
      </c>
      <c r="E1228" t="s">
        <v>4567</v>
      </c>
      <c r="F1228">
        <v>200</v>
      </c>
      <c r="G1228" t="s">
        <v>4567</v>
      </c>
      <c r="H1228" t="s">
        <v>0</v>
      </c>
      <c r="I1228" t="s">
        <v>1227</v>
      </c>
      <c r="J1228" t="s">
        <v>1182</v>
      </c>
      <c r="L1228" t="s">
        <v>3</v>
      </c>
      <c r="M1228" t="s">
        <v>4</v>
      </c>
      <c r="N1228" s="3" t="str">
        <f t="shared" si="39"/>
        <v>F</v>
      </c>
      <c r="O1228" s="3" t="str">
        <f>IF(_xlfn.IFNA(MATCH(B1228,Table1[UID],0),"F")="F","F","T")</f>
        <v>T</v>
      </c>
    </row>
    <row r="1229" spans="2:15" x14ac:dyDescent="0.25">
      <c r="B1229" s="42" t="str">
        <f t="shared" si="40"/>
        <v>ER_ECHOL/EVAPORATION-RATE</v>
      </c>
      <c r="C1229" t="s">
        <v>4359</v>
      </c>
      <c r="D1229" t="s">
        <v>4356</v>
      </c>
      <c r="E1229" t="s">
        <v>4568</v>
      </c>
      <c r="F1229">
        <v>201</v>
      </c>
      <c r="G1229" t="s">
        <v>4568</v>
      </c>
      <c r="H1229" t="s">
        <v>0</v>
      </c>
      <c r="I1229" t="s">
        <v>1229</v>
      </c>
      <c r="J1229" t="s">
        <v>1182</v>
      </c>
      <c r="L1229" t="s">
        <v>3</v>
      </c>
      <c r="M1229" t="s">
        <v>4</v>
      </c>
      <c r="N1229" s="3" t="str">
        <f t="shared" si="39"/>
        <v>F</v>
      </c>
      <c r="O1229" s="3" t="str">
        <f>IF(_xlfn.IFNA(MATCH(B1229,Table1[UID],0),"F")="F","F","T")</f>
        <v>T</v>
      </c>
    </row>
    <row r="1230" spans="2:15" x14ac:dyDescent="0.25">
      <c r="B1230" s="42" t="str">
        <f t="shared" si="40"/>
        <v>ER_EDSON/EVAPORATION-RATE</v>
      </c>
      <c r="C1230" t="s">
        <v>4359</v>
      </c>
      <c r="D1230" t="s">
        <v>4356</v>
      </c>
      <c r="E1230" t="s">
        <v>4569</v>
      </c>
      <c r="F1230">
        <v>202</v>
      </c>
      <c r="G1230" t="s">
        <v>4569</v>
      </c>
      <c r="H1230" t="s">
        <v>0</v>
      </c>
      <c r="I1230" t="s">
        <v>1231</v>
      </c>
      <c r="J1230" t="s">
        <v>1182</v>
      </c>
      <c r="L1230" t="s">
        <v>3</v>
      </c>
      <c r="M1230" t="s">
        <v>4</v>
      </c>
      <c r="N1230" s="3" t="str">
        <f t="shared" si="39"/>
        <v>F</v>
      </c>
      <c r="O1230" s="3" t="str">
        <f>IF(_xlfn.IFNA(MATCH(B1230,Table1[UID],0),"F")="F","F","T")</f>
        <v>T</v>
      </c>
    </row>
    <row r="1231" spans="2:15" x14ac:dyDescent="0.25">
      <c r="B1231" s="42" t="str">
        <f t="shared" si="40"/>
        <v>ER_ELENR/EVAPORATION-RATE</v>
      </c>
      <c r="C1231" t="s">
        <v>4359</v>
      </c>
      <c r="D1231" t="s">
        <v>4356</v>
      </c>
      <c r="E1231" t="s">
        <v>4570</v>
      </c>
      <c r="F1231">
        <v>203</v>
      </c>
      <c r="G1231" t="s">
        <v>4570</v>
      </c>
      <c r="H1231" t="s">
        <v>0</v>
      </c>
      <c r="I1231" t="s">
        <v>1233</v>
      </c>
      <c r="J1231" t="s">
        <v>1182</v>
      </c>
      <c r="L1231" t="s">
        <v>3</v>
      </c>
      <c r="M1231" t="s">
        <v>4</v>
      </c>
      <c r="N1231" s="3" t="str">
        <f t="shared" si="39"/>
        <v>F</v>
      </c>
      <c r="O1231" s="3" t="str">
        <f>IF(_xlfn.IFNA(MATCH(B1231,Table1[UID],0),"F")="F","F","T")</f>
        <v>T</v>
      </c>
    </row>
    <row r="1232" spans="2:15" x14ac:dyDescent="0.25">
      <c r="B1232" s="42" t="str">
        <f t="shared" si="40"/>
        <v>ER_ENGLB/EVAPORATION-RATE</v>
      </c>
      <c r="C1232" t="s">
        <v>4359</v>
      </c>
      <c r="D1232" t="s">
        <v>4356</v>
      </c>
      <c r="E1232" t="s">
        <v>4571</v>
      </c>
      <c r="F1232">
        <v>204</v>
      </c>
      <c r="G1232" t="s">
        <v>4571</v>
      </c>
      <c r="H1232" t="s">
        <v>0</v>
      </c>
      <c r="I1232" t="s">
        <v>1235</v>
      </c>
      <c r="J1232" t="s">
        <v>1182</v>
      </c>
      <c r="L1232" t="s">
        <v>3</v>
      </c>
      <c r="M1232" t="s">
        <v>4</v>
      </c>
      <c r="N1232" s="3" t="str">
        <f t="shared" si="39"/>
        <v>F</v>
      </c>
      <c r="O1232" s="3" t="str">
        <f>IF(_xlfn.IFNA(MATCH(B1232,Table1[UID],0),"F")="F","F","T")</f>
        <v>T</v>
      </c>
    </row>
    <row r="1233" spans="2:15" x14ac:dyDescent="0.25">
      <c r="B1233" s="42" t="str">
        <f t="shared" si="40"/>
        <v>ER_EPARK/EVAPORATION-RATE</v>
      </c>
      <c r="C1233" t="s">
        <v>4359</v>
      </c>
      <c r="D1233" t="s">
        <v>4356</v>
      </c>
      <c r="E1233" t="s">
        <v>4572</v>
      </c>
      <c r="F1233">
        <v>205</v>
      </c>
      <c r="G1233" t="s">
        <v>4572</v>
      </c>
      <c r="H1233" t="s">
        <v>0</v>
      </c>
      <c r="I1233" t="s">
        <v>1237</v>
      </c>
      <c r="J1233" t="s">
        <v>1182</v>
      </c>
      <c r="L1233" t="s">
        <v>3</v>
      </c>
      <c r="M1233" t="s">
        <v>4</v>
      </c>
      <c r="N1233" s="3" t="str">
        <f t="shared" si="39"/>
        <v>F</v>
      </c>
      <c r="O1233" s="3" t="str">
        <f>IF(_xlfn.IFNA(MATCH(B1233,Table1[UID],0),"F")="F","F","T")</f>
        <v>T</v>
      </c>
    </row>
    <row r="1234" spans="2:15" x14ac:dyDescent="0.25">
      <c r="B1234" s="42" t="str">
        <f t="shared" si="40"/>
        <v>ER_ESTMN/EVAPORATION-RATE</v>
      </c>
      <c r="C1234" t="s">
        <v>4359</v>
      </c>
      <c r="D1234" t="s">
        <v>4356</v>
      </c>
      <c r="E1234" t="s">
        <v>4573</v>
      </c>
      <c r="F1234">
        <v>206</v>
      </c>
      <c r="G1234" t="s">
        <v>4573</v>
      </c>
      <c r="H1234" t="s">
        <v>0</v>
      </c>
      <c r="I1234" t="s">
        <v>1239</v>
      </c>
      <c r="J1234" t="s">
        <v>1182</v>
      </c>
      <c r="L1234" t="s">
        <v>3</v>
      </c>
      <c r="M1234" t="s">
        <v>4</v>
      </c>
      <c r="N1234" s="3" t="str">
        <f t="shared" si="39"/>
        <v>F</v>
      </c>
      <c r="O1234" s="3" t="str">
        <f>IF(_xlfn.IFNA(MATCH(B1234,Table1[UID],0),"F")="F","F","T")</f>
        <v>T</v>
      </c>
    </row>
    <row r="1235" spans="2:15" x14ac:dyDescent="0.25">
      <c r="B1235" s="42" t="str">
        <f t="shared" si="40"/>
        <v>ER_FLRNC/EVAPORATION-RATE</v>
      </c>
      <c r="C1235" t="s">
        <v>4359</v>
      </c>
      <c r="D1235" t="s">
        <v>4356</v>
      </c>
      <c r="E1235" t="s">
        <v>4574</v>
      </c>
      <c r="F1235">
        <v>207</v>
      </c>
      <c r="G1235" t="s">
        <v>4574</v>
      </c>
      <c r="H1235" t="s">
        <v>0</v>
      </c>
      <c r="I1235" t="s">
        <v>1241</v>
      </c>
      <c r="J1235" t="s">
        <v>1182</v>
      </c>
      <c r="L1235" t="s">
        <v>3</v>
      </c>
      <c r="M1235" t="s">
        <v>4</v>
      </c>
      <c r="N1235" s="3" t="str">
        <f t="shared" si="39"/>
        <v>F</v>
      </c>
      <c r="O1235" s="3" t="str">
        <f>IF(_xlfn.IFNA(MATCH(B1235,Table1[UID],0),"F")="F","F","T")</f>
        <v>T</v>
      </c>
    </row>
    <row r="1236" spans="2:15" x14ac:dyDescent="0.25">
      <c r="B1236" s="42" t="str">
        <f t="shared" si="40"/>
        <v>ER_FOLSM/EVAPORATION-RATE</v>
      </c>
      <c r="C1236" t="s">
        <v>4359</v>
      </c>
      <c r="D1236" t="s">
        <v>4356</v>
      </c>
      <c r="E1236" t="s">
        <v>4575</v>
      </c>
      <c r="F1236">
        <v>208</v>
      </c>
      <c r="G1236" t="s">
        <v>4575</v>
      </c>
      <c r="H1236" t="s">
        <v>0</v>
      </c>
      <c r="I1236" t="s">
        <v>1243</v>
      </c>
      <c r="J1236" t="s">
        <v>1182</v>
      </c>
      <c r="L1236" t="s">
        <v>3</v>
      </c>
      <c r="M1236" t="s">
        <v>4</v>
      </c>
      <c r="N1236" s="3" t="str">
        <f t="shared" si="39"/>
        <v>F</v>
      </c>
      <c r="O1236" s="3" t="str">
        <f>IF(_xlfn.IFNA(MATCH(B1236,Table1[UID],0),"F")="F","F","T")</f>
        <v>T</v>
      </c>
    </row>
    <row r="1237" spans="2:15" x14ac:dyDescent="0.25">
      <c r="B1237" s="42" t="str">
        <f t="shared" si="40"/>
        <v>ER_FRDYC/EVAPORATION-RATE</v>
      </c>
      <c r="C1237" t="s">
        <v>4359</v>
      </c>
      <c r="D1237" t="s">
        <v>4356</v>
      </c>
      <c r="E1237" t="s">
        <v>4576</v>
      </c>
      <c r="F1237">
        <v>209</v>
      </c>
      <c r="G1237" t="s">
        <v>4576</v>
      </c>
      <c r="H1237" t="s">
        <v>0</v>
      </c>
      <c r="I1237" t="s">
        <v>1245</v>
      </c>
      <c r="J1237" t="s">
        <v>1182</v>
      </c>
      <c r="L1237" t="s">
        <v>3</v>
      </c>
      <c r="M1237" t="s">
        <v>4</v>
      </c>
      <c r="N1237" s="3" t="str">
        <f t="shared" si="39"/>
        <v>F</v>
      </c>
      <c r="O1237" s="3" t="str">
        <f>IF(_xlfn.IFNA(MATCH(B1237,Table1[UID],0),"F")="F","F","T")</f>
        <v>T</v>
      </c>
    </row>
    <row r="1238" spans="2:15" x14ac:dyDescent="0.25">
      <c r="B1238" s="42" t="str">
        <f t="shared" si="40"/>
        <v>ER_FRMAN/EVAPORATION-RATE</v>
      </c>
      <c r="C1238" t="s">
        <v>4359</v>
      </c>
      <c r="D1238" t="s">
        <v>4356</v>
      </c>
      <c r="E1238" t="s">
        <v>4577</v>
      </c>
      <c r="F1238">
        <v>210</v>
      </c>
      <c r="G1238" t="s">
        <v>4577</v>
      </c>
      <c r="H1238" t="s">
        <v>0</v>
      </c>
      <c r="I1238" t="s">
        <v>1247</v>
      </c>
      <c r="J1238" t="s">
        <v>1182</v>
      </c>
      <c r="L1238" t="s">
        <v>3</v>
      </c>
      <c r="M1238" t="s">
        <v>4</v>
      </c>
      <c r="N1238" s="3" t="str">
        <f t="shared" si="39"/>
        <v>F</v>
      </c>
      <c r="O1238" s="3" t="str">
        <f>IF(_xlfn.IFNA(MATCH(B1238,Table1[UID],0),"F")="F","F","T")</f>
        <v>T</v>
      </c>
    </row>
    <row r="1239" spans="2:15" x14ac:dyDescent="0.25">
      <c r="B1239" s="42" t="str">
        <f t="shared" si="40"/>
        <v>ER_FRMDW/EVAPORATION-RATE</v>
      </c>
      <c r="C1239" t="s">
        <v>4359</v>
      </c>
      <c r="D1239" t="s">
        <v>4356</v>
      </c>
      <c r="E1239" t="s">
        <v>4578</v>
      </c>
      <c r="F1239">
        <v>211</v>
      </c>
      <c r="G1239" t="s">
        <v>4578</v>
      </c>
      <c r="H1239" t="s">
        <v>0</v>
      </c>
      <c r="I1239" t="s">
        <v>1249</v>
      </c>
      <c r="J1239" t="s">
        <v>1182</v>
      </c>
      <c r="L1239" t="s">
        <v>3</v>
      </c>
      <c r="M1239" t="s">
        <v>4</v>
      </c>
      <c r="N1239" s="3" t="str">
        <f t="shared" si="39"/>
        <v>F</v>
      </c>
      <c r="O1239" s="3" t="str">
        <f>IF(_xlfn.IFNA(MATCH(B1239,Table1[UID],0),"F")="F","F","T")</f>
        <v>T</v>
      </c>
    </row>
    <row r="1240" spans="2:15" x14ac:dyDescent="0.25">
      <c r="B1240" s="42" t="str">
        <f t="shared" si="40"/>
        <v>ER_FRNCH/EVAPORATION-RATE</v>
      </c>
      <c r="C1240" t="s">
        <v>4359</v>
      </c>
      <c r="D1240" t="s">
        <v>4356</v>
      </c>
      <c r="E1240" t="s">
        <v>4579</v>
      </c>
      <c r="F1240">
        <v>212</v>
      </c>
      <c r="G1240" t="s">
        <v>4579</v>
      </c>
      <c r="H1240" t="s">
        <v>0</v>
      </c>
      <c r="I1240" t="s">
        <v>1251</v>
      </c>
      <c r="J1240" t="s">
        <v>1182</v>
      </c>
      <c r="L1240" t="s">
        <v>3</v>
      </c>
      <c r="M1240" t="s">
        <v>4</v>
      </c>
      <c r="N1240" s="3" t="str">
        <f t="shared" si="39"/>
        <v>F</v>
      </c>
      <c r="O1240" s="3" t="str">
        <f>IF(_xlfn.IFNA(MATCH(B1240,Table1[UID],0),"F")="F","F","T")</f>
        <v>T</v>
      </c>
    </row>
    <row r="1241" spans="2:15" x14ac:dyDescent="0.25">
      <c r="B1241" s="42" t="str">
        <f t="shared" si="40"/>
        <v>ER_GERLE/EVAPORATION-RATE</v>
      </c>
      <c r="C1241" t="s">
        <v>4359</v>
      </c>
      <c r="D1241" t="s">
        <v>4356</v>
      </c>
      <c r="E1241" t="s">
        <v>4580</v>
      </c>
      <c r="F1241">
        <v>213</v>
      </c>
      <c r="G1241" t="s">
        <v>4580</v>
      </c>
      <c r="H1241" t="s">
        <v>0</v>
      </c>
      <c r="I1241" t="s">
        <v>1253</v>
      </c>
      <c r="J1241" t="s">
        <v>1182</v>
      </c>
      <c r="L1241" t="s">
        <v>3</v>
      </c>
      <c r="M1241" t="s">
        <v>4</v>
      </c>
      <c r="N1241" s="3" t="str">
        <f t="shared" si="39"/>
        <v>F</v>
      </c>
      <c r="O1241" s="3" t="str">
        <f>IF(_xlfn.IFNA(MATCH(B1241,Table1[UID],0),"F")="F","F","T")</f>
        <v>T</v>
      </c>
    </row>
    <row r="1242" spans="2:15" x14ac:dyDescent="0.25">
      <c r="B1242" s="42" t="str">
        <f t="shared" si="40"/>
        <v>ER_HHOLE/EVAPORATION-RATE</v>
      </c>
      <c r="C1242" t="s">
        <v>4359</v>
      </c>
      <c r="D1242" t="s">
        <v>4356</v>
      </c>
      <c r="E1242" t="s">
        <v>4581</v>
      </c>
      <c r="F1242">
        <v>214</v>
      </c>
      <c r="G1242" t="s">
        <v>4581</v>
      </c>
      <c r="H1242" t="s">
        <v>0</v>
      </c>
      <c r="I1242" t="s">
        <v>1255</v>
      </c>
      <c r="J1242" t="s">
        <v>1182</v>
      </c>
      <c r="L1242" t="s">
        <v>3</v>
      </c>
      <c r="M1242" t="s">
        <v>4</v>
      </c>
      <c r="N1242" s="3" t="str">
        <f t="shared" si="39"/>
        <v>F</v>
      </c>
      <c r="O1242" s="3" t="str">
        <f>IF(_xlfn.IFNA(MATCH(B1242,Table1[UID],0),"F")="F","F","T")</f>
        <v>T</v>
      </c>
    </row>
    <row r="1243" spans="2:15" x14ac:dyDescent="0.25">
      <c r="B1243" s="42" t="str">
        <f t="shared" si="40"/>
        <v>ER_HNGTN/EVAPORATION-RATE</v>
      </c>
      <c r="C1243" t="s">
        <v>4359</v>
      </c>
      <c r="D1243" t="s">
        <v>4356</v>
      </c>
      <c r="E1243" t="s">
        <v>4582</v>
      </c>
      <c r="F1243">
        <v>215</v>
      </c>
      <c r="G1243" t="s">
        <v>4582</v>
      </c>
      <c r="H1243" t="s">
        <v>0</v>
      </c>
      <c r="I1243" t="s">
        <v>1257</v>
      </c>
      <c r="J1243" t="s">
        <v>1182</v>
      </c>
      <c r="L1243" t="s">
        <v>3</v>
      </c>
      <c r="M1243" t="s">
        <v>4</v>
      </c>
      <c r="N1243" s="3" t="str">
        <f t="shared" si="39"/>
        <v>F</v>
      </c>
      <c r="O1243" s="3" t="str">
        <f>IF(_xlfn.IFNA(MATCH(B1243,Table1[UID],0),"F")="F","F","T")</f>
        <v>T</v>
      </c>
    </row>
    <row r="1244" spans="2:15" x14ac:dyDescent="0.25">
      <c r="B1244" s="42" t="str">
        <f t="shared" si="40"/>
        <v>ER_HNSLY/EVAPORATION-RATE</v>
      </c>
      <c r="C1244" t="s">
        <v>4359</v>
      </c>
      <c r="D1244" t="s">
        <v>4356</v>
      </c>
      <c r="E1244" t="s">
        <v>4583</v>
      </c>
      <c r="F1244">
        <v>216</v>
      </c>
      <c r="G1244" t="s">
        <v>4583</v>
      </c>
      <c r="H1244" t="s">
        <v>0</v>
      </c>
      <c r="I1244" t="s">
        <v>1259</v>
      </c>
      <c r="J1244" t="s">
        <v>1182</v>
      </c>
      <c r="L1244" t="s">
        <v>3</v>
      </c>
      <c r="M1244" t="s">
        <v>4</v>
      </c>
      <c r="N1244" s="3" t="str">
        <f t="shared" si="39"/>
        <v>F</v>
      </c>
      <c r="O1244" s="3" t="str">
        <f>IF(_xlfn.IFNA(MATCH(B1244,Table1[UID],0),"F")="F","F","T")</f>
        <v>T</v>
      </c>
    </row>
    <row r="1245" spans="2:15" x14ac:dyDescent="0.25">
      <c r="B1245" s="42" t="str">
        <f t="shared" si="40"/>
        <v>ER_HTCHY/EVAPORATION-RATE</v>
      </c>
      <c r="C1245" t="s">
        <v>4359</v>
      </c>
      <c r="D1245" t="s">
        <v>4356</v>
      </c>
      <c r="E1245" t="s">
        <v>4584</v>
      </c>
      <c r="F1245">
        <v>217</v>
      </c>
      <c r="G1245" t="s">
        <v>4584</v>
      </c>
      <c r="H1245" t="s">
        <v>0</v>
      </c>
      <c r="I1245" t="s">
        <v>1261</v>
      </c>
      <c r="J1245" t="s">
        <v>1182</v>
      </c>
      <c r="L1245" t="s">
        <v>3</v>
      </c>
      <c r="M1245" t="s">
        <v>4</v>
      </c>
      <c r="N1245" s="3" t="str">
        <f t="shared" si="39"/>
        <v>F</v>
      </c>
      <c r="O1245" s="3" t="str">
        <f>IF(_xlfn.IFNA(MATCH(B1245,Table1[UID],0),"F")="F","F","T")</f>
        <v>T</v>
      </c>
    </row>
    <row r="1246" spans="2:15" x14ac:dyDescent="0.25">
      <c r="B1246" s="42" t="str">
        <f t="shared" si="40"/>
        <v>ER_ICEHS/EVAPORATION-RATE</v>
      </c>
      <c r="C1246" t="s">
        <v>4359</v>
      </c>
      <c r="D1246" t="s">
        <v>4356</v>
      </c>
      <c r="E1246" t="s">
        <v>4585</v>
      </c>
      <c r="F1246">
        <v>218</v>
      </c>
      <c r="G1246" t="s">
        <v>4585</v>
      </c>
      <c r="H1246" t="s">
        <v>0</v>
      </c>
      <c r="I1246" t="s">
        <v>1263</v>
      </c>
      <c r="J1246" t="s">
        <v>1182</v>
      </c>
      <c r="L1246" t="s">
        <v>3</v>
      </c>
      <c r="M1246" t="s">
        <v>4</v>
      </c>
      <c r="N1246" s="3" t="str">
        <f t="shared" si="39"/>
        <v>F</v>
      </c>
      <c r="O1246" s="3" t="str">
        <f>IF(_xlfn.IFNA(MATCH(B1246,Table1[UID],0),"F")="F","F","T")</f>
        <v>T</v>
      </c>
    </row>
    <row r="1247" spans="2:15" x14ac:dyDescent="0.25">
      <c r="B1247" s="42" t="str">
        <f t="shared" si="40"/>
        <v>ER_INDVL/EVAPORATION-RATE</v>
      </c>
      <c r="C1247" t="s">
        <v>4359</v>
      </c>
      <c r="D1247" t="s">
        <v>4356</v>
      </c>
      <c r="E1247" t="s">
        <v>4586</v>
      </c>
      <c r="F1247">
        <v>219</v>
      </c>
      <c r="G1247" t="s">
        <v>4586</v>
      </c>
      <c r="H1247" t="s">
        <v>0</v>
      </c>
      <c r="I1247" t="s">
        <v>1265</v>
      </c>
      <c r="J1247" t="s">
        <v>1182</v>
      </c>
      <c r="L1247" t="s">
        <v>3</v>
      </c>
      <c r="M1247" t="s">
        <v>4</v>
      </c>
      <c r="N1247" s="3" t="str">
        <f t="shared" si="39"/>
        <v>F</v>
      </c>
      <c r="O1247" s="3" t="str">
        <f>IF(_xlfn.IFNA(MATCH(B1247,Table1[UID],0),"F")="F","F","T")</f>
        <v>T</v>
      </c>
    </row>
    <row r="1248" spans="2:15" x14ac:dyDescent="0.25">
      <c r="B1248" s="42" t="str">
        <f t="shared" si="40"/>
        <v>ER_JKSMD/EVAPORATION-RATE</v>
      </c>
      <c r="C1248" t="s">
        <v>4359</v>
      </c>
      <c r="D1248" t="s">
        <v>4356</v>
      </c>
      <c r="E1248" t="s">
        <v>4587</v>
      </c>
      <c r="F1248">
        <v>220</v>
      </c>
      <c r="G1248" t="s">
        <v>4587</v>
      </c>
      <c r="H1248" t="s">
        <v>0</v>
      </c>
      <c r="I1248" t="s">
        <v>1267</v>
      </c>
      <c r="J1248" t="s">
        <v>1182</v>
      </c>
      <c r="L1248" t="s">
        <v>3</v>
      </c>
      <c r="M1248" t="s">
        <v>4</v>
      </c>
      <c r="N1248" s="3" t="str">
        <f t="shared" si="39"/>
        <v>F</v>
      </c>
      <c r="O1248" s="3" t="str">
        <f>IF(_xlfn.IFNA(MATCH(B1248,Table1[UID],0),"F")="F","F","T")</f>
        <v>T</v>
      </c>
    </row>
    <row r="1249" spans="2:15" x14ac:dyDescent="0.25">
      <c r="B1249" s="42" t="str">
        <f t="shared" si="40"/>
        <v>ER_JNKSN/EVAPORATION-RATE</v>
      </c>
      <c r="C1249" t="s">
        <v>4359</v>
      </c>
      <c r="D1249" t="s">
        <v>4356</v>
      </c>
      <c r="E1249" t="s">
        <v>4588</v>
      </c>
      <c r="F1249">
        <v>221</v>
      </c>
      <c r="G1249" t="s">
        <v>4588</v>
      </c>
      <c r="H1249" t="s">
        <v>0</v>
      </c>
      <c r="I1249" t="s">
        <v>1269</v>
      </c>
      <c r="J1249" t="s">
        <v>1182</v>
      </c>
      <c r="L1249" t="s">
        <v>3</v>
      </c>
      <c r="M1249" t="s">
        <v>4</v>
      </c>
      <c r="N1249" s="3" t="str">
        <f t="shared" si="39"/>
        <v>F</v>
      </c>
      <c r="O1249" s="3" t="str">
        <f>IF(_xlfn.IFNA(MATCH(B1249,Table1[UID],0),"F")="F","F","T")</f>
        <v>T</v>
      </c>
    </row>
    <row r="1250" spans="2:15" x14ac:dyDescent="0.25">
      <c r="B1250" s="42" t="str">
        <f t="shared" si="40"/>
        <v>ER_KSWCK/EVAPORATION-RATE</v>
      </c>
      <c r="C1250" t="s">
        <v>4359</v>
      </c>
      <c r="D1250" t="s">
        <v>4356</v>
      </c>
      <c r="E1250" t="s">
        <v>4589</v>
      </c>
      <c r="F1250">
        <v>222</v>
      </c>
      <c r="G1250" t="s">
        <v>4589</v>
      </c>
      <c r="H1250" t="s">
        <v>0</v>
      </c>
      <c r="I1250" t="s">
        <v>1271</v>
      </c>
      <c r="J1250" t="s">
        <v>1182</v>
      </c>
      <c r="L1250" t="s">
        <v>3</v>
      </c>
      <c r="M1250" t="s">
        <v>4</v>
      </c>
      <c r="N1250" s="3" t="str">
        <f t="shared" si="39"/>
        <v>F</v>
      </c>
      <c r="O1250" s="3" t="str">
        <f>IF(_xlfn.IFNA(MATCH(B1250,Table1[UID],0),"F")="F","F","T")</f>
        <v>T</v>
      </c>
    </row>
    <row r="1251" spans="2:15" x14ac:dyDescent="0.25">
      <c r="B1251" s="42" t="str">
        <f t="shared" si="40"/>
        <v>ER_LBEAR/EVAPORATION-RATE</v>
      </c>
      <c r="C1251" t="s">
        <v>4359</v>
      </c>
      <c r="D1251" t="s">
        <v>4356</v>
      </c>
      <c r="E1251" t="s">
        <v>4590</v>
      </c>
      <c r="F1251">
        <v>223</v>
      </c>
      <c r="G1251" t="s">
        <v>4590</v>
      </c>
      <c r="H1251" t="s">
        <v>0</v>
      </c>
      <c r="I1251" t="s">
        <v>1273</v>
      </c>
      <c r="J1251" t="s">
        <v>1182</v>
      </c>
      <c r="L1251" t="s">
        <v>3</v>
      </c>
      <c r="M1251" t="s">
        <v>4</v>
      </c>
      <c r="N1251" s="3" t="str">
        <f t="shared" si="39"/>
        <v>F</v>
      </c>
      <c r="O1251" s="3" t="str">
        <f>IF(_xlfn.IFNA(MATCH(B1251,Table1[UID],0),"F")="F","F","T")</f>
        <v>T</v>
      </c>
    </row>
    <row r="1252" spans="2:15" x14ac:dyDescent="0.25">
      <c r="B1252" s="42" t="str">
        <f t="shared" si="40"/>
        <v>ER_LCBRF/EVAPORATION-RATE</v>
      </c>
      <c r="C1252" t="s">
        <v>4359</v>
      </c>
      <c r="D1252" t="s">
        <v>4356</v>
      </c>
      <c r="E1252" t="s">
        <v>4591</v>
      </c>
      <c r="F1252">
        <v>224</v>
      </c>
      <c r="G1252" t="s">
        <v>4591</v>
      </c>
      <c r="H1252" t="s">
        <v>0</v>
      </c>
      <c r="I1252" t="s">
        <v>1275</v>
      </c>
      <c r="J1252" t="s">
        <v>1182</v>
      </c>
      <c r="L1252" t="s">
        <v>3</v>
      </c>
      <c r="M1252" t="s">
        <v>4</v>
      </c>
      <c r="N1252" s="3" t="str">
        <f t="shared" si="39"/>
        <v>F</v>
      </c>
      <c r="O1252" s="3" t="str">
        <f>IF(_xlfn.IFNA(MATCH(B1252,Table1[UID],0),"F")="F","F","T")</f>
        <v>T</v>
      </c>
    </row>
    <row r="1253" spans="2:15" x14ac:dyDescent="0.25">
      <c r="B1253" s="42" t="str">
        <f t="shared" si="40"/>
        <v>ER_LGRSV/EVAPORATION-RATE</v>
      </c>
      <c r="C1253" t="s">
        <v>4359</v>
      </c>
      <c r="D1253" t="s">
        <v>4356</v>
      </c>
      <c r="E1253" t="s">
        <v>4592</v>
      </c>
      <c r="F1253">
        <v>225</v>
      </c>
      <c r="G1253" t="s">
        <v>4592</v>
      </c>
      <c r="H1253" t="s">
        <v>0</v>
      </c>
      <c r="I1253" t="s">
        <v>1277</v>
      </c>
      <c r="J1253" t="s">
        <v>1182</v>
      </c>
      <c r="L1253" t="s">
        <v>3</v>
      </c>
      <c r="M1253" t="s">
        <v>4</v>
      </c>
      <c r="N1253" s="3" t="str">
        <f t="shared" si="39"/>
        <v>F</v>
      </c>
      <c r="O1253" s="3" t="str">
        <f>IF(_xlfn.IFNA(MATCH(B1253,Table1[UID],0),"F")="F","F","T")</f>
        <v>T</v>
      </c>
    </row>
    <row r="1254" spans="2:15" x14ac:dyDescent="0.25">
      <c r="B1254" s="42" t="str">
        <f t="shared" si="40"/>
        <v>ER_LKVLY/EVAPORATION-RATE</v>
      </c>
      <c r="C1254" t="s">
        <v>4359</v>
      </c>
      <c r="D1254" t="s">
        <v>4356</v>
      </c>
      <c r="E1254" t="s">
        <v>4593</v>
      </c>
      <c r="F1254">
        <v>226</v>
      </c>
      <c r="G1254" t="s">
        <v>4593</v>
      </c>
      <c r="H1254" t="s">
        <v>0</v>
      </c>
      <c r="I1254" t="s">
        <v>1279</v>
      </c>
      <c r="J1254" t="s">
        <v>1182</v>
      </c>
      <c r="L1254" t="s">
        <v>3</v>
      </c>
      <c r="M1254" t="s">
        <v>4</v>
      </c>
      <c r="N1254" s="3" t="str">
        <f t="shared" si="39"/>
        <v>F</v>
      </c>
      <c r="O1254" s="3" t="str">
        <f>IF(_xlfn.IFNA(MATCH(B1254,Table1[UID],0),"F")="F","F","T")</f>
        <v>T</v>
      </c>
    </row>
    <row r="1255" spans="2:15" x14ac:dyDescent="0.25">
      <c r="B1255" s="42" t="str">
        <f t="shared" si="40"/>
        <v>ER_LLOYD/EVAPORATION-RATE</v>
      </c>
      <c r="C1255" t="s">
        <v>4359</v>
      </c>
      <c r="D1255" t="s">
        <v>4356</v>
      </c>
      <c r="E1255" t="s">
        <v>4594</v>
      </c>
      <c r="F1255">
        <v>227</v>
      </c>
      <c r="G1255" t="s">
        <v>4594</v>
      </c>
      <c r="H1255" t="s">
        <v>0</v>
      </c>
      <c r="I1255" t="s">
        <v>1899</v>
      </c>
      <c r="J1255" t="s">
        <v>1182</v>
      </c>
      <c r="L1255" t="s">
        <v>3</v>
      </c>
      <c r="M1255" t="s">
        <v>4</v>
      </c>
      <c r="N1255" s="3" t="str">
        <f t="shared" si="39"/>
        <v>F</v>
      </c>
      <c r="O1255" s="3" t="str">
        <f>IF(_xlfn.IFNA(MATCH(B1255,Table1[UID],0),"F")="F","F","T")</f>
        <v>T</v>
      </c>
    </row>
    <row r="1256" spans="2:15" x14ac:dyDescent="0.25">
      <c r="B1256" s="42" t="str">
        <f t="shared" si="40"/>
        <v>ER_LOONL/EVAPORATION-RATE</v>
      </c>
      <c r="C1256" t="s">
        <v>4359</v>
      </c>
      <c r="D1256" t="s">
        <v>4356</v>
      </c>
      <c r="E1256" t="s">
        <v>4595</v>
      </c>
      <c r="F1256">
        <v>228</v>
      </c>
      <c r="G1256" t="s">
        <v>4595</v>
      </c>
      <c r="H1256" t="s">
        <v>0</v>
      </c>
      <c r="I1256" t="s">
        <v>1281</v>
      </c>
      <c r="J1256" t="s">
        <v>1182</v>
      </c>
      <c r="L1256" t="s">
        <v>3</v>
      </c>
      <c r="M1256" t="s">
        <v>4</v>
      </c>
      <c r="N1256" s="3" t="str">
        <f t="shared" si="39"/>
        <v>F</v>
      </c>
      <c r="O1256" s="3" t="str">
        <f>IF(_xlfn.IFNA(MATCH(B1256,Table1[UID],0),"F")="F","F","T")</f>
        <v>T</v>
      </c>
    </row>
    <row r="1257" spans="2:15" x14ac:dyDescent="0.25">
      <c r="B1257" s="42" t="str">
        <f t="shared" si="40"/>
        <v>ER_LOSVQ/EVAPORATION-RATE</v>
      </c>
      <c r="C1257" t="s">
        <v>4359</v>
      </c>
      <c r="D1257" t="s">
        <v>4356</v>
      </c>
      <c r="E1257" t="s">
        <v>4596</v>
      </c>
      <c r="F1257">
        <v>229</v>
      </c>
      <c r="G1257" t="s">
        <v>4596</v>
      </c>
      <c r="H1257" t="s">
        <v>0</v>
      </c>
      <c r="I1257" t="s">
        <v>1283</v>
      </c>
      <c r="J1257" t="s">
        <v>1182</v>
      </c>
      <c r="L1257" t="s">
        <v>3</v>
      </c>
      <c r="M1257" t="s">
        <v>4</v>
      </c>
      <c r="N1257" s="3" t="str">
        <f t="shared" si="39"/>
        <v>F</v>
      </c>
      <c r="O1257" s="3" t="str">
        <f>IF(_xlfn.IFNA(MATCH(B1257,Table1[UID],0),"F")="F","F","T")</f>
        <v>T</v>
      </c>
    </row>
    <row r="1258" spans="2:15" x14ac:dyDescent="0.25">
      <c r="B1258" s="42" t="str">
        <f t="shared" si="40"/>
        <v>ER_LWSTN/EVAPORATION-RATE</v>
      </c>
      <c r="C1258" t="s">
        <v>4359</v>
      </c>
      <c r="D1258" t="s">
        <v>4356</v>
      </c>
      <c r="E1258" t="s">
        <v>4597</v>
      </c>
      <c r="F1258">
        <v>230</v>
      </c>
      <c r="G1258" t="s">
        <v>4597</v>
      </c>
      <c r="H1258" t="s">
        <v>0</v>
      </c>
      <c r="I1258" t="s">
        <v>1285</v>
      </c>
      <c r="J1258" t="s">
        <v>1182</v>
      </c>
      <c r="L1258" t="s">
        <v>3</v>
      </c>
      <c r="M1258" t="s">
        <v>4</v>
      </c>
      <c r="N1258" s="3" t="str">
        <f t="shared" si="39"/>
        <v>F</v>
      </c>
      <c r="O1258" s="3" t="str">
        <f>IF(_xlfn.IFNA(MATCH(B1258,Table1[UID],0),"F")="F","F","T")</f>
        <v>T</v>
      </c>
    </row>
    <row r="1259" spans="2:15" x14ac:dyDescent="0.25">
      <c r="B1259" s="42" t="str">
        <f t="shared" si="40"/>
        <v>ER_LYONS/EVAPORATION-RATE</v>
      </c>
      <c r="C1259" t="s">
        <v>4359</v>
      </c>
      <c r="D1259" t="s">
        <v>4356</v>
      </c>
      <c r="E1259" t="s">
        <v>4598</v>
      </c>
      <c r="F1259">
        <v>231</v>
      </c>
      <c r="G1259" t="s">
        <v>4598</v>
      </c>
      <c r="H1259" t="s">
        <v>0</v>
      </c>
      <c r="I1259" t="s">
        <v>1287</v>
      </c>
      <c r="J1259" t="s">
        <v>1182</v>
      </c>
      <c r="L1259" t="s">
        <v>3</v>
      </c>
      <c r="M1259" t="s">
        <v>4</v>
      </c>
      <c r="N1259" s="3" t="str">
        <f t="shared" si="39"/>
        <v>F</v>
      </c>
      <c r="O1259" s="3" t="str">
        <f>IF(_xlfn.IFNA(MATCH(B1259,Table1[UID],0),"F")="F","F","T")</f>
        <v>T</v>
      </c>
    </row>
    <row r="1260" spans="2:15" x14ac:dyDescent="0.25">
      <c r="B1260" s="42" t="str">
        <f t="shared" si="40"/>
        <v>ER_MAMTH/EVAPORATION-RATE</v>
      </c>
      <c r="C1260" t="s">
        <v>4359</v>
      </c>
      <c r="D1260" t="s">
        <v>4356</v>
      </c>
      <c r="E1260" t="s">
        <v>4599</v>
      </c>
      <c r="F1260">
        <v>232</v>
      </c>
      <c r="G1260" t="s">
        <v>4599</v>
      </c>
      <c r="H1260" t="s">
        <v>0</v>
      </c>
      <c r="I1260" t="s">
        <v>1289</v>
      </c>
      <c r="J1260" t="s">
        <v>1182</v>
      </c>
      <c r="L1260" t="s">
        <v>3</v>
      </c>
      <c r="M1260" t="s">
        <v>4</v>
      </c>
      <c r="N1260" s="3" t="str">
        <f t="shared" si="39"/>
        <v>F</v>
      </c>
      <c r="O1260" s="3" t="str">
        <f>IF(_xlfn.IFNA(MATCH(B1260,Table1[UID],0),"F")="F","F","T")</f>
        <v>T</v>
      </c>
    </row>
    <row r="1261" spans="2:15" x14ac:dyDescent="0.25">
      <c r="B1261" s="42" t="str">
        <f t="shared" si="40"/>
        <v>ER_MCLRE/EVAPORATION-RATE</v>
      </c>
      <c r="C1261" t="s">
        <v>4359</v>
      </c>
      <c r="D1261" t="s">
        <v>4356</v>
      </c>
      <c r="E1261" t="s">
        <v>4600</v>
      </c>
      <c r="F1261">
        <v>233</v>
      </c>
      <c r="G1261" t="s">
        <v>4600</v>
      </c>
      <c r="H1261" t="s">
        <v>0</v>
      </c>
      <c r="I1261" t="s">
        <v>1291</v>
      </c>
      <c r="J1261" t="s">
        <v>1182</v>
      </c>
      <c r="L1261" t="s">
        <v>3</v>
      </c>
      <c r="M1261" t="s">
        <v>4</v>
      </c>
      <c r="N1261" s="3" t="str">
        <f t="shared" si="39"/>
        <v>F</v>
      </c>
      <c r="O1261" s="3" t="str">
        <f>IF(_xlfn.IFNA(MATCH(B1261,Table1[UID],0),"F")="F","F","T")</f>
        <v>T</v>
      </c>
    </row>
    <row r="1262" spans="2:15" x14ac:dyDescent="0.25">
      <c r="B1262" s="42" t="str">
        <f t="shared" si="40"/>
        <v>ER_MDSTO/EVAPORATION-RATE</v>
      </c>
      <c r="C1262" t="s">
        <v>4359</v>
      </c>
      <c r="D1262" t="s">
        <v>4356</v>
      </c>
      <c r="E1262" t="s">
        <v>4601</v>
      </c>
      <c r="F1262">
        <v>234</v>
      </c>
      <c r="G1262" t="s">
        <v>4601</v>
      </c>
      <c r="H1262" t="s">
        <v>0</v>
      </c>
      <c r="I1262" t="s">
        <v>1293</v>
      </c>
      <c r="J1262" t="s">
        <v>1182</v>
      </c>
      <c r="L1262" t="s">
        <v>3</v>
      </c>
      <c r="M1262" t="s">
        <v>4</v>
      </c>
      <c r="N1262" s="3" t="str">
        <f t="shared" si="39"/>
        <v>F</v>
      </c>
      <c r="O1262" s="3" t="str">
        <f>IF(_xlfn.IFNA(MATCH(B1262,Table1[UID],0),"F")="F","F","T")</f>
        <v>T</v>
      </c>
    </row>
    <row r="1263" spans="2:15" x14ac:dyDescent="0.25">
      <c r="B1263" s="42" t="str">
        <f t="shared" si="40"/>
        <v>ER_MELON/EVAPORATION-RATE</v>
      </c>
      <c r="C1263" t="s">
        <v>4359</v>
      </c>
      <c r="D1263" t="s">
        <v>4356</v>
      </c>
      <c r="E1263" t="s">
        <v>4602</v>
      </c>
      <c r="F1263">
        <v>235</v>
      </c>
      <c r="G1263" t="s">
        <v>4602</v>
      </c>
      <c r="H1263" t="s">
        <v>0</v>
      </c>
      <c r="I1263" t="s">
        <v>1295</v>
      </c>
      <c r="J1263" t="s">
        <v>1182</v>
      </c>
      <c r="L1263" t="s">
        <v>3</v>
      </c>
      <c r="M1263" t="s">
        <v>4</v>
      </c>
      <c r="N1263" s="3" t="str">
        <f t="shared" si="39"/>
        <v>F</v>
      </c>
      <c r="O1263" s="3" t="str">
        <f>IF(_xlfn.IFNA(MATCH(B1263,Table1[UID],0),"F")="F","F","T")</f>
        <v>T</v>
      </c>
    </row>
    <row r="1264" spans="2:15" x14ac:dyDescent="0.25">
      <c r="B1264" s="42" t="str">
        <f t="shared" si="40"/>
        <v>ER_MERLC/EVAPORATION-RATE</v>
      </c>
      <c r="C1264" t="s">
        <v>4359</v>
      </c>
      <c r="D1264" t="s">
        <v>4356</v>
      </c>
      <c r="E1264" t="s">
        <v>4603</v>
      </c>
      <c r="F1264">
        <v>236</v>
      </c>
      <c r="G1264" t="s">
        <v>4603</v>
      </c>
      <c r="H1264" t="s">
        <v>0</v>
      </c>
      <c r="I1264" t="s">
        <v>1297</v>
      </c>
      <c r="J1264" t="s">
        <v>1182</v>
      </c>
      <c r="L1264" t="s">
        <v>3</v>
      </c>
      <c r="M1264" t="s">
        <v>4</v>
      </c>
      <c r="N1264" s="3" t="str">
        <f t="shared" si="39"/>
        <v>F</v>
      </c>
      <c r="O1264" s="3" t="str">
        <f>IF(_xlfn.IFNA(MATCH(B1264,Table1[UID],0),"F")="F","F","T")</f>
        <v>T</v>
      </c>
    </row>
    <row r="1265" spans="2:15" x14ac:dyDescent="0.25">
      <c r="B1265" s="42" t="str">
        <f t="shared" si="40"/>
        <v>ER_MLRTN/EVAPORATION-RATE</v>
      </c>
      <c r="C1265" t="s">
        <v>4359</v>
      </c>
      <c r="D1265" t="s">
        <v>4356</v>
      </c>
      <c r="E1265" t="s">
        <v>4604</v>
      </c>
      <c r="F1265">
        <v>237</v>
      </c>
      <c r="G1265" t="s">
        <v>4604</v>
      </c>
      <c r="H1265" t="s">
        <v>0</v>
      </c>
      <c r="I1265" t="s">
        <v>1299</v>
      </c>
      <c r="J1265" t="s">
        <v>1182</v>
      </c>
      <c r="L1265" t="s">
        <v>3</v>
      </c>
      <c r="M1265" t="s">
        <v>4</v>
      </c>
      <c r="N1265" s="3" t="str">
        <f t="shared" si="39"/>
        <v>F</v>
      </c>
      <c r="O1265" s="3" t="str">
        <f>IF(_xlfn.IFNA(MATCH(B1265,Table1[UID],0),"F")="F","F","T")</f>
        <v>T</v>
      </c>
    </row>
    <row r="1266" spans="2:15" x14ac:dyDescent="0.25">
      <c r="B1266" s="42" t="str">
        <f t="shared" si="40"/>
        <v>ER_MTMDW/EVAPORATION-RATE</v>
      </c>
      <c r="C1266" t="s">
        <v>4359</v>
      </c>
      <c r="D1266" t="s">
        <v>4356</v>
      </c>
      <c r="E1266" t="s">
        <v>4605</v>
      </c>
      <c r="F1266">
        <v>238</v>
      </c>
      <c r="G1266" t="s">
        <v>4605</v>
      </c>
      <c r="H1266" t="s">
        <v>0</v>
      </c>
      <c r="I1266" t="s">
        <v>1301</v>
      </c>
      <c r="J1266" t="s">
        <v>1182</v>
      </c>
      <c r="L1266" t="s">
        <v>3</v>
      </c>
      <c r="M1266" t="s">
        <v>4</v>
      </c>
      <c r="N1266" s="3" t="str">
        <f t="shared" si="39"/>
        <v>F</v>
      </c>
      <c r="O1266" s="3" t="str">
        <f>IF(_xlfn.IFNA(MATCH(B1266,Table1[UID],0),"F")="F","F","T")</f>
        <v>T</v>
      </c>
    </row>
    <row r="1267" spans="2:15" x14ac:dyDescent="0.25">
      <c r="B1267" s="42" t="str">
        <f t="shared" si="40"/>
        <v>ER_NBLDB/EVAPORATION-RATE</v>
      </c>
      <c r="C1267" t="s">
        <v>4359</v>
      </c>
      <c r="D1267" t="s">
        <v>4356</v>
      </c>
      <c r="E1267" t="s">
        <v>4606</v>
      </c>
      <c r="F1267">
        <v>239</v>
      </c>
      <c r="G1267" t="s">
        <v>4606</v>
      </c>
      <c r="H1267" t="s">
        <v>0</v>
      </c>
      <c r="I1267" t="s">
        <v>1303</v>
      </c>
      <c r="J1267" t="s">
        <v>1182</v>
      </c>
      <c r="L1267" t="s">
        <v>3</v>
      </c>
      <c r="M1267" t="s">
        <v>4</v>
      </c>
      <c r="N1267" s="3" t="str">
        <f t="shared" si="39"/>
        <v>F</v>
      </c>
      <c r="O1267" s="3" t="str">
        <f>IF(_xlfn.IFNA(MATCH(B1267,Table1[UID],0),"F")="F","F","T")</f>
        <v>T</v>
      </c>
    </row>
    <row r="1268" spans="2:15" x14ac:dyDescent="0.25">
      <c r="B1268" s="42" t="str">
        <f t="shared" si="40"/>
        <v>ER_NHGAN/EVAPORATION-RATE</v>
      </c>
      <c r="C1268" t="s">
        <v>4359</v>
      </c>
      <c r="D1268" t="s">
        <v>4356</v>
      </c>
      <c r="E1268" t="s">
        <v>4607</v>
      </c>
      <c r="F1268">
        <v>240</v>
      </c>
      <c r="G1268" t="s">
        <v>4607</v>
      </c>
      <c r="H1268" t="s">
        <v>0</v>
      </c>
      <c r="I1268" t="s">
        <v>1305</v>
      </c>
      <c r="J1268" t="s">
        <v>1182</v>
      </c>
      <c r="L1268" t="s">
        <v>3</v>
      </c>
      <c r="M1268" t="s">
        <v>4</v>
      </c>
      <c r="N1268" s="3" t="str">
        <f t="shared" si="39"/>
        <v>F</v>
      </c>
      <c r="O1268" s="3" t="str">
        <f>IF(_xlfn.IFNA(MATCH(B1268,Table1[UID],0),"F")="F","F","T")</f>
        <v>T</v>
      </c>
    </row>
    <row r="1269" spans="2:15" x14ac:dyDescent="0.25">
      <c r="B1269" s="42" t="str">
        <f t="shared" si="40"/>
        <v>ER_NTOMA/EVAPORATION-RATE</v>
      </c>
      <c r="C1269" t="s">
        <v>4359</v>
      </c>
      <c r="D1269" t="s">
        <v>4356</v>
      </c>
      <c r="E1269" t="s">
        <v>4608</v>
      </c>
      <c r="F1269">
        <v>241</v>
      </c>
      <c r="G1269" t="s">
        <v>4608</v>
      </c>
      <c r="H1269" t="s">
        <v>0</v>
      </c>
      <c r="I1269" t="s">
        <v>1307</v>
      </c>
      <c r="J1269" t="s">
        <v>1182</v>
      </c>
      <c r="L1269" t="s">
        <v>3</v>
      </c>
      <c r="M1269" t="s">
        <v>4</v>
      </c>
      <c r="N1269" s="3" t="str">
        <f t="shared" si="39"/>
        <v>F</v>
      </c>
      <c r="O1269" s="3" t="str">
        <f>IF(_xlfn.IFNA(MATCH(B1269,Table1[UID],0),"F")="F","F","T")</f>
        <v>T</v>
      </c>
    </row>
    <row r="1270" spans="2:15" x14ac:dyDescent="0.25">
      <c r="B1270" s="42" t="str">
        <f t="shared" si="40"/>
        <v>ER_OROVL/EVAPORATION-RATE</v>
      </c>
      <c r="C1270" t="s">
        <v>4359</v>
      </c>
      <c r="D1270" t="s">
        <v>4356</v>
      </c>
      <c r="E1270" t="s">
        <v>4609</v>
      </c>
      <c r="F1270">
        <v>242</v>
      </c>
      <c r="G1270" t="s">
        <v>4609</v>
      </c>
      <c r="H1270" t="s">
        <v>0</v>
      </c>
      <c r="I1270" t="s">
        <v>1309</v>
      </c>
      <c r="J1270" t="s">
        <v>1182</v>
      </c>
      <c r="L1270" t="s">
        <v>3</v>
      </c>
      <c r="M1270" t="s">
        <v>4</v>
      </c>
      <c r="N1270" s="3" t="str">
        <f t="shared" si="39"/>
        <v>F</v>
      </c>
      <c r="O1270" s="3" t="str">
        <f>IF(_xlfn.IFNA(MATCH(B1270,Table1[UID],0),"F")="F","F","T")</f>
        <v>T</v>
      </c>
    </row>
    <row r="1271" spans="2:15" x14ac:dyDescent="0.25">
      <c r="B1271" s="42" t="str">
        <f t="shared" si="40"/>
        <v>ER_PARDE/EVAPORATION-RATE</v>
      </c>
      <c r="C1271" t="s">
        <v>4359</v>
      </c>
      <c r="D1271" t="s">
        <v>4356</v>
      </c>
      <c r="E1271" t="s">
        <v>4610</v>
      </c>
      <c r="F1271">
        <v>243</v>
      </c>
      <c r="G1271" t="s">
        <v>4610</v>
      </c>
      <c r="H1271" t="s">
        <v>0</v>
      </c>
      <c r="I1271" t="s">
        <v>1311</v>
      </c>
      <c r="J1271" t="s">
        <v>1182</v>
      </c>
      <c r="L1271" t="s">
        <v>3</v>
      </c>
      <c r="M1271" t="s">
        <v>4</v>
      </c>
      <c r="N1271" s="3" t="str">
        <f t="shared" si="39"/>
        <v>F</v>
      </c>
      <c r="O1271" s="3" t="str">
        <f>IF(_xlfn.IFNA(MATCH(B1271,Table1[UID],0),"F")="F","F","T")</f>
        <v>T</v>
      </c>
    </row>
    <row r="1272" spans="2:15" x14ac:dyDescent="0.25">
      <c r="B1272" s="42" t="str">
        <f t="shared" si="40"/>
        <v>ER_PCRST/EVAPORATION-RATE</v>
      </c>
      <c r="C1272" t="s">
        <v>4359</v>
      </c>
      <c r="D1272" t="s">
        <v>4356</v>
      </c>
      <c r="E1272" t="s">
        <v>4611</v>
      </c>
      <c r="F1272">
        <v>244</v>
      </c>
      <c r="G1272" t="s">
        <v>4611</v>
      </c>
      <c r="H1272" t="s">
        <v>0</v>
      </c>
      <c r="I1272" t="s">
        <v>1313</v>
      </c>
      <c r="J1272" t="s">
        <v>1182</v>
      </c>
      <c r="L1272" t="s">
        <v>3</v>
      </c>
      <c r="M1272" t="s">
        <v>4</v>
      </c>
      <c r="N1272" s="3" t="str">
        <f t="shared" si="39"/>
        <v>F</v>
      </c>
      <c r="O1272" s="3" t="str">
        <f>IF(_xlfn.IFNA(MATCH(B1272,Table1[UID],0),"F")="F","F","T")</f>
        <v>T</v>
      </c>
    </row>
    <row r="1273" spans="2:15" x14ac:dyDescent="0.25">
      <c r="B1273" s="42" t="str">
        <f t="shared" si="40"/>
        <v>ER_PEDRO/EVAPORATION-RATE</v>
      </c>
      <c r="C1273" t="s">
        <v>4359</v>
      </c>
      <c r="D1273" t="s">
        <v>4356</v>
      </c>
      <c r="E1273" t="s">
        <v>4612</v>
      </c>
      <c r="F1273">
        <v>245</v>
      </c>
      <c r="G1273" t="s">
        <v>4612</v>
      </c>
      <c r="H1273" t="s">
        <v>0</v>
      </c>
      <c r="I1273" t="s">
        <v>1315</v>
      </c>
      <c r="J1273" t="s">
        <v>1182</v>
      </c>
      <c r="L1273" t="s">
        <v>3</v>
      </c>
      <c r="M1273" t="s">
        <v>4</v>
      </c>
      <c r="N1273" s="3" t="str">
        <f t="shared" si="39"/>
        <v>F</v>
      </c>
      <c r="O1273" s="3" t="str">
        <f>IF(_xlfn.IFNA(MATCH(B1273,Table1[UID],0),"F")="F","F","T")</f>
        <v>T</v>
      </c>
    </row>
    <row r="1274" spans="2:15" x14ac:dyDescent="0.25">
      <c r="B1274" s="42" t="str">
        <f t="shared" si="40"/>
        <v>ER_PRRIS/EVAPORATION-RATE</v>
      </c>
      <c r="C1274" t="s">
        <v>4359</v>
      </c>
      <c r="D1274" t="s">
        <v>4356</v>
      </c>
      <c r="E1274" t="s">
        <v>4613</v>
      </c>
      <c r="F1274">
        <v>246</v>
      </c>
      <c r="G1274" t="s">
        <v>4613</v>
      </c>
      <c r="H1274" t="s">
        <v>0</v>
      </c>
      <c r="I1274" t="s">
        <v>1317</v>
      </c>
      <c r="J1274" t="s">
        <v>1182</v>
      </c>
      <c r="L1274" t="s">
        <v>3</v>
      </c>
      <c r="M1274" t="s">
        <v>4</v>
      </c>
      <c r="N1274" s="3" t="str">
        <f t="shared" si="39"/>
        <v>F</v>
      </c>
      <c r="O1274" s="3" t="str">
        <f>IF(_xlfn.IFNA(MATCH(B1274,Table1[UID],0),"F")="F","F","T")</f>
        <v>T</v>
      </c>
    </row>
    <row r="1275" spans="2:15" x14ac:dyDescent="0.25">
      <c r="B1275" s="42" t="str">
        <f t="shared" si="40"/>
        <v>ER_PYRMD/EVAPORATION-RATE</v>
      </c>
      <c r="C1275" t="s">
        <v>4359</v>
      </c>
      <c r="D1275" t="s">
        <v>4356</v>
      </c>
      <c r="E1275" t="s">
        <v>4614</v>
      </c>
      <c r="F1275">
        <v>247</v>
      </c>
      <c r="G1275" t="s">
        <v>4614</v>
      </c>
      <c r="H1275" t="s">
        <v>0</v>
      </c>
      <c r="I1275" t="s">
        <v>1319</v>
      </c>
      <c r="J1275" t="s">
        <v>1182</v>
      </c>
      <c r="L1275" t="s">
        <v>3</v>
      </c>
      <c r="M1275" t="s">
        <v>4</v>
      </c>
      <c r="N1275" s="3" t="str">
        <f t="shared" si="39"/>
        <v>F</v>
      </c>
      <c r="O1275" s="3" t="str">
        <f>IF(_xlfn.IFNA(MATCH(B1275,Table1[UID],0),"F")="F","F","T")</f>
        <v>T</v>
      </c>
    </row>
    <row r="1276" spans="2:15" x14ac:dyDescent="0.25">
      <c r="B1276" s="42" t="str">
        <f t="shared" si="40"/>
        <v>ER_RDNGR/EVAPORATION-RATE</v>
      </c>
      <c r="C1276" t="s">
        <v>4359</v>
      </c>
      <c r="D1276" t="s">
        <v>4356</v>
      </c>
      <c r="E1276" t="s">
        <v>4615</v>
      </c>
      <c r="F1276">
        <v>248</v>
      </c>
      <c r="G1276" t="s">
        <v>4615</v>
      </c>
      <c r="H1276" t="s">
        <v>0</v>
      </c>
      <c r="I1276" t="s">
        <v>1321</v>
      </c>
      <c r="J1276" t="s">
        <v>1182</v>
      </c>
      <c r="L1276" t="s">
        <v>3</v>
      </c>
      <c r="M1276" t="s">
        <v>4</v>
      </c>
      <c r="N1276" s="3" t="str">
        <f t="shared" si="39"/>
        <v>F</v>
      </c>
      <c r="O1276" s="3" t="str">
        <f>IF(_xlfn.IFNA(MATCH(B1276,Table1[UID],0),"F")="F","F","T")</f>
        <v>T</v>
      </c>
    </row>
    <row r="1277" spans="2:15" x14ac:dyDescent="0.25">
      <c r="B1277" s="42" t="str">
        <f t="shared" si="40"/>
        <v>ER_RLIEF/EVAPORATION-RATE</v>
      </c>
      <c r="C1277" t="s">
        <v>4359</v>
      </c>
      <c r="D1277" t="s">
        <v>4356</v>
      </c>
      <c r="E1277" t="s">
        <v>4616</v>
      </c>
      <c r="F1277">
        <v>249</v>
      </c>
      <c r="G1277" t="s">
        <v>4616</v>
      </c>
      <c r="H1277" t="s">
        <v>0</v>
      </c>
      <c r="I1277" t="s">
        <v>1323</v>
      </c>
      <c r="J1277" t="s">
        <v>1182</v>
      </c>
      <c r="L1277" t="s">
        <v>3</v>
      </c>
      <c r="M1277" t="s">
        <v>4</v>
      </c>
      <c r="N1277" s="3" t="str">
        <f t="shared" si="39"/>
        <v>F</v>
      </c>
      <c r="O1277" s="3" t="str">
        <f>IF(_xlfn.IFNA(MATCH(B1277,Table1[UID],0),"F")="F","F","T")</f>
        <v>T</v>
      </c>
    </row>
    <row r="1278" spans="2:15" x14ac:dyDescent="0.25">
      <c r="B1278" s="42" t="str">
        <f t="shared" si="40"/>
        <v>ER_RLLNS/EVAPORATION-RATE</v>
      </c>
      <c r="C1278" t="s">
        <v>4359</v>
      </c>
      <c r="D1278" t="s">
        <v>4356</v>
      </c>
      <c r="E1278" t="s">
        <v>4617</v>
      </c>
      <c r="F1278">
        <v>250</v>
      </c>
      <c r="G1278" t="s">
        <v>4617</v>
      </c>
      <c r="H1278" t="s">
        <v>0</v>
      </c>
      <c r="I1278" t="s">
        <v>1325</v>
      </c>
      <c r="J1278" t="s">
        <v>1182</v>
      </c>
      <c r="L1278" t="s">
        <v>3</v>
      </c>
      <c r="M1278" t="s">
        <v>4</v>
      </c>
      <c r="N1278" s="3" t="str">
        <f t="shared" si="39"/>
        <v>F</v>
      </c>
      <c r="O1278" s="3" t="str">
        <f>IF(_xlfn.IFNA(MATCH(B1278,Table1[UID],0),"F")="F","F","T")</f>
        <v>T</v>
      </c>
    </row>
    <row r="1279" spans="2:15" x14ac:dyDescent="0.25">
      <c r="B1279" s="42" t="str">
        <f t="shared" si="40"/>
        <v>ER_RNCHO/EVAPORATION-RATE</v>
      </c>
      <c r="C1279" t="s">
        <v>4359</v>
      </c>
      <c r="D1279" t="s">
        <v>4356</v>
      </c>
      <c r="E1279" t="s">
        <v>4618</v>
      </c>
      <c r="F1279">
        <v>251</v>
      </c>
      <c r="G1279" t="s">
        <v>4618</v>
      </c>
      <c r="H1279" t="s">
        <v>0</v>
      </c>
      <c r="I1279" t="s">
        <v>1327</v>
      </c>
      <c r="J1279" t="s">
        <v>1182</v>
      </c>
      <c r="L1279" t="s">
        <v>3</v>
      </c>
      <c r="M1279" t="s">
        <v>4</v>
      </c>
      <c r="N1279" s="3" t="str">
        <f t="shared" si="39"/>
        <v>F</v>
      </c>
      <c r="O1279" s="3" t="str">
        <f>IF(_xlfn.IFNA(MATCH(B1279,Table1[UID],0),"F")="F","F","T")</f>
        <v>T</v>
      </c>
    </row>
    <row r="1280" spans="2:15" x14ac:dyDescent="0.25">
      <c r="B1280" s="42" t="str">
        <f t="shared" si="40"/>
        <v>ER_RVPHB/EVAPORATION-RATE</v>
      </c>
      <c r="C1280" t="s">
        <v>4359</v>
      </c>
      <c r="D1280" t="s">
        <v>4356</v>
      </c>
      <c r="E1280" t="s">
        <v>4619</v>
      </c>
      <c r="F1280">
        <v>252</v>
      </c>
      <c r="G1280" t="s">
        <v>4619</v>
      </c>
      <c r="H1280" t="s">
        <v>0</v>
      </c>
      <c r="I1280" t="s">
        <v>1329</v>
      </c>
      <c r="J1280" t="s">
        <v>1182</v>
      </c>
      <c r="L1280" t="s">
        <v>3</v>
      </c>
      <c r="M1280" t="s">
        <v>4</v>
      </c>
      <c r="N1280" s="3" t="str">
        <f t="shared" si="39"/>
        <v>F</v>
      </c>
      <c r="O1280" s="3" t="str">
        <f>IF(_xlfn.IFNA(MATCH(B1280,Table1[UID],0),"F")="F","F","T")</f>
        <v>T</v>
      </c>
    </row>
    <row r="1281" spans="2:15" x14ac:dyDescent="0.25">
      <c r="B1281" s="42" t="str">
        <f t="shared" si="40"/>
        <v>ER_S17/EVAPORATION-RATE</v>
      </c>
      <c r="C1281" t="s">
        <v>4359</v>
      </c>
      <c r="D1281" t="s">
        <v>4356</v>
      </c>
      <c r="E1281" t="s">
        <v>4620</v>
      </c>
      <c r="F1281">
        <v>253</v>
      </c>
      <c r="G1281" t="s">
        <v>4620</v>
      </c>
      <c r="H1281" t="s">
        <v>0</v>
      </c>
      <c r="I1281" t="s">
        <v>2283</v>
      </c>
      <c r="J1281" t="s">
        <v>1182</v>
      </c>
      <c r="L1281" t="s">
        <v>3</v>
      </c>
      <c r="M1281" t="s">
        <v>4</v>
      </c>
      <c r="N1281" s="3" t="str">
        <f t="shared" si="39"/>
        <v>F</v>
      </c>
      <c r="O1281" s="3" t="str">
        <f>IF(_xlfn.IFNA(MATCH(B1281,Table1[UID],0),"F")="F","F","T")</f>
        <v>T</v>
      </c>
    </row>
    <row r="1282" spans="2:15" x14ac:dyDescent="0.25">
      <c r="B1282" s="42" t="str">
        <f t="shared" si="40"/>
        <v>ER_S30/EVAPORATION-RATE</v>
      </c>
      <c r="C1282" t="s">
        <v>4359</v>
      </c>
      <c r="D1282" t="s">
        <v>4356</v>
      </c>
      <c r="E1282" t="s">
        <v>4621</v>
      </c>
      <c r="F1282">
        <v>254</v>
      </c>
      <c r="G1282" t="s">
        <v>4621</v>
      </c>
      <c r="H1282" t="s">
        <v>0</v>
      </c>
      <c r="I1282" t="s">
        <v>1996</v>
      </c>
      <c r="J1282" t="s">
        <v>1182</v>
      </c>
      <c r="L1282" t="s">
        <v>3</v>
      </c>
      <c r="M1282" t="s">
        <v>4</v>
      </c>
      <c r="N1282" s="3" t="str">
        <f t="shared" si="39"/>
        <v>F</v>
      </c>
      <c r="O1282" s="3" t="str">
        <f>IF(_xlfn.IFNA(MATCH(B1282,Table1[UID],0),"F")="F","F","T")</f>
        <v>T</v>
      </c>
    </row>
    <row r="1283" spans="2:15" x14ac:dyDescent="0.25">
      <c r="B1283" s="42" t="str">
        <f t="shared" si="40"/>
        <v>ER_SCOTF/EVAPORATION-RATE</v>
      </c>
      <c r="C1283" t="s">
        <v>4359</v>
      </c>
      <c r="D1283" t="s">
        <v>4356</v>
      </c>
      <c r="E1283" t="s">
        <v>4622</v>
      </c>
      <c r="F1283">
        <v>255</v>
      </c>
      <c r="G1283" t="s">
        <v>4622</v>
      </c>
      <c r="H1283" t="s">
        <v>0</v>
      </c>
      <c r="I1283" t="s">
        <v>1331</v>
      </c>
      <c r="J1283" t="s">
        <v>1182</v>
      </c>
      <c r="L1283" t="s">
        <v>3</v>
      </c>
      <c r="M1283" t="s">
        <v>4</v>
      </c>
      <c r="N1283" s="3" t="str">
        <f t="shared" ref="N1283:N1346" si="41">IF(COUNTIF($B$3:$B$1760,"="&amp;B1283)&gt;1,"T","F")</f>
        <v>F</v>
      </c>
      <c r="O1283" s="3" t="str">
        <f>IF(_xlfn.IFNA(MATCH(B1283,Table1[UID],0),"F")="F","F","T")</f>
        <v>T</v>
      </c>
    </row>
    <row r="1284" spans="2:15" x14ac:dyDescent="0.25">
      <c r="B1284" s="42" t="str">
        <f t="shared" si="40"/>
        <v>ER_SGRGE/EVAPORATION-RATE</v>
      </c>
      <c r="C1284" t="s">
        <v>4359</v>
      </c>
      <c r="D1284" t="s">
        <v>4356</v>
      </c>
      <c r="E1284" t="s">
        <v>4623</v>
      </c>
      <c r="F1284">
        <v>256</v>
      </c>
      <c r="G1284" t="s">
        <v>4623</v>
      </c>
      <c r="H1284" t="s">
        <v>0</v>
      </c>
      <c r="I1284" t="s">
        <v>1333</v>
      </c>
      <c r="J1284" t="s">
        <v>1182</v>
      </c>
      <c r="L1284" t="s">
        <v>3</v>
      </c>
      <c r="M1284" t="s">
        <v>4</v>
      </c>
      <c r="N1284" s="3" t="str">
        <f t="shared" si="41"/>
        <v>F</v>
      </c>
      <c r="O1284" s="3" t="str">
        <f>IF(_xlfn.IFNA(MATCH(B1284,Table1[UID],0),"F")="F","F","T")</f>
        <v>T</v>
      </c>
    </row>
    <row r="1285" spans="2:15" x14ac:dyDescent="0.25">
      <c r="B1285" s="42" t="str">
        <f t="shared" si="40"/>
        <v>ER_SHSTA/EVAPORATION-RATE</v>
      </c>
      <c r="C1285" t="s">
        <v>4359</v>
      </c>
      <c r="D1285" t="s">
        <v>4356</v>
      </c>
      <c r="E1285" t="s">
        <v>4624</v>
      </c>
      <c r="F1285">
        <v>257</v>
      </c>
      <c r="G1285" t="s">
        <v>4624</v>
      </c>
      <c r="H1285" t="s">
        <v>0</v>
      </c>
      <c r="I1285" t="s">
        <v>1335</v>
      </c>
      <c r="J1285" t="s">
        <v>1182</v>
      </c>
      <c r="L1285" t="s">
        <v>3</v>
      </c>
      <c r="M1285" t="s">
        <v>4</v>
      </c>
      <c r="N1285" s="3" t="str">
        <f t="shared" si="41"/>
        <v>F</v>
      </c>
      <c r="O1285" s="3" t="str">
        <f>IF(_xlfn.IFNA(MATCH(B1285,Table1[UID],0),"F")="F","F","T")</f>
        <v>T</v>
      </c>
    </row>
    <row r="1286" spans="2:15" x14ac:dyDescent="0.25">
      <c r="B1286" s="42" t="str">
        <f t="shared" si="40"/>
        <v>ER_SHVER/EVAPORATION-RATE</v>
      </c>
      <c r="C1286" t="s">
        <v>4359</v>
      </c>
      <c r="D1286" t="s">
        <v>4356</v>
      </c>
      <c r="E1286" t="s">
        <v>4625</v>
      </c>
      <c r="F1286">
        <v>258</v>
      </c>
      <c r="G1286" t="s">
        <v>4625</v>
      </c>
      <c r="H1286" t="s">
        <v>0</v>
      </c>
      <c r="I1286" t="s">
        <v>1337</v>
      </c>
      <c r="J1286" t="s">
        <v>1182</v>
      </c>
      <c r="L1286" t="s">
        <v>3</v>
      </c>
      <c r="M1286" t="s">
        <v>4</v>
      </c>
      <c r="N1286" s="3" t="str">
        <f t="shared" si="41"/>
        <v>F</v>
      </c>
      <c r="O1286" s="3" t="str">
        <f>IF(_xlfn.IFNA(MATCH(B1286,Table1[UID],0),"F")="F","F","T")</f>
        <v>T</v>
      </c>
    </row>
    <row r="1287" spans="2:15" x14ac:dyDescent="0.25">
      <c r="B1287" s="42" t="str">
        <f t="shared" si="40"/>
        <v>ER_SILVR/EVAPORATION-RATE</v>
      </c>
      <c r="C1287" t="s">
        <v>4359</v>
      </c>
      <c r="D1287" t="s">
        <v>4356</v>
      </c>
      <c r="E1287" t="s">
        <v>4626</v>
      </c>
      <c r="F1287">
        <v>259</v>
      </c>
      <c r="G1287" t="s">
        <v>4626</v>
      </c>
      <c r="H1287" t="s">
        <v>0</v>
      </c>
      <c r="I1287" t="s">
        <v>1339</v>
      </c>
      <c r="J1287" t="s">
        <v>1182</v>
      </c>
      <c r="L1287" t="s">
        <v>3</v>
      </c>
      <c r="M1287" t="s">
        <v>4</v>
      </c>
      <c r="N1287" s="3" t="str">
        <f t="shared" si="41"/>
        <v>F</v>
      </c>
      <c r="O1287" s="3" t="str">
        <f>IF(_xlfn.IFNA(MATCH(B1287,Table1[UID],0),"F")="F","F","T")</f>
        <v>T</v>
      </c>
    </row>
    <row r="1288" spans="2:15" x14ac:dyDescent="0.25">
      <c r="B1288" s="42" t="str">
        <f t="shared" si="40"/>
        <v>ER_SLTSP/EVAPORATION-RATE</v>
      </c>
      <c r="C1288" t="s">
        <v>4359</v>
      </c>
      <c r="D1288" t="s">
        <v>4356</v>
      </c>
      <c r="E1288" t="s">
        <v>4627</v>
      </c>
      <c r="F1288">
        <v>260</v>
      </c>
      <c r="G1288" t="s">
        <v>4627</v>
      </c>
      <c r="H1288" t="s">
        <v>0</v>
      </c>
      <c r="I1288" t="s">
        <v>1341</v>
      </c>
      <c r="J1288" t="s">
        <v>1182</v>
      </c>
      <c r="L1288" t="s">
        <v>3</v>
      </c>
      <c r="M1288" t="s">
        <v>4</v>
      </c>
      <c r="N1288" s="3" t="str">
        <f t="shared" si="41"/>
        <v>F</v>
      </c>
      <c r="O1288" s="3" t="str">
        <f>IF(_xlfn.IFNA(MATCH(B1288,Table1[UID],0),"F")="F","F","T")</f>
        <v>T</v>
      </c>
    </row>
    <row r="1289" spans="2:15" x14ac:dyDescent="0.25">
      <c r="B1289" s="42" t="str">
        <f t="shared" si="40"/>
        <v>ER_SLUIS/EVAPORATION-RATE</v>
      </c>
      <c r="C1289" t="s">
        <v>4359</v>
      </c>
      <c r="D1289" t="s">
        <v>4356</v>
      </c>
      <c r="E1289" t="s">
        <v>4628</v>
      </c>
      <c r="F1289">
        <v>261</v>
      </c>
      <c r="G1289" t="s">
        <v>4628</v>
      </c>
      <c r="H1289" t="s">
        <v>0</v>
      </c>
      <c r="I1289" t="s">
        <v>1343</v>
      </c>
      <c r="J1289" t="s">
        <v>1182</v>
      </c>
      <c r="L1289" t="s">
        <v>3</v>
      </c>
      <c r="M1289" t="s">
        <v>4</v>
      </c>
      <c r="N1289" s="3" t="str">
        <f t="shared" si="41"/>
        <v>F</v>
      </c>
      <c r="O1289" s="3" t="str">
        <f>IF(_xlfn.IFNA(MATCH(B1289,Table1[UID],0),"F")="F","F","T")</f>
        <v>T</v>
      </c>
    </row>
    <row r="1290" spans="2:15" x14ac:dyDescent="0.25">
      <c r="B1290" s="42" t="str">
        <f t="shared" ref="B1290:B1353" si="42">_xlfn.CONCAT(I1290,"/",J1290)</f>
        <v>ER_SLYCK/EVAPORATION-RATE</v>
      </c>
      <c r="C1290" t="s">
        <v>4359</v>
      </c>
      <c r="D1290" t="s">
        <v>4356</v>
      </c>
      <c r="E1290" t="s">
        <v>4629</v>
      </c>
      <c r="F1290">
        <v>262</v>
      </c>
      <c r="G1290" t="s">
        <v>4629</v>
      </c>
      <c r="H1290" t="s">
        <v>0</v>
      </c>
      <c r="I1290" t="s">
        <v>1345</v>
      </c>
      <c r="J1290" t="s">
        <v>1182</v>
      </c>
      <c r="L1290" t="s">
        <v>3</v>
      </c>
      <c r="M1290" t="s">
        <v>4</v>
      </c>
      <c r="N1290" s="3" t="str">
        <f t="shared" si="41"/>
        <v>F</v>
      </c>
      <c r="O1290" s="3" t="str">
        <f>IF(_xlfn.IFNA(MATCH(B1290,Table1[UID],0),"F")="F","F","T")</f>
        <v>T</v>
      </c>
    </row>
    <row r="1291" spans="2:15" x14ac:dyDescent="0.25">
      <c r="B1291" s="42" t="str">
        <f t="shared" si="42"/>
        <v>ER_SPICE/EVAPORATION-RATE</v>
      </c>
      <c r="C1291" t="s">
        <v>4359</v>
      </c>
      <c r="D1291" t="s">
        <v>4356</v>
      </c>
      <c r="E1291" t="s">
        <v>4630</v>
      </c>
      <c r="F1291">
        <v>263</v>
      </c>
      <c r="G1291" t="s">
        <v>4630</v>
      </c>
      <c r="H1291" t="s">
        <v>0</v>
      </c>
      <c r="I1291" t="s">
        <v>1347</v>
      </c>
      <c r="J1291" t="s">
        <v>1182</v>
      </c>
      <c r="L1291" t="s">
        <v>3</v>
      </c>
      <c r="M1291" t="s">
        <v>4</v>
      </c>
      <c r="N1291" s="3" t="str">
        <f t="shared" si="41"/>
        <v>F</v>
      </c>
      <c r="O1291" s="3" t="str">
        <f>IF(_xlfn.IFNA(MATCH(B1291,Table1[UID],0),"F")="F","F","T")</f>
        <v>T</v>
      </c>
    </row>
    <row r="1292" spans="2:15" x14ac:dyDescent="0.25">
      <c r="B1292" s="42" t="str">
        <f t="shared" si="42"/>
        <v>ER_SPLDG/EVAPORATION-RATE</v>
      </c>
      <c r="C1292" t="s">
        <v>4359</v>
      </c>
      <c r="D1292" t="s">
        <v>4356</v>
      </c>
      <c r="E1292" t="s">
        <v>4631</v>
      </c>
      <c r="F1292">
        <v>264</v>
      </c>
      <c r="G1292" t="s">
        <v>4631</v>
      </c>
      <c r="H1292" t="s">
        <v>0</v>
      </c>
      <c r="I1292" t="s">
        <v>1349</v>
      </c>
      <c r="J1292" t="s">
        <v>1182</v>
      </c>
      <c r="L1292" t="s">
        <v>3</v>
      </c>
      <c r="M1292" t="s">
        <v>4</v>
      </c>
      <c r="N1292" s="3" t="str">
        <f t="shared" si="41"/>
        <v>F</v>
      </c>
      <c r="O1292" s="3" t="str">
        <f>IF(_xlfn.IFNA(MATCH(B1292,Table1[UID],0),"F")="F","F","T")</f>
        <v>T</v>
      </c>
    </row>
    <row r="1293" spans="2:15" x14ac:dyDescent="0.25">
      <c r="B1293" s="42" t="str">
        <f t="shared" si="42"/>
        <v>ER_STMPY/EVAPORATION-RATE</v>
      </c>
      <c r="C1293" t="s">
        <v>4359</v>
      </c>
      <c r="D1293" t="s">
        <v>4356</v>
      </c>
      <c r="E1293" t="s">
        <v>4632</v>
      </c>
      <c r="F1293">
        <v>265</v>
      </c>
      <c r="G1293" t="s">
        <v>4632</v>
      </c>
      <c r="H1293" t="s">
        <v>0</v>
      </c>
      <c r="I1293" t="s">
        <v>1351</v>
      </c>
      <c r="J1293" t="s">
        <v>1182</v>
      </c>
      <c r="L1293" t="s">
        <v>3</v>
      </c>
      <c r="M1293" t="s">
        <v>4</v>
      </c>
      <c r="N1293" s="3" t="str">
        <f t="shared" si="41"/>
        <v>F</v>
      </c>
      <c r="O1293" s="3" t="str">
        <f>IF(_xlfn.IFNA(MATCH(B1293,Table1[UID],0),"F")="F","F","T")</f>
        <v>T</v>
      </c>
    </row>
    <row r="1294" spans="2:15" x14ac:dyDescent="0.25">
      <c r="B1294" s="42" t="str">
        <f t="shared" si="42"/>
        <v>ER_SVRWD/EVAPORATION-RATE</v>
      </c>
      <c r="C1294" t="s">
        <v>4359</v>
      </c>
      <c r="D1294" t="s">
        <v>4356</v>
      </c>
      <c r="E1294" t="s">
        <v>4633</v>
      </c>
      <c r="F1294">
        <v>266</v>
      </c>
      <c r="G1294" t="s">
        <v>4633</v>
      </c>
      <c r="H1294" t="s">
        <v>0</v>
      </c>
      <c r="I1294" t="s">
        <v>1353</v>
      </c>
      <c r="J1294" t="s">
        <v>1182</v>
      </c>
      <c r="L1294" t="s">
        <v>3</v>
      </c>
      <c r="M1294" t="s">
        <v>4</v>
      </c>
      <c r="N1294" s="3" t="str">
        <f t="shared" si="41"/>
        <v>F</v>
      </c>
      <c r="O1294" s="3" t="str">
        <f>IF(_xlfn.IFNA(MATCH(B1294,Table1[UID],0),"F")="F","F","T")</f>
        <v>T</v>
      </c>
    </row>
    <row r="1295" spans="2:15" x14ac:dyDescent="0.25">
      <c r="B1295" s="42" t="str">
        <f t="shared" si="42"/>
        <v>ER_THRMA/EVAPORATION-RATE</v>
      </c>
      <c r="C1295" t="s">
        <v>4359</v>
      </c>
      <c r="D1295" t="s">
        <v>4356</v>
      </c>
      <c r="E1295" t="s">
        <v>4634</v>
      </c>
      <c r="F1295">
        <v>267</v>
      </c>
      <c r="G1295" t="s">
        <v>4634</v>
      </c>
      <c r="H1295" t="s">
        <v>0</v>
      </c>
      <c r="I1295" t="s">
        <v>1355</v>
      </c>
      <c r="J1295" t="s">
        <v>1182</v>
      </c>
      <c r="L1295" t="s">
        <v>3</v>
      </c>
      <c r="M1295" t="s">
        <v>4</v>
      </c>
      <c r="N1295" s="3" t="str">
        <f t="shared" si="41"/>
        <v>F</v>
      </c>
      <c r="O1295" s="3" t="str">
        <f>IF(_xlfn.IFNA(MATCH(B1295,Table1[UID],0),"F")="F","F","T")</f>
        <v>T</v>
      </c>
    </row>
    <row r="1296" spans="2:15" x14ac:dyDescent="0.25">
      <c r="B1296" s="42" t="str">
        <f t="shared" si="42"/>
        <v>ER_THRMF/EVAPORATION-RATE</v>
      </c>
      <c r="C1296" t="s">
        <v>4359</v>
      </c>
      <c r="D1296" t="s">
        <v>4356</v>
      </c>
      <c r="E1296" t="s">
        <v>4635</v>
      </c>
      <c r="F1296">
        <v>268</v>
      </c>
      <c r="G1296" t="s">
        <v>4635</v>
      </c>
      <c r="H1296" t="s">
        <v>0</v>
      </c>
      <c r="I1296" t="s">
        <v>1357</v>
      </c>
      <c r="J1296" t="s">
        <v>1182</v>
      </c>
      <c r="L1296" t="s">
        <v>3</v>
      </c>
      <c r="M1296" t="s">
        <v>4</v>
      </c>
      <c r="N1296" s="3" t="str">
        <f t="shared" si="41"/>
        <v>F</v>
      </c>
      <c r="O1296" s="3" t="str">
        <f>IF(_xlfn.IFNA(MATCH(B1296,Table1[UID],0),"F")="F","F","T")</f>
        <v>T</v>
      </c>
    </row>
    <row r="1297" spans="2:15" x14ac:dyDescent="0.25">
      <c r="B1297" s="42" t="str">
        <f t="shared" si="42"/>
        <v>ER_TRLCK/EVAPORATION-RATE</v>
      </c>
      <c r="C1297" t="s">
        <v>4359</v>
      </c>
      <c r="D1297" t="s">
        <v>4356</v>
      </c>
      <c r="E1297" t="s">
        <v>4636</v>
      </c>
      <c r="F1297">
        <v>269</v>
      </c>
      <c r="G1297" t="s">
        <v>4636</v>
      </c>
      <c r="H1297" t="s">
        <v>0</v>
      </c>
      <c r="I1297" t="s">
        <v>1359</v>
      </c>
      <c r="J1297" t="s">
        <v>1182</v>
      </c>
      <c r="L1297" t="s">
        <v>3</v>
      </c>
      <c r="M1297" t="s">
        <v>4</v>
      </c>
      <c r="N1297" s="3" t="str">
        <f t="shared" si="41"/>
        <v>F</v>
      </c>
      <c r="O1297" s="3" t="str">
        <f>IF(_xlfn.IFNA(MATCH(B1297,Table1[UID],0),"F")="F","F","T")</f>
        <v>T</v>
      </c>
    </row>
    <row r="1298" spans="2:15" x14ac:dyDescent="0.25">
      <c r="B1298" s="42" t="str">
        <f t="shared" si="42"/>
        <v>ER_TRNTY/EVAPORATION-RATE</v>
      </c>
      <c r="C1298" t="s">
        <v>4359</v>
      </c>
      <c r="D1298" t="s">
        <v>4356</v>
      </c>
      <c r="E1298" t="s">
        <v>4637</v>
      </c>
      <c r="F1298">
        <v>270</v>
      </c>
      <c r="G1298" t="s">
        <v>4637</v>
      </c>
      <c r="H1298" t="s">
        <v>0</v>
      </c>
      <c r="I1298" t="s">
        <v>1361</v>
      </c>
      <c r="J1298" t="s">
        <v>1182</v>
      </c>
      <c r="L1298" t="s">
        <v>3</v>
      </c>
      <c r="M1298" t="s">
        <v>4</v>
      </c>
      <c r="N1298" s="3" t="str">
        <f t="shared" si="41"/>
        <v>F</v>
      </c>
      <c r="O1298" s="3" t="str">
        <f>IF(_xlfn.IFNA(MATCH(B1298,Table1[UID],0),"F")="F","F","T")</f>
        <v>T</v>
      </c>
    </row>
    <row r="1299" spans="2:15" x14ac:dyDescent="0.25">
      <c r="B1299" s="42" t="str">
        <f t="shared" si="42"/>
        <v>ER_TULOC/EVAPORATION-RATE</v>
      </c>
      <c r="C1299" t="s">
        <v>4359</v>
      </c>
      <c r="D1299" t="s">
        <v>4356</v>
      </c>
      <c r="E1299" t="s">
        <v>4638</v>
      </c>
      <c r="F1299">
        <v>271</v>
      </c>
      <c r="G1299" t="s">
        <v>4638</v>
      </c>
      <c r="H1299" t="s">
        <v>0</v>
      </c>
      <c r="I1299" t="s">
        <v>1363</v>
      </c>
      <c r="J1299" t="s">
        <v>1182</v>
      </c>
      <c r="L1299" t="s">
        <v>3</v>
      </c>
      <c r="M1299" t="s">
        <v>4</v>
      </c>
      <c r="N1299" s="3" t="str">
        <f t="shared" si="41"/>
        <v>F</v>
      </c>
      <c r="O1299" s="3" t="str">
        <f>IF(_xlfn.IFNA(MATCH(B1299,Table1[UID],0),"F")="F","F","T")</f>
        <v>T</v>
      </c>
    </row>
    <row r="1300" spans="2:15" x14ac:dyDescent="0.25">
      <c r="B1300" s="42" t="str">
        <f t="shared" si="42"/>
        <v>ER_UBEAR/EVAPORATION-RATE</v>
      </c>
      <c r="C1300" t="s">
        <v>4359</v>
      </c>
      <c r="D1300" t="s">
        <v>4356</v>
      </c>
      <c r="E1300" t="s">
        <v>4639</v>
      </c>
      <c r="F1300">
        <v>272</v>
      </c>
      <c r="G1300" t="s">
        <v>4639</v>
      </c>
      <c r="H1300" t="s">
        <v>0</v>
      </c>
      <c r="I1300" t="s">
        <v>1365</v>
      </c>
      <c r="J1300" t="s">
        <v>1182</v>
      </c>
      <c r="L1300" t="s">
        <v>3</v>
      </c>
      <c r="M1300" t="s">
        <v>4</v>
      </c>
      <c r="N1300" s="3" t="str">
        <f t="shared" si="41"/>
        <v>F</v>
      </c>
      <c r="O1300" s="3" t="str">
        <f>IF(_xlfn.IFNA(MATCH(B1300,Table1[UID],0),"F")="F","F","T")</f>
        <v>T</v>
      </c>
    </row>
    <row r="1301" spans="2:15" x14ac:dyDescent="0.25">
      <c r="B1301" s="42" t="str">
        <f t="shared" si="42"/>
        <v>ER_UNVLY/EVAPORATION-RATE</v>
      </c>
      <c r="C1301" t="s">
        <v>4359</v>
      </c>
      <c r="D1301" t="s">
        <v>4356</v>
      </c>
      <c r="E1301" t="s">
        <v>4640</v>
      </c>
      <c r="F1301">
        <v>273</v>
      </c>
      <c r="G1301" t="s">
        <v>4640</v>
      </c>
      <c r="H1301" t="s">
        <v>0</v>
      </c>
      <c r="I1301" t="s">
        <v>1367</v>
      </c>
      <c r="J1301" t="s">
        <v>1182</v>
      </c>
      <c r="L1301" t="s">
        <v>3</v>
      </c>
      <c r="M1301" t="s">
        <v>4</v>
      </c>
      <c r="N1301" s="3" t="str">
        <f t="shared" si="41"/>
        <v>F</v>
      </c>
      <c r="O1301" s="3" t="str">
        <f>IF(_xlfn.IFNA(MATCH(B1301,Table1[UID],0),"F")="F","F","T")</f>
        <v>T</v>
      </c>
    </row>
    <row r="1302" spans="2:15" x14ac:dyDescent="0.25">
      <c r="B1302" s="42" t="str">
        <f t="shared" si="42"/>
        <v>ER_WDWRD/EVAPORATION-RATE</v>
      </c>
      <c r="C1302" t="s">
        <v>4359</v>
      </c>
      <c r="D1302" t="s">
        <v>4356</v>
      </c>
      <c r="E1302" t="s">
        <v>4641</v>
      </c>
      <c r="F1302">
        <v>274</v>
      </c>
      <c r="G1302" t="s">
        <v>4641</v>
      </c>
      <c r="H1302" t="s">
        <v>0</v>
      </c>
      <c r="I1302" t="s">
        <v>1369</v>
      </c>
      <c r="J1302" t="s">
        <v>1182</v>
      </c>
      <c r="L1302" t="s">
        <v>3</v>
      </c>
      <c r="M1302" t="s">
        <v>4</v>
      </c>
      <c r="N1302" s="3" t="str">
        <f t="shared" si="41"/>
        <v>F</v>
      </c>
      <c r="O1302" s="3" t="str">
        <f>IF(_xlfn.IFNA(MATCH(B1302,Table1[UID],0),"F")="F","F","T")</f>
        <v>T</v>
      </c>
    </row>
    <row r="1303" spans="2:15" x14ac:dyDescent="0.25">
      <c r="B1303" s="42" t="str">
        <f t="shared" si="42"/>
        <v>ER_WKYTN/EVAPORATION-RATE</v>
      </c>
      <c r="C1303" t="s">
        <v>4359</v>
      </c>
      <c r="D1303" t="s">
        <v>4356</v>
      </c>
      <c r="E1303" t="s">
        <v>4642</v>
      </c>
      <c r="F1303">
        <v>275</v>
      </c>
      <c r="G1303" t="s">
        <v>4642</v>
      </c>
      <c r="H1303" t="s">
        <v>0</v>
      </c>
      <c r="I1303" t="s">
        <v>1371</v>
      </c>
      <c r="J1303" t="s">
        <v>1182</v>
      </c>
      <c r="L1303" t="s">
        <v>3</v>
      </c>
      <c r="M1303" t="s">
        <v>4</v>
      </c>
      <c r="N1303" s="3" t="str">
        <f t="shared" si="41"/>
        <v>F</v>
      </c>
      <c r="O1303" s="3" t="str">
        <f>IF(_xlfn.IFNA(MATCH(B1303,Table1[UID],0),"F")="F","F","T")</f>
        <v>T</v>
      </c>
    </row>
    <row r="1304" spans="2:15" x14ac:dyDescent="0.25">
      <c r="B1304" s="42" t="str">
        <f t="shared" si="42"/>
        <v>E_LBEAR_SV/EVAPORATION</v>
      </c>
      <c r="C1304" t="s">
        <v>4359</v>
      </c>
      <c r="D1304" t="s">
        <v>4356</v>
      </c>
      <c r="E1304" t="s">
        <v>4643</v>
      </c>
      <c r="F1304">
        <v>276</v>
      </c>
      <c r="G1304" t="s">
        <v>4643</v>
      </c>
      <c r="H1304" t="s">
        <v>0</v>
      </c>
      <c r="I1304" t="s">
        <v>2116</v>
      </c>
      <c r="J1304" t="s">
        <v>1374</v>
      </c>
      <c r="L1304" t="s">
        <v>3</v>
      </c>
      <c r="M1304" t="s">
        <v>4</v>
      </c>
      <c r="N1304" s="3" t="str">
        <f t="shared" si="41"/>
        <v>F</v>
      </c>
      <c r="O1304" s="3" t="str">
        <f>IF(_xlfn.IFNA(MATCH(B1304,Table1[UID],0),"F")="F","F","T")</f>
        <v>T</v>
      </c>
    </row>
    <row r="1305" spans="2:15" x14ac:dyDescent="0.25">
      <c r="B1305" s="42" t="str">
        <f t="shared" si="42"/>
        <v>E_SLTSP_SV/EVAPORATION</v>
      </c>
      <c r="C1305" t="s">
        <v>4359</v>
      </c>
      <c r="D1305" t="s">
        <v>4356</v>
      </c>
      <c r="E1305" t="s">
        <v>4644</v>
      </c>
      <c r="F1305">
        <v>277</v>
      </c>
      <c r="G1305" t="s">
        <v>4644</v>
      </c>
      <c r="H1305" t="s">
        <v>0</v>
      </c>
      <c r="I1305" t="s">
        <v>2117</v>
      </c>
      <c r="J1305" t="s">
        <v>1374</v>
      </c>
      <c r="L1305" t="s">
        <v>3</v>
      </c>
      <c r="M1305" t="s">
        <v>4</v>
      </c>
      <c r="N1305" s="3" t="str">
        <f t="shared" si="41"/>
        <v>F</v>
      </c>
      <c r="O1305" s="3" t="str">
        <f>IF(_xlfn.IFNA(MATCH(B1305,Table1[UID],0),"F")="F","F","T")</f>
        <v>T</v>
      </c>
    </row>
    <row r="1306" spans="2:15" x14ac:dyDescent="0.25">
      <c r="B1306" s="42" t="str">
        <f t="shared" si="42"/>
        <v>E_UPPERFEATHER_SV/EVAPORATION</v>
      </c>
      <c r="C1306" t="s">
        <v>4359</v>
      </c>
      <c r="D1306" t="s">
        <v>4356</v>
      </c>
      <c r="E1306" t="s">
        <v>4645</v>
      </c>
      <c r="F1306">
        <v>278</v>
      </c>
      <c r="G1306" t="s">
        <v>4645</v>
      </c>
      <c r="H1306" t="s">
        <v>0</v>
      </c>
      <c r="I1306" t="s">
        <v>2110</v>
      </c>
      <c r="J1306" t="s">
        <v>1374</v>
      </c>
      <c r="L1306" t="s">
        <v>3</v>
      </c>
      <c r="M1306" t="s">
        <v>4</v>
      </c>
      <c r="N1306" s="3" t="str">
        <f t="shared" si="41"/>
        <v>F</v>
      </c>
      <c r="O1306" s="3" t="str">
        <f>IF(_xlfn.IFNA(MATCH(B1306,Table1[UID],0),"F")="F","F","T")</f>
        <v>T</v>
      </c>
    </row>
    <row r="1307" spans="2:15" x14ac:dyDescent="0.25">
      <c r="B1307" s="42" t="str">
        <f t="shared" si="42"/>
        <v>FEB_FORECAST_GOODYEAR_B120/FLOW</v>
      </c>
      <c r="C1307" t="s">
        <v>4359</v>
      </c>
      <c r="D1307" t="s">
        <v>4356</v>
      </c>
      <c r="E1307" t="s">
        <v>4646</v>
      </c>
      <c r="F1307">
        <v>279</v>
      </c>
      <c r="G1307" t="s">
        <v>4646</v>
      </c>
      <c r="H1307" t="s">
        <v>0</v>
      </c>
      <c r="I1307" t="s">
        <v>1911</v>
      </c>
      <c r="J1307" t="s">
        <v>1893</v>
      </c>
      <c r="L1307" t="s">
        <v>3</v>
      </c>
      <c r="M1307" t="s">
        <v>4</v>
      </c>
      <c r="N1307" s="3" t="str">
        <f t="shared" si="41"/>
        <v>F</v>
      </c>
      <c r="O1307" s="3" t="str">
        <f>IF(_xlfn.IFNA(MATCH(B1307,Table1[UID],0),"F")="F","F","T")</f>
        <v>T</v>
      </c>
    </row>
    <row r="1308" spans="2:15" x14ac:dyDescent="0.25">
      <c r="B1308" s="42" t="str">
        <f t="shared" si="42"/>
        <v>FEB_FORECAST_SMARTVILLE_B120/FLOW</v>
      </c>
      <c r="C1308" t="s">
        <v>4359</v>
      </c>
      <c r="D1308" t="s">
        <v>4356</v>
      </c>
      <c r="E1308" t="s">
        <v>4647</v>
      </c>
      <c r="F1308">
        <v>280</v>
      </c>
      <c r="G1308" t="s">
        <v>4647</v>
      </c>
      <c r="H1308" t="s">
        <v>0</v>
      </c>
      <c r="I1308" t="s">
        <v>1912</v>
      </c>
      <c r="J1308" t="s">
        <v>1893</v>
      </c>
      <c r="L1308" t="s">
        <v>3</v>
      </c>
      <c r="M1308" t="s">
        <v>4</v>
      </c>
      <c r="N1308" s="3" t="str">
        <f t="shared" si="41"/>
        <v>F</v>
      </c>
      <c r="O1308" s="3" t="str">
        <f>IF(_xlfn.IFNA(MATCH(B1308,Table1[UID],0),"F")="F","F","T")</f>
        <v>T</v>
      </c>
    </row>
    <row r="1309" spans="2:15" x14ac:dyDescent="0.25">
      <c r="B1309" s="42" t="str">
        <f t="shared" si="42"/>
        <v>FERCBASE/FLOW-MIN-REQUIRED</v>
      </c>
      <c r="C1309" t="s">
        <v>4359</v>
      </c>
      <c r="D1309" t="s">
        <v>4356</v>
      </c>
      <c r="E1309" t="s">
        <v>4648</v>
      </c>
      <c r="F1309">
        <v>281</v>
      </c>
      <c r="G1309" t="s">
        <v>4648</v>
      </c>
      <c r="H1309" t="s">
        <v>0</v>
      </c>
      <c r="I1309" t="s">
        <v>4649</v>
      </c>
      <c r="J1309" t="s">
        <v>1919</v>
      </c>
      <c r="L1309" t="s">
        <v>3</v>
      </c>
      <c r="M1309" t="s">
        <v>4</v>
      </c>
      <c r="N1309" s="3" t="str">
        <f t="shared" si="41"/>
        <v>F</v>
      </c>
      <c r="O1309" s="3" t="str">
        <f>IF(_xlfn.IFNA(MATCH(B1309,Table1[UID],0),"F")="F","F","T")</f>
        <v>F</v>
      </c>
    </row>
    <row r="1310" spans="2:15" x14ac:dyDescent="0.25">
      <c r="B1310" s="42" t="str">
        <f t="shared" si="42"/>
        <v>FERCPULSE/FLOW-MIN-REQUIRED</v>
      </c>
      <c r="C1310" t="s">
        <v>4359</v>
      </c>
      <c r="D1310" t="s">
        <v>4356</v>
      </c>
      <c r="E1310" t="s">
        <v>4650</v>
      </c>
      <c r="F1310">
        <v>282</v>
      </c>
      <c r="G1310" t="s">
        <v>4650</v>
      </c>
      <c r="H1310" t="s">
        <v>0</v>
      </c>
      <c r="I1310" t="s">
        <v>4651</v>
      </c>
      <c r="J1310" t="s">
        <v>1919</v>
      </c>
      <c r="L1310" t="s">
        <v>3</v>
      </c>
      <c r="M1310" t="s">
        <v>4</v>
      </c>
      <c r="N1310" s="3" t="str">
        <f t="shared" si="41"/>
        <v>F</v>
      </c>
      <c r="O1310" s="3" t="str">
        <f>IF(_xlfn.IFNA(MATCH(B1310,Table1[UID],0),"F")="F","F","T")</f>
        <v>F</v>
      </c>
    </row>
    <row r="1311" spans="2:15" x14ac:dyDescent="0.25">
      <c r="B1311" s="42" t="str">
        <f t="shared" si="42"/>
        <v>FOLSM_INFLOW/INFLOW</v>
      </c>
      <c r="C1311" t="s">
        <v>4359</v>
      </c>
      <c r="D1311" t="s">
        <v>4356</v>
      </c>
      <c r="E1311" t="s">
        <v>4652</v>
      </c>
      <c r="F1311">
        <v>283</v>
      </c>
      <c r="G1311" t="s">
        <v>4652</v>
      </c>
      <c r="H1311" t="s">
        <v>0</v>
      </c>
      <c r="I1311" t="s">
        <v>1761</v>
      </c>
      <c r="J1311" t="s">
        <v>1380</v>
      </c>
      <c r="L1311" t="s">
        <v>3</v>
      </c>
      <c r="M1311" t="s">
        <v>4</v>
      </c>
      <c r="N1311" s="3" t="str">
        <f t="shared" si="41"/>
        <v>F</v>
      </c>
      <c r="O1311" s="3" t="str">
        <f>IF(_xlfn.IFNA(MATCH(B1311,Table1[UID],0),"F")="F","F","T")</f>
        <v>T</v>
      </c>
    </row>
    <row r="1312" spans="2:15" x14ac:dyDescent="0.25">
      <c r="B1312" s="42" t="str">
        <f t="shared" si="42"/>
        <v>FOLSOMINFLOWESTSUM_SV/INFLOW-FORECAST</v>
      </c>
      <c r="C1312" t="s">
        <v>4359</v>
      </c>
      <c r="D1312" t="s">
        <v>4356</v>
      </c>
      <c r="E1312" t="s">
        <v>4653</v>
      </c>
      <c r="F1312">
        <v>284</v>
      </c>
      <c r="G1312" t="s">
        <v>4653</v>
      </c>
      <c r="H1312" t="s">
        <v>0</v>
      </c>
      <c r="I1312" t="s">
        <v>2086</v>
      </c>
      <c r="J1312" t="s">
        <v>2087</v>
      </c>
      <c r="L1312" t="s">
        <v>3</v>
      </c>
      <c r="M1312" t="s">
        <v>4</v>
      </c>
      <c r="N1312" s="3" t="str">
        <f t="shared" si="41"/>
        <v>F</v>
      </c>
      <c r="O1312" s="3" t="str">
        <f>IF(_xlfn.IFNA(MATCH(B1312,Table1[UID],0),"F")="F","F","T")</f>
        <v>T</v>
      </c>
    </row>
    <row r="1313" spans="2:15" x14ac:dyDescent="0.25">
      <c r="B1313" s="42" t="str">
        <f t="shared" si="42"/>
        <v>FOLSOMINFLOWEST_SV/INFLOW-FORECAST</v>
      </c>
      <c r="C1313" t="s">
        <v>4359</v>
      </c>
      <c r="D1313" t="s">
        <v>4356</v>
      </c>
      <c r="E1313" t="s">
        <v>4654</v>
      </c>
      <c r="F1313">
        <v>285</v>
      </c>
      <c r="G1313" t="s">
        <v>4654</v>
      </c>
      <c r="H1313" t="s">
        <v>0</v>
      </c>
      <c r="I1313" t="s">
        <v>2088</v>
      </c>
      <c r="J1313" t="s">
        <v>2087</v>
      </c>
      <c r="L1313" t="s">
        <v>3</v>
      </c>
      <c r="M1313" t="s">
        <v>4</v>
      </c>
      <c r="N1313" s="3" t="str">
        <f t="shared" si="41"/>
        <v>F</v>
      </c>
      <c r="O1313" s="3" t="str">
        <f>IF(_xlfn.IFNA(MATCH(B1313,Table1[UID],0),"F")="F","F","T")</f>
        <v>T</v>
      </c>
    </row>
    <row r="1314" spans="2:15" x14ac:dyDescent="0.25">
      <c r="B1314" s="42" t="str">
        <f t="shared" si="42"/>
        <v>FSC_LOSSES/SEEPAGE</v>
      </c>
      <c r="C1314" t="s">
        <v>4359</v>
      </c>
      <c r="D1314" t="s">
        <v>4356</v>
      </c>
      <c r="E1314" t="s">
        <v>4655</v>
      </c>
      <c r="F1314">
        <v>286</v>
      </c>
      <c r="G1314" t="s">
        <v>4655</v>
      </c>
      <c r="H1314" t="s">
        <v>0</v>
      </c>
      <c r="I1314" t="s">
        <v>1998</v>
      </c>
      <c r="J1314" t="s">
        <v>1114</v>
      </c>
      <c r="L1314" t="s">
        <v>3</v>
      </c>
      <c r="M1314" t="s">
        <v>4</v>
      </c>
      <c r="N1314" s="3" t="str">
        <f t="shared" si="41"/>
        <v>F</v>
      </c>
      <c r="O1314" s="3" t="str">
        <f>IF(_xlfn.IFNA(MATCH(B1314,Table1[UID],0),"F")="F","F","T")</f>
        <v>T</v>
      </c>
    </row>
    <row r="1315" spans="2:15" x14ac:dyDescent="0.25">
      <c r="B1315" s="42" t="str">
        <f t="shared" si="42"/>
        <v>GP_GWR15/PUMPING</v>
      </c>
      <c r="C1315" t="s">
        <v>4359</v>
      </c>
      <c r="D1315" t="s">
        <v>4356</v>
      </c>
      <c r="E1315" t="s">
        <v>4656</v>
      </c>
      <c r="F1315">
        <v>287</v>
      </c>
      <c r="G1315" t="s">
        <v>4656</v>
      </c>
      <c r="H1315" t="s">
        <v>0</v>
      </c>
      <c r="I1315" t="s">
        <v>63</v>
      </c>
      <c r="J1315" t="s">
        <v>64</v>
      </c>
      <c r="L1315" t="s">
        <v>3</v>
      </c>
      <c r="M1315" t="s">
        <v>4</v>
      </c>
      <c r="N1315" s="3" t="str">
        <f t="shared" si="41"/>
        <v>F</v>
      </c>
      <c r="O1315" s="3" t="str">
        <f>IF(_xlfn.IFNA(MATCH(B1315,Table1[UID],0),"F")="F","F","T")</f>
        <v>T</v>
      </c>
    </row>
    <row r="1316" spans="2:15" x14ac:dyDescent="0.25">
      <c r="B1316" s="42" t="str">
        <f t="shared" si="42"/>
        <v>GP_GWR16/PUMPING</v>
      </c>
      <c r="C1316" t="s">
        <v>4359</v>
      </c>
      <c r="D1316" t="s">
        <v>4356</v>
      </c>
      <c r="E1316" t="s">
        <v>4657</v>
      </c>
      <c r="F1316">
        <v>288</v>
      </c>
      <c r="G1316" t="s">
        <v>4657</v>
      </c>
      <c r="H1316" t="s">
        <v>0</v>
      </c>
      <c r="I1316" t="s">
        <v>65</v>
      </c>
      <c r="J1316" t="s">
        <v>64</v>
      </c>
      <c r="L1316" t="s">
        <v>3</v>
      </c>
      <c r="M1316" t="s">
        <v>4</v>
      </c>
      <c r="N1316" s="3" t="str">
        <f t="shared" si="41"/>
        <v>F</v>
      </c>
      <c r="O1316" s="3" t="str">
        <f>IF(_xlfn.IFNA(MATCH(B1316,Table1[UID],0),"F")="F","F","T")</f>
        <v>T</v>
      </c>
    </row>
    <row r="1317" spans="2:15" x14ac:dyDescent="0.25">
      <c r="B1317" s="42" t="str">
        <f t="shared" si="42"/>
        <v>GP_GWR17/PUMPING</v>
      </c>
      <c r="C1317" t="s">
        <v>4359</v>
      </c>
      <c r="D1317" t="s">
        <v>4356</v>
      </c>
      <c r="E1317" t="s">
        <v>4658</v>
      </c>
      <c r="F1317">
        <v>289</v>
      </c>
      <c r="G1317" t="s">
        <v>4658</v>
      </c>
      <c r="H1317" t="s">
        <v>0</v>
      </c>
      <c r="I1317" t="s">
        <v>66</v>
      </c>
      <c r="J1317" t="s">
        <v>64</v>
      </c>
      <c r="L1317" t="s">
        <v>3</v>
      </c>
      <c r="M1317" t="s">
        <v>4</v>
      </c>
      <c r="N1317" s="3" t="str">
        <f t="shared" si="41"/>
        <v>F</v>
      </c>
      <c r="O1317" s="3" t="str">
        <f>IF(_xlfn.IFNA(MATCH(B1317,Table1[UID],0),"F")="F","F","T")</f>
        <v>T</v>
      </c>
    </row>
    <row r="1318" spans="2:15" x14ac:dyDescent="0.25">
      <c r="B1318" s="42" t="str">
        <f t="shared" si="42"/>
        <v>GP_GWR18/PUMPING</v>
      </c>
      <c r="C1318" t="s">
        <v>4359</v>
      </c>
      <c r="D1318" t="s">
        <v>4356</v>
      </c>
      <c r="E1318" t="s">
        <v>4659</v>
      </c>
      <c r="F1318">
        <v>290</v>
      </c>
      <c r="G1318" t="s">
        <v>4659</v>
      </c>
      <c r="H1318" t="s">
        <v>0</v>
      </c>
      <c r="I1318" t="s">
        <v>67</v>
      </c>
      <c r="J1318" t="s">
        <v>64</v>
      </c>
      <c r="L1318" t="s">
        <v>3</v>
      </c>
      <c r="M1318" t="s">
        <v>4</v>
      </c>
      <c r="N1318" s="3" t="str">
        <f t="shared" si="41"/>
        <v>F</v>
      </c>
      <c r="O1318" s="3" t="str">
        <f>IF(_xlfn.IFNA(MATCH(B1318,Table1[UID],0),"F")="F","F","T")</f>
        <v>T</v>
      </c>
    </row>
    <row r="1319" spans="2:15" x14ac:dyDescent="0.25">
      <c r="B1319" s="42" t="str">
        <f t="shared" si="42"/>
        <v>GP_GWR19/PUMPING</v>
      </c>
      <c r="C1319" t="s">
        <v>4359</v>
      </c>
      <c r="D1319" t="s">
        <v>4356</v>
      </c>
      <c r="E1319" t="s">
        <v>4660</v>
      </c>
      <c r="F1319">
        <v>291</v>
      </c>
      <c r="G1319" t="s">
        <v>4660</v>
      </c>
      <c r="H1319" t="s">
        <v>0</v>
      </c>
      <c r="I1319" t="s">
        <v>68</v>
      </c>
      <c r="J1319" t="s">
        <v>64</v>
      </c>
      <c r="L1319" t="s">
        <v>3</v>
      </c>
      <c r="M1319" t="s">
        <v>4</v>
      </c>
      <c r="N1319" s="3" t="str">
        <f t="shared" si="41"/>
        <v>F</v>
      </c>
      <c r="O1319" s="3" t="str">
        <f>IF(_xlfn.IFNA(MATCH(B1319,Table1[UID],0),"F")="F","F","T")</f>
        <v>T</v>
      </c>
    </row>
    <row r="1320" spans="2:15" x14ac:dyDescent="0.25">
      <c r="B1320" s="42" t="str">
        <f t="shared" si="42"/>
        <v>GP_GWR20/PUMPING</v>
      </c>
      <c r="C1320" t="s">
        <v>4359</v>
      </c>
      <c r="D1320" t="s">
        <v>4356</v>
      </c>
      <c r="E1320" t="s">
        <v>4661</v>
      </c>
      <c r="F1320">
        <v>292</v>
      </c>
      <c r="G1320" t="s">
        <v>4661</v>
      </c>
      <c r="H1320" t="s">
        <v>0</v>
      </c>
      <c r="I1320" t="s">
        <v>69</v>
      </c>
      <c r="J1320" t="s">
        <v>64</v>
      </c>
      <c r="L1320" t="s">
        <v>3</v>
      </c>
      <c r="M1320" t="s">
        <v>4</v>
      </c>
      <c r="N1320" s="3" t="str">
        <f t="shared" si="41"/>
        <v>F</v>
      </c>
      <c r="O1320" s="3" t="str">
        <f>IF(_xlfn.IFNA(MATCH(B1320,Table1[UID],0),"F")="F","F","T")</f>
        <v>T</v>
      </c>
    </row>
    <row r="1321" spans="2:15" x14ac:dyDescent="0.25">
      <c r="B1321" s="42" t="str">
        <f t="shared" si="42"/>
        <v>GP_GWR21/PUMPING</v>
      </c>
      <c r="C1321" t="s">
        <v>4359</v>
      </c>
      <c r="D1321" t="s">
        <v>4356</v>
      </c>
      <c r="E1321" t="s">
        <v>4662</v>
      </c>
      <c r="F1321">
        <v>293</v>
      </c>
      <c r="G1321" t="s">
        <v>4662</v>
      </c>
      <c r="H1321" t="s">
        <v>0</v>
      </c>
      <c r="I1321" t="s">
        <v>70</v>
      </c>
      <c r="J1321" t="s">
        <v>64</v>
      </c>
      <c r="L1321" t="s">
        <v>3</v>
      </c>
      <c r="M1321" t="s">
        <v>4</v>
      </c>
      <c r="N1321" s="3" t="str">
        <f t="shared" si="41"/>
        <v>F</v>
      </c>
      <c r="O1321" s="3" t="str">
        <f>IF(_xlfn.IFNA(MATCH(B1321,Table1[UID],0),"F")="F","F","T")</f>
        <v>T</v>
      </c>
    </row>
    <row r="1322" spans="2:15" x14ac:dyDescent="0.25">
      <c r="B1322" s="42" t="str">
        <f t="shared" si="42"/>
        <v>I422/FLOW-INFLOW</v>
      </c>
      <c r="C1322" t="s">
        <v>4359</v>
      </c>
      <c r="D1322" t="s">
        <v>4356</v>
      </c>
      <c r="E1322" t="s">
        <v>4663</v>
      </c>
      <c r="F1322">
        <v>294</v>
      </c>
      <c r="G1322" t="s">
        <v>4663</v>
      </c>
      <c r="H1322" t="s">
        <v>0</v>
      </c>
      <c r="I1322" t="s">
        <v>1621</v>
      </c>
      <c r="J1322" t="s">
        <v>1423</v>
      </c>
      <c r="L1322" t="s">
        <v>3</v>
      </c>
      <c r="M1322" t="s">
        <v>4</v>
      </c>
      <c r="N1322" s="3" t="str">
        <f t="shared" si="41"/>
        <v>F</v>
      </c>
      <c r="O1322" s="3" t="str">
        <f>IF(_xlfn.IFNA(MATCH(B1322,Table1[UID],0),"F")="F","F","T")</f>
        <v>T</v>
      </c>
    </row>
    <row r="1323" spans="2:15" x14ac:dyDescent="0.25">
      <c r="B1323" s="42" t="str">
        <f t="shared" si="42"/>
        <v>I_BCM003/INFLOW</v>
      </c>
      <c r="C1323" t="s">
        <v>4359</v>
      </c>
      <c r="D1323" t="s">
        <v>4356</v>
      </c>
      <c r="E1323" t="s">
        <v>4664</v>
      </c>
      <c r="F1323">
        <v>295</v>
      </c>
      <c r="G1323" t="s">
        <v>4664</v>
      </c>
      <c r="H1323" t="s">
        <v>0</v>
      </c>
      <c r="I1323" t="s">
        <v>1456</v>
      </c>
      <c r="J1323" t="s">
        <v>1380</v>
      </c>
      <c r="L1323" t="s">
        <v>3</v>
      </c>
      <c r="M1323" t="s">
        <v>4</v>
      </c>
      <c r="N1323" s="3" t="str">
        <f t="shared" si="41"/>
        <v>F</v>
      </c>
      <c r="O1323" s="3" t="str">
        <f>IF(_xlfn.IFNA(MATCH(B1323,Table1[UID],0),"F")="F","F","T")</f>
        <v>T</v>
      </c>
    </row>
    <row r="1324" spans="2:15" x14ac:dyDescent="0.25">
      <c r="B1324" s="42" t="str">
        <f t="shared" si="42"/>
        <v>I_CAA245/FLOW-INFLOW</v>
      </c>
      <c r="C1324" t="s">
        <v>4359</v>
      </c>
      <c r="D1324" t="s">
        <v>4356</v>
      </c>
      <c r="E1324" t="s">
        <v>4665</v>
      </c>
      <c r="F1324">
        <v>296</v>
      </c>
      <c r="G1324" t="s">
        <v>4665</v>
      </c>
      <c r="H1324" t="s">
        <v>0</v>
      </c>
      <c r="I1324" t="s">
        <v>2000</v>
      </c>
      <c r="J1324" t="s">
        <v>1423</v>
      </c>
      <c r="L1324" t="s">
        <v>3</v>
      </c>
      <c r="M1324" t="s">
        <v>4</v>
      </c>
      <c r="N1324" s="3" t="str">
        <f t="shared" si="41"/>
        <v>F</v>
      </c>
      <c r="O1324" s="3" t="str">
        <f>IF(_xlfn.IFNA(MATCH(B1324,Table1[UID],0),"F")="F","F","T")</f>
        <v>T</v>
      </c>
    </row>
    <row r="1325" spans="2:15" x14ac:dyDescent="0.25">
      <c r="B1325" s="42" t="str">
        <f t="shared" si="42"/>
        <v>I_EBTML/INFLOW</v>
      </c>
      <c r="C1325" t="s">
        <v>4359</v>
      </c>
      <c r="D1325" t="s">
        <v>4356</v>
      </c>
      <c r="E1325" t="s">
        <v>4666</v>
      </c>
      <c r="F1325">
        <v>297</v>
      </c>
      <c r="G1325" t="s">
        <v>4666</v>
      </c>
      <c r="H1325" t="s">
        <v>0</v>
      </c>
      <c r="I1325" t="s">
        <v>1766</v>
      </c>
      <c r="J1325" t="s">
        <v>1380</v>
      </c>
      <c r="L1325" t="s">
        <v>3</v>
      </c>
      <c r="M1325" t="s">
        <v>4</v>
      </c>
      <c r="N1325" s="3" t="str">
        <f t="shared" si="41"/>
        <v>F</v>
      </c>
      <c r="O1325" s="3" t="str">
        <f>IF(_xlfn.IFNA(MATCH(B1325,Table1[UID],0),"F")="F","F","T")</f>
        <v>T</v>
      </c>
    </row>
    <row r="1326" spans="2:15" x14ac:dyDescent="0.25">
      <c r="B1326" s="42" t="str">
        <f t="shared" si="42"/>
        <v>I_FSL012/INFLOW</v>
      </c>
      <c r="C1326" t="s">
        <v>4359</v>
      </c>
      <c r="D1326" t="s">
        <v>4356</v>
      </c>
      <c r="E1326" t="s">
        <v>4667</v>
      </c>
      <c r="F1326">
        <v>298</v>
      </c>
      <c r="G1326" t="s">
        <v>4667</v>
      </c>
      <c r="H1326" t="s">
        <v>0</v>
      </c>
      <c r="I1326" t="s">
        <v>1748</v>
      </c>
      <c r="J1326" t="s">
        <v>1380</v>
      </c>
      <c r="L1326" t="s">
        <v>3</v>
      </c>
      <c r="M1326" t="s">
        <v>4</v>
      </c>
      <c r="N1326" s="3" t="str">
        <f t="shared" si="41"/>
        <v>F</v>
      </c>
      <c r="O1326" s="3" t="str">
        <f>IF(_xlfn.IFNA(MATCH(B1326,Table1[UID],0),"F")="F","F","T")</f>
        <v>T</v>
      </c>
    </row>
    <row r="1327" spans="2:15" x14ac:dyDescent="0.25">
      <c r="B1327" s="42" t="str">
        <f t="shared" si="42"/>
        <v>I_JBP006/INFLOW</v>
      </c>
      <c r="C1327" t="s">
        <v>4359</v>
      </c>
      <c r="D1327" t="s">
        <v>4356</v>
      </c>
      <c r="E1327" t="s">
        <v>4668</v>
      </c>
      <c r="F1327">
        <v>299</v>
      </c>
      <c r="G1327" t="s">
        <v>4668</v>
      </c>
      <c r="H1327" t="s">
        <v>0</v>
      </c>
      <c r="I1327" t="s">
        <v>1738</v>
      </c>
      <c r="J1327" t="s">
        <v>1380</v>
      </c>
      <c r="L1327" t="s">
        <v>3</v>
      </c>
      <c r="M1327" t="s">
        <v>4</v>
      </c>
      <c r="N1327" s="3" t="str">
        <f t="shared" si="41"/>
        <v>F</v>
      </c>
      <c r="O1327" s="3" t="str">
        <f>IF(_xlfn.IFNA(MATCH(B1327,Table1[UID],0),"F")="F","F","T")</f>
        <v>T</v>
      </c>
    </row>
    <row r="1328" spans="2:15" x14ac:dyDescent="0.25">
      <c r="B1328" s="42" t="str">
        <f t="shared" si="42"/>
        <v>I_moc003/INFLOW</v>
      </c>
      <c r="C1328" t="s">
        <v>4359</v>
      </c>
      <c r="D1328" t="s">
        <v>4356</v>
      </c>
      <c r="E1328" t="s">
        <v>4669</v>
      </c>
      <c r="F1328">
        <v>300</v>
      </c>
      <c r="G1328" t="s">
        <v>4669</v>
      </c>
      <c r="H1328" t="s">
        <v>0</v>
      </c>
      <c r="I1328" t="s">
        <v>4670</v>
      </c>
      <c r="J1328" t="s">
        <v>1380</v>
      </c>
      <c r="L1328" t="s">
        <v>3</v>
      </c>
      <c r="M1328" t="s">
        <v>4</v>
      </c>
      <c r="N1328" s="3" t="str">
        <f t="shared" si="41"/>
        <v>F</v>
      </c>
      <c r="O1328" s="3" t="str">
        <f>IF(_xlfn.IFNA(MATCH(B1328,Table1[UID],0),"F")="F","F","T")</f>
        <v>T</v>
      </c>
    </row>
    <row r="1329" spans="2:15" x14ac:dyDescent="0.25">
      <c r="B1329" s="42" t="str">
        <f t="shared" si="42"/>
        <v>I_nff046/INFLOW</v>
      </c>
      <c r="C1329" t="s">
        <v>4359</v>
      </c>
      <c r="D1329" t="s">
        <v>4356</v>
      </c>
      <c r="E1329" t="s">
        <v>4671</v>
      </c>
      <c r="F1329">
        <v>301</v>
      </c>
      <c r="G1329" t="s">
        <v>4671</v>
      </c>
      <c r="H1329" t="s">
        <v>0</v>
      </c>
      <c r="I1329" t="s">
        <v>4672</v>
      </c>
      <c r="J1329" t="s">
        <v>1380</v>
      </c>
      <c r="L1329" t="s">
        <v>3</v>
      </c>
      <c r="M1329" t="s">
        <v>4</v>
      </c>
      <c r="N1329" s="3" t="str">
        <f t="shared" si="41"/>
        <v>F</v>
      </c>
      <c r="O1329" s="3" t="str">
        <f>IF(_xlfn.IFNA(MATCH(B1329,Table1[UID],0),"F")="F","F","T")</f>
        <v>T</v>
      </c>
    </row>
    <row r="1330" spans="2:15" x14ac:dyDescent="0.25">
      <c r="B1330" s="42" t="str">
        <f t="shared" si="42"/>
        <v>I_nff058/INFLOW</v>
      </c>
      <c r="C1330" t="s">
        <v>4359</v>
      </c>
      <c r="D1330" t="s">
        <v>4356</v>
      </c>
      <c r="E1330" t="s">
        <v>4673</v>
      </c>
      <c r="F1330">
        <v>302</v>
      </c>
      <c r="G1330" t="s">
        <v>4673</v>
      </c>
      <c r="H1330" t="s">
        <v>0</v>
      </c>
      <c r="I1330" t="s">
        <v>4674</v>
      </c>
      <c r="J1330" t="s">
        <v>1380</v>
      </c>
      <c r="L1330" t="s">
        <v>3</v>
      </c>
      <c r="M1330" t="s">
        <v>4</v>
      </c>
      <c r="N1330" s="3" t="str">
        <f t="shared" si="41"/>
        <v>F</v>
      </c>
      <c r="O1330" s="3" t="str">
        <f>IF(_xlfn.IFNA(MATCH(B1330,Table1[UID],0),"F")="F","F","T")</f>
        <v>T</v>
      </c>
    </row>
    <row r="1331" spans="2:15" x14ac:dyDescent="0.25">
      <c r="B1331" s="42" t="str">
        <f t="shared" si="42"/>
        <v>I_MELON_FCST/INFLOW</v>
      </c>
      <c r="C1331" t="s">
        <v>4359</v>
      </c>
      <c r="D1331" t="s">
        <v>4356</v>
      </c>
      <c r="E1331" t="s">
        <v>4675</v>
      </c>
      <c r="F1331">
        <v>303</v>
      </c>
      <c r="G1331" t="s">
        <v>4675</v>
      </c>
      <c r="H1331" t="s">
        <v>0</v>
      </c>
      <c r="I1331" t="s">
        <v>1750</v>
      </c>
      <c r="J1331" t="s">
        <v>1380</v>
      </c>
      <c r="L1331" t="s">
        <v>3</v>
      </c>
      <c r="M1331" t="s">
        <v>4</v>
      </c>
      <c r="N1331" s="3" t="str">
        <f t="shared" si="41"/>
        <v>F</v>
      </c>
      <c r="O1331" s="3" t="str">
        <f>IF(_xlfn.IFNA(MATCH(B1331,Table1[UID],0),"F")="F","F","T")</f>
        <v>T</v>
      </c>
    </row>
    <row r="1332" spans="2:15" x14ac:dyDescent="0.25">
      <c r="B1332" s="42" t="str">
        <f t="shared" si="42"/>
        <v>MAMMOTH_STORAGE/STORAGE</v>
      </c>
      <c r="C1332" t="s">
        <v>4359</v>
      </c>
      <c r="D1332" t="s">
        <v>4356</v>
      </c>
      <c r="E1332" t="s">
        <v>4676</v>
      </c>
      <c r="F1332">
        <v>304</v>
      </c>
      <c r="G1332" t="s">
        <v>4676</v>
      </c>
      <c r="H1332" t="s">
        <v>0</v>
      </c>
      <c r="I1332" t="s">
        <v>1117</v>
      </c>
      <c r="J1332" t="s">
        <v>1118</v>
      </c>
      <c r="L1332" t="s">
        <v>3</v>
      </c>
      <c r="M1332" t="s">
        <v>4</v>
      </c>
      <c r="N1332" s="3" t="str">
        <f t="shared" si="41"/>
        <v>F</v>
      </c>
      <c r="O1332" s="3" t="str">
        <f>IF(_xlfn.IFNA(MATCH(B1332,Table1[UID],0),"F")="F","F","T")</f>
        <v>T</v>
      </c>
    </row>
    <row r="1333" spans="2:15" x14ac:dyDescent="0.25">
      <c r="B1333" s="42" t="str">
        <f t="shared" si="42"/>
        <v>MAR_FORECAST_GOODYEAR_B120/FLOW</v>
      </c>
      <c r="C1333" t="s">
        <v>4359</v>
      </c>
      <c r="D1333" t="s">
        <v>4356</v>
      </c>
      <c r="E1333" t="s">
        <v>4677</v>
      </c>
      <c r="F1333">
        <v>305</v>
      </c>
      <c r="G1333" t="s">
        <v>4677</v>
      </c>
      <c r="H1333" t="s">
        <v>0</v>
      </c>
      <c r="I1333" t="s">
        <v>1913</v>
      </c>
      <c r="J1333" t="s">
        <v>1893</v>
      </c>
      <c r="L1333" t="s">
        <v>3</v>
      </c>
      <c r="M1333" t="s">
        <v>4</v>
      </c>
      <c r="N1333" s="3" t="str">
        <f t="shared" si="41"/>
        <v>F</v>
      </c>
      <c r="O1333" s="3" t="str">
        <f>IF(_xlfn.IFNA(MATCH(B1333,Table1[UID],0),"F")="F","F","T")</f>
        <v>T</v>
      </c>
    </row>
    <row r="1334" spans="2:15" x14ac:dyDescent="0.25">
      <c r="B1334" s="42" t="str">
        <f t="shared" si="42"/>
        <v>MAR_FORECAST_SMARTVILLE_B120/FLOW</v>
      </c>
      <c r="C1334" t="s">
        <v>4359</v>
      </c>
      <c r="D1334" t="s">
        <v>4356</v>
      </c>
      <c r="E1334" t="s">
        <v>4678</v>
      </c>
      <c r="F1334">
        <v>306</v>
      </c>
      <c r="G1334" t="s">
        <v>4678</v>
      </c>
      <c r="H1334" t="s">
        <v>0</v>
      </c>
      <c r="I1334" t="s">
        <v>1914</v>
      </c>
      <c r="J1334" t="s">
        <v>1893</v>
      </c>
      <c r="L1334" t="s">
        <v>3</v>
      </c>
      <c r="M1334" t="s">
        <v>4</v>
      </c>
      <c r="N1334" s="3" t="str">
        <f t="shared" si="41"/>
        <v>F</v>
      </c>
      <c r="O1334" s="3" t="str">
        <f>IF(_xlfn.IFNA(MATCH(B1334,Table1[UID],0),"F")="F","F","T")</f>
        <v>T</v>
      </c>
    </row>
    <row r="1335" spans="2:15" x14ac:dyDescent="0.25">
      <c r="B1335" s="42" t="str">
        <f t="shared" si="42"/>
        <v>MAY_FORECAST_GOODYEAR_B120/FLOW</v>
      </c>
      <c r="C1335" t="s">
        <v>4359</v>
      </c>
      <c r="D1335" t="s">
        <v>4356</v>
      </c>
      <c r="E1335" t="s">
        <v>4679</v>
      </c>
      <c r="F1335">
        <v>307</v>
      </c>
      <c r="G1335" t="s">
        <v>4679</v>
      </c>
      <c r="H1335" t="s">
        <v>0</v>
      </c>
      <c r="I1335" t="s">
        <v>1915</v>
      </c>
      <c r="J1335" t="s">
        <v>1893</v>
      </c>
      <c r="L1335" t="s">
        <v>3</v>
      </c>
      <c r="M1335" t="s">
        <v>4</v>
      </c>
      <c r="N1335" s="3" t="str">
        <f t="shared" si="41"/>
        <v>F</v>
      </c>
      <c r="O1335" s="3" t="str">
        <f>IF(_xlfn.IFNA(MATCH(B1335,Table1[UID],0),"F")="F","F","T")</f>
        <v>T</v>
      </c>
    </row>
    <row r="1336" spans="2:15" x14ac:dyDescent="0.25">
      <c r="B1336" s="42" t="str">
        <f t="shared" si="42"/>
        <v>MAY_FORECAST_SMARTVILLE_B120/FLOW</v>
      </c>
      <c r="C1336" t="s">
        <v>4359</v>
      </c>
      <c r="D1336" t="s">
        <v>4356</v>
      </c>
      <c r="E1336" t="s">
        <v>4680</v>
      </c>
      <c r="F1336">
        <v>308</v>
      </c>
      <c r="G1336" t="s">
        <v>4680</v>
      </c>
      <c r="H1336" t="s">
        <v>0</v>
      </c>
      <c r="I1336" t="s">
        <v>1916</v>
      </c>
      <c r="J1336" t="s">
        <v>1893</v>
      </c>
      <c r="L1336" t="s">
        <v>3</v>
      </c>
      <c r="M1336" t="s">
        <v>4</v>
      </c>
      <c r="N1336" s="3" t="str">
        <f t="shared" si="41"/>
        <v>F</v>
      </c>
      <c r="O1336" s="3" t="str">
        <f>IF(_xlfn.IFNA(MATCH(B1336,Table1[UID],0),"F")="F","F","T")</f>
        <v>T</v>
      </c>
    </row>
    <row r="1337" spans="2:15" x14ac:dyDescent="0.25">
      <c r="B1337" s="42" t="str">
        <f t="shared" si="42"/>
        <v>MFPFORECASTRELEASE/STORAGE-FORECAST</v>
      </c>
      <c r="C1337" t="s">
        <v>4359</v>
      </c>
      <c r="D1337" t="s">
        <v>4356</v>
      </c>
      <c r="E1337" t="s">
        <v>4681</v>
      </c>
      <c r="F1337">
        <v>309</v>
      </c>
      <c r="G1337" t="s">
        <v>4681</v>
      </c>
      <c r="H1337" t="s">
        <v>0</v>
      </c>
      <c r="I1337" t="s">
        <v>2068</v>
      </c>
      <c r="J1337" t="s">
        <v>1903</v>
      </c>
      <c r="L1337" t="s">
        <v>3</v>
      </c>
      <c r="M1337" t="s">
        <v>4</v>
      </c>
      <c r="N1337" s="3" t="str">
        <f t="shared" si="41"/>
        <v>F</v>
      </c>
      <c r="O1337" s="3" t="str">
        <f>IF(_xlfn.IFNA(MATCH(B1337,Table1[UID],0),"F")="F","F","T")</f>
        <v>T</v>
      </c>
    </row>
    <row r="1338" spans="2:15" x14ac:dyDescent="0.25">
      <c r="B1338" s="42" t="str">
        <f t="shared" si="42"/>
        <v>MF_KSWCK/FLOW-MIN-REQUIRED</v>
      </c>
      <c r="C1338" t="s">
        <v>4359</v>
      </c>
      <c r="D1338" t="s">
        <v>4356</v>
      </c>
      <c r="E1338" t="s">
        <v>4682</v>
      </c>
      <c r="F1338">
        <v>310</v>
      </c>
      <c r="G1338" t="s">
        <v>4682</v>
      </c>
      <c r="H1338" t="s">
        <v>0</v>
      </c>
      <c r="I1338" t="s">
        <v>1918</v>
      </c>
      <c r="J1338" t="s">
        <v>1919</v>
      </c>
      <c r="L1338" t="s">
        <v>3</v>
      </c>
      <c r="M1338" t="s">
        <v>4</v>
      </c>
      <c r="N1338" s="3" t="str">
        <f t="shared" si="41"/>
        <v>F</v>
      </c>
      <c r="O1338" s="3" t="str">
        <f>IF(_xlfn.IFNA(MATCH(B1338,Table1[UID],0),"F")="F","F","T")</f>
        <v>T</v>
      </c>
    </row>
    <row r="1339" spans="2:15" x14ac:dyDescent="0.25">
      <c r="B1339" s="42" t="str">
        <f t="shared" si="42"/>
        <v>MF_YUB006DV_SV/FLOW-MIN-INSTREAM</v>
      </c>
      <c r="C1339" t="s">
        <v>4359</v>
      </c>
      <c r="D1339" t="s">
        <v>4356</v>
      </c>
      <c r="E1339" t="s">
        <v>4683</v>
      </c>
      <c r="F1339">
        <v>311</v>
      </c>
      <c r="G1339" t="s">
        <v>4683</v>
      </c>
      <c r="H1339" t="s">
        <v>0</v>
      </c>
      <c r="I1339" t="s">
        <v>2052</v>
      </c>
      <c r="J1339" t="s">
        <v>2053</v>
      </c>
      <c r="L1339" t="s">
        <v>3</v>
      </c>
      <c r="M1339" t="s">
        <v>4</v>
      </c>
      <c r="N1339" s="3" t="str">
        <f t="shared" si="41"/>
        <v>F</v>
      </c>
      <c r="O1339" s="3" t="str">
        <f>IF(_xlfn.IFNA(MATCH(B1339,Table1[UID],0),"F")="F","F","T")</f>
        <v>T</v>
      </c>
    </row>
    <row r="1340" spans="2:15" x14ac:dyDescent="0.25">
      <c r="B1340" s="42" t="str">
        <f t="shared" si="42"/>
        <v>MF_YUB006_SV/FLOW-MIN-INSTREAM</v>
      </c>
      <c r="C1340" t="s">
        <v>4359</v>
      </c>
      <c r="D1340" t="s">
        <v>4356</v>
      </c>
      <c r="E1340" t="s">
        <v>4684</v>
      </c>
      <c r="F1340">
        <v>312</v>
      </c>
      <c r="G1340" t="s">
        <v>4684</v>
      </c>
      <c r="H1340" t="s">
        <v>0</v>
      </c>
      <c r="I1340" t="s">
        <v>2054</v>
      </c>
      <c r="J1340" t="s">
        <v>2053</v>
      </c>
      <c r="L1340" t="s">
        <v>3</v>
      </c>
      <c r="M1340" t="s">
        <v>4</v>
      </c>
      <c r="N1340" s="3" t="str">
        <f t="shared" si="41"/>
        <v>F</v>
      </c>
      <c r="O1340" s="3" t="str">
        <f>IF(_xlfn.IFNA(MATCH(B1340,Table1[UID],0),"F")="F","F","T")</f>
        <v>T</v>
      </c>
    </row>
    <row r="1341" spans="2:15" x14ac:dyDescent="0.25">
      <c r="B1341" s="42" t="str">
        <f t="shared" si="42"/>
        <v>MINFLOWFEATHER/FLOW-MIN-REQUIRED</v>
      </c>
      <c r="C1341" t="s">
        <v>4359</v>
      </c>
      <c r="D1341" t="s">
        <v>4356</v>
      </c>
      <c r="E1341" t="s">
        <v>4685</v>
      </c>
      <c r="F1341">
        <v>313</v>
      </c>
      <c r="G1341" t="s">
        <v>4685</v>
      </c>
      <c r="H1341" t="s">
        <v>0</v>
      </c>
      <c r="I1341" t="s">
        <v>2002</v>
      </c>
      <c r="J1341" t="s">
        <v>1919</v>
      </c>
      <c r="L1341" t="s">
        <v>3</v>
      </c>
      <c r="M1341" t="s">
        <v>4</v>
      </c>
      <c r="N1341" s="3" t="str">
        <f t="shared" si="41"/>
        <v>F</v>
      </c>
      <c r="O1341" s="3" t="str">
        <f>IF(_xlfn.IFNA(MATCH(B1341,Table1[UID],0),"F")="F","F","T")</f>
        <v>T</v>
      </c>
    </row>
    <row r="1342" spans="2:15" x14ac:dyDescent="0.25">
      <c r="B1342" s="42" t="str">
        <f t="shared" si="42"/>
        <v>MONTH_DAYS/DAY</v>
      </c>
      <c r="C1342" t="s">
        <v>4359</v>
      </c>
      <c r="D1342" t="s">
        <v>4356</v>
      </c>
      <c r="E1342" t="s">
        <v>4686</v>
      </c>
      <c r="F1342">
        <v>314</v>
      </c>
      <c r="G1342" t="s">
        <v>4686</v>
      </c>
      <c r="H1342" t="s">
        <v>0</v>
      </c>
      <c r="I1342" t="s">
        <v>2028</v>
      </c>
      <c r="J1342" t="s">
        <v>2029</v>
      </c>
      <c r="L1342" t="s">
        <v>3</v>
      </c>
      <c r="M1342" t="s">
        <v>4</v>
      </c>
      <c r="N1342" s="3" t="str">
        <f t="shared" si="41"/>
        <v>F</v>
      </c>
      <c r="O1342" s="3" t="str">
        <f>IF(_xlfn.IFNA(MATCH(B1342,Table1[UID],0),"F")="F","F","T")</f>
        <v>T</v>
      </c>
    </row>
    <row r="1343" spans="2:15" x14ac:dyDescent="0.25">
      <c r="B1343" s="42" t="str">
        <f t="shared" si="42"/>
        <v>NBA_LOSSES/SEEPAGE</v>
      </c>
      <c r="C1343" t="s">
        <v>4359</v>
      </c>
      <c r="D1343" t="s">
        <v>4356</v>
      </c>
      <c r="E1343" t="s">
        <v>4687</v>
      </c>
      <c r="F1343">
        <v>315</v>
      </c>
      <c r="G1343" t="s">
        <v>4687</v>
      </c>
      <c r="H1343" t="s">
        <v>0</v>
      </c>
      <c r="I1343" t="s">
        <v>1113</v>
      </c>
      <c r="J1343" t="s">
        <v>1114</v>
      </c>
      <c r="L1343" t="s">
        <v>3</v>
      </c>
      <c r="M1343" t="s">
        <v>4</v>
      </c>
      <c r="N1343" s="3" t="str">
        <f t="shared" si="41"/>
        <v>F</v>
      </c>
      <c r="O1343" s="3" t="str">
        <f>IF(_xlfn.IFNA(MATCH(B1343,Table1[UID],0),"F")="F","F","T")</f>
        <v>T</v>
      </c>
    </row>
    <row r="1344" spans="2:15" x14ac:dyDescent="0.25">
      <c r="B1344" s="42" t="str">
        <f t="shared" si="42"/>
        <v>OROVILLEFNF_WY_SV/FNFWY</v>
      </c>
      <c r="C1344" t="s">
        <v>4359</v>
      </c>
      <c r="D1344" t="s">
        <v>4356</v>
      </c>
      <c r="E1344" t="s">
        <v>4688</v>
      </c>
      <c r="F1344">
        <v>316</v>
      </c>
      <c r="G1344" t="s">
        <v>4688</v>
      </c>
      <c r="H1344" t="s">
        <v>0</v>
      </c>
      <c r="I1344" t="s">
        <v>2055</v>
      </c>
      <c r="J1344" t="s">
        <v>2056</v>
      </c>
      <c r="L1344" t="s">
        <v>3</v>
      </c>
      <c r="M1344" t="s">
        <v>4</v>
      </c>
      <c r="N1344" s="3" t="str">
        <f t="shared" si="41"/>
        <v>F</v>
      </c>
      <c r="O1344" s="3" t="str">
        <f>IF(_xlfn.IFNA(MATCH(B1344,Table1[UID],0),"F")="F","F","T")</f>
        <v>T</v>
      </c>
    </row>
    <row r="1345" spans="2:15" x14ac:dyDescent="0.25">
      <c r="B1345" s="42" t="str">
        <f t="shared" si="42"/>
        <v>P184FORECASTRELEASE/STORAGE-FORECAST</v>
      </c>
      <c r="C1345" t="s">
        <v>4359</v>
      </c>
      <c r="D1345" t="s">
        <v>4356</v>
      </c>
      <c r="E1345" t="s">
        <v>4689</v>
      </c>
      <c r="F1345">
        <v>317</v>
      </c>
      <c r="G1345" t="s">
        <v>4689</v>
      </c>
      <c r="H1345" t="s">
        <v>0</v>
      </c>
      <c r="I1345" t="s">
        <v>2070</v>
      </c>
      <c r="J1345" t="s">
        <v>1903</v>
      </c>
      <c r="L1345" t="s">
        <v>3</v>
      </c>
      <c r="M1345" t="s">
        <v>4</v>
      </c>
      <c r="N1345" s="3" t="str">
        <f t="shared" si="41"/>
        <v>F</v>
      </c>
      <c r="O1345" s="3" t="str">
        <f>IF(_xlfn.IFNA(MATCH(B1345,Table1[UID],0),"F")="F","F","T")</f>
        <v>T</v>
      </c>
    </row>
    <row r="1346" spans="2:15" x14ac:dyDescent="0.25">
      <c r="B1346" s="42" t="str">
        <f t="shared" si="42"/>
        <v>PERDV_CVPMI_SYS_SV/PERCENT-DELIVERY</v>
      </c>
      <c r="C1346" t="s">
        <v>4359</v>
      </c>
      <c r="D1346" t="s">
        <v>4356</v>
      </c>
      <c r="E1346" t="s">
        <v>4690</v>
      </c>
      <c r="F1346">
        <v>318</v>
      </c>
      <c r="G1346" t="s">
        <v>4690</v>
      </c>
      <c r="H1346" t="s">
        <v>0</v>
      </c>
      <c r="I1346" t="s">
        <v>2072</v>
      </c>
      <c r="J1346" t="s">
        <v>2073</v>
      </c>
      <c r="L1346" t="s">
        <v>3</v>
      </c>
      <c r="M1346" t="s">
        <v>4</v>
      </c>
      <c r="N1346" s="3" t="str">
        <f t="shared" si="41"/>
        <v>F</v>
      </c>
      <c r="O1346" s="3" t="str">
        <f>IF(_xlfn.IFNA(MATCH(B1346,Table1[UID],0),"F")="F","F","T")</f>
        <v>T</v>
      </c>
    </row>
    <row r="1347" spans="2:15" x14ac:dyDescent="0.25">
      <c r="B1347" s="42" t="str">
        <f t="shared" si="42"/>
        <v>PGE_WY_ALLOCATION_SV/RATIO</v>
      </c>
      <c r="C1347" t="s">
        <v>4359</v>
      </c>
      <c r="D1347" t="s">
        <v>4356</v>
      </c>
      <c r="E1347" t="s">
        <v>4691</v>
      </c>
      <c r="F1347">
        <v>319</v>
      </c>
      <c r="G1347" t="s">
        <v>4691</v>
      </c>
      <c r="H1347" t="s">
        <v>0</v>
      </c>
      <c r="I1347" t="s">
        <v>2151</v>
      </c>
      <c r="J1347" t="s">
        <v>2152</v>
      </c>
      <c r="L1347" t="s">
        <v>3</v>
      </c>
      <c r="M1347" t="s">
        <v>4</v>
      </c>
      <c r="N1347" s="3" t="str">
        <f t="shared" ref="N1347:N1410" si="43">IF(COUNTIF($B$3:$B$1760,"="&amp;B1347)&gt;1,"T","F")</f>
        <v>F</v>
      </c>
      <c r="O1347" s="3" t="str">
        <f>IF(_xlfn.IFNA(MATCH(B1347,Table1[UID],0),"F")="F","F","T")</f>
        <v>T</v>
      </c>
    </row>
    <row r="1348" spans="2:15" x14ac:dyDescent="0.25">
      <c r="B1348" s="42" t="str">
        <f t="shared" si="42"/>
        <v>REST_RCH_NP/REST_FLOW</v>
      </c>
      <c r="C1348" t="s">
        <v>4359</v>
      </c>
      <c r="D1348" t="s">
        <v>4356</v>
      </c>
      <c r="E1348" t="s">
        <v>4692</v>
      </c>
      <c r="F1348">
        <v>320</v>
      </c>
      <c r="G1348" t="s">
        <v>4692</v>
      </c>
      <c r="H1348" t="s">
        <v>0</v>
      </c>
      <c r="I1348" t="s">
        <v>2004</v>
      </c>
      <c r="J1348" t="s">
        <v>2005</v>
      </c>
      <c r="L1348" t="s">
        <v>3</v>
      </c>
      <c r="M1348" t="s">
        <v>4</v>
      </c>
      <c r="N1348" s="3" t="str">
        <f t="shared" si="43"/>
        <v>F</v>
      </c>
      <c r="O1348" s="3" t="str">
        <f>IF(_xlfn.IFNA(MATCH(B1348,Table1[UID],0),"F")="F","F","T")</f>
        <v>T</v>
      </c>
    </row>
    <row r="1349" spans="2:15" x14ac:dyDescent="0.25">
      <c r="B1349" s="42" t="str">
        <f t="shared" si="42"/>
        <v>REST_RCH_P/REST_FLOW</v>
      </c>
      <c r="C1349" t="s">
        <v>4359</v>
      </c>
      <c r="D1349" t="s">
        <v>4356</v>
      </c>
      <c r="E1349" t="s">
        <v>4693</v>
      </c>
      <c r="F1349">
        <v>321</v>
      </c>
      <c r="G1349" t="s">
        <v>4693</v>
      </c>
      <c r="H1349" t="s">
        <v>0</v>
      </c>
      <c r="I1349" t="s">
        <v>2007</v>
      </c>
      <c r="J1349" t="s">
        <v>2005</v>
      </c>
      <c r="L1349" t="s">
        <v>3</v>
      </c>
      <c r="M1349" t="s">
        <v>4</v>
      </c>
      <c r="N1349" s="3" t="str">
        <f t="shared" si="43"/>
        <v>F</v>
      </c>
      <c r="O1349" s="3" t="str">
        <f>IF(_xlfn.IFNA(MATCH(B1349,Table1[UID],0),"F")="F","F","T")</f>
        <v>T</v>
      </c>
    </row>
    <row r="1350" spans="2:15" x14ac:dyDescent="0.25">
      <c r="B1350" s="42" t="str">
        <f t="shared" si="42"/>
        <v>REST_REQ_NP/RELEASE-HYDROGRAPH</v>
      </c>
      <c r="C1350" t="s">
        <v>4359</v>
      </c>
      <c r="D1350" t="s">
        <v>4356</v>
      </c>
      <c r="E1350" t="s">
        <v>4694</v>
      </c>
      <c r="F1350">
        <v>322</v>
      </c>
      <c r="G1350" t="s">
        <v>4694</v>
      </c>
      <c r="H1350" t="s">
        <v>0</v>
      </c>
      <c r="I1350" t="s">
        <v>1922</v>
      </c>
      <c r="J1350" t="s">
        <v>1923</v>
      </c>
      <c r="L1350" t="s">
        <v>3</v>
      </c>
      <c r="M1350" t="s">
        <v>4</v>
      </c>
      <c r="N1350" s="3" t="str">
        <f t="shared" si="43"/>
        <v>F</v>
      </c>
      <c r="O1350" s="3" t="str">
        <f>IF(_xlfn.IFNA(MATCH(B1350,Table1[UID],0),"F")="F","F","T")</f>
        <v>T</v>
      </c>
    </row>
    <row r="1351" spans="2:15" x14ac:dyDescent="0.25">
      <c r="B1351" s="42" t="str">
        <f t="shared" si="42"/>
        <v>REST_REQ_P/RELEASE-HYDROGRAPH</v>
      </c>
      <c r="C1351" t="s">
        <v>4359</v>
      </c>
      <c r="D1351" t="s">
        <v>4356</v>
      </c>
      <c r="E1351" t="s">
        <v>4695</v>
      </c>
      <c r="F1351">
        <v>323</v>
      </c>
      <c r="G1351" t="s">
        <v>4695</v>
      </c>
      <c r="H1351" t="s">
        <v>0</v>
      </c>
      <c r="I1351" t="s">
        <v>1925</v>
      </c>
      <c r="J1351" t="s">
        <v>1923</v>
      </c>
      <c r="L1351" t="s">
        <v>3</v>
      </c>
      <c r="M1351" t="s">
        <v>4</v>
      </c>
      <c r="N1351" s="3" t="str">
        <f t="shared" si="43"/>
        <v>F</v>
      </c>
      <c r="O1351" s="3" t="str">
        <f>IF(_xlfn.IFNA(MATCH(B1351,Table1[UID],0),"F")="F","F","T")</f>
        <v>T</v>
      </c>
    </row>
    <row r="1352" spans="2:15" x14ac:dyDescent="0.25">
      <c r="B1352" s="42" t="str">
        <f t="shared" si="42"/>
        <v>RUFR1_TS/REUSE-FACTOR</v>
      </c>
      <c r="C1352" t="s">
        <v>4359</v>
      </c>
      <c r="D1352" t="s">
        <v>4356</v>
      </c>
      <c r="E1352" t="s">
        <v>4696</v>
      </c>
      <c r="F1352">
        <v>324</v>
      </c>
      <c r="G1352" t="s">
        <v>4696</v>
      </c>
      <c r="H1352" t="s">
        <v>0</v>
      </c>
      <c r="I1352" t="s">
        <v>1926</v>
      </c>
      <c r="J1352" t="s">
        <v>1927</v>
      </c>
      <c r="L1352" t="s">
        <v>3</v>
      </c>
      <c r="M1352" t="s">
        <v>4</v>
      </c>
      <c r="N1352" s="3" t="str">
        <f t="shared" si="43"/>
        <v>F</v>
      </c>
      <c r="O1352" s="3" t="str">
        <f>IF(_xlfn.IFNA(MATCH(B1352,Table1[UID],0),"F")="F","F","T")</f>
        <v>T</v>
      </c>
    </row>
    <row r="1353" spans="2:15" x14ac:dyDescent="0.25">
      <c r="B1353" s="42" t="str">
        <f t="shared" si="42"/>
        <v>RUFR2_TS/REUSE-FACTOR</v>
      </c>
      <c r="C1353" t="s">
        <v>4359</v>
      </c>
      <c r="D1353" t="s">
        <v>4356</v>
      </c>
      <c r="E1353" t="s">
        <v>4697</v>
      </c>
      <c r="F1353">
        <v>325</v>
      </c>
      <c r="G1353" t="s">
        <v>4697</v>
      </c>
      <c r="H1353" t="s">
        <v>0</v>
      </c>
      <c r="I1353" t="s">
        <v>1931</v>
      </c>
      <c r="J1353" t="s">
        <v>1927</v>
      </c>
      <c r="L1353" t="s">
        <v>3</v>
      </c>
      <c r="M1353" t="s">
        <v>4</v>
      </c>
      <c r="N1353" s="3" t="str">
        <f t="shared" si="43"/>
        <v>F</v>
      </c>
      <c r="O1353" s="3" t="str">
        <f>IF(_xlfn.IFNA(MATCH(B1353,Table1[UID],0),"F")="F","F","T")</f>
        <v>T</v>
      </c>
    </row>
    <row r="1354" spans="2:15" x14ac:dyDescent="0.25">
      <c r="B1354" s="42" t="str">
        <f t="shared" ref="B1354:B1416" si="44">_xlfn.CONCAT(I1354,"/",J1354)</f>
        <v>RUFR3_TS/REUSE-FACTOR</v>
      </c>
      <c r="C1354" t="s">
        <v>4359</v>
      </c>
      <c r="D1354" t="s">
        <v>4356</v>
      </c>
      <c r="E1354" t="s">
        <v>4698</v>
      </c>
      <c r="F1354">
        <v>326</v>
      </c>
      <c r="G1354" t="s">
        <v>4698</v>
      </c>
      <c r="H1354" t="s">
        <v>0</v>
      </c>
      <c r="I1354" t="s">
        <v>1933</v>
      </c>
      <c r="J1354" t="s">
        <v>1927</v>
      </c>
      <c r="L1354" t="s">
        <v>3</v>
      </c>
      <c r="M1354" t="s">
        <v>4</v>
      </c>
      <c r="N1354" s="3" t="str">
        <f t="shared" si="43"/>
        <v>F</v>
      </c>
      <c r="O1354" s="3" t="str">
        <f>IF(_xlfn.IFNA(MATCH(B1354,Table1[UID],0),"F")="F","F","T")</f>
        <v>T</v>
      </c>
    </row>
    <row r="1355" spans="2:15" x14ac:dyDescent="0.25">
      <c r="B1355" s="42" t="str">
        <f t="shared" si="44"/>
        <v>RUFR4_TS/REUSE-FACTOR</v>
      </c>
      <c r="C1355" t="s">
        <v>4359</v>
      </c>
      <c r="D1355" t="s">
        <v>4356</v>
      </c>
      <c r="E1355" t="s">
        <v>4699</v>
      </c>
      <c r="F1355">
        <v>327</v>
      </c>
      <c r="G1355" t="s">
        <v>4699</v>
      </c>
      <c r="H1355" t="s">
        <v>0</v>
      </c>
      <c r="I1355" t="s">
        <v>1935</v>
      </c>
      <c r="J1355" t="s">
        <v>1927</v>
      </c>
      <c r="L1355" t="s">
        <v>3</v>
      </c>
      <c r="M1355" t="s">
        <v>4</v>
      </c>
      <c r="N1355" s="3" t="str">
        <f t="shared" si="43"/>
        <v>F</v>
      </c>
      <c r="O1355" s="3" t="str">
        <f>IF(_xlfn.IFNA(MATCH(B1355,Table1[UID],0),"F")="F","F","T")</f>
        <v>T</v>
      </c>
    </row>
    <row r="1356" spans="2:15" x14ac:dyDescent="0.25">
      <c r="B1356" s="42" t="str">
        <f t="shared" si="44"/>
        <v>RUFR5_TS/REUSE-FACTOR</v>
      </c>
      <c r="C1356" t="s">
        <v>4359</v>
      </c>
      <c r="D1356" t="s">
        <v>4356</v>
      </c>
      <c r="E1356" t="s">
        <v>4700</v>
      </c>
      <c r="F1356">
        <v>328</v>
      </c>
      <c r="G1356" t="s">
        <v>4700</v>
      </c>
      <c r="H1356" t="s">
        <v>0</v>
      </c>
      <c r="I1356" t="s">
        <v>1937</v>
      </c>
      <c r="J1356" t="s">
        <v>1927</v>
      </c>
      <c r="L1356" t="s">
        <v>3</v>
      </c>
      <c r="M1356" t="s">
        <v>4</v>
      </c>
      <c r="N1356" s="3" t="str">
        <f t="shared" si="43"/>
        <v>F</v>
      </c>
      <c r="O1356" s="3" t="str">
        <f>IF(_xlfn.IFNA(MATCH(B1356,Table1[UID],0),"F")="F","F","T")</f>
        <v>T</v>
      </c>
    </row>
    <row r="1357" spans="2:15" x14ac:dyDescent="0.25">
      <c r="B1357" s="42" t="str">
        <f t="shared" si="44"/>
        <v>RUFR6_TS/REUSE-FACTOR</v>
      </c>
      <c r="C1357" t="s">
        <v>4359</v>
      </c>
      <c r="D1357" t="s">
        <v>4356</v>
      </c>
      <c r="E1357" t="s">
        <v>4701</v>
      </c>
      <c r="F1357">
        <v>329</v>
      </c>
      <c r="G1357" t="s">
        <v>4701</v>
      </c>
      <c r="H1357" t="s">
        <v>0</v>
      </c>
      <c r="I1357" t="s">
        <v>1939</v>
      </c>
      <c r="J1357" t="s">
        <v>1927</v>
      </c>
      <c r="L1357" t="s">
        <v>3</v>
      </c>
      <c r="M1357" t="s">
        <v>4</v>
      </c>
      <c r="N1357" s="3" t="str">
        <f t="shared" si="43"/>
        <v>F</v>
      </c>
      <c r="O1357" s="3" t="str">
        <f>IF(_xlfn.IFNA(MATCH(B1357,Table1[UID],0),"F")="F","F","T")</f>
        <v>T</v>
      </c>
    </row>
    <row r="1358" spans="2:15" x14ac:dyDescent="0.25">
      <c r="B1358" s="42" t="str">
        <f t="shared" si="44"/>
        <v>RUFR_24_NA2_TS/REUSE-FRACTION</v>
      </c>
      <c r="C1358" t="s">
        <v>4359</v>
      </c>
      <c r="D1358" t="s">
        <v>4356</v>
      </c>
      <c r="E1358" t="s">
        <v>4702</v>
      </c>
      <c r="F1358">
        <v>330</v>
      </c>
      <c r="G1358" t="s">
        <v>4702</v>
      </c>
      <c r="H1358" t="s">
        <v>0</v>
      </c>
      <c r="I1358" t="s">
        <v>2189</v>
      </c>
      <c r="J1358" t="s">
        <v>2190</v>
      </c>
      <c r="L1358" t="s">
        <v>3</v>
      </c>
      <c r="M1358" t="s">
        <v>4</v>
      </c>
      <c r="N1358" s="3" t="str">
        <f t="shared" si="43"/>
        <v>F</v>
      </c>
      <c r="O1358" s="3" t="str">
        <f>IF(_xlfn.IFNA(MATCH(B1358,Table1[UID],0),"F")="F","F","T")</f>
        <v>T</v>
      </c>
    </row>
    <row r="1359" spans="2:15" x14ac:dyDescent="0.25">
      <c r="B1359" s="42" t="str">
        <f t="shared" si="44"/>
        <v>RUFR_24_NA3_TS/REUSE-FRACTION</v>
      </c>
      <c r="C1359" t="s">
        <v>4359</v>
      </c>
      <c r="D1359" t="s">
        <v>4356</v>
      </c>
      <c r="E1359" t="s">
        <v>4703</v>
      </c>
      <c r="F1359">
        <v>331</v>
      </c>
      <c r="G1359" t="s">
        <v>4703</v>
      </c>
      <c r="H1359" t="s">
        <v>0</v>
      </c>
      <c r="I1359" t="s">
        <v>2191</v>
      </c>
      <c r="J1359" t="s">
        <v>2190</v>
      </c>
      <c r="L1359" t="s">
        <v>3</v>
      </c>
      <c r="M1359" t="s">
        <v>4</v>
      </c>
      <c r="N1359" s="3" t="str">
        <f t="shared" si="43"/>
        <v>F</v>
      </c>
      <c r="O1359" s="3" t="str">
        <f>IF(_xlfn.IFNA(MATCH(B1359,Table1[UID],0),"F")="F","F","T")</f>
        <v>T</v>
      </c>
    </row>
    <row r="1360" spans="2:15" x14ac:dyDescent="0.25">
      <c r="B1360" s="42" t="str">
        <f t="shared" si="44"/>
        <v>RUFW1_TS/REUSE-FACTOR</v>
      </c>
      <c r="C1360" t="s">
        <v>4359</v>
      </c>
      <c r="D1360" t="s">
        <v>4356</v>
      </c>
      <c r="E1360" t="s">
        <v>4704</v>
      </c>
      <c r="F1360">
        <v>332</v>
      </c>
      <c r="G1360" t="s">
        <v>4704</v>
      </c>
      <c r="H1360" t="s">
        <v>0</v>
      </c>
      <c r="I1360" t="s">
        <v>2008</v>
      </c>
      <c r="J1360" t="s">
        <v>1927</v>
      </c>
      <c r="L1360" t="s">
        <v>3</v>
      </c>
      <c r="M1360" t="s">
        <v>4</v>
      </c>
      <c r="N1360" s="3" t="str">
        <f t="shared" si="43"/>
        <v>F</v>
      </c>
      <c r="O1360" s="3" t="str">
        <f>IF(_xlfn.IFNA(MATCH(B1360,Table1[UID],0),"F")="F","F","T")</f>
        <v>T</v>
      </c>
    </row>
    <row r="1361" spans="2:15" x14ac:dyDescent="0.25">
      <c r="B1361" s="42" t="str">
        <f t="shared" si="44"/>
        <v>R_60N_NA4_SJR022_SV/RETURN-FLOW</v>
      </c>
      <c r="C1361" t="s">
        <v>4359</v>
      </c>
      <c r="D1361" t="s">
        <v>4356</v>
      </c>
      <c r="E1361" t="s">
        <v>4705</v>
      </c>
      <c r="F1361">
        <v>333</v>
      </c>
      <c r="G1361" t="s">
        <v>4705</v>
      </c>
      <c r="H1361" t="s">
        <v>0</v>
      </c>
      <c r="I1361" t="s">
        <v>2010</v>
      </c>
      <c r="J1361" t="s">
        <v>690</v>
      </c>
      <c r="L1361" t="s">
        <v>3</v>
      </c>
      <c r="M1361" t="s">
        <v>4</v>
      </c>
      <c r="N1361" s="3" t="str">
        <f t="shared" si="43"/>
        <v>F</v>
      </c>
      <c r="O1361" s="3" t="str">
        <f>IF(_xlfn.IFNA(MATCH(B1361,Table1[UID],0),"F")="F","F","T")</f>
        <v>T</v>
      </c>
    </row>
    <row r="1362" spans="2:15" x14ac:dyDescent="0.25">
      <c r="B1362" s="42" t="str">
        <f t="shared" si="44"/>
        <v>R_GDPUD_NA_NFA011_SV/RETURN-FLOW</v>
      </c>
      <c r="C1362" t="s">
        <v>4359</v>
      </c>
      <c r="D1362" t="s">
        <v>4356</v>
      </c>
      <c r="E1362" t="s">
        <v>4706</v>
      </c>
      <c r="F1362">
        <v>334</v>
      </c>
      <c r="G1362" t="s">
        <v>4706</v>
      </c>
      <c r="H1362" t="s">
        <v>0</v>
      </c>
      <c r="I1362" t="s">
        <v>2074</v>
      </c>
      <c r="J1362" t="s">
        <v>690</v>
      </c>
      <c r="L1362" t="s">
        <v>3</v>
      </c>
      <c r="M1362" t="s">
        <v>4</v>
      </c>
      <c r="N1362" s="3" t="str">
        <f t="shared" si="43"/>
        <v>F</v>
      </c>
      <c r="O1362" s="3" t="str">
        <f>IF(_xlfn.IFNA(MATCH(B1362,Table1[UID],0),"F")="F","F","T")</f>
        <v>T</v>
      </c>
    </row>
    <row r="1363" spans="2:15" x14ac:dyDescent="0.25">
      <c r="B1363" s="42" t="str">
        <f t="shared" si="44"/>
        <v>R_RFS71A_OMR039_SV/RETURN-FLOW</v>
      </c>
      <c r="C1363" t="s">
        <v>4359</v>
      </c>
      <c r="D1363" t="s">
        <v>4356</v>
      </c>
      <c r="E1363" t="s">
        <v>4707</v>
      </c>
      <c r="F1363">
        <v>335</v>
      </c>
      <c r="G1363" t="s">
        <v>4707</v>
      </c>
      <c r="H1363" t="s">
        <v>0</v>
      </c>
      <c r="I1363" t="s">
        <v>2012</v>
      </c>
      <c r="J1363" t="s">
        <v>690</v>
      </c>
      <c r="L1363" t="s">
        <v>3</v>
      </c>
      <c r="M1363" t="s">
        <v>4</v>
      </c>
      <c r="N1363" s="3" t="str">
        <f t="shared" si="43"/>
        <v>F</v>
      </c>
      <c r="O1363" s="3" t="str">
        <f>IF(_xlfn.IFNA(MATCH(B1363,Table1[UID],0),"F")="F","F","T")</f>
        <v>T</v>
      </c>
    </row>
    <row r="1364" spans="2:15" x14ac:dyDescent="0.25">
      <c r="B1364" s="42" t="str">
        <f t="shared" si="44"/>
        <v>SB_DEMAND/LV-PARTNER-DEMAND</v>
      </c>
      <c r="C1364" t="s">
        <v>4359</v>
      </c>
      <c r="D1364" t="s">
        <v>4356</v>
      </c>
      <c r="E1364" t="s">
        <v>4708</v>
      </c>
      <c r="F1364">
        <v>336</v>
      </c>
      <c r="G1364" t="s">
        <v>4708</v>
      </c>
      <c r="H1364" t="s">
        <v>0</v>
      </c>
      <c r="I1364" t="s">
        <v>2014</v>
      </c>
      <c r="J1364" t="s">
        <v>2015</v>
      </c>
      <c r="L1364" t="s">
        <v>3</v>
      </c>
      <c r="M1364" t="s">
        <v>4</v>
      </c>
      <c r="N1364" s="3" t="str">
        <f t="shared" si="43"/>
        <v>F</v>
      </c>
      <c r="O1364" s="3" t="str">
        <f>IF(_xlfn.IFNA(MATCH(B1364,Table1[UID],0),"F")="F","F","T")</f>
        <v>T</v>
      </c>
    </row>
    <row r="1365" spans="2:15" x14ac:dyDescent="0.25">
      <c r="B1365" s="42" t="str">
        <f t="shared" si="44"/>
        <v>SF_DEMAND/LV-PARTNER-DEMAND</v>
      </c>
      <c r="C1365" t="s">
        <v>4359</v>
      </c>
      <c r="D1365" t="s">
        <v>4356</v>
      </c>
      <c r="E1365" t="s">
        <v>4709</v>
      </c>
      <c r="F1365">
        <v>337</v>
      </c>
      <c r="G1365" t="s">
        <v>4709</v>
      </c>
      <c r="H1365" t="s">
        <v>0</v>
      </c>
      <c r="I1365" t="s">
        <v>2017</v>
      </c>
      <c r="J1365" t="s">
        <v>2015</v>
      </c>
      <c r="L1365" t="s">
        <v>3</v>
      </c>
      <c r="M1365" t="s">
        <v>4</v>
      </c>
      <c r="N1365" s="3" t="str">
        <f t="shared" si="43"/>
        <v>F</v>
      </c>
      <c r="O1365" s="3" t="str">
        <f>IF(_xlfn.IFNA(MATCH(B1365,Table1[UID],0),"F")="F","F","T")</f>
        <v>T</v>
      </c>
    </row>
    <row r="1366" spans="2:15" x14ac:dyDescent="0.25">
      <c r="B1366" s="42" t="str">
        <f t="shared" si="44"/>
        <v>SG_DMC_LOWER/CANAL-LOSS</v>
      </c>
      <c r="C1366" t="s">
        <v>4359</v>
      </c>
      <c r="D1366" t="s">
        <v>4356</v>
      </c>
      <c r="E1366" t="s">
        <v>4710</v>
      </c>
      <c r="F1366">
        <v>338</v>
      </c>
      <c r="G1366" t="s">
        <v>4710</v>
      </c>
      <c r="H1366" t="s">
        <v>0</v>
      </c>
      <c r="I1366" t="s">
        <v>2018</v>
      </c>
      <c r="J1366" t="s">
        <v>24</v>
      </c>
      <c r="L1366" t="s">
        <v>3</v>
      </c>
      <c r="M1366" t="s">
        <v>4</v>
      </c>
      <c r="N1366" s="3" t="str">
        <f t="shared" si="43"/>
        <v>F</v>
      </c>
      <c r="O1366" s="3" t="str">
        <f>IF(_xlfn.IFNA(MATCH(B1366,Table1[UID],0),"F")="F","F","T")</f>
        <v>T</v>
      </c>
    </row>
    <row r="1367" spans="2:15" x14ac:dyDescent="0.25">
      <c r="B1367" s="42" t="str">
        <f t="shared" si="44"/>
        <v>SG_DMC_UPPER/CANAL-LOSS</v>
      </c>
      <c r="C1367" t="s">
        <v>4359</v>
      </c>
      <c r="D1367" t="s">
        <v>4356</v>
      </c>
      <c r="E1367" t="s">
        <v>4711</v>
      </c>
      <c r="F1367">
        <v>339</v>
      </c>
      <c r="G1367" t="s">
        <v>4711</v>
      </c>
      <c r="H1367" t="s">
        <v>0</v>
      </c>
      <c r="I1367" t="s">
        <v>2019</v>
      </c>
      <c r="J1367" t="s">
        <v>24</v>
      </c>
      <c r="L1367" t="s">
        <v>3</v>
      </c>
      <c r="M1367" t="s">
        <v>4</v>
      </c>
      <c r="N1367" s="3" t="str">
        <f t="shared" si="43"/>
        <v>F</v>
      </c>
      <c r="O1367" s="3" t="str">
        <f>IF(_xlfn.IFNA(MATCH(B1367,Table1[UID],0),"F")="F","F","T")</f>
        <v>T</v>
      </c>
    </row>
    <row r="1368" spans="2:15" x14ac:dyDescent="0.25">
      <c r="B1368" s="42" t="str">
        <f t="shared" si="44"/>
        <v>SG_R1R2_SWP/CANAL-LOSS</v>
      </c>
      <c r="C1368" t="s">
        <v>4359</v>
      </c>
      <c r="D1368" t="s">
        <v>4356</v>
      </c>
      <c r="E1368" t="s">
        <v>4712</v>
      </c>
      <c r="F1368">
        <v>340</v>
      </c>
      <c r="G1368" t="s">
        <v>4712</v>
      </c>
      <c r="H1368" t="s">
        <v>0</v>
      </c>
      <c r="I1368" t="s">
        <v>31</v>
      </c>
      <c r="J1368" t="s">
        <v>24</v>
      </c>
      <c r="L1368" t="s">
        <v>3</v>
      </c>
      <c r="M1368" t="s">
        <v>4</v>
      </c>
      <c r="N1368" s="3" t="str">
        <f t="shared" si="43"/>
        <v>F</v>
      </c>
      <c r="O1368" s="3" t="str">
        <f>IF(_xlfn.IFNA(MATCH(B1368,Table1[UID],0),"F")="F","F","T")</f>
        <v>T</v>
      </c>
    </row>
    <row r="1369" spans="2:15" x14ac:dyDescent="0.25">
      <c r="B1369" s="42" t="str">
        <f t="shared" si="44"/>
        <v>SG_R3_CVP/CANAL-LOSS</v>
      </c>
      <c r="C1369" t="s">
        <v>4359</v>
      </c>
      <c r="D1369" t="s">
        <v>4356</v>
      </c>
      <c r="E1369" t="s">
        <v>4713</v>
      </c>
      <c r="F1369">
        <v>341</v>
      </c>
      <c r="G1369" t="s">
        <v>4713</v>
      </c>
      <c r="H1369" t="s">
        <v>0</v>
      </c>
      <c r="I1369" t="s">
        <v>23</v>
      </c>
      <c r="J1369" t="s">
        <v>24</v>
      </c>
      <c r="L1369" t="s">
        <v>3</v>
      </c>
      <c r="M1369" t="s">
        <v>4</v>
      </c>
      <c r="N1369" s="3" t="str">
        <f t="shared" si="43"/>
        <v>F</v>
      </c>
      <c r="O1369" s="3" t="str">
        <f>IF(_xlfn.IFNA(MATCH(B1369,Table1[UID],0),"F")="F","F","T")</f>
        <v>T</v>
      </c>
    </row>
    <row r="1370" spans="2:15" x14ac:dyDescent="0.25">
      <c r="B1370" s="42" t="str">
        <f t="shared" si="44"/>
        <v>SG_R3_SWP/CANAL-LOSS</v>
      </c>
      <c r="C1370" t="s">
        <v>4359</v>
      </c>
      <c r="D1370" t="s">
        <v>4356</v>
      </c>
      <c r="E1370" t="s">
        <v>4714</v>
      </c>
      <c r="F1370">
        <v>342</v>
      </c>
      <c r="G1370" t="s">
        <v>4714</v>
      </c>
      <c r="H1370" t="s">
        <v>0</v>
      </c>
      <c r="I1370" t="s">
        <v>32</v>
      </c>
      <c r="J1370" t="s">
        <v>24</v>
      </c>
      <c r="L1370" t="s">
        <v>3</v>
      </c>
      <c r="M1370" t="s">
        <v>4</v>
      </c>
      <c r="N1370" s="3" t="str">
        <f t="shared" si="43"/>
        <v>F</v>
      </c>
      <c r="O1370" s="3" t="str">
        <f>IF(_xlfn.IFNA(MATCH(B1370,Table1[UID],0),"F")="F","F","T")</f>
        <v>T</v>
      </c>
    </row>
    <row r="1371" spans="2:15" x14ac:dyDescent="0.25">
      <c r="B1371" s="42" t="str">
        <f t="shared" si="44"/>
        <v>SG_R4_CVP/CANAL-LOSS</v>
      </c>
      <c r="C1371" t="s">
        <v>4359</v>
      </c>
      <c r="D1371" t="s">
        <v>4356</v>
      </c>
      <c r="E1371" t="s">
        <v>4715</v>
      </c>
      <c r="F1371">
        <v>343</v>
      </c>
      <c r="G1371" t="s">
        <v>4715</v>
      </c>
      <c r="H1371" t="s">
        <v>0</v>
      </c>
      <c r="I1371" t="s">
        <v>27</v>
      </c>
      <c r="J1371" t="s">
        <v>24</v>
      </c>
      <c r="L1371" t="s">
        <v>3</v>
      </c>
      <c r="M1371" t="s">
        <v>4</v>
      </c>
      <c r="N1371" s="3" t="str">
        <f t="shared" si="43"/>
        <v>F</v>
      </c>
      <c r="O1371" s="3" t="str">
        <f>IF(_xlfn.IFNA(MATCH(B1371,Table1[UID],0),"F")="F","F","T")</f>
        <v>T</v>
      </c>
    </row>
    <row r="1372" spans="2:15" x14ac:dyDescent="0.25">
      <c r="B1372" s="42" t="str">
        <f t="shared" si="44"/>
        <v>SG_R4_SWP/CANAL-LOSS</v>
      </c>
      <c r="C1372" t="s">
        <v>4359</v>
      </c>
      <c r="D1372" t="s">
        <v>4356</v>
      </c>
      <c r="E1372" t="s">
        <v>4716</v>
      </c>
      <c r="F1372">
        <v>344</v>
      </c>
      <c r="G1372" t="s">
        <v>4716</v>
      </c>
      <c r="H1372" t="s">
        <v>0</v>
      </c>
      <c r="I1372" t="s">
        <v>33</v>
      </c>
      <c r="J1372" t="s">
        <v>24</v>
      </c>
      <c r="L1372" t="s">
        <v>3</v>
      </c>
      <c r="M1372" t="s">
        <v>4</v>
      </c>
      <c r="N1372" s="3" t="str">
        <f t="shared" si="43"/>
        <v>F</v>
      </c>
      <c r="O1372" s="3" t="str">
        <f>IF(_xlfn.IFNA(MATCH(B1372,Table1[UID],0),"F")="F","F","T")</f>
        <v>T</v>
      </c>
    </row>
    <row r="1373" spans="2:15" x14ac:dyDescent="0.25">
      <c r="B1373" s="42" t="str">
        <f t="shared" si="44"/>
        <v>SG_R5_CVP/CANAL-LOSS</v>
      </c>
      <c r="C1373" t="s">
        <v>4359</v>
      </c>
      <c r="D1373" t="s">
        <v>4356</v>
      </c>
      <c r="E1373" t="s">
        <v>4717</v>
      </c>
      <c r="F1373">
        <v>345</v>
      </c>
      <c r="G1373" t="s">
        <v>4717</v>
      </c>
      <c r="H1373" t="s">
        <v>0</v>
      </c>
      <c r="I1373" t="s">
        <v>28</v>
      </c>
      <c r="J1373" t="s">
        <v>24</v>
      </c>
      <c r="L1373" t="s">
        <v>3</v>
      </c>
      <c r="M1373" t="s">
        <v>4</v>
      </c>
      <c r="N1373" s="3" t="str">
        <f t="shared" si="43"/>
        <v>F</v>
      </c>
      <c r="O1373" s="3" t="str">
        <f>IF(_xlfn.IFNA(MATCH(B1373,Table1[UID],0),"F")="F","F","T")</f>
        <v>T</v>
      </c>
    </row>
    <row r="1374" spans="2:15" x14ac:dyDescent="0.25">
      <c r="B1374" s="42" t="str">
        <f t="shared" si="44"/>
        <v>SG_R5_SWP/CANAL-LOSS</v>
      </c>
      <c r="C1374" t="s">
        <v>4359</v>
      </c>
      <c r="D1374" t="s">
        <v>4356</v>
      </c>
      <c r="E1374" t="s">
        <v>4718</v>
      </c>
      <c r="F1374">
        <v>346</v>
      </c>
      <c r="G1374" t="s">
        <v>4718</v>
      </c>
      <c r="H1374" t="s">
        <v>0</v>
      </c>
      <c r="I1374" t="s">
        <v>34</v>
      </c>
      <c r="J1374" t="s">
        <v>24</v>
      </c>
      <c r="L1374" t="s">
        <v>3</v>
      </c>
      <c r="M1374" t="s">
        <v>4</v>
      </c>
      <c r="N1374" s="3" t="str">
        <f t="shared" si="43"/>
        <v>F</v>
      </c>
      <c r="O1374" s="3" t="str">
        <f>IF(_xlfn.IFNA(MATCH(B1374,Table1[UID],0),"F")="F","F","T")</f>
        <v>T</v>
      </c>
    </row>
    <row r="1375" spans="2:15" x14ac:dyDescent="0.25">
      <c r="B1375" s="42" t="str">
        <f t="shared" si="44"/>
        <v>SG_R6_CVP/CANAL-LOSS</v>
      </c>
      <c r="C1375" t="s">
        <v>4359</v>
      </c>
      <c r="D1375" t="s">
        <v>4356</v>
      </c>
      <c r="E1375" t="s">
        <v>4719</v>
      </c>
      <c r="F1375">
        <v>347</v>
      </c>
      <c r="G1375" t="s">
        <v>4719</v>
      </c>
      <c r="H1375" t="s">
        <v>0</v>
      </c>
      <c r="I1375" t="s">
        <v>29</v>
      </c>
      <c r="J1375" t="s">
        <v>24</v>
      </c>
      <c r="L1375" t="s">
        <v>3</v>
      </c>
      <c r="M1375" t="s">
        <v>4</v>
      </c>
      <c r="N1375" s="3" t="str">
        <f t="shared" si="43"/>
        <v>F</v>
      </c>
      <c r="O1375" s="3" t="str">
        <f>IF(_xlfn.IFNA(MATCH(B1375,Table1[UID],0),"F")="F","F","T")</f>
        <v>T</v>
      </c>
    </row>
    <row r="1376" spans="2:15" x14ac:dyDescent="0.25">
      <c r="B1376" s="42" t="str">
        <f t="shared" si="44"/>
        <v>SG_R6_SWP/CANAL-LOSS</v>
      </c>
      <c r="C1376" t="s">
        <v>4359</v>
      </c>
      <c r="D1376" t="s">
        <v>4356</v>
      </c>
      <c r="E1376" t="s">
        <v>4720</v>
      </c>
      <c r="F1376">
        <v>348</v>
      </c>
      <c r="G1376" t="s">
        <v>4720</v>
      </c>
      <c r="H1376" t="s">
        <v>0</v>
      </c>
      <c r="I1376" t="s">
        <v>35</v>
      </c>
      <c r="J1376" t="s">
        <v>24</v>
      </c>
      <c r="L1376" t="s">
        <v>3</v>
      </c>
      <c r="M1376" t="s">
        <v>4</v>
      </c>
      <c r="N1376" s="3" t="str">
        <f t="shared" si="43"/>
        <v>F</v>
      </c>
      <c r="O1376" s="3" t="str">
        <f>IF(_xlfn.IFNA(MATCH(B1376,Table1[UID],0),"F")="F","F","T")</f>
        <v>T</v>
      </c>
    </row>
    <row r="1377" spans="2:15" x14ac:dyDescent="0.25">
      <c r="B1377" s="42" t="str">
        <f t="shared" si="44"/>
        <v>SG_R7_CVP/CANAL-LOSS</v>
      </c>
      <c r="C1377" t="s">
        <v>4359</v>
      </c>
      <c r="D1377" t="s">
        <v>4356</v>
      </c>
      <c r="E1377" t="s">
        <v>4721</v>
      </c>
      <c r="F1377">
        <v>349</v>
      </c>
      <c r="G1377" t="s">
        <v>4721</v>
      </c>
      <c r="H1377" t="s">
        <v>0</v>
      </c>
      <c r="I1377" t="s">
        <v>30</v>
      </c>
      <c r="J1377" t="s">
        <v>24</v>
      </c>
      <c r="L1377" t="s">
        <v>3</v>
      </c>
      <c r="M1377" t="s">
        <v>4</v>
      </c>
      <c r="N1377" s="3" t="str">
        <f t="shared" si="43"/>
        <v>F</v>
      </c>
      <c r="O1377" s="3" t="str">
        <f>IF(_xlfn.IFNA(MATCH(B1377,Table1[UID],0),"F")="F","F","T")</f>
        <v>T</v>
      </c>
    </row>
    <row r="1378" spans="2:15" x14ac:dyDescent="0.25">
      <c r="B1378" s="42" t="str">
        <f t="shared" si="44"/>
        <v>SG_R7_SWP/CANAL-LOSS</v>
      </c>
      <c r="C1378" t="s">
        <v>4359</v>
      </c>
      <c r="D1378" t="s">
        <v>4356</v>
      </c>
      <c r="E1378" t="s">
        <v>4722</v>
      </c>
      <c r="F1378">
        <v>350</v>
      </c>
      <c r="G1378" t="s">
        <v>4722</v>
      </c>
      <c r="H1378" t="s">
        <v>0</v>
      </c>
      <c r="I1378" t="s">
        <v>36</v>
      </c>
      <c r="J1378" t="s">
        <v>24</v>
      </c>
      <c r="L1378" t="s">
        <v>3</v>
      </c>
      <c r="M1378" t="s">
        <v>4</v>
      </c>
      <c r="N1378" s="3" t="str">
        <f t="shared" si="43"/>
        <v>F</v>
      </c>
      <c r="O1378" s="3" t="str">
        <f>IF(_xlfn.IFNA(MATCH(B1378,Table1[UID],0),"F")="F","F","T")</f>
        <v>T</v>
      </c>
    </row>
    <row r="1379" spans="2:15" x14ac:dyDescent="0.25">
      <c r="B1379" s="42" t="str">
        <f t="shared" si="44"/>
        <v>SG_SJR_MDOTA/RIVER-LOSS</v>
      </c>
      <c r="C1379" t="s">
        <v>4359</v>
      </c>
      <c r="D1379" t="s">
        <v>4356</v>
      </c>
      <c r="E1379" t="s">
        <v>4723</v>
      </c>
      <c r="F1379">
        <v>351</v>
      </c>
      <c r="G1379" t="s">
        <v>4723</v>
      </c>
      <c r="H1379" t="s">
        <v>0</v>
      </c>
      <c r="I1379" t="s">
        <v>2020</v>
      </c>
      <c r="J1379" t="s">
        <v>2021</v>
      </c>
      <c r="L1379" t="s">
        <v>3</v>
      </c>
      <c r="M1379" t="s">
        <v>4</v>
      </c>
      <c r="N1379" s="3" t="str">
        <f t="shared" si="43"/>
        <v>F</v>
      </c>
      <c r="O1379" s="3" t="str">
        <f>IF(_xlfn.IFNA(MATCH(B1379,Table1[UID],0),"F")="F","F","T")</f>
        <v>T</v>
      </c>
    </row>
    <row r="1380" spans="2:15" x14ac:dyDescent="0.25">
      <c r="B1380" s="42" t="str">
        <f t="shared" si="44"/>
        <v>SG_WDWRD_SEEP/SEEPAGE</v>
      </c>
      <c r="C1380" t="s">
        <v>4359</v>
      </c>
      <c r="D1380" t="s">
        <v>4356</v>
      </c>
      <c r="E1380" t="s">
        <v>4724</v>
      </c>
      <c r="F1380">
        <v>352</v>
      </c>
      <c r="G1380" t="s">
        <v>4724</v>
      </c>
      <c r="H1380" t="s">
        <v>0</v>
      </c>
      <c r="I1380" t="s">
        <v>2023</v>
      </c>
      <c r="J1380" t="s">
        <v>1114</v>
      </c>
      <c r="L1380" t="s">
        <v>3</v>
      </c>
      <c r="M1380" t="s">
        <v>4</v>
      </c>
      <c r="N1380" s="3" t="str">
        <f t="shared" si="43"/>
        <v>F</v>
      </c>
      <c r="O1380" s="3" t="str">
        <f>IF(_xlfn.IFNA(MATCH(B1380,Table1[UID],0),"F")="F","F","T")</f>
        <v>T</v>
      </c>
    </row>
    <row r="1381" spans="2:15" x14ac:dyDescent="0.25">
      <c r="B1381" s="42" t="str">
        <f t="shared" si="44"/>
        <v>SPAULDING_ACCUMULATED_INFLOW_SV/INFLOW</v>
      </c>
      <c r="C1381" t="s">
        <v>4359</v>
      </c>
      <c r="D1381" t="s">
        <v>4356</v>
      </c>
      <c r="E1381" t="s">
        <v>4725</v>
      </c>
      <c r="F1381">
        <v>353</v>
      </c>
      <c r="G1381" t="s">
        <v>4725</v>
      </c>
      <c r="H1381" t="s">
        <v>0</v>
      </c>
      <c r="I1381" t="s">
        <v>2153</v>
      </c>
      <c r="J1381" t="s">
        <v>1380</v>
      </c>
      <c r="L1381" t="s">
        <v>3</v>
      </c>
      <c r="M1381" t="s">
        <v>4</v>
      </c>
      <c r="N1381" s="3" t="str">
        <f t="shared" si="43"/>
        <v>F</v>
      </c>
      <c r="O1381" s="3" t="str">
        <f>IF(_xlfn.IFNA(MATCH(B1381,Table1[UID],0),"F")="F","F","T")</f>
        <v>T</v>
      </c>
    </row>
    <row r="1382" spans="2:15" x14ac:dyDescent="0.25">
      <c r="B1382" s="42" t="str">
        <f t="shared" si="44"/>
        <v>S_CMBIE_SV/STORAGE</v>
      </c>
      <c r="C1382" t="s">
        <v>4359</v>
      </c>
      <c r="D1382" t="s">
        <v>4356</v>
      </c>
      <c r="E1382" t="s">
        <v>4726</v>
      </c>
      <c r="F1382">
        <v>354</v>
      </c>
      <c r="G1382" t="s">
        <v>4726</v>
      </c>
      <c r="H1382" t="s">
        <v>0</v>
      </c>
      <c r="I1382" t="s">
        <v>2154</v>
      </c>
      <c r="J1382" t="s">
        <v>1118</v>
      </c>
      <c r="L1382" t="s">
        <v>3</v>
      </c>
      <c r="M1382" t="s">
        <v>4</v>
      </c>
      <c r="N1382" s="3" t="str">
        <f t="shared" si="43"/>
        <v>F</v>
      </c>
      <c r="O1382" s="3" t="str">
        <f>IF(_xlfn.IFNA(MATCH(B1382,Table1[UID],0),"F")="F","F","T")</f>
        <v>T</v>
      </c>
    </row>
    <row r="1383" spans="2:15" x14ac:dyDescent="0.25">
      <c r="B1383" s="42" t="str">
        <f t="shared" si="44"/>
        <v>S_FOLSMLEVEL2/STORAGE-LEVEL</v>
      </c>
      <c r="C1383" t="s">
        <v>4359</v>
      </c>
      <c r="D1383" t="s">
        <v>4356</v>
      </c>
      <c r="E1383" t="s">
        <v>4727</v>
      </c>
      <c r="F1383">
        <v>355</v>
      </c>
      <c r="G1383" t="s">
        <v>4727</v>
      </c>
      <c r="H1383" t="s">
        <v>0</v>
      </c>
      <c r="I1383" t="s">
        <v>1947</v>
      </c>
      <c r="J1383" t="s">
        <v>1942</v>
      </c>
      <c r="L1383" t="s">
        <v>3</v>
      </c>
      <c r="M1383" t="s">
        <v>4</v>
      </c>
      <c r="N1383" s="3" t="str">
        <f t="shared" si="43"/>
        <v>F</v>
      </c>
      <c r="O1383" s="3" t="str">
        <f>IF(_xlfn.IFNA(MATCH(B1383,Table1[UID],0),"F")="F","F","T")</f>
        <v>T</v>
      </c>
    </row>
    <row r="1384" spans="2:15" x14ac:dyDescent="0.25">
      <c r="B1384" s="42" t="str">
        <f t="shared" si="44"/>
        <v>S_FOLSMLEVEL3ADJ_SV/STORAGE-LEVEL</v>
      </c>
      <c r="C1384" t="s">
        <v>4359</v>
      </c>
      <c r="D1384" t="s">
        <v>4356</v>
      </c>
      <c r="E1384" t="s">
        <v>4728</v>
      </c>
      <c r="F1384">
        <v>356</v>
      </c>
      <c r="G1384" t="s">
        <v>4728</v>
      </c>
      <c r="H1384" t="s">
        <v>0</v>
      </c>
      <c r="I1384" t="s">
        <v>2089</v>
      </c>
      <c r="J1384" t="s">
        <v>1942</v>
      </c>
      <c r="L1384" t="s">
        <v>3</v>
      </c>
      <c r="M1384" t="s">
        <v>4</v>
      </c>
      <c r="N1384" s="3" t="str">
        <f t="shared" si="43"/>
        <v>F</v>
      </c>
      <c r="O1384" s="3" t="str">
        <f>IF(_xlfn.IFNA(MATCH(B1384,Table1[UID],0),"F")="F","F","T")</f>
        <v>T</v>
      </c>
    </row>
    <row r="1385" spans="2:15" x14ac:dyDescent="0.25">
      <c r="B1385" s="42" t="str">
        <f t="shared" si="44"/>
        <v>S_FOLSMLEVEL4/STORAGE-LEVEL</v>
      </c>
      <c r="C1385" t="s">
        <v>4359</v>
      </c>
      <c r="D1385" t="s">
        <v>4356</v>
      </c>
      <c r="E1385" t="s">
        <v>4729</v>
      </c>
      <c r="F1385">
        <v>357</v>
      </c>
      <c r="G1385" t="s">
        <v>4729</v>
      </c>
      <c r="H1385" t="s">
        <v>0</v>
      </c>
      <c r="I1385" t="s">
        <v>1949</v>
      </c>
      <c r="J1385" t="s">
        <v>1942</v>
      </c>
      <c r="L1385" t="s">
        <v>3</v>
      </c>
      <c r="M1385" t="s">
        <v>4</v>
      </c>
      <c r="N1385" s="3" t="str">
        <f t="shared" si="43"/>
        <v>F</v>
      </c>
      <c r="O1385" s="3" t="str">
        <f>IF(_xlfn.IFNA(MATCH(B1385,Table1[UID],0),"F")="F","F","T")</f>
        <v>T</v>
      </c>
    </row>
    <row r="1386" spans="2:15" x14ac:dyDescent="0.25">
      <c r="B1386" s="42" t="str">
        <f t="shared" si="44"/>
        <v>S_FOLSMLEVEL5/STORAGE-LEVEL</v>
      </c>
      <c r="C1386" t="s">
        <v>4359</v>
      </c>
      <c r="D1386" t="s">
        <v>4356</v>
      </c>
      <c r="E1386" t="s">
        <v>4730</v>
      </c>
      <c r="F1386">
        <v>358</v>
      </c>
      <c r="G1386" t="s">
        <v>4730</v>
      </c>
      <c r="H1386" t="s">
        <v>0</v>
      </c>
      <c r="I1386" t="s">
        <v>1951</v>
      </c>
      <c r="J1386" t="s">
        <v>1942</v>
      </c>
      <c r="L1386" t="s">
        <v>3</v>
      </c>
      <c r="M1386" t="s">
        <v>4</v>
      </c>
      <c r="N1386" s="3" t="str">
        <f t="shared" si="43"/>
        <v>F</v>
      </c>
      <c r="O1386" s="3" t="str">
        <f>IF(_xlfn.IFNA(MATCH(B1386,Table1[UID],0),"F")="F","F","T")</f>
        <v>T</v>
      </c>
    </row>
    <row r="1387" spans="2:15" x14ac:dyDescent="0.25">
      <c r="B1387" s="42" t="str">
        <f t="shared" si="44"/>
        <v>S_FRMDW_SV/STORAGE</v>
      </c>
      <c r="C1387" t="s">
        <v>4359</v>
      </c>
      <c r="D1387" t="s">
        <v>4356</v>
      </c>
      <c r="E1387" t="s">
        <v>4731</v>
      </c>
      <c r="F1387">
        <v>359</v>
      </c>
      <c r="G1387" t="s">
        <v>4731</v>
      </c>
      <c r="H1387" t="s">
        <v>0</v>
      </c>
      <c r="I1387" t="s">
        <v>2075</v>
      </c>
      <c r="J1387" t="s">
        <v>1118</v>
      </c>
      <c r="L1387" t="s">
        <v>3</v>
      </c>
      <c r="M1387" t="s">
        <v>4</v>
      </c>
      <c r="N1387" s="3" t="str">
        <f t="shared" si="43"/>
        <v>F</v>
      </c>
      <c r="O1387" s="3" t="str">
        <f>IF(_xlfn.IFNA(MATCH(B1387,Table1[UID],0),"F")="F","F","T")</f>
        <v>T</v>
      </c>
    </row>
    <row r="1388" spans="2:15" x14ac:dyDescent="0.25">
      <c r="B1388" s="42" t="str">
        <f t="shared" si="44"/>
        <v>S_HHOLE_SV/STORAGE</v>
      </c>
      <c r="C1388" t="s">
        <v>4359</v>
      </c>
      <c r="D1388" t="s">
        <v>4356</v>
      </c>
      <c r="E1388" t="s">
        <v>4732</v>
      </c>
      <c r="F1388">
        <v>360</v>
      </c>
      <c r="G1388" t="s">
        <v>4732</v>
      </c>
      <c r="H1388" t="s">
        <v>0</v>
      </c>
      <c r="I1388" t="s">
        <v>2090</v>
      </c>
      <c r="J1388" t="s">
        <v>1118</v>
      </c>
      <c r="L1388" t="s">
        <v>3</v>
      </c>
      <c r="M1388" t="s">
        <v>4</v>
      </c>
      <c r="N1388" s="3" t="str">
        <f t="shared" si="43"/>
        <v>F</v>
      </c>
      <c r="O1388" s="3" t="str">
        <f>IF(_xlfn.IFNA(MATCH(B1388,Table1[UID],0),"F")="F","F","T")</f>
        <v>T</v>
      </c>
    </row>
    <row r="1389" spans="2:15" x14ac:dyDescent="0.25">
      <c r="B1389" s="42" t="str">
        <f t="shared" si="44"/>
        <v>S_ICEHS_SV/STORAGE</v>
      </c>
      <c r="C1389" t="s">
        <v>4359</v>
      </c>
      <c r="D1389" t="s">
        <v>4356</v>
      </c>
      <c r="E1389" t="s">
        <v>4733</v>
      </c>
      <c r="F1389">
        <v>361</v>
      </c>
      <c r="G1389" t="s">
        <v>4733</v>
      </c>
      <c r="H1389" t="s">
        <v>0</v>
      </c>
      <c r="I1389" t="s">
        <v>2091</v>
      </c>
      <c r="J1389" t="s">
        <v>1118</v>
      </c>
      <c r="L1389" t="s">
        <v>3</v>
      </c>
      <c r="M1389" t="s">
        <v>4</v>
      </c>
      <c r="N1389" s="3" t="str">
        <f t="shared" si="43"/>
        <v>F</v>
      </c>
      <c r="O1389" s="3" t="str">
        <f>IF(_xlfn.IFNA(MATCH(B1389,Table1[UID],0),"F")="F","F","T")</f>
        <v>T</v>
      </c>
    </row>
    <row r="1390" spans="2:15" x14ac:dyDescent="0.25">
      <c r="B1390" s="42" t="str">
        <f t="shared" si="44"/>
        <v>S_LBEAR_SV/STORAGE</v>
      </c>
      <c r="C1390" t="s">
        <v>4359</v>
      </c>
      <c r="D1390" t="s">
        <v>4356</v>
      </c>
      <c r="E1390" t="s">
        <v>4734</v>
      </c>
      <c r="F1390">
        <v>362</v>
      </c>
      <c r="G1390" t="s">
        <v>4734</v>
      </c>
      <c r="H1390" t="s">
        <v>0</v>
      </c>
      <c r="I1390" t="s">
        <v>2118</v>
      </c>
      <c r="J1390" t="s">
        <v>1118</v>
      </c>
      <c r="L1390" t="s">
        <v>3</v>
      </c>
      <c r="M1390" t="s">
        <v>4</v>
      </c>
      <c r="N1390" s="3" t="str">
        <f t="shared" si="43"/>
        <v>F</v>
      </c>
      <c r="O1390" s="3" t="str">
        <f>IF(_xlfn.IFNA(MATCH(B1390,Table1[UID],0),"F")="F","F","T")</f>
        <v>T</v>
      </c>
    </row>
    <row r="1391" spans="2:15" x14ac:dyDescent="0.25">
      <c r="B1391" s="42" t="str">
        <f t="shared" si="44"/>
        <v>S_LGRSV_SV/STORAGE</v>
      </c>
      <c r="C1391" t="s">
        <v>4359</v>
      </c>
      <c r="D1391" t="s">
        <v>4356</v>
      </c>
      <c r="E1391" t="s">
        <v>4735</v>
      </c>
      <c r="F1391">
        <v>363</v>
      </c>
      <c r="G1391" t="s">
        <v>4735</v>
      </c>
      <c r="H1391" t="s">
        <v>0</v>
      </c>
      <c r="I1391" t="s">
        <v>2111</v>
      </c>
      <c r="J1391" t="s">
        <v>1118</v>
      </c>
      <c r="L1391" t="s">
        <v>3</v>
      </c>
      <c r="M1391" t="s">
        <v>4</v>
      </c>
      <c r="N1391" s="3" t="str">
        <f t="shared" si="43"/>
        <v>F</v>
      </c>
      <c r="O1391" s="3" t="str">
        <f>IF(_xlfn.IFNA(MATCH(B1391,Table1[UID],0),"F")="F","F","T")</f>
        <v>T</v>
      </c>
    </row>
    <row r="1392" spans="2:15" x14ac:dyDescent="0.25">
      <c r="B1392" s="42" t="str">
        <f t="shared" si="44"/>
        <v>S_LKVLY_SV/STORAGE</v>
      </c>
      <c r="C1392" t="s">
        <v>4359</v>
      </c>
      <c r="D1392" t="s">
        <v>4356</v>
      </c>
      <c r="E1392" t="s">
        <v>4736</v>
      </c>
      <c r="F1392">
        <v>364</v>
      </c>
      <c r="G1392" t="s">
        <v>4736</v>
      </c>
      <c r="H1392" t="s">
        <v>0</v>
      </c>
      <c r="I1392" t="s">
        <v>2155</v>
      </c>
      <c r="J1392" t="s">
        <v>1118</v>
      </c>
      <c r="L1392" t="s">
        <v>3</v>
      </c>
      <c r="M1392" t="s">
        <v>4</v>
      </c>
      <c r="N1392" s="3" t="str">
        <f t="shared" si="43"/>
        <v>F</v>
      </c>
      <c r="O1392" s="3" t="str">
        <f>IF(_xlfn.IFNA(MATCH(B1392,Table1[UID],0),"F")="F","F","T")</f>
        <v>T</v>
      </c>
    </row>
    <row r="1393" spans="2:15" x14ac:dyDescent="0.25">
      <c r="B1393" s="42" t="str">
        <f t="shared" si="44"/>
        <v>S_LOONL_SV/STORAGE</v>
      </c>
      <c r="C1393" t="s">
        <v>4359</v>
      </c>
      <c r="D1393" t="s">
        <v>4356</v>
      </c>
      <c r="E1393" t="s">
        <v>4737</v>
      </c>
      <c r="F1393">
        <v>365</v>
      </c>
      <c r="G1393" t="s">
        <v>4737</v>
      </c>
      <c r="H1393" t="s">
        <v>0</v>
      </c>
      <c r="I1393" t="s">
        <v>2092</v>
      </c>
      <c r="J1393" t="s">
        <v>1118</v>
      </c>
      <c r="L1393" t="s">
        <v>3</v>
      </c>
      <c r="M1393" t="s">
        <v>4</v>
      </c>
      <c r="N1393" s="3" t="str">
        <f t="shared" si="43"/>
        <v>F</v>
      </c>
      <c r="O1393" s="3" t="str">
        <f>IF(_xlfn.IFNA(MATCH(B1393,Table1[UID],0),"F")="F","F","T")</f>
        <v>T</v>
      </c>
    </row>
    <row r="1394" spans="2:15" x14ac:dyDescent="0.25">
      <c r="B1394" s="42" t="str">
        <f t="shared" si="44"/>
        <v>S_MERLC/STORAGE</v>
      </c>
      <c r="C1394" t="s">
        <v>4359</v>
      </c>
      <c r="D1394" t="s">
        <v>4356</v>
      </c>
      <c r="E1394" t="s">
        <v>4738</v>
      </c>
      <c r="F1394">
        <v>366</v>
      </c>
      <c r="G1394" t="s">
        <v>4738</v>
      </c>
      <c r="H1394" t="s">
        <v>0</v>
      </c>
      <c r="I1394" t="s">
        <v>4739</v>
      </c>
      <c r="J1394" t="s">
        <v>1118</v>
      </c>
      <c r="L1394" t="s">
        <v>3</v>
      </c>
      <c r="M1394" t="s">
        <v>4</v>
      </c>
      <c r="N1394" s="3" t="str">
        <f t="shared" si="43"/>
        <v>F</v>
      </c>
      <c r="O1394" s="3" t="str">
        <f>IF(_xlfn.IFNA(MATCH(B1394,Table1[UID],0),"F")="F","F","T")</f>
        <v>F</v>
      </c>
    </row>
    <row r="1395" spans="2:15" x14ac:dyDescent="0.25">
      <c r="B1395" s="42" t="str">
        <f t="shared" si="44"/>
        <v>S_OROVLLEVEL5/STORAGE-LEVEL</v>
      </c>
      <c r="C1395" t="s">
        <v>4359</v>
      </c>
      <c r="D1395" t="s">
        <v>4356</v>
      </c>
      <c r="E1395" t="s">
        <v>4740</v>
      </c>
      <c r="F1395">
        <v>367</v>
      </c>
      <c r="G1395" t="s">
        <v>4740</v>
      </c>
      <c r="H1395" t="s">
        <v>0</v>
      </c>
      <c r="I1395" t="s">
        <v>1941</v>
      </c>
      <c r="J1395" t="s">
        <v>1942</v>
      </c>
      <c r="L1395" t="s">
        <v>3</v>
      </c>
      <c r="M1395" t="s">
        <v>4</v>
      </c>
      <c r="N1395" s="3" t="str">
        <f t="shared" si="43"/>
        <v>F</v>
      </c>
      <c r="O1395" s="3" t="str">
        <f>IF(_xlfn.IFNA(MATCH(B1395,Table1[UID],0),"F")="F","F","T")</f>
        <v>T</v>
      </c>
    </row>
    <row r="1396" spans="2:15" x14ac:dyDescent="0.25">
      <c r="B1396" s="42" t="str">
        <f t="shared" si="44"/>
        <v>S_PEDROLEVEL4/STORAGE-LEVEL</v>
      </c>
      <c r="C1396" t="s">
        <v>4359</v>
      </c>
      <c r="D1396" t="s">
        <v>4356</v>
      </c>
      <c r="E1396" t="s">
        <v>4741</v>
      </c>
      <c r="F1396">
        <v>368</v>
      </c>
      <c r="G1396" t="s">
        <v>4741</v>
      </c>
      <c r="H1396" t="s">
        <v>0</v>
      </c>
      <c r="I1396" t="s">
        <v>1945</v>
      </c>
      <c r="J1396" t="s">
        <v>1942</v>
      </c>
      <c r="L1396" t="s">
        <v>3</v>
      </c>
      <c r="M1396" t="s">
        <v>4</v>
      </c>
      <c r="N1396" s="3" t="str">
        <f t="shared" si="43"/>
        <v>F</v>
      </c>
      <c r="O1396" s="3" t="str">
        <f>IF(_xlfn.IFNA(MATCH(B1396,Table1[UID],0),"F")="F","F","T")</f>
        <v>T</v>
      </c>
    </row>
    <row r="1397" spans="2:15" x14ac:dyDescent="0.25">
      <c r="B1397" s="42" t="str">
        <f t="shared" si="44"/>
        <v>S_PEDRO_SV/STORAGE</v>
      </c>
      <c r="C1397" t="s">
        <v>4359</v>
      </c>
      <c r="D1397" t="s">
        <v>4356</v>
      </c>
      <c r="E1397" t="s">
        <v>4742</v>
      </c>
      <c r="F1397">
        <v>369</v>
      </c>
      <c r="G1397" t="s">
        <v>4742</v>
      </c>
      <c r="H1397" t="s">
        <v>0</v>
      </c>
      <c r="I1397" t="s">
        <v>2124</v>
      </c>
      <c r="J1397" t="s">
        <v>1118</v>
      </c>
      <c r="L1397" t="s">
        <v>3</v>
      </c>
      <c r="M1397" t="s">
        <v>4</v>
      </c>
      <c r="N1397" s="3" t="str">
        <f t="shared" si="43"/>
        <v>F</v>
      </c>
      <c r="O1397" s="3" t="str">
        <f>IF(_xlfn.IFNA(MATCH(B1397,Table1[UID],0),"F")="F","F","T")</f>
        <v>T</v>
      </c>
    </row>
    <row r="1398" spans="2:15" x14ac:dyDescent="0.25">
      <c r="B1398" s="42" t="str">
        <f t="shared" si="44"/>
        <v>S_RLLNS_NID_SV/STORAGE</v>
      </c>
      <c r="C1398" t="s">
        <v>4359</v>
      </c>
      <c r="D1398" t="s">
        <v>4356</v>
      </c>
      <c r="E1398" t="s">
        <v>4743</v>
      </c>
      <c r="F1398">
        <v>370</v>
      </c>
      <c r="G1398" t="s">
        <v>4743</v>
      </c>
      <c r="H1398" t="s">
        <v>0</v>
      </c>
      <c r="I1398" t="s">
        <v>2156</v>
      </c>
      <c r="J1398" t="s">
        <v>1118</v>
      </c>
      <c r="L1398" t="s">
        <v>3</v>
      </c>
      <c r="M1398" t="s">
        <v>4</v>
      </c>
      <c r="N1398" s="3" t="str">
        <f t="shared" si="43"/>
        <v>F</v>
      </c>
      <c r="O1398" s="3" t="str">
        <f>IF(_xlfn.IFNA(MATCH(B1398,Table1[UID],0),"F")="F","F","T")</f>
        <v>T</v>
      </c>
    </row>
    <row r="1399" spans="2:15" x14ac:dyDescent="0.25">
      <c r="B1399" s="42" t="str">
        <f t="shared" si="44"/>
        <v>S_RLLNS_PGE_SV/STORAGE</v>
      </c>
      <c r="C1399" t="s">
        <v>4359</v>
      </c>
      <c r="D1399" t="s">
        <v>4356</v>
      </c>
      <c r="E1399" t="s">
        <v>4744</v>
      </c>
      <c r="F1399">
        <v>371</v>
      </c>
      <c r="G1399" t="s">
        <v>4744</v>
      </c>
      <c r="H1399" t="s">
        <v>0</v>
      </c>
      <c r="I1399" t="s">
        <v>2157</v>
      </c>
      <c r="J1399" t="s">
        <v>1118</v>
      </c>
      <c r="L1399" t="s">
        <v>3</v>
      </c>
      <c r="M1399" t="s">
        <v>4</v>
      </c>
      <c r="N1399" s="3" t="str">
        <f t="shared" si="43"/>
        <v>F</v>
      </c>
      <c r="O1399" s="3" t="str">
        <f>IF(_xlfn.IFNA(MATCH(B1399,Table1[UID],0),"F")="F","F","T")</f>
        <v>T</v>
      </c>
    </row>
    <row r="1400" spans="2:15" x14ac:dyDescent="0.25">
      <c r="B1400" s="42" t="str">
        <f t="shared" si="44"/>
        <v>S_RLLNS_SV/STORAGE</v>
      </c>
      <c r="C1400" t="s">
        <v>4359</v>
      </c>
      <c r="D1400" t="s">
        <v>4356</v>
      </c>
      <c r="E1400" t="s">
        <v>4745</v>
      </c>
      <c r="F1400">
        <v>372</v>
      </c>
      <c r="G1400" t="s">
        <v>4745</v>
      </c>
      <c r="H1400" t="s">
        <v>0</v>
      </c>
      <c r="I1400" t="s">
        <v>2158</v>
      </c>
      <c r="J1400" t="s">
        <v>1118</v>
      </c>
      <c r="L1400" t="s">
        <v>3</v>
      </c>
      <c r="M1400" t="s">
        <v>4</v>
      </c>
      <c r="N1400" s="3" t="str">
        <f t="shared" si="43"/>
        <v>F</v>
      </c>
      <c r="O1400" s="3" t="str">
        <f>IF(_xlfn.IFNA(MATCH(B1400,Table1[UID],0),"F")="F","F","T")</f>
        <v>T</v>
      </c>
    </row>
    <row r="1401" spans="2:15" x14ac:dyDescent="0.25">
      <c r="B1401" s="42" t="str">
        <f t="shared" si="44"/>
        <v>S_SHSTALEVEL2/STORAGE-LEVEL</v>
      </c>
      <c r="C1401" t="s">
        <v>4359</v>
      </c>
      <c r="D1401" t="s">
        <v>4356</v>
      </c>
      <c r="E1401" t="s">
        <v>4746</v>
      </c>
      <c r="F1401">
        <v>373</v>
      </c>
      <c r="G1401" t="s">
        <v>4746</v>
      </c>
      <c r="H1401" t="s">
        <v>0</v>
      </c>
      <c r="I1401" t="s">
        <v>1953</v>
      </c>
      <c r="J1401" t="s">
        <v>1942</v>
      </c>
      <c r="L1401" t="s">
        <v>3</v>
      </c>
      <c r="M1401" t="s">
        <v>4</v>
      </c>
      <c r="N1401" s="3" t="str">
        <f t="shared" si="43"/>
        <v>F</v>
      </c>
      <c r="O1401" s="3" t="str">
        <f>IF(_xlfn.IFNA(MATCH(B1401,Table1[UID],0),"F")="F","F","T")</f>
        <v>T</v>
      </c>
    </row>
    <row r="1402" spans="2:15" x14ac:dyDescent="0.25">
      <c r="B1402" s="42" t="str">
        <f t="shared" si="44"/>
        <v>S_SLTSP_SV/STORAGE</v>
      </c>
      <c r="C1402" t="s">
        <v>4359</v>
      </c>
      <c r="D1402" t="s">
        <v>4356</v>
      </c>
      <c r="E1402" t="s">
        <v>4747</v>
      </c>
      <c r="F1402">
        <v>374</v>
      </c>
      <c r="G1402" t="s">
        <v>4747</v>
      </c>
      <c r="H1402" t="s">
        <v>0</v>
      </c>
      <c r="I1402" t="s">
        <v>2119</v>
      </c>
      <c r="J1402" t="s">
        <v>1118</v>
      </c>
      <c r="L1402" t="s">
        <v>3</v>
      </c>
      <c r="M1402" t="s">
        <v>4</v>
      </c>
      <c r="N1402" s="3" t="str">
        <f t="shared" si="43"/>
        <v>F</v>
      </c>
      <c r="O1402" s="3" t="str">
        <f>IF(_xlfn.IFNA(MATCH(B1402,Table1[UID],0),"F")="F","F","T")</f>
        <v>T</v>
      </c>
    </row>
    <row r="1403" spans="2:15" x14ac:dyDescent="0.25">
      <c r="B1403" s="42" t="str">
        <f t="shared" si="44"/>
        <v>S_SLYCK_SV/STORAGE</v>
      </c>
      <c r="C1403" t="s">
        <v>4359</v>
      </c>
      <c r="D1403" t="s">
        <v>4356</v>
      </c>
      <c r="E1403" t="s">
        <v>4748</v>
      </c>
      <c r="F1403">
        <v>375</v>
      </c>
      <c r="G1403" t="s">
        <v>4748</v>
      </c>
      <c r="H1403" t="s">
        <v>0</v>
      </c>
      <c r="I1403" t="s">
        <v>2112</v>
      </c>
      <c r="J1403" t="s">
        <v>1118</v>
      </c>
      <c r="L1403" t="s">
        <v>3</v>
      </c>
      <c r="M1403" t="s">
        <v>4</v>
      </c>
      <c r="N1403" s="3" t="str">
        <f t="shared" si="43"/>
        <v>F</v>
      </c>
      <c r="O1403" s="3" t="str">
        <f>IF(_xlfn.IFNA(MATCH(B1403,Table1[UID],0),"F")="F","F","T")</f>
        <v>T</v>
      </c>
    </row>
    <row r="1404" spans="2:15" x14ac:dyDescent="0.25">
      <c r="B1404" s="42" t="str">
        <f t="shared" si="44"/>
        <v>S_TRNTYLEVEL2/STORAGE-LEVEL</v>
      </c>
      <c r="C1404" t="s">
        <v>4359</v>
      </c>
      <c r="D1404" t="s">
        <v>4356</v>
      </c>
      <c r="E1404" t="s">
        <v>4749</v>
      </c>
      <c r="F1404">
        <v>376</v>
      </c>
      <c r="G1404" t="s">
        <v>4749</v>
      </c>
      <c r="H1404" t="s">
        <v>0</v>
      </c>
      <c r="I1404" t="s">
        <v>1955</v>
      </c>
      <c r="J1404" t="s">
        <v>1942</v>
      </c>
      <c r="L1404" t="s">
        <v>3</v>
      </c>
      <c r="M1404" t="s">
        <v>4</v>
      </c>
      <c r="N1404" s="3" t="str">
        <f t="shared" si="43"/>
        <v>F</v>
      </c>
      <c r="O1404" s="3" t="str">
        <f>IF(_xlfn.IFNA(MATCH(B1404,Table1[UID],0),"F")="F","F","T")</f>
        <v>T</v>
      </c>
    </row>
    <row r="1405" spans="2:15" x14ac:dyDescent="0.25">
      <c r="B1405" s="42" t="str">
        <f t="shared" si="44"/>
        <v>S_TRNTYLEVEL3/STORAGE-LEVEL</v>
      </c>
      <c r="C1405" t="s">
        <v>4359</v>
      </c>
      <c r="D1405" t="s">
        <v>4356</v>
      </c>
      <c r="E1405" t="s">
        <v>4750</v>
      </c>
      <c r="F1405">
        <v>377</v>
      </c>
      <c r="G1405" t="s">
        <v>4750</v>
      </c>
      <c r="H1405" t="s">
        <v>0</v>
      </c>
      <c r="I1405" t="s">
        <v>1957</v>
      </c>
      <c r="J1405" t="s">
        <v>1942</v>
      </c>
      <c r="L1405" t="s">
        <v>3</v>
      </c>
      <c r="M1405" t="s">
        <v>4</v>
      </c>
      <c r="N1405" s="3" t="str">
        <f t="shared" si="43"/>
        <v>F</v>
      </c>
      <c r="O1405" s="3" t="str">
        <f>IF(_xlfn.IFNA(MATCH(B1405,Table1[UID],0),"F")="F","F","T")</f>
        <v>T</v>
      </c>
    </row>
    <row r="1406" spans="2:15" x14ac:dyDescent="0.25">
      <c r="B1406" s="42" t="str">
        <f t="shared" si="44"/>
        <v>S_UNVLY_SV/STORAGE</v>
      </c>
      <c r="C1406" t="s">
        <v>4359</v>
      </c>
      <c r="D1406" t="s">
        <v>4356</v>
      </c>
      <c r="E1406" t="s">
        <v>4751</v>
      </c>
      <c r="F1406">
        <v>378</v>
      </c>
      <c r="G1406" t="s">
        <v>4751</v>
      </c>
      <c r="H1406" t="s">
        <v>0</v>
      </c>
      <c r="I1406" t="s">
        <v>2093</v>
      </c>
      <c r="J1406" t="s">
        <v>1118</v>
      </c>
      <c r="L1406" t="s">
        <v>3</v>
      </c>
      <c r="M1406" t="s">
        <v>4</v>
      </c>
      <c r="N1406" s="3" t="str">
        <f t="shared" si="43"/>
        <v>F</v>
      </c>
      <c r="O1406" s="3" t="str">
        <f>IF(_xlfn.IFNA(MATCH(B1406,Table1[UID],0),"F")="F","F","T")</f>
        <v>T</v>
      </c>
    </row>
    <row r="1407" spans="2:15" x14ac:dyDescent="0.25">
      <c r="B1407" s="42" t="str">
        <f t="shared" si="44"/>
        <v>S_UPPERFEATHER_SV/STORAGE</v>
      </c>
      <c r="C1407" t="s">
        <v>4359</v>
      </c>
      <c r="D1407" t="s">
        <v>4356</v>
      </c>
      <c r="E1407" t="s">
        <v>4752</v>
      </c>
      <c r="F1407">
        <v>379</v>
      </c>
      <c r="G1407" t="s">
        <v>4752</v>
      </c>
      <c r="H1407" t="s">
        <v>0</v>
      </c>
      <c r="I1407" t="s">
        <v>2113</v>
      </c>
      <c r="J1407" t="s">
        <v>1118</v>
      </c>
      <c r="L1407" t="s">
        <v>3</v>
      </c>
      <c r="M1407" t="s">
        <v>4</v>
      </c>
      <c r="N1407" s="3" t="str">
        <f t="shared" si="43"/>
        <v>F</v>
      </c>
      <c r="O1407" s="3" t="str">
        <f>IF(_xlfn.IFNA(MATCH(B1407,Table1[UID],0),"F")="F","F","T")</f>
        <v>T</v>
      </c>
    </row>
    <row r="1408" spans="2:15" x14ac:dyDescent="0.25">
      <c r="B1408" s="42" t="str">
        <f t="shared" si="44"/>
        <v>TS_ADJ_HC/FLOW</v>
      </c>
      <c r="C1408" t="s">
        <v>4359</v>
      </c>
      <c r="D1408" t="s">
        <v>4356</v>
      </c>
      <c r="E1408" t="s">
        <v>4753</v>
      </c>
      <c r="F1408">
        <v>380</v>
      </c>
      <c r="G1408" t="s">
        <v>4753</v>
      </c>
      <c r="H1408" t="s">
        <v>0</v>
      </c>
      <c r="I1408" t="s">
        <v>4754</v>
      </c>
      <c r="J1408" t="s">
        <v>1893</v>
      </c>
      <c r="L1408" t="s">
        <v>3</v>
      </c>
      <c r="M1408" t="s">
        <v>4</v>
      </c>
      <c r="N1408" s="3" t="str">
        <f t="shared" si="43"/>
        <v>F</v>
      </c>
      <c r="O1408" s="3" t="str">
        <f>IF(_xlfn.IFNA(MATCH(B1408,Table1[UID],0),"F")="F","F","T")</f>
        <v>F</v>
      </c>
    </row>
    <row r="1409" spans="2:15" x14ac:dyDescent="0.25">
      <c r="B1409" s="42" t="str">
        <f t="shared" si="44"/>
        <v>TS_ADJ_RB/FLOW</v>
      </c>
      <c r="C1409" t="s">
        <v>4359</v>
      </c>
      <c r="D1409" t="s">
        <v>4356</v>
      </c>
      <c r="E1409" t="s">
        <v>4755</v>
      </c>
      <c r="F1409">
        <v>381</v>
      </c>
      <c r="G1409" t="s">
        <v>4755</v>
      </c>
      <c r="H1409" t="s">
        <v>0</v>
      </c>
      <c r="I1409" t="s">
        <v>4756</v>
      </c>
      <c r="J1409" t="s">
        <v>1893</v>
      </c>
      <c r="L1409" t="s">
        <v>3</v>
      </c>
      <c r="M1409" t="s">
        <v>4</v>
      </c>
      <c r="N1409" s="3" t="str">
        <f t="shared" si="43"/>
        <v>F</v>
      </c>
      <c r="O1409" s="3" t="str">
        <f>IF(_xlfn.IFNA(MATCH(B1409,Table1[UID],0),"F")="F","F","T")</f>
        <v>F</v>
      </c>
    </row>
    <row r="1410" spans="2:15" x14ac:dyDescent="0.25">
      <c r="B1410" s="42" t="str">
        <f t="shared" si="44"/>
        <v>TS_ADJ_WLK/FLOW</v>
      </c>
      <c r="C1410" t="s">
        <v>4359</v>
      </c>
      <c r="D1410" t="s">
        <v>4356</v>
      </c>
      <c r="E1410" t="s">
        <v>4757</v>
      </c>
      <c r="F1410">
        <v>382</v>
      </c>
      <c r="G1410" t="s">
        <v>4757</v>
      </c>
      <c r="H1410" t="s">
        <v>0</v>
      </c>
      <c r="I1410" t="s">
        <v>4758</v>
      </c>
      <c r="J1410" t="s">
        <v>1893</v>
      </c>
      <c r="L1410" t="s">
        <v>3</v>
      </c>
      <c r="M1410" t="s">
        <v>4</v>
      </c>
      <c r="N1410" s="3" t="str">
        <f t="shared" si="43"/>
        <v>F</v>
      </c>
      <c r="O1410" s="3" t="str">
        <f>IF(_xlfn.IFNA(MATCH(B1410,Table1[UID],0),"F")="F","F","T")</f>
        <v>F</v>
      </c>
    </row>
    <row r="1411" spans="2:15" x14ac:dyDescent="0.25">
      <c r="B1411" s="42" t="str">
        <f t="shared" si="44"/>
        <v>TULE_WET_INDX/FRIANT-INDX</v>
      </c>
      <c r="C1411" t="s">
        <v>4359</v>
      </c>
      <c r="D1411" t="s">
        <v>4356</v>
      </c>
      <c r="E1411" t="s">
        <v>4759</v>
      </c>
      <c r="F1411">
        <v>383</v>
      </c>
      <c r="G1411" t="s">
        <v>4759</v>
      </c>
      <c r="H1411" t="s">
        <v>0</v>
      </c>
      <c r="I1411" t="s">
        <v>2025</v>
      </c>
      <c r="J1411" t="s">
        <v>2026</v>
      </c>
      <c r="L1411" t="s">
        <v>3</v>
      </c>
      <c r="M1411" t="s">
        <v>4</v>
      </c>
      <c r="N1411" s="3" t="str">
        <f t="shared" ref="N1411:N1474" si="45">IF(COUNTIF($B$3:$B$1760,"="&amp;B1411)&gt;1,"T","F")</f>
        <v>F</v>
      </c>
      <c r="O1411" s="3" t="str">
        <f>IF(_xlfn.IFNA(MATCH(B1411,Table1[UID],0),"F")="F","F","T")</f>
        <v>T</v>
      </c>
    </row>
    <row r="1412" spans="2:15" x14ac:dyDescent="0.25">
      <c r="B1412" s="42" t="str">
        <f t="shared" si="44"/>
        <v>UARPFORECASTRELEASE/STORAGE-FORECAST</v>
      </c>
      <c r="C1412" t="s">
        <v>4359</v>
      </c>
      <c r="D1412" t="s">
        <v>4356</v>
      </c>
      <c r="E1412" t="s">
        <v>4761</v>
      </c>
      <c r="F1412">
        <v>385</v>
      </c>
      <c r="G1412" t="s">
        <v>4761</v>
      </c>
      <c r="H1412" t="s">
        <v>0</v>
      </c>
      <c r="I1412" t="s">
        <v>1902</v>
      </c>
      <c r="J1412" t="s">
        <v>1903</v>
      </c>
      <c r="L1412" t="s">
        <v>3</v>
      </c>
      <c r="M1412" t="s">
        <v>4</v>
      </c>
      <c r="N1412" s="3" t="str">
        <f t="shared" si="45"/>
        <v>F</v>
      </c>
      <c r="O1412" s="3" t="str">
        <f>IF(_xlfn.IFNA(MATCH(B1412,Table1[UID],0),"F")="F","F","T")</f>
        <v>T</v>
      </c>
    </row>
    <row r="1413" spans="2:15" x14ac:dyDescent="0.25">
      <c r="B1413" s="42" t="str">
        <f t="shared" si="44"/>
        <v>UD_50_PU/URBAN-DEMAND</v>
      </c>
      <c r="C1413" t="s">
        <v>4359</v>
      </c>
      <c r="D1413" t="s">
        <v>4356</v>
      </c>
      <c r="E1413" t="s">
        <v>4762</v>
      </c>
      <c r="F1413">
        <v>386</v>
      </c>
      <c r="G1413" t="s">
        <v>4762</v>
      </c>
      <c r="H1413" t="s">
        <v>0</v>
      </c>
      <c r="I1413" t="s">
        <v>955</v>
      </c>
      <c r="J1413" t="s">
        <v>892</v>
      </c>
      <c r="L1413" t="s">
        <v>3</v>
      </c>
      <c r="M1413" t="s">
        <v>4</v>
      </c>
      <c r="N1413" s="3" t="str">
        <f t="shared" si="45"/>
        <v>F</v>
      </c>
      <c r="O1413" s="3" t="str">
        <f>IF(_xlfn.IFNA(MATCH(B1413,Table1[UID],0),"F")="F","F","T")</f>
        <v>T</v>
      </c>
    </row>
    <row r="1414" spans="2:15" x14ac:dyDescent="0.25">
      <c r="B1414" s="42" t="str">
        <f t="shared" si="44"/>
        <v>UD_BNCIA/URBAN-DEMAND</v>
      </c>
      <c r="C1414" t="s">
        <v>4359</v>
      </c>
      <c r="D1414" t="s">
        <v>4356</v>
      </c>
      <c r="E1414" t="s">
        <v>4763</v>
      </c>
      <c r="F1414">
        <v>387</v>
      </c>
      <c r="G1414" t="s">
        <v>4763</v>
      </c>
      <c r="H1414" t="s">
        <v>0</v>
      </c>
      <c r="I1414" t="s">
        <v>973</v>
      </c>
      <c r="J1414" t="s">
        <v>892</v>
      </c>
      <c r="L1414" t="s">
        <v>3</v>
      </c>
      <c r="M1414" t="s">
        <v>4</v>
      </c>
      <c r="N1414" s="3" t="str">
        <f t="shared" si="45"/>
        <v>F</v>
      </c>
      <c r="O1414" s="3" t="str">
        <f>IF(_xlfn.IFNA(MATCH(B1414,Table1[UID],0),"F")="F","F","T")</f>
        <v>T</v>
      </c>
    </row>
    <row r="1415" spans="2:15" x14ac:dyDescent="0.25">
      <c r="B1415" s="42" t="str">
        <f t="shared" si="44"/>
        <v>UD_CSPSO/URBAN-DEMAND</v>
      </c>
      <c r="C1415" t="s">
        <v>4359</v>
      </c>
      <c r="D1415" t="s">
        <v>4356</v>
      </c>
      <c r="E1415" t="s">
        <v>4764</v>
      </c>
      <c r="F1415">
        <v>388</v>
      </c>
      <c r="G1415" t="s">
        <v>4764</v>
      </c>
      <c r="H1415" t="s">
        <v>0</v>
      </c>
      <c r="I1415" t="s">
        <v>974</v>
      </c>
      <c r="J1415" t="s">
        <v>892</v>
      </c>
      <c r="L1415" t="s">
        <v>3</v>
      </c>
      <c r="M1415" t="s">
        <v>4</v>
      </c>
      <c r="N1415" s="3" t="str">
        <f t="shared" si="45"/>
        <v>F</v>
      </c>
      <c r="O1415" s="3" t="str">
        <f>IF(_xlfn.IFNA(MATCH(B1415,Table1[UID],0),"F")="F","F","T")</f>
        <v>T</v>
      </c>
    </row>
    <row r="1416" spans="2:15" x14ac:dyDescent="0.25">
      <c r="B1416" s="42" t="str">
        <f t="shared" si="44"/>
        <v>UD_EBMUD/URBAN-DEMAND</v>
      </c>
      <c r="C1416" t="s">
        <v>4359</v>
      </c>
      <c r="D1416" t="s">
        <v>4356</v>
      </c>
      <c r="E1416" t="s">
        <v>4765</v>
      </c>
      <c r="F1416">
        <v>389</v>
      </c>
      <c r="G1416" t="s">
        <v>4765</v>
      </c>
      <c r="H1416" t="s">
        <v>0</v>
      </c>
      <c r="I1416" t="s">
        <v>4766</v>
      </c>
      <c r="J1416" t="s">
        <v>892</v>
      </c>
      <c r="L1416" t="s">
        <v>3</v>
      </c>
      <c r="M1416" t="s">
        <v>4</v>
      </c>
      <c r="N1416" s="3" t="str">
        <f t="shared" si="45"/>
        <v>F</v>
      </c>
      <c r="O1416" s="3" t="str">
        <f>IF(_xlfn.IFNA(MATCH(B1416,Table1[UID],0),"F")="F","F","T")</f>
        <v>F</v>
      </c>
    </row>
    <row r="1417" spans="2:15" x14ac:dyDescent="0.25">
      <c r="B1417" s="42" t="str">
        <f t="shared" ref="B1417:B1481" si="46">_xlfn.CONCAT(I1417,"/",J1417)</f>
        <v>UD_EDCOCA_NU1/URBAN-DEMAND</v>
      </c>
      <c r="C1417" t="s">
        <v>4359</v>
      </c>
      <c r="D1417" t="s">
        <v>4356</v>
      </c>
      <c r="E1417" t="s">
        <v>4767</v>
      </c>
      <c r="F1417">
        <v>390</v>
      </c>
      <c r="G1417" t="s">
        <v>4767</v>
      </c>
      <c r="H1417" t="s">
        <v>0</v>
      </c>
      <c r="I1417" t="s">
        <v>975</v>
      </c>
      <c r="J1417" t="s">
        <v>892</v>
      </c>
      <c r="L1417" t="s">
        <v>3</v>
      </c>
      <c r="M1417" t="s">
        <v>4</v>
      </c>
      <c r="N1417" s="3" t="str">
        <f t="shared" si="45"/>
        <v>F</v>
      </c>
      <c r="O1417" s="3" t="str">
        <f>IF(_xlfn.IFNA(MATCH(B1417,Table1[UID],0),"F")="F","F","T")</f>
        <v>T</v>
      </c>
    </row>
    <row r="1418" spans="2:15" x14ac:dyDescent="0.25">
      <c r="B1418" s="42" t="str">
        <f t="shared" si="46"/>
        <v>UD_EDCOCA_NU2/URBAN-DEMAND</v>
      </c>
      <c r="C1418" t="s">
        <v>4359</v>
      </c>
      <c r="D1418" t="s">
        <v>4356</v>
      </c>
      <c r="E1418" t="s">
        <v>4768</v>
      </c>
      <c r="F1418">
        <v>391</v>
      </c>
      <c r="G1418" t="s">
        <v>4768</v>
      </c>
      <c r="H1418" t="s">
        <v>0</v>
      </c>
      <c r="I1418" t="s">
        <v>976</v>
      </c>
      <c r="J1418" t="s">
        <v>892</v>
      </c>
      <c r="L1418" t="s">
        <v>3</v>
      </c>
      <c r="M1418" t="s">
        <v>4</v>
      </c>
      <c r="N1418" s="3" t="str">
        <f t="shared" si="45"/>
        <v>F</v>
      </c>
      <c r="O1418" s="3" t="str">
        <f>IF(_xlfn.IFNA(MATCH(B1418,Table1[UID],0),"F")="F","F","T")</f>
        <v>T</v>
      </c>
    </row>
    <row r="1419" spans="2:15" x14ac:dyDescent="0.25">
      <c r="B1419" s="42" t="str">
        <f t="shared" si="46"/>
        <v>UD_EDCOCA_NU3/URBAN-DEMAND</v>
      </c>
      <c r="C1419" t="s">
        <v>4359</v>
      </c>
      <c r="D1419" t="s">
        <v>4356</v>
      </c>
      <c r="E1419" t="s">
        <v>4769</v>
      </c>
      <c r="F1419">
        <v>392</v>
      </c>
      <c r="G1419" t="s">
        <v>4769</v>
      </c>
      <c r="H1419" t="s">
        <v>0</v>
      </c>
      <c r="I1419" t="s">
        <v>977</v>
      </c>
      <c r="J1419" t="s">
        <v>892</v>
      </c>
      <c r="L1419" t="s">
        <v>3</v>
      </c>
      <c r="M1419" t="s">
        <v>4</v>
      </c>
      <c r="N1419" s="3" t="str">
        <f t="shared" si="45"/>
        <v>F</v>
      </c>
      <c r="O1419" s="3" t="str">
        <f>IF(_xlfn.IFNA(MATCH(B1419,Table1[UID],0),"F")="F","F","T")</f>
        <v>T</v>
      </c>
    </row>
    <row r="1420" spans="2:15" x14ac:dyDescent="0.25">
      <c r="B1420" s="42" t="str">
        <f t="shared" si="46"/>
        <v>UD_ELDID_NU1/URBAN-DEMAND</v>
      </c>
      <c r="C1420" t="s">
        <v>4359</v>
      </c>
      <c r="D1420" t="s">
        <v>4356</v>
      </c>
      <c r="E1420" t="s">
        <v>4770</v>
      </c>
      <c r="F1420">
        <v>393</v>
      </c>
      <c r="G1420" t="s">
        <v>4770</v>
      </c>
      <c r="H1420" t="s">
        <v>0</v>
      </c>
      <c r="I1420" t="s">
        <v>978</v>
      </c>
      <c r="J1420" t="s">
        <v>892</v>
      </c>
      <c r="L1420" t="s">
        <v>3</v>
      </c>
      <c r="M1420" t="s">
        <v>4</v>
      </c>
      <c r="N1420" s="3" t="str">
        <f t="shared" si="45"/>
        <v>F</v>
      </c>
      <c r="O1420" s="3" t="str">
        <f>IF(_xlfn.IFNA(MATCH(B1420,Table1[UID],0),"F")="F","F","T")</f>
        <v>T</v>
      </c>
    </row>
    <row r="1421" spans="2:15" x14ac:dyDescent="0.25">
      <c r="B1421" s="42" t="str">
        <f t="shared" si="46"/>
        <v>UD_ELDID_NU2/URBAN-DEMAND</v>
      </c>
      <c r="C1421" t="s">
        <v>4359</v>
      </c>
      <c r="D1421" t="s">
        <v>4356</v>
      </c>
      <c r="E1421" t="s">
        <v>4771</v>
      </c>
      <c r="F1421">
        <v>394</v>
      </c>
      <c r="G1421" t="s">
        <v>4771</v>
      </c>
      <c r="H1421" t="s">
        <v>0</v>
      </c>
      <c r="I1421" t="s">
        <v>979</v>
      </c>
      <c r="J1421" t="s">
        <v>892</v>
      </c>
      <c r="L1421" t="s">
        <v>3</v>
      </c>
      <c r="M1421" t="s">
        <v>4</v>
      </c>
      <c r="N1421" s="3" t="str">
        <f t="shared" si="45"/>
        <v>F</v>
      </c>
      <c r="O1421" s="3" t="str">
        <f>IF(_xlfn.IFNA(MATCH(B1421,Table1[UID],0),"F")="F","F","T")</f>
        <v>T</v>
      </c>
    </row>
    <row r="1422" spans="2:15" x14ac:dyDescent="0.25">
      <c r="B1422" s="42" t="str">
        <f t="shared" si="46"/>
        <v>UD_ELDID_NU3/URBAN-DEMAND</v>
      </c>
      <c r="C1422" t="s">
        <v>4359</v>
      </c>
      <c r="D1422" t="s">
        <v>4356</v>
      </c>
      <c r="E1422" t="s">
        <v>4772</v>
      </c>
      <c r="F1422">
        <v>395</v>
      </c>
      <c r="G1422" t="s">
        <v>4772</v>
      </c>
      <c r="H1422" t="s">
        <v>0</v>
      </c>
      <c r="I1422" t="s">
        <v>980</v>
      </c>
      <c r="J1422" t="s">
        <v>892</v>
      </c>
      <c r="L1422" t="s">
        <v>3</v>
      </c>
      <c r="M1422" t="s">
        <v>4</v>
      </c>
      <c r="N1422" s="3" t="str">
        <f t="shared" si="45"/>
        <v>F</v>
      </c>
      <c r="O1422" s="3" t="str">
        <f>IF(_xlfn.IFNA(MATCH(B1422,Table1[UID],0),"F")="F","F","T")</f>
        <v>T</v>
      </c>
    </row>
    <row r="1423" spans="2:15" x14ac:dyDescent="0.25">
      <c r="B1423" s="42" t="str">
        <f t="shared" si="46"/>
        <v>UD_FRFLD/URBAN-DEMAND</v>
      </c>
      <c r="C1423" t="s">
        <v>4359</v>
      </c>
      <c r="D1423" t="s">
        <v>4356</v>
      </c>
      <c r="E1423" t="s">
        <v>4773</v>
      </c>
      <c r="F1423">
        <v>396</v>
      </c>
      <c r="G1423" t="s">
        <v>4773</v>
      </c>
      <c r="H1423" t="s">
        <v>0</v>
      </c>
      <c r="I1423" t="s">
        <v>981</v>
      </c>
      <c r="J1423" t="s">
        <v>892</v>
      </c>
      <c r="L1423" t="s">
        <v>3</v>
      </c>
      <c r="M1423" t="s">
        <v>4</v>
      </c>
      <c r="N1423" s="3" t="str">
        <f t="shared" si="45"/>
        <v>F</v>
      </c>
      <c r="O1423" s="3" t="str">
        <f>IF(_xlfn.IFNA(MATCH(B1423,Table1[UID],0),"F")="F","F","T")</f>
        <v>T</v>
      </c>
    </row>
    <row r="1424" spans="2:15" x14ac:dyDescent="0.25">
      <c r="B1424" s="42" t="str">
        <f t="shared" si="46"/>
        <v>UD_GDPUD_NU/URBAN-DEMAND</v>
      </c>
      <c r="C1424" t="s">
        <v>4359</v>
      </c>
      <c r="D1424" t="s">
        <v>4356</v>
      </c>
      <c r="E1424" t="s">
        <v>4774</v>
      </c>
      <c r="F1424">
        <v>397</v>
      </c>
      <c r="G1424" t="s">
        <v>4774</v>
      </c>
      <c r="H1424" t="s">
        <v>0</v>
      </c>
      <c r="I1424" t="s">
        <v>982</v>
      </c>
      <c r="J1424" t="s">
        <v>892</v>
      </c>
      <c r="L1424" t="s">
        <v>3</v>
      </c>
      <c r="M1424" t="s">
        <v>4</v>
      </c>
      <c r="N1424" s="3" t="str">
        <f t="shared" si="45"/>
        <v>F</v>
      </c>
      <c r="O1424" s="3" t="str">
        <f>IF(_xlfn.IFNA(MATCH(B1424,Table1[UID],0),"F")="F","F","T")</f>
        <v>T</v>
      </c>
    </row>
    <row r="1425" spans="2:15" x14ac:dyDescent="0.25">
      <c r="B1425" s="42" t="str">
        <f t="shared" si="46"/>
        <v>UD_GRSVL/URBAN-DEMAND</v>
      </c>
      <c r="C1425" t="s">
        <v>4359</v>
      </c>
      <c r="D1425" t="s">
        <v>4356</v>
      </c>
      <c r="E1425" t="s">
        <v>4775</v>
      </c>
      <c r="F1425">
        <v>398</v>
      </c>
      <c r="G1425" t="s">
        <v>4775</v>
      </c>
      <c r="H1425" t="s">
        <v>0</v>
      </c>
      <c r="I1425" t="s">
        <v>983</v>
      </c>
      <c r="J1425" t="s">
        <v>892</v>
      </c>
      <c r="L1425" t="s">
        <v>3</v>
      </c>
      <c r="M1425" t="s">
        <v>4</v>
      </c>
      <c r="N1425" s="3" t="str">
        <f t="shared" si="45"/>
        <v>F</v>
      </c>
      <c r="O1425" s="3" t="str">
        <f>IF(_xlfn.IFNA(MATCH(B1425,Table1[UID],0),"F")="F","F","T")</f>
        <v>T</v>
      </c>
    </row>
    <row r="1426" spans="2:15" x14ac:dyDescent="0.25">
      <c r="B1426" s="42" t="str">
        <f t="shared" si="46"/>
        <v>UD_NAPA2/URBAN-DEMAND</v>
      </c>
      <c r="C1426" t="s">
        <v>4359</v>
      </c>
      <c r="D1426" t="s">
        <v>4356</v>
      </c>
      <c r="E1426" t="s">
        <v>4776</v>
      </c>
      <c r="F1426">
        <v>399</v>
      </c>
      <c r="G1426" t="s">
        <v>4776</v>
      </c>
      <c r="H1426" t="s">
        <v>0</v>
      </c>
      <c r="I1426" t="s">
        <v>984</v>
      </c>
      <c r="J1426" t="s">
        <v>892</v>
      </c>
      <c r="L1426" t="s">
        <v>3</v>
      </c>
      <c r="M1426" t="s">
        <v>4</v>
      </c>
      <c r="N1426" s="3" t="str">
        <f t="shared" si="45"/>
        <v>F</v>
      </c>
      <c r="O1426" s="3" t="str">
        <f>IF(_xlfn.IFNA(MATCH(B1426,Table1[UID],0),"F")="F","F","T")</f>
        <v>T</v>
      </c>
    </row>
    <row r="1427" spans="2:15" x14ac:dyDescent="0.25">
      <c r="B1427" s="42" t="str">
        <f t="shared" si="46"/>
        <v>UD_PCWA3/URBAN-DEMAND</v>
      </c>
      <c r="C1427" t="s">
        <v>4359</v>
      </c>
      <c r="D1427" t="s">
        <v>4356</v>
      </c>
      <c r="E1427" t="s">
        <v>4777</v>
      </c>
      <c r="F1427">
        <v>400</v>
      </c>
      <c r="G1427" t="s">
        <v>4777</v>
      </c>
      <c r="H1427" t="s">
        <v>0</v>
      </c>
      <c r="I1427" t="s">
        <v>985</v>
      </c>
      <c r="J1427" t="s">
        <v>892</v>
      </c>
      <c r="L1427" t="s">
        <v>3</v>
      </c>
      <c r="M1427" t="s">
        <v>4</v>
      </c>
      <c r="N1427" s="3" t="str">
        <f t="shared" si="45"/>
        <v>F</v>
      </c>
      <c r="O1427" s="3" t="str">
        <f>IF(_xlfn.IFNA(MATCH(B1427,Table1[UID],0),"F")="F","F","T")</f>
        <v>T</v>
      </c>
    </row>
    <row r="1428" spans="2:15" x14ac:dyDescent="0.25">
      <c r="B1428" s="42" t="str">
        <f t="shared" si="46"/>
        <v>UD_PINES/URBAN-DEMAND</v>
      </c>
      <c r="C1428" t="s">
        <v>4359</v>
      </c>
      <c r="D1428" t="s">
        <v>4356</v>
      </c>
      <c r="E1428" t="s">
        <v>4778</v>
      </c>
      <c r="F1428">
        <v>401</v>
      </c>
      <c r="G1428" t="s">
        <v>4778</v>
      </c>
      <c r="H1428" t="s">
        <v>0</v>
      </c>
      <c r="I1428" t="s">
        <v>986</v>
      </c>
      <c r="J1428" t="s">
        <v>892</v>
      </c>
      <c r="L1428" t="s">
        <v>3</v>
      </c>
      <c r="M1428" t="s">
        <v>4</v>
      </c>
      <c r="N1428" s="3" t="str">
        <f t="shared" si="45"/>
        <v>F</v>
      </c>
      <c r="O1428" s="3" t="str">
        <f>IF(_xlfn.IFNA(MATCH(B1428,Table1[UID],0),"F")="F","F","T")</f>
        <v>T</v>
      </c>
    </row>
    <row r="1429" spans="2:15" x14ac:dyDescent="0.25">
      <c r="B1429" s="42" t="str">
        <f t="shared" si="46"/>
        <v>UD_PUTAH/URBAN-DEMAND</v>
      </c>
      <c r="C1429" t="s">
        <v>4359</v>
      </c>
      <c r="D1429" t="s">
        <v>4356</v>
      </c>
      <c r="E1429" t="s">
        <v>4779</v>
      </c>
      <c r="F1429">
        <v>402</v>
      </c>
      <c r="G1429" t="s">
        <v>4779</v>
      </c>
      <c r="H1429" t="s">
        <v>0</v>
      </c>
      <c r="I1429" t="s">
        <v>987</v>
      </c>
      <c r="J1429" t="s">
        <v>892</v>
      </c>
      <c r="L1429" t="s">
        <v>3</v>
      </c>
      <c r="M1429" t="s">
        <v>4</v>
      </c>
      <c r="N1429" s="3" t="str">
        <f t="shared" si="45"/>
        <v>F</v>
      </c>
      <c r="O1429" s="3" t="str">
        <f>IF(_xlfn.IFNA(MATCH(B1429,Table1[UID],0),"F")="F","F","T")</f>
        <v>T</v>
      </c>
    </row>
    <row r="1430" spans="2:15" x14ac:dyDescent="0.25">
      <c r="B1430" s="42" t="str">
        <f t="shared" si="46"/>
        <v>UD_SUISN/URBAN-DEMAND</v>
      </c>
      <c r="C1430" t="s">
        <v>4359</v>
      </c>
      <c r="D1430" t="s">
        <v>4356</v>
      </c>
      <c r="E1430" t="s">
        <v>4780</v>
      </c>
      <c r="F1430">
        <v>403</v>
      </c>
      <c r="G1430" t="s">
        <v>4780</v>
      </c>
      <c r="H1430" t="s">
        <v>0</v>
      </c>
      <c r="I1430" t="s">
        <v>988</v>
      </c>
      <c r="J1430" t="s">
        <v>892</v>
      </c>
      <c r="L1430" t="s">
        <v>3</v>
      </c>
      <c r="M1430" t="s">
        <v>4</v>
      </c>
      <c r="N1430" s="3" t="str">
        <f t="shared" si="45"/>
        <v>F</v>
      </c>
      <c r="O1430" s="3" t="str">
        <f>IF(_xlfn.IFNA(MATCH(B1430,Table1[UID],0),"F")="F","F","T")</f>
        <v>T</v>
      </c>
    </row>
    <row r="1431" spans="2:15" x14ac:dyDescent="0.25">
      <c r="B1431" s="42" t="str">
        <f t="shared" si="46"/>
        <v>UD_TVAFB/URBAN-DEMAND</v>
      </c>
      <c r="C1431" t="s">
        <v>4359</v>
      </c>
      <c r="D1431" t="s">
        <v>4356</v>
      </c>
      <c r="E1431" t="s">
        <v>4781</v>
      </c>
      <c r="F1431">
        <v>404</v>
      </c>
      <c r="G1431" t="s">
        <v>4781</v>
      </c>
      <c r="H1431" t="s">
        <v>0</v>
      </c>
      <c r="I1431" t="s">
        <v>989</v>
      </c>
      <c r="J1431" t="s">
        <v>892</v>
      </c>
      <c r="L1431" t="s">
        <v>3</v>
      </c>
      <c r="M1431" t="s">
        <v>4</v>
      </c>
      <c r="N1431" s="3" t="str">
        <f t="shared" si="45"/>
        <v>F</v>
      </c>
      <c r="O1431" s="3" t="str">
        <f>IF(_xlfn.IFNA(MATCH(B1431,Table1[UID],0),"F")="F","F","T")</f>
        <v>T</v>
      </c>
    </row>
    <row r="1432" spans="2:15" x14ac:dyDescent="0.25">
      <c r="B1432" s="42" t="str">
        <f t="shared" si="46"/>
        <v>UD_VLLJO/URBAN-DEMAND</v>
      </c>
      <c r="C1432" t="s">
        <v>4359</v>
      </c>
      <c r="D1432" t="s">
        <v>4356</v>
      </c>
      <c r="E1432" t="s">
        <v>4782</v>
      </c>
      <c r="F1432">
        <v>405</v>
      </c>
      <c r="G1432" t="s">
        <v>4782</v>
      </c>
      <c r="H1432" t="s">
        <v>0</v>
      </c>
      <c r="I1432" t="s">
        <v>990</v>
      </c>
      <c r="J1432" t="s">
        <v>892</v>
      </c>
      <c r="L1432" t="s">
        <v>3</v>
      </c>
      <c r="M1432" t="s">
        <v>4</v>
      </c>
      <c r="N1432" s="3" t="str">
        <f t="shared" si="45"/>
        <v>F</v>
      </c>
      <c r="O1432" s="3" t="str">
        <f>IF(_xlfn.IFNA(MATCH(B1432,Table1[UID],0),"F")="F","F","T")</f>
        <v>T</v>
      </c>
    </row>
    <row r="1433" spans="2:15" x14ac:dyDescent="0.25">
      <c r="B1433" s="42" t="str">
        <f t="shared" si="46"/>
        <v>UD_WLDWD/URBAN-DEMAND</v>
      </c>
      <c r="C1433" t="s">
        <v>4359</v>
      </c>
      <c r="D1433" t="s">
        <v>4356</v>
      </c>
      <c r="E1433" t="s">
        <v>4783</v>
      </c>
      <c r="F1433">
        <v>406</v>
      </c>
      <c r="G1433" t="s">
        <v>4783</v>
      </c>
      <c r="H1433" t="s">
        <v>0</v>
      </c>
      <c r="I1433" t="s">
        <v>991</v>
      </c>
      <c r="J1433" t="s">
        <v>892</v>
      </c>
      <c r="L1433" t="s">
        <v>3</v>
      </c>
      <c r="M1433" t="s">
        <v>4</v>
      </c>
      <c r="N1433" s="3" t="str">
        <f t="shared" si="45"/>
        <v>F</v>
      </c>
      <c r="O1433" s="3" t="str">
        <f>IF(_xlfn.IFNA(MATCH(B1433,Table1[UID],0),"F")="F","F","T")</f>
        <v>T</v>
      </c>
    </row>
    <row r="1434" spans="2:15" x14ac:dyDescent="0.25">
      <c r="B1434" s="42" t="str">
        <f t="shared" si="46"/>
        <v>UF_CULOS/CONSUMPTIVE-USE</v>
      </c>
      <c r="C1434" t="s">
        <v>4359</v>
      </c>
      <c r="D1434" t="s">
        <v>4356</v>
      </c>
      <c r="E1434" t="s">
        <v>4784</v>
      </c>
      <c r="F1434">
        <v>407</v>
      </c>
      <c r="G1434" t="s">
        <v>4784</v>
      </c>
      <c r="H1434" t="s">
        <v>0</v>
      </c>
      <c r="I1434" t="s">
        <v>1133</v>
      </c>
      <c r="J1434" t="s">
        <v>1134</v>
      </c>
      <c r="L1434" t="s">
        <v>3</v>
      </c>
      <c r="M1434" t="s">
        <v>4</v>
      </c>
      <c r="N1434" s="3" t="str">
        <f t="shared" si="45"/>
        <v>F</v>
      </c>
      <c r="O1434" s="3" t="str">
        <f>IF(_xlfn.IFNA(MATCH(B1434,Table1[UID],0),"F")="F","F","T")</f>
        <v>T</v>
      </c>
    </row>
    <row r="1435" spans="2:15" x14ac:dyDescent="0.25">
      <c r="B1435" s="42" t="str">
        <f t="shared" si="46"/>
        <v>USAGE_REDUCTION_NID_SV/RATIO</v>
      </c>
      <c r="C1435" t="s">
        <v>4359</v>
      </c>
      <c r="D1435" t="s">
        <v>4356</v>
      </c>
      <c r="E1435" t="s">
        <v>4785</v>
      </c>
      <c r="F1435">
        <v>408</v>
      </c>
      <c r="G1435" t="s">
        <v>4785</v>
      </c>
      <c r="H1435" t="s">
        <v>0</v>
      </c>
      <c r="I1435" t="s">
        <v>2159</v>
      </c>
      <c r="J1435" t="s">
        <v>2152</v>
      </c>
      <c r="L1435" t="s">
        <v>3</v>
      </c>
      <c r="M1435" t="s">
        <v>4</v>
      </c>
      <c r="N1435" s="3" t="str">
        <f t="shared" si="45"/>
        <v>F</v>
      </c>
      <c r="O1435" s="3" t="str">
        <f>IF(_xlfn.IFNA(MATCH(B1435,Table1[UID],0),"F")="F","F","T")</f>
        <v>T</v>
      </c>
    </row>
    <row r="1436" spans="2:15" x14ac:dyDescent="0.25">
      <c r="B1436" s="42" t="str">
        <f t="shared" si="46"/>
        <v>WATERYEARCONDITIONS_NID_PGE_SV/WY-TYPE</v>
      </c>
      <c r="C1436" t="s">
        <v>4359</v>
      </c>
      <c r="D1436" t="s">
        <v>4356</v>
      </c>
      <c r="E1436" t="s">
        <v>4786</v>
      </c>
      <c r="F1436">
        <v>409</v>
      </c>
      <c r="G1436" t="s">
        <v>4786</v>
      </c>
      <c r="H1436" t="s">
        <v>0</v>
      </c>
      <c r="I1436" t="s">
        <v>2160</v>
      </c>
      <c r="J1436" t="s">
        <v>2161</v>
      </c>
      <c r="L1436" t="s">
        <v>3</v>
      </c>
      <c r="M1436" t="s">
        <v>4</v>
      </c>
      <c r="N1436" s="3" t="str">
        <f t="shared" si="45"/>
        <v>F</v>
      </c>
      <c r="O1436" s="3" t="str">
        <f>IF(_xlfn.IFNA(MATCH(B1436,Table1[UID],0),"F")="F","F","T")</f>
        <v>T</v>
      </c>
    </row>
    <row r="1437" spans="2:15" x14ac:dyDescent="0.25">
      <c r="B1437" s="42" t="str">
        <f t="shared" si="46"/>
        <v>WFMITREL_SV/FLOW</v>
      </c>
      <c r="C1437" t="s">
        <v>4359</v>
      </c>
      <c r="D1437" t="s">
        <v>4356</v>
      </c>
      <c r="E1437" t="s">
        <v>4787</v>
      </c>
      <c r="F1437">
        <v>410</v>
      </c>
      <c r="G1437" t="s">
        <v>4787</v>
      </c>
      <c r="H1437" t="s">
        <v>0</v>
      </c>
      <c r="I1437" t="s">
        <v>2094</v>
      </c>
      <c r="J1437" t="s">
        <v>1893</v>
      </c>
      <c r="L1437" t="s">
        <v>3</v>
      </c>
      <c r="M1437" t="s">
        <v>4</v>
      </c>
      <c r="N1437" s="3" t="str">
        <f t="shared" si="45"/>
        <v>F</v>
      </c>
      <c r="O1437" s="3" t="str">
        <f>IF(_xlfn.IFNA(MATCH(B1437,Table1[UID],0),"F")="F","F","T")</f>
        <v>T</v>
      </c>
    </row>
    <row r="1438" spans="2:15" x14ac:dyDescent="0.25">
      <c r="B1438" s="42" t="str">
        <f t="shared" si="46"/>
        <v>WQ406A_MS/SALINITY</v>
      </c>
      <c r="C1438" t="s">
        <v>4359</v>
      </c>
      <c r="D1438" t="s">
        <v>4356</v>
      </c>
      <c r="E1438" t="s">
        <v>4788</v>
      </c>
      <c r="F1438">
        <v>411</v>
      </c>
      <c r="G1438" t="s">
        <v>4788</v>
      </c>
      <c r="H1438" t="s">
        <v>0</v>
      </c>
      <c r="I1438" t="s">
        <v>1868</v>
      </c>
      <c r="J1438" t="s">
        <v>1869</v>
      </c>
      <c r="L1438" t="s">
        <v>3</v>
      </c>
      <c r="M1438" t="s">
        <v>4</v>
      </c>
      <c r="N1438" s="3" t="str">
        <f t="shared" si="45"/>
        <v>F</v>
      </c>
      <c r="O1438" s="3" t="str">
        <f>IF(_xlfn.IFNA(MATCH(B1438,Table1[UID],0),"F")="F","F","T")</f>
        <v>T</v>
      </c>
    </row>
    <row r="1439" spans="2:15" x14ac:dyDescent="0.25">
      <c r="B1439" s="42" t="str">
        <f t="shared" si="46"/>
        <v>WQ408_OR/SALINITY</v>
      </c>
      <c r="C1439" t="s">
        <v>4359</v>
      </c>
      <c r="D1439" t="s">
        <v>4356</v>
      </c>
      <c r="E1439" t="s">
        <v>4789</v>
      </c>
      <c r="F1439">
        <v>412</v>
      </c>
      <c r="G1439" t="s">
        <v>4789</v>
      </c>
      <c r="H1439" t="s">
        <v>0</v>
      </c>
      <c r="I1439" t="s">
        <v>1873</v>
      </c>
      <c r="J1439" t="s">
        <v>1869</v>
      </c>
      <c r="L1439" t="s">
        <v>3</v>
      </c>
      <c r="M1439" t="s">
        <v>4</v>
      </c>
      <c r="N1439" s="3" t="str">
        <f t="shared" si="45"/>
        <v>F</v>
      </c>
      <c r="O1439" s="3" t="str">
        <f>IF(_xlfn.IFNA(MATCH(B1439,Table1[UID],0),"F")="F","F","T")</f>
        <v>T</v>
      </c>
    </row>
    <row r="1440" spans="2:15" x14ac:dyDescent="0.25">
      <c r="B1440" s="42" t="str">
        <f t="shared" si="46"/>
        <v>WQ408_RS/SALINITY</v>
      </c>
      <c r="C1440" t="s">
        <v>4359</v>
      </c>
      <c r="D1440" t="s">
        <v>4356</v>
      </c>
      <c r="E1440" t="s">
        <v>4790</v>
      </c>
      <c r="F1440">
        <v>413</v>
      </c>
      <c r="G1440" t="s">
        <v>4790</v>
      </c>
      <c r="H1440" t="s">
        <v>0</v>
      </c>
      <c r="I1440" t="s">
        <v>1874</v>
      </c>
      <c r="J1440" t="s">
        <v>1869</v>
      </c>
      <c r="L1440" t="s">
        <v>3</v>
      </c>
      <c r="M1440" t="s">
        <v>4</v>
      </c>
      <c r="N1440" s="3" t="str">
        <f t="shared" si="45"/>
        <v>F</v>
      </c>
      <c r="O1440" s="3" t="str">
        <f>IF(_xlfn.IFNA(MATCH(B1440,Table1[UID],0),"F")="F","F","T")</f>
        <v>T</v>
      </c>
    </row>
    <row r="1441" spans="2:15" x14ac:dyDescent="0.25">
      <c r="B1441" s="42" t="str">
        <f t="shared" si="46"/>
        <v>WQ408_VC/SALINITY</v>
      </c>
      <c r="C1441" t="s">
        <v>4359</v>
      </c>
      <c r="D1441" t="s">
        <v>4356</v>
      </c>
      <c r="E1441" t="s">
        <v>4791</v>
      </c>
      <c r="F1441">
        <v>414</v>
      </c>
      <c r="G1441" t="s">
        <v>4791</v>
      </c>
      <c r="H1441" t="s">
        <v>0</v>
      </c>
      <c r="I1441" t="s">
        <v>1875</v>
      </c>
      <c r="J1441" t="s">
        <v>1869</v>
      </c>
      <c r="L1441" t="s">
        <v>3</v>
      </c>
      <c r="M1441" t="s">
        <v>4</v>
      </c>
      <c r="N1441" s="3" t="str">
        <f t="shared" si="45"/>
        <v>F</v>
      </c>
      <c r="O1441" s="3" t="str">
        <f>IF(_xlfn.IFNA(MATCH(B1441,Table1[UID],0),"F")="F","F","T")</f>
        <v>T</v>
      </c>
    </row>
    <row r="1442" spans="2:15" x14ac:dyDescent="0.25">
      <c r="B1442" s="42" t="str">
        <f t="shared" si="46"/>
        <v>WQ422_INFLOW/SALINITY</v>
      </c>
      <c r="C1442" t="s">
        <v>4359</v>
      </c>
      <c r="D1442" t="s">
        <v>4356</v>
      </c>
      <c r="E1442" t="s">
        <v>4792</v>
      </c>
      <c r="F1442">
        <v>415</v>
      </c>
      <c r="G1442" t="s">
        <v>4792</v>
      </c>
      <c r="H1442" t="s">
        <v>0</v>
      </c>
      <c r="I1442" t="s">
        <v>1876</v>
      </c>
      <c r="J1442" t="s">
        <v>1869</v>
      </c>
      <c r="L1442" t="s">
        <v>3</v>
      </c>
      <c r="M1442" t="s">
        <v>4</v>
      </c>
      <c r="N1442" s="3" t="str">
        <f t="shared" si="45"/>
        <v>F</v>
      </c>
      <c r="O1442" s="3" t="str">
        <f>IF(_xlfn.IFNA(MATCH(B1442,Table1[UID],0),"F")="F","F","T")</f>
        <v>T</v>
      </c>
    </row>
    <row r="1443" spans="2:15" x14ac:dyDescent="0.25">
      <c r="B1443" s="42" t="str">
        <f t="shared" si="46"/>
        <v>WW_GDPUD_NU/WASTEWATER</v>
      </c>
      <c r="C1443" t="s">
        <v>4359</v>
      </c>
      <c r="D1443" t="s">
        <v>4356</v>
      </c>
      <c r="E1443" t="s">
        <v>4793</v>
      </c>
      <c r="F1443">
        <v>416</v>
      </c>
      <c r="G1443" t="s">
        <v>4793</v>
      </c>
      <c r="H1443" t="s">
        <v>0</v>
      </c>
      <c r="I1443" t="s">
        <v>1075</v>
      </c>
      <c r="J1443" t="s">
        <v>993</v>
      </c>
      <c r="L1443" t="s">
        <v>3</v>
      </c>
      <c r="M1443" t="s">
        <v>4</v>
      </c>
      <c r="N1443" s="3" t="str">
        <f t="shared" si="45"/>
        <v>F</v>
      </c>
      <c r="O1443" s="3" t="str">
        <f>IF(_xlfn.IFNA(MATCH(B1443,Table1[UID],0),"F")="F","F","T")</f>
        <v>T</v>
      </c>
    </row>
    <row r="1444" spans="2:15" x14ac:dyDescent="0.25">
      <c r="B1444" s="42" t="str">
        <f t="shared" si="46"/>
        <v>WW_GRSVL/WASTEWATER</v>
      </c>
      <c r="C1444" t="s">
        <v>4359</v>
      </c>
      <c r="D1444" t="s">
        <v>4356</v>
      </c>
      <c r="E1444" t="s">
        <v>4794</v>
      </c>
      <c r="F1444">
        <v>417</v>
      </c>
      <c r="G1444" t="s">
        <v>4794</v>
      </c>
      <c r="H1444" t="s">
        <v>0</v>
      </c>
      <c r="I1444" t="s">
        <v>1077</v>
      </c>
      <c r="J1444" t="s">
        <v>993</v>
      </c>
      <c r="L1444" t="s">
        <v>3</v>
      </c>
      <c r="M1444" t="s">
        <v>4</v>
      </c>
      <c r="N1444" s="3" t="str">
        <f t="shared" si="45"/>
        <v>F</v>
      </c>
      <c r="O1444" s="3" t="str">
        <f>IF(_xlfn.IFNA(MATCH(B1444,Table1[UID],0),"F")="F","F","T")</f>
        <v>T</v>
      </c>
    </row>
    <row r="1445" spans="2:15" x14ac:dyDescent="0.25">
      <c r="B1445" s="42" t="str">
        <f t="shared" si="46"/>
        <v>WW_WLDWD/WASTEWATER</v>
      </c>
      <c r="C1445" t="s">
        <v>4359</v>
      </c>
      <c r="D1445" t="s">
        <v>4356</v>
      </c>
      <c r="E1445" t="s">
        <v>4795</v>
      </c>
      <c r="F1445">
        <v>418</v>
      </c>
      <c r="G1445" t="s">
        <v>4795</v>
      </c>
      <c r="H1445" t="s">
        <v>0</v>
      </c>
      <c r="I1445" t="s">
        <v>1078</v>
      </c>
      <c r="J1445" t="s">
        <v>993</v>
      </c>
      <c r="L1445" t="s">
        <v>3</v>
      </c>
      <c r="M1445" t="s">
        <v>4</v>
      </c>
      <c r="N1445" s="3" t="str">
        <f t="shared" si="45"/>
        <v>F</v>
      </c>
      <c r="O1445" s="3" t="str">
        <f>IF(_xlfn.IFNA(MATCH(B1445,Table1[UID],0),"F")="F","F","T")</f>
        <v>T</v>
      </c>
    </row>
    <row r="1446" spans="2:15" x14ac:dyDescent="0.25">
      <c r="B1446" s="42" t="str">
        <f t="shared" si="46"/>
        <v>YCWA_ALLOC_SV/FRACTION</v>
      </c>
      <c r="C1446" t="s">
        <v>4359</v>
      </c>
      <c r="D1446" t="s">
        <v>4356</v>
      </c>
      <c r="E1446" t="s">
        <v>4796</v>
      </c>
      <c r="F1446">
        <v>419</v>
      </c>
      <c r="G1446" t="s">
        <v>4796</v>
      </c>
      <c r="H1446" t="s">
        <v>0</v>
      </c>
      <c r="I1446" t="s">
        <v>2057</v>
      </c>
      <c r="J1446" t="s">
        <v>2058</v>
      </c>
      <c r="L1446" t="s">
        <v>3</v>
      </c>
      <c r="M1446" t="s">
        <v>4</v>
      </c>
      <c r="N1446" s="3" t="str">
        <f t="shared" si="45"/>
        <v>F</v>
      </c>
      <c r="O1446" s="3" t="str">
        <f>IF(_xlfn.IFNA(MATCH(B1446,Table1[UID],0),"F")="F","F","T")</f>
        <v>T</v>
      </c>
    </row>
    <row r="1447" spans="2:15" x14ac:dyDescent="0.25">
      <c r="B1447" s="42" t="str">
        <f t="shared" si="46"/>
        <v>CL_DGR/CONTRACT-LIMIT</v>
      </c>
      <c r="C1447" t="s">
        <v>4359</v>
      </c>
      <c r="D1447" t="s">
        <v>4356</v>
      </c>
      <c r="E1447" t="s">
        <v>4357</v>
      </c>
      <c r="F1447">
        <v>420</v>
      </c>
      <c r="G1447" t="s">
        <v>4357</v>
      </c>
      <c r="H1447" t="s">
        <v>0</v>
      </c>
      <c r="I1447" t="s">
        <v>37</v>
      </c>
      <c r="J1447" t="s">
        <v>38</v>
      </c>
      <c r="L1447" t="s">
        <v>3</v>
      </c>
      <c r="M1447" t="s">
        <v>4</v>
      </c>
      <c r="N1447" s="3" t="str">
        <f t="shared" si="45"/>
        <v>T</v>
      </c>
      <c r="O1447" s="3" t="str">
        <f>IF(_xlfn.IFNA(MATCH(B1447,Table1[UID],0),"F")="F","F","T")</f>
        <v>T</v>
      </c>
    </row>
    <row r="1448" spans="2:15" x14ac:dyDescent="0.25">
      <c r="B1448" s="42" t="str">
        <f t="shared" si="46"/>
        <v>WR_DGR/WATER-RIGHT</v>
      </c>
      <c r="C1448" t="s">
        <v>4359</v>
      </c>
      <c r="D1448" t="s">
        <v>4356</v>
      </c>
      <c r="E1448" t="s">
        <v>4358</v>
      </c>
      <c r="F1448">
        <v>421</v>
      </c>
      <c r="G1448" t="s">
        <v>4358</v>
      </c>
      <c r="H1448" t="s">
        <v>0</v>
      </c>
      <c r="I1448" t="s">
        <v>2204</v>
      </c>
      <c r="J1448" t="s">
        <v>2205</v>
      </c>
      <c r="L1448" t="s">
        <v>3</v>
      </c>
      <c r="M1448" t="s">
        <v>4</v>
      </c>
      <c r="N1448" s="3" t="str">
        <f t="shared" si="45"/>
        <v>T</v>
      </c>
      <c r="O1448" s="3" t="str">
        <f>IF(_xlfn.IFNA(MATCH(B1448,Table1[UID],0),"F")="F","F","T")</f>
        <v>T</v>
      </c>
    </row>
    <row r="1449" spans="2:15" x14ac:dyDescent="0.25">
      <c r="B1449" s="42" t="str">
        <f t="shared" si="46"/>
        <v>YUBA_TRANS/FLOW-INFLOW</v>
      </c>
      <c r="C1449" t="s">
        <v>4359</v>
      </c>
      <c r="D1449" t="s">
        <v>4356</v>
      </c>
      <c r="E1449" t="s">
        <v>4797</v>
      </c>
      <c r="F1449">
        <v>422</v>
      </c>
      <c r="G1449" t="s">
        <v>4797</v>
      </c>
      <c r="H1449" t="s">
        <v>0</v>
      </c>
      <c r="I1449" t="s">
        <v>2287</v>
      </c>
      <c r="J1449" t="s">
        <v>1423</v>
      </c>
      <c r="L1449" t="s">
        <v>3</v>
      </c>
      <c r="M1449" t="s">
        <v>4</v>
      </c>
      <c r="N1449" s="3" t="str">
        <f t="shared" si="45"/>
        <v>T</v>
      </c>
      <c r="O1449" s="3" t="str">
        <f>IF(_xlfn.IFNA(MATCH(B1449,Table1[UID],0),"F")="F","F","T")</f>
        <v>T</v>
      </c>
    </row>
    <row r="1450" spans="2:15" x14ac:dyDescent="0.25">
      <c r="B1450" s="42" t="str">
        <f t="shared" si="46"/>
        <v>AW_GDPUD_NA/URBAN-DEMAND</v>
      </c>
      <c r="C1450" t="s">
        <v>4798</v>
      </c>
      <c r="D1450" t="s">
        <v>4356</v>
      </c>
      <c r="E1450" t="s">
        <v>4799</v>
      </c>
      <c r="F1450">
        <v>1</v>
      </c>
      <c r="G1450" t="s">
        <v>4799</v>
      </c>
      <c r="H1450" t="s">
        <v>0</v>
      </c>
      <c r="I1450" t="s">
        <v>16</v>
      </c>
      <c r="J1450" t="s">
        <v>892</v>
      </c>
      <c r="L1450" t="s">
        <v>3</v>
      </c>
      <c r="M1450" t="s">
        <v>4</v>
      </c>
      <c r="N1450" s="3" t="str">
        <f t="shared" si="45"/>
        <v>F</v>
      </c>
      <c r="O1450" s="3" t="str">
        <f>IF(_xlfn.IFNA(MATCH(B1450,Table1[UID],0),"F")="F","F","T")</f>
        <v>T</v>
      </c>
    </row>
    <row r="1451" spans="2:15" x14ac:dyDescent="0.25">
      <c r="B1451" s="42" t="str">
        <f t="shared" si="46"/>
        <v>D_CVT005_UTC000_DEM/FLOW-HISTORICAL</v>
      </c>
      <c r="C1451" t="s">
        <v>4798</v>
      </c>
      <c r="D1451" t="s">
        <v>4356</v>
      </c>
      <c r="E1451" t="s">
        <v>4800</v>
      </c>
      <c r="F1451">
        <v>2</v>
      </c>
      <c r="G1451" t="s">
        <v>4800</v>
      </c>
      <c r="H1451" t="s">
        <v>0</v>
      </c>
      <c r="I1451" t="s">
        <v>2277</v>
      </c>
      <c r="J1451" t="s">
        <v>1992</v>
      </c>
      <c r="L1451" t="s">
        <v>3</v>
      </c>
      <c r="M1451" t="s">
        <v>4</v>
      </c>
      <c r="N1451" s="3" t="str">
        <f t="shared" si="45"/>
        <v>F</v>
      </c>
      <c r="O1451" s="3" t="str">
        <f>IF(_xlfn.IFNA(MATCH(B1451,Table1[UID],0),"F")="F","F","T")</f>
        <v>T</v>
      </c>
    </row>
    <row r="1452" spans="2:15" x14ac:dyDescent="0.25">
      <c r="B1452" s="42" t="str">
        <f t="shared" si="46"/>
        <v>D_FOLSM_EDCOCA/DIVERSION</v>
      </c>
      <c r="C1452" t="s">
        <v>4798</v>
      </c>
      <c r="D1452" t="s">
        <v>4356</v>
      </c>
      <c r="E1452" t="s">
        <v>4801</v>
      </c>
      <c r="F1452">
        <v>3</v>
      </c>
      <c r="G1452" t="s">
        <v>4801</v>
      </c>
      <c r="H1452" t="s">
        <v>0</v>
      </c>
      <c r="I1452" t="s">
        <v>2278</v>
      </c>
      <c r="J1452" t="s">
        <v>2039</v>
      </c>
      <c r="L1452" t="s">
        <v>3</v>
      </c>
      <c r="M1452" t="s">
        <v>4</v>
      </c>
      <c r="N1452" s="3" t="str">
        <f t="shared" si="45"/>
        <v>F</v>
      </c>
      <c r="O1452" s="3" t="str">
        <f>IF(_xlfn.IFNA(MATCH(B1452,Table1[UID],0),"F")="F","F","T")</f>
        <v>T</v>
      </c>
    </row>
    <row r="1453" spans="2:15" x14ac:dyDescent="0.25">
      <c r="B1453" s="42" t="str">
        <f t="shared" si="46"/>
        <v>D_FOLSM_EDCOCA_CVP_SV/DIVERSION-CVP</v>
      </c>
      <c r="C1453" t="s">
        <v>4798</v>
      </c>
      <c r="D1453" t="s">
        <v>4356</v>
      </c>
      <c r="E1453" t="s">
        <v>4802</v>
      </c>
      <c r="F1453">
        <v>4</v>
      </c>
      <c r="G1453" t="s">
        <v>4802</v>
      </c>
      <c r="H1453" t="s">
        <v>0</v>
      </c>
      <c r="I1453" t="s">
        <v>2079</v>
      </c>
      <c r="J1453" t="s">
        <v>2279</v>
      </c>
      <c r="L1453" t="s">
        <v>3</v>
      </c>
      <c r="M1453" t="s">
        <v>4</v>
      </c>
      <c r="N1453" s="3" t="str">
        <f t="shared" si="45"/>
        <v>F</v>
      </c>
      <c r="O1453" s="3" t="str">
        <f>IF(_xlfn.IFNA(MATCH(B1453,Table1[UID],0),"F")="F","F","T")</f>
        <v>T</v>
      </c>
    </row>
    <row r="1454" spans="2:15" x14ac:dyDescent="0.25">
      <c r="B1454" s="42" t="str">
        <f t="shared" si="46"/>
        <v>D_HHOLE_MFT003_MIT_SV/FLOW</v>
      </c>
      <c r="C1454" t="s">
        <v>4798</v>
      </c>
      <c r="D1454" t="s">
        <v>4356</v>
      </c>
      <c r="E1454" t="s">
        <v>4803</v>
      </c>
      <c r="F1454">
        <v>5</v>
      </c>
      <c r="G1454" t="s">
        <v>4803</v>
      </c>
      <c r="H1454" t="s">
        <v>0</v>
      </c>
      <c r="I1454" t="s">
        <v>2095</v>
      </c>
      <c r="J1454" t="s">
        <v>1893</v>
      </c>
      <c r="L1454" t="s">
        <v>3</v>
      </c>
      <c r="M1454" t="s">
        <v>4</v>
      </c>
      <c r="N1454" s="3" t="str">
        <f t="shared" si="45"/>
        <v>F</v>
      </c>
      <c r="O1454" s="3" t="str">
        <f>IF(_xlfn.IFNA(MATCH(B1454,Table1[UID],0),"F")="F","F","T")</f>
        <v>T</v>
      </c>
    </row>
    <row r="1455" spans="2:15" x14ac:dyDescent="0.25">
      <c r="B1455" s="42" t="str">
        <f t="shared" si="46"/>
        <v>FOLSOM_INFLOW/INFLOW</v>
      </c>
      <c r="C1455" t="s">
        <v>4798</v>
      </c>
      <c r="D1455" t="s">
        <v>4356</v>
      </c>
      <c r="E1455" t="s">
        <v>4804</v>
      </c>
      <c r="F1455">
        <v>6</v>
      </c>
      <c r="G1455" t="s">
        <v>4804</v>
      </c>
      <c r="H1455" t="s">
        <v>0</v>
      </c>
      <c r="I1455" t="s">
        <v>2293</v>
      </c>
      <c r="J1455" t="s">
        <v>1380</v>
      </c>
      <c r="L1455" t="s">
        <v>3</v>
      </c>
      <c r="M1455" t="s">
        <v>4</v>
      </c>
      <c r="N1455" s="3" t="str">
        <f t="shared" si="45"/>
        <v>F</v>
      </c>
      <c r="O1455" s="3" t="str">
        <f>IF(_xlfn.IFNA(MATCH(B1455,Table1[UID],0),"F")="F","F","T")</f>
        <v>T</v>
      </c>
    </row>
    <row r="1456" spans="2:15" x14ac:dyDescent="0.25">
      <c r="B1456" s="42" t="str">
        <f t="shared" si="46"/>
        <v>I_CHY006/INFLOW</v>
      </c>
      <c r="C1456" t="s">
        <v>4798</v>
      </c>
      <c r="D1456" t="s">
        <v>4356</v>
      </c>
      <c r="E1456" t="s">
        <v>4805</v>
      </c>
      <c r="F1456">
        <v>7</v>
      </c>
      <c r="G1456" t="s">
        <v>4805</v>
      </c>
      <c r="H1456" t="s">
        <v>0</v>
      </c>
      <c r="I1456" t="s">
        <v>1460</v>
      </c>
      <c r="J1456" t="s">
        <v>1380</v>
      </c>
      <c r="L1456" t="s">
        <v>3</v>
      </c>
      <c r="M1456" t="s">
        <v>4</v>
      </c>
      <c r="N1456" s="3" t="str">
        <f t="shared" si="45"/>
        <v>T</v>
      </c>
      <c r="O1456" s="3" t="str">
        <f>IF(_xlfn.IFNA(MATCH(B1456,Table1[UID],0),"F")="F","F","T")</f>
        <v>T</v>
      </c>
    </row>
    <row r="1457" spans="2:15" x14ac:dyDescent="0.25">
      <c r="B1457" s="42" t="str">
        <f t="shared" si="46"/>
        <v>I_CVY009/INFLOW</v>
      </c>
      <c r="C1457" t="s">
        <v>4798</v>
      </c>
      <c r="D1457" t="s">
        <v>4356</v>
      </c>
      <c r="E1457" t="s">
        <v>4806</v>
      </c>
      <c r="F1457">
        <v>8</v>
      </c>
      <c r="G1457" t="s">
        <v>4806</v>
      </c>
      <c r="H1457" t="s">
        <v>0</v>
      </c>
      <c r="I1457" t="s">
        <v>1458</v>
      </c>
      <c r="J1457" t="s">
        <v>1380</v>
      </c>
      <c r="L1457" t="s">
        <v>3</v>
      </c>
      <c r="M1457" t="s">
        <v>4</v>
      </c>
      <c r="N1457" s="3" t="str">
        <f t="shared" si="45"/>
        <v>T</v>
      </c>
      <c r="O1457" s="3" t="str">
        <f>IF(_xlfn.IFNA(MATCH(B1457,Table1[UID],0),"F")="F","F","T")</f>
        <v>T</v>
      </c>
    </row>
    <row r="1458" spans="2:15" x14ac:dyDescent="0.25">
      <c r="B1458" s="42" t="str">
        <f t="shared" si="46"/>
        <v>I_JWB001/INFLOW</v>
      </c>
      <c r="C1458" t="s">
        <v>4798</v>
      </c>
      <c r="D1458" t="s">
        <v>4356</v>
      </c>
      <c r="E1458" t="s">
        <v>4807</v>
      </c>
      <c r="F1458">
        <v>9</v>
      </c>
      <c r="G1458" t="s">
        <v>4807</v>
      </c>
      <c r="H1458" t="s">
        <v>0</v>
      </c>
      <c r="I1458" t="s">
        <v>1464</v>
      </c>
      <c r="J1458" t="s">
        <v>1380</v>
      </c>
      <c r="L1458" t="s">
        <v>3</v>
      </c>
      <c r="M1458" t="s">
        <v>4</v>
      </c>
      <c r="N1458" s="3" t="str">
        <f t="shared" si="45"/>
        <v>T</v>
      </c>
      <c r="O1458" s="3" t="str">
        <f>IF(_xlfn.IFNA(MATCH(B1458,Table1[UID],0),"F")="F","F","T")</f>
        <v>T</v>
      </c>
    </row>
    <row r="1459" spans="2:15" x14ac:dyDescent="0.25">
      <c r="B1459" s="42" t="str">
        <f t="shared" si="46"/>
        <v>I_MFT000/INFLOW</v>
      </c>
      <c r="C1459" t="s">
        <v>4798</v>
      </c>
      <c r="D1459" t="s">
        <v>4356</v>
      </c>
      <c r="E1459" t="s">
        <v>4808</v>
      </c>
      <c r="F1459">
        <v>10</v>
      </c>
      <c r="G1459" t="s">
        <v>4808</v>
      </c>
      <c r="H1459" t="s">
        <v>0</v>
      </c>
      <c r="I1459" t="s">
        <v>1462</v>
      </c>
      <c r="J1459" t="s">
        <v>1380</v>
      </c>
      <c r="L1459" t="s">
        <v>3</v>
      </c>
      <c r="M1459" t="s">
        <v>4</v>
      </c>
      <c r="N1459" s="3" t="str">
        <f t="shared" si="45"/>
        <v>T</v>
      </c>
      <c r="O1459" s="3" t="str">
        <f>IF(_xlfn.IFNA(MATCH(B1459,Table1[UID],0),"F")="F","F","T")</f>
        <v>T</v>
      </c>
    </row>
    <row r="1460" spans="2:15" x14ac:dyDescent="0.25">
      <c r="B1460" s="42" t="str">
        <f t="shared" si="46"/>
        <v>I_NFT008/INFLOW</v>
      </c>
      <c r="C1460" t="s">
        <v>4798</v>
      </c>
      <c r="D1460" t="s">
        <v>4356</v>
      </c>
      <c r="E1460" t="s">
        <v>4809</v>
      </c>
      <c r="F1460">
        <v>11</v>
      </c>
      <c r="G1460" t="s">
        <v>4809</v>
      </c>
      <c r="H1460" t="s">
        <v>0</v>
      </c>
      <c r="I1460" t="s">
        <v>1452</v>
      </c>
      <c r="J1460" t="s">
        <v>1380</v>
      </c>
      <c r="L1460" t="s">
        <v>3</v>
      </c>
      <c r="M1460" t="s">
        <v>4</v>
      </c>
      <c r="N1460" s="3" t="str">
        <f t="shared" si="45"/>
        <v>T</v>
      </c>
      <c r="O1460" s="3" t="str">
        <f>IF(_xlfn.IFNA(MATCH(B1460,Table1[UID],0),"F")="F","F","T")</f>
        <v>T</v>
      </c>
    </row>
    <row r="1461" spans="2:15" x14ac:dyDescent="0.25">
      <c r="B1461" s="42" t="str">
        <f t="shared" si="46"/>
        <v>I_SFT003/INFLOW</v>
      </c>
      <c r="C1461" t="s">
        <v>4798</v>
      </c>
      <c r="D1461" t="s">
        <v>4356</v>
      </c>
      <c r="E1461" t="s">
        <v>4810</v>
      </c>
      <c r="F1461">
        <v>12</v>
      </c>
      <c r="G1461" t="s">
        <v>4810</v>
      </c>
      <c r="H1461" t="s">
        <v>0</v>
      </c>
      <c r="I1461" t="s">
        <v>1450</v>
      </c>
      <c r="J1461" t="s">
        <v>1380</v>
      </c>
      <c r="L1461" t="s">
        <v>3</v>
      </c>
      <c r="M1461" t="s">
        <v>4</v>
      </c>
      <c r="N1461" s="3" t="str">
        <f t="shared" si="45"/>
        <v>T</v>
      </c>
      <c r="O1461" s="3" t="str">
        <f>IF(_xlfn.IFNA(MATCH(B1461,Table1[UID],0),"F")="F","F","T")</f>
        <v>T</v>
      </c>
    </row>
    <row r="1462" spans="2:15" x14ac:dyDescent="0.25">
      <c r="B1462" s="42" t="str">
        <f t="shared" si="46"/>
        <v>I_TUO105/INFLOW</v>
      </c>
      <c r="C1462" t="s">
        <v>4798</v>
      </c>
      <c r="D1462" t="s">
        <v>4356</v>
      </c>
      <c r="E1462" t="s">
        <v>4811</v>
      </c>
      <c r="F1462">
        <v>13</v>
      </c>
      <c r="G1462" t="s">
        <v>4811</v>
      </c>
      <c r="H1462" t="s">
        <v>0</v>
      </c>
      <c r="I1462" t="s">
        <v>1444</v>
      </c>
      <c r="J1462" t="s">
        <v>1380</v>
      </c>
      <c r="L1462" t="s">
        <v>3</v>
      </c>
      <c r="M1462" t="s">
        <v>4</v>
      </c>
      <c r="N1462" s="3" t="str">
        <f t="shared" si="45"/>
        <v>T</v>
      </c>
      <c r="O1462" s="3" t="str">
        <f>IF(_xlfn.IFNA(MATCH(B1462,Table1[UID],0),"F")="F","F","T")</f>
        <v>T</v>
      </c>
    </row>
    <row r="1463" spans="2:15" x14ac:dyDescent="0.25">
      <c r="B1463" s="42" t="str">
        <f t="shared" si="46"/>
        <v>PP_BRS/PRECIP</v>
      </c>
      <c r="C1463" t="s">
        <v>4798</v>
      </c>
      <c r="D1463" t="s">
        <v>4356</v>
      </c>
      <c r="E1463" t="s">
        <v>4812</v>
      </c>
      <c r="F1463">
        <v>14</v>
      </c>
      <c r="G1463" t="s">
        <v>4812</v>
      </c>
      <c r="H1463" t="s">
        <v>0</v>
      </c>
      <c r="I1463" t="s">
        <v>2167</v>
      </c>
      <c r="J1463" t="s">
        <v>1123</v>
      </c>
      <c r="L1463" t="s">
        <v>3</v>
      </c>
      <c r="M1463" t="s">
        <v>4</v>
      </c>
      <c r="N1463" s="3" t="str">
        <f t="shared" si="45"/>
        <v>F</v>
      </c>
      <c r="O1463" s="3" t="str">
        <f>IF(_xlfn.IFNA(MATCH(B1463,Table1[UID],0),"F")="F","F","T")</f>
        <v>T</v>
      </c>
    </row>
    <row r="1464" spans="2:15" x14ac:dyDescent="0.25">
      <c r="B1464" s="42" t="str">
        <f t="shared" si="46"/>
        <v>PP_CAM/PRECIP</v>
      </c>
      <c r="C1464" t="s">
        <v>4798</v>
      </c>
      <c r="D1464" t="s">
        <v>4356</v>
      </c>
      <c r="E1464" t="s">
        <v>4813</v>
      </c>
      <c r="F1464">
        <v>15</v>
      </c>
      <c r="G1464" t="s">
        <v>4813</v>
      </c>
      <c r="H1464" t="s">
        <v>0</v>
      </c>
      <c r="I1464" t="s">
        <v>2169</v>
      </c>
      <c r="J1464" t="s">
        <v>1123</v>
      </c>
      <c r="L1464" t="s">
        <v>3</v>
      </c>
      <c r="M1464" t="s">
        <v>4</v>
      </c>
      <c r="N1464" s="3" t="str">
        <f t="shared" si="45"/>
        <v>F</v>
      </c>
      <c r="O1464" s="3" t="str">
        <f>IF(_xlfn.IFNA(MATCH(B1464,Table1[UID],0),"F")="F","F","T")</f>
        <v>T</v>
      </c>
    </row>
    <row r="1465" spans="2:15" x14ac:dyDescent="0.25">
      <c r="B1465" s="42" t="str">
        <f t="shared" si="46"/>
        <v>PP_CNY/PRECIP</v>
      </c>
      <c r="C1465" t="s">
        <v>4798</v>
      </c>
      <c r="D1465" t="s">
        <v>4356</v>
      </c>
      <c r="E1465" t="s">
        <v>4814</v>
      </c>
      <c r="F1465">
        <v>16</v>
      </c>
      <c r="G1465" t="s">
        <v>4814</v>
      </c>
      <c r="H1465" t="s">
        <v>0</v>
      </c>
      <c r="I1465" t="s">
        <v>2170</v>
      </c>
      <c r="J1465" t="s">
        <v>1123</v>
      </c>
      <c r="L1465" t="s">
        <v>3</v>
      </c>
      <c r="M1465" t="s">
        <v>4</v>
      </c>
      <c r="N1465" s="3" t="str">
        <f t="shared" si="45"/>
        <v>F</v>
      </c>
      <c r="O1465" s="3" t="str">
        <f>IF(_xlfn.IFNA(MATCH(B1465,Table1[UID],0),"F")="F","F","T")</f>
        <v>T</v>
      </c>
    </row>
    <row r="1466" spans="2:15" x14ac:dyDescent="0.25">
      <c r="B1466" s="42" t="str">
        <f t="shared" si="46"/>
        <v>PP_DES/PRECIP</v>
      </c>
      <c r="C1466" t="s">
        <v>4798</v>
      </c>
      <c r="D1466" t="s">
        <v>4356</v>
      </c>
      <c r="E1466" t="s">
        <v>4815</v>
      </c>
      <c r="F1466">
        <v>17</v>
      </c>
      <c r="G1466" t="s">
        <v>4815</v>
      </c>
      <c r="H1466" t="s">
        <v>0</v>
      </c>
      <c r="I1466" t="s">
        <v>2171</v>
      </c>
      <c r="J1466" t="s">
        <v>1123</v>
      </c>
      <c r="L1466" t="s">
        <v>3</v>
      </c>
      <c r="M1466" t="s">
        <v>4</v>
      </c>
      <c r="N1466" s="3" t="str">
        <f t="shared" si="45"/>
        <v>F</v>
      </c>
      <c r="O1466" s="3" t="str">
        <f>IF(_xlfn.IFNA(MATCH(B1466,Table1[UID],0),"F")="F","F","T")</f>
        <v>T</v>
      </c>
    </row>
    <row r="1467" spans="2:15" x14ac:dyDescent="0.25">
      <c r="B1467" s="42" t="str">
        <f t="shared" si="46"/>
        <v>PP_ORO/PRECIP</v>
      </c>
      <c r="C1467" t="s">
        <v>4798</v>
      </c>
      <c r="D1467" t="s">
        <v>4356</v>
      </c>
      <c r="E1467" t="s">
        <v>4816</v>
      </c>
      <c r="F1467">
        <v>18</v>
      </c>
      <c r="G1467" t="s">
        <v>4816</v>
      </c>
      <c r="H1467" t="s">
        <v>0</v>
      </c>
      <c r="I1467" t="s">
        <v>2178</v>
      </c>
      <c r="J1467" t="s">
        <v>1123</v>
      </c>
      <c r="L1467" t="s">
        <v>3</v>
      </c>
      <c r="M1467" t="s">
        <v>4</v>
      </c>
      <c r="N1467" s="3" t="str">
        <f t="shared" si="45"/>
        <v>F</v>
      </c>
      <c r="O1467" s="3" t="str">
        <f>IF(_xlfn.IFNA(MATCH(B1467,Table1[UID],0),"F")="F","F","T")</f>
        <v>T</v>
      </c>
    </row>
    <row r="1468" spans="2:15" x14ac:dyDescent="0.25">
      <c r="B1468" s="42" t="str">
        <f t="shared" si="46"/>
        <v>PP_QCY/PRECIP</v>
      </c>
      <c r="C1468" t="s">
        <v>4798</v>
      </c>
      <c r="D1468" t="s">
        <v>4356</v>
      </c>
      <c r="E1468" t="s">
        <v>4817</v>
      </c>
      <c r="F1468">
        <v>19</v>
      </c>
      <c r="G1468" t="s">
        <v>4817</v>
      </c>
      <c r="H1468" t="s">
        <v>0</v>
      </c>
      <c r="I1468" t="s">
        <v>2180</v>
      </c>
      <c r="J1468" t="s">
        <v>1123</v>
      </c>
      <c r="L1468" t="s">
        <v>3</v>
      </c>
      <c r="M1468" t="s">
        <v>4</v>
      </c>
      <c r="N1468" s="3" t="str">
        <f t="shared" si="45"/>
        <v>F</v>
      </c>
      <c r="O1468" s="3" t="str">
        <f>IF(_xlfn.IFNA(MATCH(B1468,Table1[UID],0),"F")="F","F","T")</f>
        <v>T</v>
      </c>
    </row>
    <row r="1469" spans="2:15" x14ac:dyDescent="0.25">
      <c r="B1469" s="42" t="str">
        <f t="shared" si="46"/>
        <v>PP_SBY/PRECIP</v>
      </c>
      <c r="C1469" t="s">
        <v>4798</v>
      </c>
      <c r="D1469" t="s">
        <v>4356</v>
      </c>
      <c r="E1469" t="s">
        <v>4818</v>
      </c>
      <c r="F1469">
        <v>20</v>
      </c>
      <c r="G1469" t="s">
        <v>4818</v>
      </c>
      <c r="H1469" t="s">
        <v>0</v>
      </c>
      <c r="I1469" t="s">
        <v>2182</v>
      </c>
      <c r="J1469" t="s">
        <v>1123</v>
      </c>
      <c r="L1469" t="s">
        <v>3</v>
      </c>
      <c r="M1469" t="s">
        <v>4</v>
      </c>
      <c r="N1469" s="3" t="str">
        <f t="shared" si="45"/>
        <v>F</v>
      </c>
      <c r="O1469" s="3" t="str">
        <f>IF(_xlfn.IFNA(MATCH(B1469,Table1[UID],0),"F")="F","F","T")</f>
        <v>T</v>
      </c>
    </row>
    <row r="1470" spans="2:15" x14ac:dyDescent="0.25">
      <c r="B1470" s="42" t="str">
        <f t="shared" si="46"/>
        <v>PP_SVL/PRECIP</v>
      </c>
      <c r="C1470" t="s">
        <v>4798</v>
      </c>
      <c r="D1470" t="s">
        <v>4356</v>
      </c>
      <c r="E1470" t="s">
        <v>4819</v>
      </c>
      <c r="F1470">
        <v>21</v>
      </c>
      <c r="G1470" t="s">
        <v>4819</v>
      </c>
      <c r="H1470" t="s">
        <v>0</v>
      </c>
      <c r="I1470" t="s">
        <v>2184</v>
      </c>
      <c r="J1470" t="s">
        <v>1123</v>
      </c>
      <c r="L1470" t="s">
        <v>3</v>
      </c>
      <c r="M1470" t="s">
        <v>4</v>
      </c>
      <c r="N1470" s="3" t="str">
        <f t="shared" si="45"/>
        <v>F</v>
      </c>
      <c r="O1470" s="3" t="str">
        <f>IF(_xlfn.IFNA(MATCH(B1470,Table1[UID],0),"F")="F","F","T")</f>
        <v>T</v>
      </c>
    </row>
    <row r="1471" spans="2:15" x14ac:dyDescent="0.25">
      <c r="B1471" s="42" t="str">
        <f t="shared" si="46"/>
        <v>UD_EDCOCA_NU4/URBAN-DEMAND</v>
      </c>
      <c r="C1471" t="s">
        <v>4798</v>
      </c>
      <c r="D1471" t="s">
        <v>4356</v>
      </c>
      <c r="E1471" t="s">
        <v>4820</v>
      </c>
      <c r="F1471">
        <v>22</v>
      </c>
      <c r="G1471" t="s">
        <v>4820</v>
      </c>
      <c r="H1471" t="s">
        <v>0</v>
      </c>
      <c r="I1471" t="s">
        <v>2284</v>
      </c>
      <c r="J1471" t="s">
        <v>892</v>
      </c>
      <c r="L1471" t="s">
        <v>3</v>
      </c>
      <c r="M1471" t="s">
        <v>4</v>
      </c>
      <c r="N1471" s="3" t="str">
        <f t="shared" si="45"/>
        <v>F</v>
      </c>
      <c r="O1471" s="3" t="str">
        <f>IF(_xlfn.IFNA(MATCH(B1471,Table1[UID],0),"F")="F","F","T")</f>
        <v>T</v>
      </c>
    </row>
    <row r="1472" spans="2:15" x14ac:dyDescent="0.25">
      <c r="B1472" s="42" t="str">
        <f t="shared" si="46"/>
        <v>UD_GDPUD_PU/URBAN-DEMAND</v>
      </c>
      <c r="C1472" t="s">
        <v>4798</v>
      </c>
      <c r="D1472" t="s">
        <v>4356</v>
      </c>
      <c r="E1472" t="s">
        <v>4821</v>
      </c>
      <c r="F1472">
        <v>23</v>
      </c>
      <c r="G1472" t="s">
        <v>4821</v>
      </c>
      <c r="H1472" t="s">
        <v>0</v>
      </c>
      <c r="I1472" t="s">
        <v>1959</v>
      </c>
      <c r="J1472" t="s">
        <v>892</v>
      </c>
      <c r="L1472" t="s">
        <v>3</v>
      </c>
      <c r="M1472" t="s">
        <v>4</v>
      </c>
      <c r="N1472" s="3" t="str">
        <f t="shared" si="45"/>
        <v>F</v>
      </c>
      <c r="O1472" s="3" t="str">
        <f>IF(_xlfn.IFNA(MATCH(B1472,Table1[UID],0),"F")="F","F","T")</f>
        <v>T</v>
      </c>
    </row>
    <row r="1473" spans="2:15" x14ac:dyDescent="0.25">
      <c r="B1473" s="42" t="str">
        <f t="shared" si="46"/>
        <v>WW_GDPUD_PU/WASTEWATER</v>
      </c>
      <c r="C1473" t="s">
        <v>4798</v>
      </c>
      <c r="D1473" t="s">
        <v>4356</v>
      </c>
      <c r="E1473" t="s">
        <v>4822</v>
      </c>
      <c r="F1473">
        <v>24</v>
      </c>
      <c r="G1473" t="s">
        <v>4822</v>
      </c>
      <c r="H1473" t="s">
        <v>0</v>
      </c>
      <c r="I1473" t="s">
        <v>1076</v>
      </c>
      <c r="J1473" t="s">
        <v>993</v>
      </c>
      <c r="L1473" t="s">
        <v>3</v>
      </c>
      <c r="M1473" t="s">
        <v>4</v>
      </c>
      <c r="N1473" s="3" t="str">
        <f t="shared" si="45"/>
        <v>F</v>
      </c>
      <c r="O1473" s="3" t="str">
        <f>IF(_xlfn.IFNA(MATCH(B1473,Table1[UID],0),"F")="F","F","T")</f>
        <v>T</v>
      </c>
    </row>
    <row r="1474" spans="2:15" x14ac:dyDescent="0.25">
      <c r="B1474" s="42" t="str">
        <f t="shared" si="46"/>
        <v>WYT_SAC_VA_/WATERYEARTYPE</v>
      </c>
      <c r="C1474" t="s">
        <v>4798</v>
      </c>
      <c r="D1474" t="s">
        <v>4356</v>
      </c>
      <c r="E1474" t="s">
        <v>4823</v>
      </c>
      <c r="F1474">
        <v>25</v>
      </c>
      <c r="G1474" t="s">
        <v>4823</v>
      </c>
      <c r="H1474" t="s">
        <v>0</v>
      </c>
      <c r="I1474" t="s">
        <v>2285</v>
      </c>
      <c r="J1474" t="s">
        <v>2286</v>
      </c>
      <c r="L1474" t="s">
        <v>3</v>
      </c>
      <c r="M1474" t="s">
        <v>4</v>
      </c>
      <c r="N1474" s="3" t="str">
        <f t="shared" si="45"/>
        <v>F</v>
      </c>
      <c r="O1474" s="3" t="str">
        <f>IF(_xlfn.IFNA(MATCH(B1474,Table1[UID],0),"F")="F","F","T")</f>
        <v>T</v>
      </c>
    </row>
    <row r="1475" spans="2:15" x14ac:dyDescent="0.25">
      <c r="B1475" s="42" t="str">
        <f t="shared" si="46"/>
        <v>YUBA_TRANS/FLOW-INFLOW</v>
      </c>
      <c r="C1475" t="s">
        <v>4798</v>
      </c>
      <c r="D1475" t="s">
        <v>4356</v>
      </c>
      <c r="E1475" t="s">
        <v>4797</v>
      </c>
      <c r="F1475">
        <v>26</v>
      </c>
      <c r="G1475" t="s">
        <v>4797</v>
      </c>
      <c r="H1475" t="s">
        <v>0</v>
      </c>
      <c r="I1475" t="s">
        <v>2287</v>
      </c>
      <c r="J1475" t="s">
        <v>1423</v>
      </c>
      <c r="L1475" t="s">
        <v>3</v>
      </c>
      <c r="M1475" t="s">
        <v>4</v>
      </c>
      <c r="N1475" s="3" t="str">
        <f t="shared" ref="N1475:N1538" si="47">IF(COUNTIF($B$3:$B$1760,"="&amp;B1475)&gt;1,"T","F")</f>
        <v>T</v>
      </c>
      <c r="O1475" s="3" t="str">
        <f>IF(_xlfn.IFNA(MATCH(B1475,Table1[UID],0),"F")="F","F","T")</f>
        <v>T</v>
      </c>
    </row>
    <row r="1476" spans="2:15" x14ac:dyDescent="0.25">
      <c r="B1476" s="42" t="str">
        <f t="shared" si="46"/>
        <v>CT_MELON_SV/CLOSURE-TERM</v>
      </c>
      <c r="C1476" t="s">
        <v>4798</v>
      </c>
      <c r="D1476" t="s">
        <v>4356</v>
      </c>
      <c r="E1476" t="s">
        <v>4824</v>
      </c>
      <c r="F1476">
        <v>27</v>
      </c>
      <c r="G1476" t="s">
        <v>4824</v>
      </c>
      <c r="H1476" t="s">
        <v>0</v>
      </c>
      <c r="I1476" t="s">
        <v>1787</v>
      </c>
      <c r="J1476" t="s">
        <v>1149</v>
      </c>
      <c r="L1476" t="s">
        <v>3</v>
      </c>
      <c r="M1476" t="s">
        <v>4</v>
      </c>
      <c r="N1476" s="3" t="str">
        <f t="shared" si="47"/>
        <v>F</v>
      </c>
      <c r="O1476" s="3" t="str">
        <f>IF(_xlfn.IFNA(MATCH(B1476,Table1[UID],0),"F")="F","F","T")</f>
        <v>T</v>
      </c>
    </row>
    <row r="1477" spans="2:15" x14ac:dyDescent="0.25">
      <c r="B1477" s="42" t="str">
        <f t="shared" si="46"/>
        <v>CT_PEDRO_SV/CLOSURE-TERM</v>
      </c>
      <c r="C1477" t="s">
        <v>4798</v>
      </c>
      <c r="D1477" t="s">
        <v>4356</v>
      </c>
      <c r="E1477" t="s">
        <v>4825</v>
      </c>
      <c r="F1477">
        <v>28</v>
      </c>
      <c r="G1477" t="s">
        <v>4825</v>
      </c>
      <c r="H1477" t="s">
        <v>0</v>
      </c>
      <c r="I1477" t="s">
        <v>1790</v>
      </c>
      <c r="J1477" t="s">
        <v>1149</v>
      </c>
      <c r="L1477" t="s">
        <v>3</v>
      </c>
      <c r="M1477" t="s">
        <v>4</v>
      </c>
      <c r="N1477" s="3" t="str">
        <f t="shared" si="47"/>
        <v>F</v>
      </c>
      <c r="O1477" s="3" t="str">
        <f>IF(_xlfn.IFNA(MATCH(B1477,Table1[UID],0),"F")="F","F","T")</f>
        <v>T</v>
      </c>
    </row>
    <row r="1478" spans="2:15" x14ac:dyDescent="0.25">
      <c r="B1478" s="42" t="str">
        <f t="shared" si="46"/>
        <v>CT_PARDE_SV/CLOSURE-TERM</v>
      </c>
      <c r="C1478" t="s">
        <v>4798</v>
      </c>
      <c r="D1478" t="s">
        <v>4356</v>
      </c>
      <c r="E1478" t="s">
        <v>4826</v>
      </c>
      <c r="F1478">
        <v>29</v>
      </c>
      <c r="G1478" t="s">
        <v>4826</v>
      </c>
      <c r="H1478" t="s">
        <v>0</v>
      </c>
      <c r="I1478" t="s">
        <v>1167</v>
      </c>
      <c r="J1478" t="s">
        <v>1149</v>
      </c>
      <c r="L1478" t="s">
        <v>3</v>
      </c>
      <c r="M1478" t="s">
        <v>4</v>
      </c>
      <c r="N1478" s="3" t="str">
        <f t="shared" si="47"/>
        <v>F</v>
      </c>
      <c r="O1478" s="3" t="str">
        <f>IF(_xlfn.IFNA(MATCH(B1478,Table1[UID],0),"F")="F","F","T")</f>
        <v>T</v>
      </c>
    </row>
    <row r="1479" spans="2:15" x14ac:dyDescent="0.25">
      <c r="B1479" s="42" t="str">
        <f t="shared" si="46"/>
        <v>DEM_D_ESB355_LROCK_PIN/DEMAND-SWP-IN</v>
      </c>
      <c r="C1479" t="s">
        <v>4798</v>
      </c>
      <c r="D1479" t="s">
        <v>4356</v>
      </c>
      <c r="E1479" t="s">
        <v>4827</v>
      </c>
      <c r="F1479">
        <v>30</v>
      </c>
      <c r="G1479" t="s">
        <v>4827</v>
      </c>
      <c r="H1479" t="s">
        <v>0</v>
      </c>
      <c r="I1479" t="s">
        <v>2280</v>
      </c>
      <c r="J1479" t="s">
        <v>43</v>
      </c>
      <c r="L1479" t="s">
        <v>3</v>
      </c>
      <c r="M1479" t="s">
        <v>4</v>
      </c>
      <c r="N1479" s="3" t="str">
        <f t="shared" si="47"/>
        <v>F</v>
      </c>
      <c r="O1479" s="3" t="str">
        <f>IF(_xlfn.IFNA(MATCH(B1479,Table1[UID],0),"F")="F","F","T")</f>
        <v>T</v>
      </c>
    </row>
    <row r="1480" spans="2:15" x14ac:dyDescent="0.25">
      <c r="B1480" s="42" t="str">
        <f t="shared" si="46"/>
        <v>DEM_D_ESB403_MOJVE_PIN/DEMAND-SWP-IN</v>
      </c>
      <c r="C1480" t="s">
        <v>4798</v>
      </c>
      <c r="D1480" t="s">
        <v>4356</v>
      </c>
      <c r="E1480" t="s">
        <v>4828</v>
      </c>
      <c r="F1480">
        <v>31</v>
      </c>
      <c r="G1480" t="s">
        <v>4828</v>
      </c>
      <c r="H1480" t="s">
        <v>0</v>
      </c>
      <c r="I1480" t="s">
        <v>2281</v>
      </c>
      <c r="J1480" t="s">
        <v>43</v>
      </c>
      <c r="L1480" t="s">
        <v>3</v>
      </c>
      <c r="M1480" t="s">
        <v>4</v>
      </c>
      <c r="N1480" s="3" t="str">
        <f t="shared" si="47"/>
        <v>F</v>
      </c>
      <c r="O1480" s="3" t="str">
        <f>IF(_xlfn.IFNA(MATCH(B1480,Table1[UID],0),"F")="F","F","T")</f>
        <v>T</v>
      </c>
    </row>
    <row r="1481" spans="2:15" x14ac:dyDescent="0.25">
      <c r="B1481" s="42" t="str">
        <f t="shared" si="46"/>
        <v>PP_ADS/PRECIP</v>
      </c>
      <c r="C1481" t="s">
        <v>4829</v>
      </c>
      <c r="D1481" t="s">
        <v>4830</v>
      </c>
      <c r="E1481" t="s">
        <v>4831</v>
      </c>
      <c r="F1481">
        <v>1</v>
      </c>
      <c r="G1481" t="s">
        <v>4832</v>
      </c>
      <c r="H1481" t="s">
        <v>0</v>
      </c>
      <c r="I1481" t="s">
        <v>2162</v>
      </c>
      <c r="J1481" t="s">
        <v>1123</v>
      </c>
      <c r="L1481" t="s">
        <v>3</v>
      </c>
      <c r="M1481" t="s">
        <v>4</v>
      </c>
      <c r="N1481" s="3" t="str">
        <f t="shared" si="47"/>
        <v>F</v>
      </c>
      <c r="O1481" s="3" t="str">
        <f>IF(_xlfn.IFNA(MATCH(B1481,Table1[UID],0),"F")="F","F","T")</f>
        <v>T</v>
      </c>
    </row>
    <row r="1482" spans="2:15" x14ac:dyDescent="0.25">
      <c r="B1482" s="42" t="str">
        <f t="shared" ref="B1482:B1545" si="48">_xlfn.CONCAT(I1482,"/",J1482)</f>
        <v>PP_BLB/PRECIP</v>
      </c>
      <c r="C1482" t="s">
        <v>4829</v>
      </c>
      <c r="D1482" t="s">
        <v>4830</v>
      </c>
      <c r="E1482" t="s">
        <v>4833</v>
      </c>
      <c r="F1482">
        <v>2</v>
      </c>
      <c r="G1482" t="s">
        <v>4834</v>
      </c>
      <c r="H1482" t="s">
        <v>0</v>
      </c>
      <c r="I1482" t="s">
        <v>2165</v>
      </c>
      <c r="J1482" t="s">
        <v>1123</v>
      </c>
      <c r="L1482" t="s">
        <v>3</v>
      </c>
      <c r="M1482" t="s">
        <v>4</v>
      </c>
      <c r="N1482" s="3" t="str">
        <f t="shared" si="47"/>
        <v>F</v>
      </c>
      <c r="O1482" s="3" t="str">
        <f>IF(_xlfn.IFNA(MATCH(B1482,Table1[UID],0),"F")="F","F","T")</f>
        <v>T</v>
      </c>
    </row>
    <row r="1483" spans="2:15" x14ac:dyDescent="0.25">
      <c r="B1483" s="42" t="str">
        <f t="shared" si="48"/>
        <v>PP_BNR/PRECIP</v>
      </c>
      <c r="C1483" t="s">
        <v>4829</v>
      </c>
      <c r="D1483" t="s">
        <v>4830</v>
      </c>
      <c r="E1483" t="s">
        <v>4835</v>
      </c>
      <c r="F1483">
        <v>3</v>
      </c>
      <c r="G1483" t="s">
        <v>4836</v>
      </c>
      <c r="H1483" t="s">
        <v>0</v>
      </c>
      <c r="I1483" t="s">
        <v>2166</v>
      </c>
      <c r="J1483" t="s">
        <v>1123</v>
      </c>
      <c r="L1483" t="s">
        <v>3</v>
      </c>
      <c r="M1483" t="s">
        <v>4</v>
      </c>
      <c r="N1483" s="3" t="str">
        <f t="shared" si="47"/>
        <v>F</v>
      </c>
      <c r="O1483" s="3" t="str">
        <f>IF(_xlfn.IFNA(MATCH(B1483,Table1[UID],0),"F")="F","F","T")</f>
        <v>T</v>
      </c>
    </row>
    <row r="1484" spans="2:15" x14ac:dyDescent="0.25">
      <c r="B1484" s="42" t="str">
        <f t="shared" si="48"/>
        <v>PP_BUC/PRECIP</v>
      </c>
      <c r="C1484" t="s">
        <v>4829</v>
      </c>
      <c r="D1484" t="s">
        <v>4830</v>
      </c>
      <c r="E1484" t="s">
        <v>4837</v>
      </c>
      <c r="F1484">
        <v>4</v>
      </c>
      <c r="G1484" t="s">
        <v>4838</v>
      </c>
      <c r="H1484" t="s">
        <v>0</v>
      </c>
      <c r="I1484" t="s">
        <v>2168</v>
      </c>
      <c r="J1484" t="s">
        <v>1123</v>
      </c>
      <c r="L1484" t="s">
        <v>3</v>
      </c>
      <c r="M1484" t="s">
        <v>4</v>
      </c>
      <c r="N1484" s="3" t="str">
        <f t="shared" si="47"/>
        <v>F</v>
      </c>
      <c r="O1484" s="3" t="str">
        <f>IF(_xlfn.IFNA(MATCH(B1484,Table1[UID],0),"F")="F","F","T")</f>
        <v>T</v>
      </c>
    </row>
    <row r="1485" spans="2:15" x14ac:dyDescent="0.25">
      <c r="B1485" s="42" t="str">
        <f t="shared" si="48"/>
        <v>PP_HID/PRECIP</v>
      </c>
      <c r="C1485" t="s">
        <v>4829</v>
      </c>
      <c r="D1485" t="s">
        <v>4830</v>
      </c>
      <c r="E1485" t="s">
        <v>4839</v>
      </c>
      <c r="F1485">
        <v>5</v>
      </c>
      <c r="G1485" t="s">
        <v>4840</v>
      </c>
      <c r="H1485" t="s">
        <v>0</v>
      </c>
      <c r="I1485" t="s">
        <v>2172</v>
      </c>
      <c r="J1485" t="s">
        <v>1123</v>
      </c>
      <c r="L1485" t="s">
        <v>3</v>
      </c>
      <c r="M1485" t="s">
        <v>4</v>
      </c>
      <c r="N1485" s="3" t="str">
        <f t="shared" si="47"/>
        <v>F</v>
      </c>
      <c r="O1485" s="3" t="str">
        <f>IF(_xlfn.IFNA(MATCH(B1485,Table1[UID],0),"F")="F","F","T")</f>
        <v>T</v>
      </c>
    </row>
    <row r="1486" spans="2:15" x14ac:dyDescent="0.25">
      <c r="B1486" s="42" t="str">
        <f t="shared" si="48"/>
        <v>PP_LGS/PRECIP</v>
      </c>
      <c r="C1486" t="s">
        <v>4829</v>
      </c>
      <c r="D1486" t="s">
        <v>4830</v>
      </c>
      <c r="E1486" t="s">
        <v>4841</v>
      </c>
      <c r="F1486">
        <v>6</v>
      </c>
      <c r="G1486" t="s">
        <v>4842</v>
      </c>
      <c r="H1486" t="s">
        <v>0</v>
      </c>
      <c r="I1486" t="s">
        <v>2173</v>
      </c>
      <c r="J1486" t="s">
        <v>1123</v>
      </c>
      <c r="L1486" t="s">
        <v>3</v>
      </c>
      <c r="M1486" t="s">
        <v>4</v>
      </c>
      <c r="N1486" s="3" t="str">
        <f t="shared" si="47"/>
        <v>F</v>
      </c>
      <c r="O1486" s="3" t="str">
        <f>IF(_xlfn.IFNA(MATCH(B1486,Table1[UID],0),"F")="F","F","T")</f>
        <v>T</v>
      </c>
    </row>
    <row r="1487" spans="2:15" x14ac:dyDescent="0.25">
      <c r="B1487" s="42" t="str">
        <f t="shared" si="48"/>
        <v>PP_MGN/PRECIP</v>
      </c>
      <c r="C1487" t="s">
        <v>4829</v>
      </c>
      <c r="D1487" t="s">
        <v>4830</v>
      </c>
      <c r="E1487" t="s">
        <v>4843</v>
      </c>
      <c r="F1487">
        <v>7</v>
      </c>
      <c r="G1487" t="s">
        <v>4844</v>
      </c>
      <c r="H1487" t="s">
        <v>0</v>
      </c>
      <c r="I1487" t="s">
        <v>2174</v>
      </c>
      <c r="J1487" t="s">
        <v>1123</v>
      </c>
      <c r="L1487" t="s">
        <v>3</v>
      </c>
      <c r="M1487" t="s">
        <v>4</v>
      </c>
      <c r="N1487" s="3" t="str">
        <f t="shared" si="47"/>
        <v>F</v>
      </c>
      <c r="O1487" s="3" t="str">
        <f>IF(_xlfn.IFNA(MATCH(B1487,Table1[UID],0),"F")="F","F","T")</f>
        <v>T</v>
      </c>
    </row>
    <row r="1488" spans="2:15" x14ac:dyDescent="0.25">
      <c r="B1488" s="42" t="str">
        <f t="shared" si="48"/>
        <v>PP_NHG/PRECIP</v>
      </c>
      <c r="C1488" t="s">
        <v>4829</v>
      </c>
      <c r="D1488" t="s">
        <v>4830</v>
      </c>
      <c r="E1488" t="s">
        <v>4845</v>
      </c>
      <c r="F1488">
        <v>8</v>
      </c>
      <c r="G1488" t="s">
        <v>4846</v>
      </c>
      <c r="H1488" t="s">
        <v>0</v>
      </c>
      <c r="I1488" t="s">
        <v>2175</v>
      </c>
      <c r="J1488" t="s">
        <v>1123</v>
      </c>
      <c r="L1488" t="s">
        <v>3</v>
      </c>
      <c r="M1488" t="s">
        <v>4</v>
      </c>
      <c r="N1488" s="3" t="str">
        <f t="shared" si="47"/>
        <v>F</v>
      </c>
      <c r="O1488" s="3" t="str">
        <f>IF(_xlfn.IFNA(MATCH(B1488,Table1[UID],0),"F")="F","F","T")</f>
        <v>T</v>
      </c>
    </row>
    <row r="1489" spans="2:15" x14ac:dyDescent="0.25">
      <c r="B1489" s="42" t="str">
        <f t="shared" si="48"/>
        <v>PP_NLS/PRECIP</v>
      </c>
      <c r="C1489" t="s">
        <v>4829</v>
      </c>
      <c r="D1489" t="s">
        <v>4830</v>
      </c>
      <c r="E1489" t="s">
        <v>4847</v>
      </c>
      <c r="F1489">
        <v>9</v>
      </c>
      <c r="G1489" t="s">
        <v>4848</v>
      </c>
      <c r="H1489" t="s">
        <v>0</v>
      </c>
      <c r="I1489" t="s">
        <v>2176</v>
      </c>
      <c r="J1489" t="s">
        <v>1123</v>
      </c>
      <c r="L1489" t="s">
        <v>3</v>
      </c>
      <c r="M1489" t="s">
        <v>4</v>
      </c>
      <c r="N1489" s="3" t="str">
        <f t="shared" si="47"/>
        <v>F</v>
      </c>
      <c r="O1489" s="3" t="str">
        <f>IF(_xlfn.IFNA(MATCH(B1489,Table1[UID],0),"F")="F","F","T")</f>
        <v>T</v>
      </c>
    </row>
    <row r="1490" spans="2:15" x14ac:dyDescent="0.25">
      <c r="B1490" s="42" t="str">
        <f t="shared" si="48"/>
        <v>PP_OKH/PRECIP</v>
      </c>
      <c r="C1490" t="s">
        <v>4829</v>
      </c>
      <c r="D1490" t="s">
        <v>4830</v>
      </c>
      <c r="E1490" t="s">
        <v>4849</v>
      </c>
      <c r="F1490">
        <v>10</v>
      </c>
      <c r="G1490" t="s">
        <v>4850</v>
      </c>
      <c r="H1490" t="s">
        <v>0</v>
      </c>
      <c r="I1490" t="s">
        <v>2177</v>
      </c>
      <c r="J1490" t="s">
        <v>1123</v>
      </c>
      <c r="L1490" t="s">
        <v>3</v>
      </c>
      <c r="M1490" t="s">
        <v>4</v>
      </c>
      <c r="N1490" s="3" t="str">
        <f t="shared" si="47"/>
        <v>F</v>
      </c>
      <c r="O1490" s="3" t="str">
        <f>IF(_xlfn.IFNA(MATCH(B1490,Table1[UID],0),"F")="F","F","T")</f>
        <v>T</v>
      </c>
    </row>
    <row r="1491" spans="2:15" x14ac:dyDescent="0.25">
      <c r="B1491" s="42" t="str">
        <f t="shared" si="48"/>
        <v>PP_PRY/PRECIP</v>
      </c>
      <c r="C1491" t="s">
        <v>4829</v>
      </c>
      <c r="D1491" t="s">
        <v>4830</v>
      </c>
      <c r="E1491" t="s">
        <v>4851</v>
      </c>
      <c r="F1491">
        <v>11</v>
      </c>
      <c r="G1491" t="s">
        <v>4852</v>
      </c>
      <c r="H1491" t="s">
        <v>0</v>
      </c>
      <c r="I1491" t="s">
        <v>2179</v>
      </c>
      <c r="J1491" t="s">
        <v>1123</v>
      </c>
      <c r="L1491" t="s">
        <v>3</v>
      </c>
      <c r="M1491" t="s">
        <v>4</v>
      </c>
      <c r="N1491" s="3" t="str">
        <f t="shared" si="47"/>
        <v>F</v>
      </c>
      <c r="O1491" s="3" t="str">
        <f>IF(_xlfn.IFNA(MATCH(B1491,Table1[UID],0),"F")="F","F","T")</f>
        <v>T</v>
      </c>
    </row>
    <row r="1492" spans="2:15" x14ac:dyDescent="0.25">
      <c r="B1492" s="42" t="str">
        <f t="shared" si="48"/>
        <v>PP_RRF/PRECIP</v>
      </c>
      <c r="C1492" t="s">
        <v>4829</v>
      </c>
      <c r="D1492" t="s">
        <v>4830</v>
      </c>
      <c r="E1492" t="s">
        <v>4853</v>
      </c>
      <c r="F1492">
        <v>12</v>
      </c>
      <c r="G1492" t="s">
        <v>4854</v>
      </c>
      <c r="H1492" t="s">
        <v>0</v>
      </c>
      <c r="I1492" t="s">
        <v>2181</v>
      </c>
      <c r="J1492" t="s">
        <v>1123</v>
      </c>
      <c r="L1492" t="s">
        <v>3</v>
      </c>
      <c r="M1492" t="s">
        <v>4</v>
      </c>
      <c r="N1492" s="3" t="str">
        <f t="shared" si="47"/>
        <v>F</v>
      </c>
      <c r="O1492" s="3" t="str">
        <f>IF(_xlfn.IFNA(MATCH(B1492,Table1[UID],0),"F")="F","F","T")</f>
        <v>T</v>
      </c>
    </row>
    <row r="1493" spans="2:15" x14ac:dyDescent="0.25">
      <c r="B1493" s="42" t="str">
        <f t="shared" si="48"/>
        <v>PP_SHR/PRECIP</v>
      </c>
      <c r="C1493" t="s">
        <v>4829</v>
      </c>
      <c r="D1493" t="s">
        <v>4830</v>
      </c>
      <c r="E1493" t="s">
        <v>4855</v>
      </c>
      <c r="F1493">
        <v>13</v>
      </c>
      <c r="G1493" t="s">
        <v>4856</v>
      </c>
      <c r="H1493" t="s">
        <v>0</v>
      </c>
      <c r="I1493" t="s">
        <v>2183</v>
      </c>
      <c r="J1493" t="s">
        <v>1123</v>
      </c>
      <c r="L1493" t="s">
        <v>3</v>
      </c>
      <c r="M1493" t="s">
        <v>4</v>
      </c>
      <c r="N1493" s="3" t="str">
        <f t="shared" si="47"/>
        <v>F</v>
      </c>
      <c r="O1493" s="3" t="str">
        <f>IF(_xlfn.IFNA(MATCH(B1493,Table1[UID],0),"F")="F","F","T")</f>
        <v>T</v>
      </c>
    </row>
    <row r="1494" spans="2:15" x14ac:dyDescent="0.25">
      <c r="B1494" s="42" t="str">
        <f t="shared" si="48"/>
        <v>PP_TRS/PRECIP</v>
      </c>
      <c r="C1494" t="s">
        <v>4829</v>
      </c>
      <c r="D1494" t="s">
        <v>4830</v>
      </c>
      <c r="E1494" t="s">
        <v>4857</v>
      </c>
      <c r="F1494">
        <v>14</v>
      </c>
      <c r="G1494" t="s">
        <v>4858</v>
      </c>
      <c r="H1494" t="s">
        <v>0</v>
      </c>
      <c r="I1494" t="s">
        <v>2185</v>
      </c>
      <c r="J1494" t="s">
        <v>1123</v>
      </c>
      <c r="L1494" t="s">
        <v>3</v>
      </c>
      <c r="M1494" t="s">
        <v>4</v>
      </c>
      <c r="N1494" s="3" t="str">
        <f t="shared" si="47"/>
        <v>F</v>
      </c>
      <c r="O1494" s="3" t="str">
        <f>IF(_xlfn.IFNA(MATCH(B1494,Table1[UID],0),"F")="F","F","T")</f>
        <v>T</v>
      </c>
    </row>
    <row r="1495" spans="2:15" x14ac:dyDescent="0.25">
      <c r="B1495" s="42" t="str">
        <f t="shared" si="48"/>
        <v>PP_WST/PRECIP</v>
      </c>
      <c r="C1495" t="s">
        <v>4829</v>
      </c>
      <c r="D1495" t="s">
        <v>4830</v>
      </c>
      <c r="E1495" t="s">
        <v>4859</v>
      </c>
      <c r="F1495">
        <v>15</v>
      </c>
      <c r="G1495" t="s">
        <v>4860</v>
      </c>
      <c r="H1495" t="s">
        <v>0</v>
      </c>
      <c r="I1495" t="s">
        <v>2186</v>
      </c>
      <c r="J1495" t="s">
        <v>1123</v>
      </c>
      <c r="L1495" t="s">
        <v>3</v>
      </c>
      <c r="M1495" t="s">
        <v>4</v>
      </c>
      <c r="N1495" s="3" t="str">
        <f t="shared" si="47"/>
        <v>F</v>
      </c>
      <c r="O1495" s="3" t="str">
        <f>IF(_xlfn.IFNA(MATCH(B1495,Table1[UID],0),"F")="F","F","T")</f>
        <v>T</v>
      </c>
    </row>
    <row r="1496" spans="2:15" x14ac:dyDescent="0.25">
      <c r="B1496" s="42" t="str">
        <f t="shared" si="48"/>
        <v>P_HTCHY/PRECIP</v>
      </c>
      <c r="C1496" t="s">
        <v>4829</v>
      </c>
      <c r="D1496" t="s">
        <v>4830</v>
      </c>
      <c r="E1496" t="s">
        <v>4861</v>
      </c>
      <c r="F1496">
        <v>16</v>
      </c>
      <c r="G1496" t="s">
        <v>4862</v>
      </c>
      <c r="H1496" t="s">
        <v>0</v>
      </c>
      <c r="I1496" t="s">
        <v>2187</v>
      </c>
      <c r="J1496" t="s">
        <v>1123</v>
      </c>
      <c r="L1496" t="s">
        <v>3</v>
      </c>
      <c r="M1496" t="s">
        <v>4</v>
      </c>
      <c r="N1496" s="3" t="str">
        <f t="shared" si="47"/>
        <v>F</v>
      </c>
      <c r="O1496" s="3" t="str">
        <f>IF(_xlfn.IFNA(MATCH(B1496,Table1[UID],0),"F")="F","F","T")</f>
        <v>T</v>
      </c>
    </row>
    <row r="1497" spans="2:15" x14ac:dyDescent="0.25">
      <c r="B1497" s="42" t="str">
        <f t="shared" si="48"/>
        <v>P_LODI/PRECIP</v>
      </c>
      <c r="C1497" t="s">
        <v>4829</v>
      </c>
      <c r="D1497" t="s">
        <v>4830</v>
      </c>
      <c r="E1497" t="s">
        <v>4863</v>
      </c>
      <c r="F1497">
        <v>17</v>
      </c>
      <c r="G1497" t="s">
        <v>4864</v>
      </c>
      <c r="H1497" t="s">
        <v>0</v>
      </c>
      <c r="I1497" t="s">
        <v>2188</v>
      </c>
      <c r="J1497" t="s">
        <v>1123</v>
      </c>
      <c r="L1497" t="s">
        <v>3</v>
      </c>
      <c r="M1497" t="s">
        <v>4</v>
      </c>
      <c r="N1497" s="3" t="str">
        <f t="shared" si="47"/>
        <v>F</v>
      </c>
      <c r="O1497" s="3" t="str">
        <f>IF(_xlfn.IFNA(MATCH(B1497,Table1[UID],0),"F")="F","F","T")</f>
        <v>T</v>
      </c>
    </row>
    <row r="1498" spans="2:15" x14ac:dyDescent="0.25">
      <c r="B1498" s="42" t="str">
        <f t="shared" si="48"/>
        <v>SPAULDING_PRECIP/PRECIP</v>
      </c>
      <c r="C1498" t="s">
        <v>4829</v>
      </c>
      <c r="D1498" t="s">
        <v>4830</v>
      </c>
      <c r="E1498" t="s">
        <v>4865</v>
      </c>
      <c r="F1498">
        <v>18</v>
      </c>
      <c r="G1498" t="s">
        <v>4866</v>
      </c>
      <c r="H1498" t="s">
        <v>0</v>
      </c>
      <c r="I1498" t="s">
        <v>2192</v>
      </c>
      <c r="J1498" t="s">
        <v>1123</v>
      </c>
      <c r="L1498" t="s">
        <v>3</v>
      </c>
      <c r="M1498" t="s">
        <v>4</v>
      </c>
      <c r="N1498" s="3" t="str">
        <f t="shared" si="47"/>
        <v>F</v>
      </c>
      <c r="O1498" s="3" t="str">
        <f>IF(_xlfn.IFNA(MATCH(B1498,Table1[UID],0),"F")="F","F","T")</f>
        <v>T</v>
      </c>
    </row>
    <row r="1499" spans="2:15" x14ac:dyDescent="0.25">
      <c r="B1499" s="42" t="str">
        <f t="shared" si="48"/>
        <v>I422_PPT/PRECIP-RATE</v>
      </c>
      <c r="C1499" t="s">
        <v>4829</v>
      </c>
      <c r="D1499" t="s">
        <v>4830</v>
      </c>
      <c r="E1499" t="s">
        <v>4867</v>
      </c>
      <c r="F1499">
        <v>19</v>
      </c>
      <c r="G1499" t="s">
        <v>4868</v>
      </c>
      <c r="H1499" t="s">
        <v>0</v>
      </c>
      <c r="I1499" t="s">
        <v>2231</v>
      </c>
      <c r="J1499" t="s">
        <v>2232</v>
      </c>
      <c r="L1499" t="s">
        <v>3</v>
      </c>
      <c r="M1499" t="s">
        <v>4</v>
      </c>
      <c r="N1499" s="3" t="str">
        <f t="shared" si="47"/>
        <v>F</v>
      </c>
      <c r="O1499" s="3" t="str">
        <f>IF(_xlfn.IFNA(MATCH(B1499,Table1[UID],0),"F")="F","F","T")</f>
        <v>T</v>
      </c>
    </row>
    <row r="1500" spans="2:15" x14ac:dyDescent="0.25">
      <c r="B1500" s="42" t="str">
        <f t="shared" si="48"/>
        <v>I_MLRTN_IMP/INFLOW</v>
      </c>
      <c r="C1500" t="s">
        <v>4869</v>
      </c>
      <c r="D1500" t="s">
        <v>4870</v>
      </c>
      <c r="E1500" t="s">
        <v>4871</v>
      </c>
      <c r="F1500">
        <v>1</v>
      </c>
      <c r="G1500" t="s">
        <v>4872</v>
      </c>
      <c r="H1500" t="s">
        <v>0</v>
      </c>
      <c r="I1500" t="s">
        <v>2294</v>
      </c>
      <c r="J1500" t="s">
        <v>1380</v>
      </c>
      <c r="L1500" t="s">
        <v>3</v>
      </c>
      <c r="M1500" t="s">
        <v>4</v>
      </c>
      <c r="N1500" s="3" t="str">
        <f t="shared" si="47"/>
        <v>T</v>
      </c>
      <c r="O1500" s="3" t="str">
        <f>IF(_xlfn.IFNA(MATCH(B1500,Table1[UID],0),"F")="F","F","T")</f>
        <v>T</v>
      </c>
    </row>
    <row r="1501" spans="2:15" x14ac:dyDescent="0.25">
      <c r="B1501" s="42" t="str">
        <f t="shared" si="48"/>
        <v>I_MLRTN/INFLOW</v>
      </c>
      <c r="C1501" t="s">
        <v>4869</v>
      </c>
      <c r="D1501" t="s">
        <v>4870</v>
      </c>
      <c r="E1501" t="s">
        <v>4873</v>
      </c>
      <c r="F1501">
        <v>2</v>
      </c>
      <c r="G1501" t="s">
        <v>4874</v>
      </c>
      <c r="H1501" t="s">
        <v>0</v>
      </c>
      <c r="I1501" t="s">
        <v>1651</v>
      </c>
      <c r="J1501" t="s">
        <v>1380</v>
      </c>
      <c r="L1501" t="s">
        <v>3</v>
      </c>
      <c r="M1501" t="s">
        <v>4</v>
      </c>
      <c r="N1501" s="3" t="str">
        <f t="shared" si="47"/>
        <v>F</v>
      </c>
      <c r="O1501" s="3" t="str">
        <f>IF(_xlfn.IFNA(MATCH(B1501,Table1[UID],0),"F")="F","F","T")</f>
        <v>T</v>
      </c>
    </row>
    <row r="1502" spans="2:15" x14ac:dyDescent="0.25">
      <c r="B1502" s="42" t="str">
        <f t="shared" si="48"/>
        <v>PPT_FOLS_UHH/PRECIP</v>
      </c>
      <c r="C1502" t="s">
        <v>4875</v>
      </c>
      <c r="D1502" t="s">
        <v>4876</v>
      </c>
      <c r="E1502" t="s">
        <v>4877</v>
      </c>
      <c r="F1502">
        <v>1</v>
      </c>
      <c r="G1502" t="s">
        <v>4878</v>
      </c>
      <c r="H1502" t="s">
        <v>0</v>
      </c>
      <c r="I1502" t="s">
        <v>2235</v>
      </c>
      <c r="J1502" t="s">
        <v>1123</v>
      </c>
      <c r="L1502" t="s">
        <v>3</v>
      </c>
      <c r="M1502" t="s">
        <v>4</v>
      </c>
      <c r="N1502" s="3" t="str">
        <f t="shared" si="47"/>
        <v>F</v>
      </c>
      <c r="O1502" s="3" t="str">
        <f>IF(_xlfn.IFNA(MATCH(B1502,Table1[UID],0),"F")="F","F","T")</f>
        <v>T</v>
      </c>
    </row>
    <row r="1503" spans="2:15" x14ac:dyDescent="0.25">
      <c r="B1503" s="42" t="str">
        <f t="shared" si="48"/>
        <v>PPT_ME_UHH/PRECIP</v>
      </c>
      <c r="C1503" t="s">
        <v>4875</v>
      </c>
      <c r="D1503" t="s">
        <v>4876</v>
      </c>
      <c r="E1503" t="s">
        <v>4879</v>
      </c>
      <c r="F1503">
        <v>2</v>
      </c>
      <c r="G1503" t="s">
        <v>4880</v>
      </c>
      <c r="H1503" t="s">
        <v>0</v>
      </c>
      <c r="I1503" t="s">
        <v>2236</v>
      </c>
      <c r="J1503" t="s">
        <v>1123</v>
      </c>
      <c r="L1503" t="s">
        <v>3</v>
      </c>
      <c r="M1503" t="s">
        <v>4</v>
      </c>
      <c r="N1503" s="3" t="str">
        <f t="shared" si="47"/>
        <v>F</v>
      </c>
      <c r="O1503" s="3" t="str">
        <f>IF(_xlfn.IFNA(MATCH(B1503,Table1[UID],0),"F")="F","F","T")</f>
        <v>T</v>
      </c>
    </row>
    <row r="1504" spans="2:15" x14ac:dyDescent="0.25">
      <c r="B1504" s="42" t="str">
        <f t="shared" si="48"/>
        <v>PPT_OROV_UHH/PRECIP</v>
      </c>
      <c r="C1504" t="s">
        <v>4875</v>
      </c>
      <c r="D1504" t="s">
        <v>4876</v>
      </c>
      <c r="E1504" t="s">
        <v>4881</v>
      </c>
      <c r="F1504">
        <v>3</v>
      </c>
      <c r="G1504" t="s">
        <v>4882</v>
      </c>
      <c r="H1504" t="s">
        <v>0</v>
      </c>
      <c r="I1504" t="s">
        <v>2237</v>
      </c>
      <c r="J1504" t="s">
        <v>1123</v>
      </c>
      <c r="L1504" t="s">
        <v>3</v>
      </c>
      <c r="M1504" t="s">
        <v>4</v>
      </c>
      <c r="N1504" s="3" t="str">
        <f t="shared" si="47"/>
        <v>F</v>
      </c>
      <c r="O1504" s="3" t="str">
        <f>IF(_xlfn.IFNA(MATCH(B1504,Table1[UID],0),"F")="F","F","T")</f>
        <v>T</v>
      </c>
    </row>
    <row r="1505" spans="2:15" x14ac:dyDescent="0.25">
      <c r="B1505" s="42" t="str">
        <f t="shared" si="48"/>
        <v>PPT_SHAS_UHH/PRECIP</v>
      </c>
      <c r="C1505" t="s">
        <v>4875</v>
      </c>
      <c r="D1505" t="s">
        <v>4876</v>
      </c>
      <c r="E1505" t="s">
        <v>4883</v>
      </c>
      <c r="F1505">
        <v>4</v>
      </c>
      <c r="G1505" t="s">
        <v>4884</v>
      </c>
      <c r="H1505" t="s">
        <v>0</v>
      </c>
      <c r="I1505" t="s">
        <v>2238</v>
      </c>
      <c r="J1505" t="s">
        <v>1123</v>
      </c>
      <c r="L1505" t="s">
        <v>3</v>
      </c>
      <c r="M1505" t="s">
        <v>4</v>
      </c>
      <c r="N1505" s="3" t="str">
        <f t="shared" si="47"/>
        <v>F</v>
      </c>
      <c r="O1505" s="3" t="str">
        <f>IF(_xlfn.IFNA(MATCH(B1505,Table1[UID],0),"F")="F","F","T")</f>
        <v>T</v>
      </c>
    </row>
    <row r="1506" spans="2:15" x14ac:dyDescent="0.25">
      <c r="B1506" s="42" t="str">
        <f t="shared" si="48"/>
        <v>PPT_SJ_UHH/PRECIP</v>
      </c>
      <c r="C1506" t="s">
        <v>4875</v>
      </c>
      <c r="D1506" t="s">
        <v>4876</v>
      </c>
      <c r="E1506" t="s">
        <v>4885</v>
      </c>
      <c r="F1506">
        <v>5</v>
      </c>
      <c r="G1506" t="s">
        <v>4886</v>
      </c>
      <c r="H1506" t="s">
        <v>0</v>
      </c>
      <c r="I1506" t="s">
        <v>2239</v>
      </c>
      <c r="J1506" t="s">
        <v>1123</v>
      </c>
      <c r="L1506" t="s">
        <v>3</v>
      </c>
      <c r="M1506" t="s">
        <v>4</v>
      </c>
      <c r="N1506" s="3" t="str">
        <f t="shared" si="47"/>
        <v>F</v>
      </c>
      <c r="O1506" s="3" t="str">
        <f>IF(_xlfn.IFNA(MATCH(B1506,Table1[UID],0),"F")="F","F","T")</f>
        <v>T</v>
      </c>
    </row>
    <row r="1507" spans="2:15" x14ac:dyDescent="0.25">
      <c r="B1507" s="42" t="str">
        <f t="shared" si="48"/>
        <v>PPT_ST_UHH/PRECIP</v>
      </c>
      <c r="C1507" t="s">
        <v>4875</v>
      </c>
      <c r="D1507" t="s">
        <v>4876</v>
      </c>
      <c r="E1507" t="s">
        <v>4887</v>
      </c>
      <c r="F1507">
        <v>6</v>
      </c>
      <c r="G1507" t="s">
        <v>4888</v>
      </c>
      <c r="H1507" t="s">
        <v>0</v>
      </c>
      <c r="I1507" t="s">
        <v>2240</v>
      </c>
      <c r="J1507" t="s">
        <v>1123</v>
      </c>
      <c r="L1507" t="s">
        <v>3</v>
      </c>
      <c r="M1507" t="s">
        <v>4</v>
      </c>
      <c r="N1507" s="3" t="str">
        <f t="shared" si="47"/>
        <v>F</v>
      </c>
      <c r="O1507" s="3" t="str">
        <f>IF(_xlfn.IFNA(MATCH(B1507,Table1[UID],0),"F")="F","F","T")</f>
        <v>T</v>
      </c>
    </row>
    <row r="1508" spans="2:15" x14ac:dyDescent="0.25">
      <c r="B1508" s="42" t="str">
        <f t="shared" si="48"/>
        <v>PPT_TR_UHH/PRECIP</v>
      </c>
      <c r="C1508" t="s">
        <v>4875</v>
      </c>
      <c r="D1508" t="s">
        <v>4876</v>
      </c>
      <c r="E1508" t="s">
        <v>4889</v>
      </c>
      <c r="F1508">
        <v>7</v>
      </c>
      <c r="G1508" t="s">
        <v>4890</v>
      </c>
      <c r="H1508" t="s">
        <v>0</v>
      </c>
      <c r="I1508" t="s">
        <v>2241</v>
      </c>
      <c r="J1508" t="s">
        <v>1123</v>
      </c>
      <c r="L1508" t="s">
        <v>3</v>
      </c>
      <c r="M1508" t="s">
        <v>4</v>
      </c>
      <c r="N1508" s="3" t="str">
        <f t="shared" si="47"/>
        <v>F</v>
      </c>
      <c r="O1508" s="3" t="str">
        <f>IF(_xlfn.IFNA(MATCH(B1508,Table1[UID],0),"F")="F","F","T")</f>
        <v>T</v>
      </c>
    </row>
    <row r="1509" spans="2:15" x14ac:dyDescent="0.25">
      <c r="B1509" s="42" t="str">
        <f t="shared" si="48"/>
        <v>PPT_TU_UHH/PRECIP</v>
      </c>
      <c r="C1509" t="s">
        <v>4875</v>
      </c>
      <c r="D1509" t="s">
        <v>4876</v>
      </c>
      <c r="E1509" t="s">
        <v>4891</v>
      </c>
      <c r="F1509">
        <v>8</v>
      </c>
      <c r="G1509" t="s">
        <v>4892</v>
      </c>
      <c r="H1509" t="s">
        <v>0</v>
      </c>
      <c r="I1509" t="s">
        <v>2242</v>
      </c>
      <c r="J1509" t="s">
        <v>1123</v>
      </c>
      <c r="L1509" t="s">
        <v>3</v>
      </c>
      <c r="M1509" t="s">
        <v>4</v>
      </c>
      <c r="N1509" s="3" t="str">
        <f t="shared" si="47"/>
        <v>F</v>
      </c>
      <c r="O1509" s="3" t="str">
        <f>IF(_xlfn.IFNA(MATCH(B1509,Table1[UID],0),"F")="F","F","T")</f>
        <v>T</v>
      </c>
    </row>
    <row r="1510" spans="2:15" x14ac:dyDescent="0.25">
      <c r="B1510" s="42" t="str">
        <f t="shared" si="48"/>
        <v>PPT_WH_UHH/PRECIP</v>
      </c>
      <c r="C1510" t="s">
        <v>4875</v>
      </c>
      <c r="D1510" t="s">
        <v>4876</v>
      </c>
      <c r="E1510" t="s">
        <v>4893</v>
      </c>
      <c r="F1510">
        <v>9</v>
      </c>
      <c r="G1510" t="s">
        <v>4894</v>
      </c>
      <c r="H1510" t="s">
        <v>0</v>
      </c>
      <c r="I1510" t="s">
        <v>2243</v>
      </c>
      <c r="J1510" t="s">
        <v>1123</v>
      </c>
      <c r="L1510" t="s">
        <v>3</v>
      </c>
      <c r="M1510" t="s">
        <v>4</v>
      </c>
      <c r="N1510" s="3" t="str">
        <f t="shared" si="47"/>
        <v>F</v>
      </c>
      <c r="O1510" s="3" t="str">
        <f>IF(_xlfn.IFNA(MATCH(B1510,Table1[UID],0),"F")="F","F","T")</f>
        <v>T</v>
      </c>
    </row>
    <row r="1511" spans="2:15" x14ac:dyDescent="0.25">
      <c r="B1511" s="42" t="str">
        <f t="shared" si="48"/>
        <v>PPT_YUBA_UHH/PRECIP</v>
      </c>
      <c r="C1511" t="s">
        <v>4875</v>
      </c>
      <c r="D1511" t="s">
        <v>4876</v>
      </c>
      <c r="E1511" t="s">
        <v>4895</v>
      </c>
      <c r="F1511">
        <v>10</v>
      </c>
      <c r="G1511" t="s">
        <v>4896</v>
      </c>
      <c r="H1511" t="s">
        <v>0</v>
      </c>
      <c r="I1511" t="s">
        <v>2244</v>
      </c>
      <c r="J1511" t="s">
        <v>1123</v>
      </c>
      <c r="L1511" t="s">
        <v>3</v>
      </c>
      <c r="M1511" t="s">
        <v>4</v>
      </c>
      <c r="N1511" s="3" t="str">
        <f t="shared" si="47"/>
        <v>F</v>
      </c>
      <c r="O1511" s="3" t="str">
        <f>IF(_xlfn.IFNA(MATCH(B1511,Table1[UID],0),"F")="F","F","T")</f>
        <v>T</v>
      </c>
    </row>
    <row r="1512" spans="2:15" x14ac:dyDescent="0.25">
      <c r="B1512" s="42" t="str">
        <f t="shared" si="48"/>
        <v>UNIMP_FOLS_UHH/FLOW-UNIMPAIRED</v>
      </c>
      <c r="C1512" t="s">
        <v>4875</v>
      </c>
      <c r="D1512" t="s">
        <v>4876</v>
      </c>
      <c r="E1512" t="s">
        <v>4897</v>
      </c>
      <c r="F1512">
        <v>11</v>
      </c>
      <c r="G1512" t="s">
        <v>4898</v>
      </c>
      <c r="H1512" t="s">
        <v>0</v>
      </c>
      <c r="I1512" t="s">
        <v>2295</v>
      </c>
      <c r="J1512" t="s">
        <v>1137</v>
      </c>
      <c r="L1512" t="s">
        <v>3</v>
      </c>
      <c r="M1512" t="s">
        <v>4</v>
      </c>
      <c r="N1512" s="3" t="str">
        <f t="shared" si="47"/>
        <v>F</v>
      </c>
      <c r="O1512" s="3" t="str">
        <f>IF(_xlfn.IFNA(MATCH(B1512,Table1[UID],0),"F")="F","F","T")</f>
        <v>T</v>
      </c>
    </row>
    <row r="1513" spans="2:15" x14ac:dyDescent="0.25">
      <c r="B1513" s="42" t="str">
        <f t="shared" si="48"/>
        <v>UNIMP_ME_UHH/FLOW-UNIMPAIRED</v>
      </c>
      <c r="C1513" t="s">
        <v>4875</v>
      </c>
      <c r="D1513" t="s">
        <v>4876</v>
      </c>
      <c r="E1513" t="s">
        <v>4899</v>
      </c>
      <c r="F1513">
        <v>12</v>
      </c>
      <c r="G1513" t="s">
        <v>4900</v>
      </c>
      <c r="H1513" t="s">
        <v>0</v>
      </c>
      <c r="I1513" t="s">
        <v>2296</v>
      </c>
      <c r="J1513" t="s">
        <v>1137</v>
      </c>
      <c r="L1513" t="s">
        <v>3</v>
      </c>
      <c r="M1513" t="s">
        <v>4</v>
      </c>
      <c r="N1513" s="3" t="str">
        <f t="shared" si="47"/>
        <v>F</v>
      </c>
      <c r="O1513" s="3" t="str">
        <f>IF(_xlfn.IFNA(MATCH(B1513,Table1[UID],0),"F")="F","F","T")</f>
        <v>T</v>
      </c>
    </row>
    <row r="1514" spans="2:15" x14ac:dyDescent="0.25">
      <c r="B1514" s="42" t="str">
        <f t="shared" si="48"/>
        <v>UNIMP_OROV_UHH/FLOW-UNIMPAIRED</v>
      </c>
      <c r="C1514" t="s">
        <v>4875</v>
      </c>
      <c r="D1514" t="s">
        <v>4876</v>
      </c>
      <c r="E1514" t="s">
        <v>4901</v>
      </c>
      <c r="F1514">
        <v>13</v>
      </c>
      <c r="G1514" t="s">
        <v>4902</v>
      </c>
      <c r="H1514" t="s">
        <v>0</v>
      </c>
      <c r="I1514" t="s">
        <v>2297</v>
      </c>
      <c r="J1514" t="s">
        <v>1137</v>
      </c>
      <c r="L1514" t="s">
        <v>3</v>
      </c>
      <c r="M1514" t="s">
        <v>4</v>
      </c>
      <c r="N1514" s="3" t="str">
        <f t="shared" si="47"/>
        <v>F</v>
      </c>
      <c r="O1514" s="3" t="str">
        <f>IF(_xlfn.IFNA(MATCH(B1514,Table1[UID],0),"F")="F","F","T")</f>
        <v>T</v>
      </c>
    </row>
    <row r="1515" spans="2:15" x14ac:dyDescent="0.25">
      <c r="B1515" s="42" t="str">
        <f t="shared" si="48"/>
        <v>UNIMP_SHAS_UHH/FLOW-UNIMPAIRED</v>
      </c>
      <c r="C1515" t="s">
        <v>4875</v>
      </c>
      <c r="D1515" t="s">
        <v>4876</v>
      </c>
      <c r="E1515" t="s">
        <v>4903</v>
      </c>
      <c r="F1515">
        <v>14</v>
      </c>
      <c r="G1515" t="s">
        <v>4904</v>
      </c>
      <c r="H1515" t="s">
        <v>0</v>
      </c>
      <c r="I1515" t="s">
        <v>2298</v>
      </c>
      <c r="J1515" t="s">
        <v>1137</v>
      </c>
      <c r="L1515" t="s">
        <v>3</v>
      </c>
      <c r="M1515" t="s">
        <v>4</v>
      </c>
      <c r="N1515" s="3" t="str">
        <f t="shared" si="47"/>
        <v>F</v>
      </c>
      <c r="O1515" s="3" t="str">
        <f>IF(_xlfn.IFNA(MATCH(B1515,Table1[UID],0),"F")="F","F","T")</f>
        <v>T</v>
      </c>
    </row>
    <row r="1516" spans="2:15" x14ac:dyDescent="0.25">
      <c r="B1516" s="42" t="str">
        <f t="shared" si="48"/>
        <v>UNIMP_SJ_UHH/FLOW-UNIMPAIRED</v>
      </c>
      <c r="C1516" t="s">
        <v>4875</v>
      </c>
      <c r="D1516" t="s">
        <v>4876</v>
      </c>
      <c r="E1516" t="s">
        <v>4905</v>
      </c>
      <c r="F1516">
        <v>15</v>
      </c>
      <c r="G1516" t="s">
        <v>4906</v>
      </c>
      <c r="H1516" t="s">
        <v>0</v>
      </c>
      <c r="I1516" t="s">
        <v>2299</v>
      </c>
      <c r="J1516" t="s">
        <v>1137</v>
      </c>
      <c r="L1516" t="s">
        <v>3</v>
      </c>
      <c r="M1516" t="s">
        <v>4</v>
      </c>
      <c r="N1516" s="3" t="str">
        <f t="shared" si="47"/>
        <v>F</v>
      </c>
      <c r="O1516" s="3" t="str">
        <f>IF(_xlfn.IFNA(MATCH(B1516,Table1[UID],0),"F")="F","F","T")</f>
        <v>T</v>
      </c>
    </row>
    <row r="1517" spans="2:15" x14ac:dyDescent="0.25">
      <c r="B1517" s="42" t="str">
        <f t="shared" si="48"/>
        <v>UNIMP_SRBB_UHH/FLOW-UNIMPAIRED</v>
      </c>
      <c r="C1517" t="s">
        <v>4875</v>
      </c>
      <c r="D1517" t="s">
        <v>4876</v>
      </c>
      <c r="E1517" t="s">
        <v>4907</v>
      </c>
      <c r="F1517">
        <v>16</v>
      </c>
      <c r="G1517" t="s">
        <v>4908</v>
      </c>
      <c r="H1517" t="s">
        <v>0</v>
      </c>
      <c r="I1517" t="s">
        <v>2300</v>
      </c>
      <c r="J1517" t="s">
        <v>1137</v>
      </c>
      <c r="L1517" t="s">
        <v>3</v>
      </c>
      <c r="M1517" t="s">
        <v>4</v>
      </c>
      <c r="N1517" s="3" t="str">
        <f t="shared" si="47"/>
        <v>F</v>
      </c>
      <c r="O1517" s="3" t="str">
        <f>IF(_xlfn.IFNA(MATCH(B1517,Table1[UID],0),"F")="F","F","T")</f>
        <v>T</v>
      </c>
    </row>
    <row r="1518" spans="2:15" x14ac:dyDescent="0.25">
      <c r="B1518" s="42" t="str">
        <f t="shared" si="48"/>
        <v>UNIMP_ST_UHH/FLOW-UNIMPAIRED</v>
      </c>
      <c r="C1518" t="s">
        <v>4875</v>
      </c>
      <c r="D1518" t="s">
        <v>4876</v>
      </c>
      <c r="E1518" t="s">
        <v>4909</v>
      </c>
      <c r="F1518">
        <v>17</v>
      </c>
      <c r="G1518" t="s">
        <v>4910</v>
      </c>
      <c r="H1518" t="s">
        <v>0</v>
      </c>
      <c r="I1518" t="s">
        <v>2301</v>
      </c>
      <c r="J1518" t="s">
        <v>1137</v>
      </c>
      <c r="L1518" t="s">
        <v>3</v>
      </c>
      <c r="M1518" t="s">
        <v>4</v>
      </c>
      <c r="N1518" s="3" t="str">
        <f t="shared" si="47"/>
        <v>F</v>
      </c>
      <c r="O1518" s="3" t="str">
        <f>IF(_xlfn.IFNA(MATCH(B1518,Table1[UID],0),"F")="F","F","T")</f>
        <v>T</v>
      </c>
    </row>
    <row r="1519" spans="2:15" x14ac:dyDescent="0.25">
      <c r="B1519" s="42" t="str">
        <f t="shared" si="48"/>
        <v>UNIMP_TRIN_UHH/FLOW-UNIMPAIRED</v>
      </c>
      <c r="C1519" t="s">
        <v>4875</v>
      </c>
      <c r="D1519" t="s">
        <v>4876</v>
      </c>
      <c r="E1519" t="s">
        <v>4911</v>
      </c>
      <c r="F1519">
        <v>18</v>
      </c>
      <c r="G1519" t="s">
        <v>4912</v>
      </c>
      <c r="H1519" t="s">
        <v>0</v>
      </c>
      <c r="I1519" t="s">
        <v>2302</v>
      </c>
      <c r="J1519" t="s">
        <v>1137</v>
      </c>
      <c r="L1519" t="s">
        <v>3</v>
      </c>
      <c r="M1519" t="s">
        <v>4</v>
      </c>
      <c r="N1519" s="3" t="str">
        <f t="shared" si="47"/>
        <v>F</v>
      </c>
      <c r="O1519" s="3" t="str">
        <f>IF(_xlfn.IFNA(MATCH(B1519,Table1[UID],0),"F")="F","F","T")</f>
        <v>T</v>
      </c>
    </row>
    <row r="1520" spans="2:15" x14ac:dyDescent="0.25">
      <c r="B1520" s="42" t="str">
        <f t="shared" si="48"/>
        <v>UNIMP_TU_UHH/FLOW-UNIMPAIRED</v>
      </c>
      <c r="C1520" t="s">
        <v>4875</v>
      </c>
      <c r="D1520" t="s">
        <v>4876</v>
      </c>
      <c r="E1520" t="s">
        <v>4913</v>
      </c>
      <c r="F1520">
        <v>19</v>
      </c>
      <c r="G1520" t="s">
        <v>4914</v>
      </c>
      <c r="H1520" t="s">
        <v>0</v>
      </c>
      <c r="I1520" t="s">
        <v>2303</v>
      </c>
      <c r="J1520" t="s">
        <v>1137</v>
      </c>
      <c r="L1520" t="s">
        <v>3</v>
      </c>
      <c r="M1520" t="s">
        <v>4</v>
      </c>
      <c r="N1520" s="3" t="str">
        <f t="shared" si="47"/>
        <v>F</v>
      </c>
      <c r="O1520" s="3" t="str">
        <f>IF(_xlfn.IFNA(MATCH(B1520,Table1[UID],0),"F")="F","F","T")</f>
        <v>T</v>
      </c>
    </row>
    <row r="1521" spans="2:15" x14ac:dyDescent="0.25">
      <c r="B1521" s="42" t="str">
        <f t="shared" si="48"/>
        <v>UNIMP_WH_UHH/FLOW-UNIMPAIRED</v>
      </c>
      <c r="C1521" t="s">
        <v>4875</v>
      </c>
      <c r="D1521" t="s">
        <v>4876</v>
      </c>
      <c r="E1521" t="s">
        <v>4915</v>
      </c>
      <c r="F1521">
        <v>20</v>
      </c>
      <c r="G1521" t="s">
        <v>4916</v>
      </c>
      <c r="H1521" t="s">
        <v>0</v>
      </c>
      <c r="I1521" t="s">
        <v>2305</v>
      </c>
      <c r="J1521" t="s">
        <v>1137</v>
      </c>
      <c r="L1521" t="s">
        <v>3</v>
      </c>
      <c r="M1521" t="s">
        <v>4</v>
      </c>
      <c r="N1521" s="3" t="str">
        <f t="shared" si="47"/>
        <v>F</v>
      </c>
      <c r="O1521" s="3" t="str">
        <f>IF(_xlfn.IFNA(MATCH(B1521,Table1[UID],0),"F")="F","F","T")</f>
        <v>T</v>
      </c>
    </row>
    <row r="1522" spans="2:15" x14ac:dyDescent="0.25">
      <c r="B1522" s="42" t="str">
        <f t="shared" si="48"/>
        <v>UNIMP_YUBA_UHH/FLOW-UNIMPAIRED</v>
      </c>
      <c r="C1522" t="s">
        <v>4875</v>
      </c>
      <c r="D1522" t="s">
        <v>4876</v>
      </c>
      <c r="E1522" t="s">
        <v>4917</v>
      </c>
      <c r="F1522">
        <v>21</v>
      </c>
      <c r="G1522" t="s">
        <v>4918</v>
      </c>
      <c r="H1522" t="s">
        <v>0</v>
      </c>
      <c r="I1522" t="s">
        <v>2306</v>
      </c>
      <c r="J1522" t="s">
        <v>1137</v>
      </c>
      <c r="L1522" t="s">
        <v>3</v>
      </c>
      <c r="M1522" t="s">
        <v>4</v>
      </c>
      <c r="N1522" s="3" t="str">
        <f t="shared" si="47"/>
        <v>F</v>
      </c>
      <c r="O1522" s="3" t="str">
        <f>IF(_xlfn.IFNA(MATCH(B1522,Table1[UID],0),"F")="F","F","T")</f>
        <v>T</v>
      </c>
    </row>
    <row r="1523" spans="2:15" x14ac:dyDescent="0.25">
      <c r="B1523" s="42" t="str">
        <f t="shared" si="48"/>
        <v>TFO_UHH/TEMPERATURE</v>
      </c>
      <c r="C1523" t="s">
        <v>4875</v>
      </c>
      <c r="D1523" t="s">
        <v>4876</v>
      </c>
      <c r="E1523" t="s">
        <v>4919</v>
      </c>
      <c r="F1523">
        <v>22</v>
      </c>
      <c r="G1523" t="s">
        <v>4920</v>
      </c>
      <c r="H1523" t="s">
        <v>0</v>
      </c>
      <c r="I1523" t="s">
        <v>2245</v>
      </c>
      <c r="J1523" t="s">
        <v>2246</v>
      </c>
      <c r="L1523" t="s">
        <v>3</v>
      </c>
      <c r="M1523" t="s">
        <v>4</v>
      </c>
      <c r="N1523" s="3" t="str">
        <f t="shared" si="47"/>
        <v>F</v>
      </c>
      <c r="O1523" s="3" t="str">
        <f>IF(_xlfn.IFNA(MATCH(B1523,Table1[UID],0),"F")="F","F","T")</f>
        <v>T</v>
      </c>
    </row>
    <row r="1524" spans="2:15" x14ac:dyDescent="0.25">
      <c r="B1524" s="42" t="str">
        <f t="shared" si="48"/>
        <v>TME_UHH/TEMPERATURE</v>
      </c>
      <c r="C1524" t="s">
        <v>4875</v>
      </c>
      <c r="D1524" t="s">
        <v>4876</v>
      </c>
      <c r="E1524" t="s">
        <v>4921</v>
      </c>
      <c r="F1524">
        <v>23</v>
      </c>
      <c r="G1524" t="s">
        <v>4922</v>
      </c>
      <c r="H1524" t="s">
        <v>0</v>
      </c>
      <c r="I1524" t="s">
        <v>2247</v>
      </c>
      <c r="J1524" t="s">
        <v>2246</v>
      </c>
      <c r="L1524" t="s">
        <v>3</v>
      </c>
      <c r="M1524" t="s">
        <v>4</v>
      </c>
      <c r="N1524" s="3" t="str">
        <f t="shared" si="47"/>
        <v>F</v>
      </c>
      <c r="O1524" s="3" t="str">
        <f>IF(_xlfn.IFNA(MATCH(B1524,Table1[UID],0),"F")="F","F","T")</f>
        <v>T</v>
      </c>
    </row>
    <row r="1525" spans="2:15" x14ac:dyDescent="0.25">
      <c r="B1525" s="42" t="str">
        <f t="shared" si="48"/>
        <v>TOR_UHH/TEMPERATURE</v>
      </c>
      <c r="C1525" t="s">
        <v>4875</v>
      </c>
      <c r="D1525" t="s">
        <v>4876</v>
      </c>
      <c r="E1525" t="s">
        <v>4923</v>
      </c>
      <c r="F1525">
        <v>24</v>
      </c>
      <c r="G1525" t="s">
        <v>4924</v>
      </c>
      <c r="H1525" t="s">
        <v>0</v>
      </c>
      <c r="I1525" t="s">
        <v>2248</v>
      </c>
      <c r="J1525" t="s">
        <v>2246</v>
      </c>
      <c r="L1525" t="s">
        <v>3</v>
      </c>
      <c r="M1525" t="s">
        <v>4</v>
      </c>
      <c r="N1525" s="3" t="str">
        <f t="shared" si="47"/>
        <v>F</v>
      </c>
      <c r="O1525" s="3" t="str">
        <f>IF(_xlfn.IFNA(MATCH(B1525,Table1[UID],0),"F")="F","F","T")</f>
        <v>T</v>
      </c>
    </row>
    <row r="1526" spans="2:15" x14ac:dyDescent="0.25">
      <c r="B1526" s="42" t="str">
        <f t="shared" si="48"/>
        <v>TSH_UHH/TEMPERATURE</v>
      </c>
      <c r="C1526" t="s">
        <v>4875</v>
      </c>
      <c r="D1526" t="s">
        <v>4876</v>
      </c>
      <c r="E1526" t="s">
        <v>4925</v>
      </c>
      <c r="F1526">
        <v>25</v>
      </c>
      <c r="G1526" t="s">
        <v>4926</v>
      </c>
      <c r="H1526" t="s">
        <v>0</v>
      </c>
      <c r="I1526" t="s">
        <v>2249</v>
      </c>
      <c r="J1526" t="s">
        <v>2246</v>
      </c>
      <c r="L1526" t="s">
        <v>3</v>
      </c>
      <c r="M1526" t="s">
        <v>4</v>
      </c>
      <c r="N1526" s="3" t="str">
        <f t="shared" si="47"/>
        <v>F</v>
      </c>
      <c r="O1526" s="3" t="str">
        <f>IF(_xlfn.IFNA(MATCH(B1526,Table1[UID],0),"F")="F","F","T")</f>
        <v>T</v>
      </c>
    </row>
    <row r="1527" spans="2:15" x14ac:dyDescent="0.25">
      <c r="B1527" s="42" t="str">
        <f t="shared" si="48"/>
        <v>TSJ_UHH/TEMPERATURE</v>
      </c>
      <c r="C1527" t="s">
        <v>4875</v>
      </c>
      <c r="D1527" t="s">
        <v>4876</v>
      </c>
      <c r="E1527" t="s">
        <v>4927</v>
      </c>
      <c r="F1527">
        <v>26</v>
      </c>
      <c r="G1527" t="s">
        <v>4928</v>
      </c>
      <c r="H1527" t="s">
        <v>0</v>
      </c>
      <c r="I1527" t="s">
        <v>2250</v>
      </c>
      <c r="J1527" t="s">
        <v>2246</v>
      </c>
      <c r="L1527" t="s">
        <v>3</v>
      </c>
      <c r="M1527" t="s">
        <v>4</v>
      </c>
      <c r="N1527" s="3" t="str">
        <f t="shared" si="47"/>
        <v>F</v>
      </c>
      <c r="O1527" s="3" t="str">
        <f>IF(_xlfn.IFNA(MATCH(B1527,Table1[UID],0),"F")="F","F","T")</f>
        <v>T</v>
      </c>
    </row>
    <row r="1528" spans="2:15" x14ac:dyDescent="0.25">
      <c r="B1528" s="42" t="str">
        <f t="shared" si="48"/>
        <v>TST_UHH/TEMPERATURE</v>
      </c>
      <c r="C1528" t="s">
        <v>4875</v>
      </c>
      <c r="D1528" t="s">
        <v>4876</v>
      </c>
      <c r="E1528" t="s">
        <v>4929</v>
      </c>
      <c r="F1528">
        <v>27</v>
      </c>
      <c r="G1528" t="s">
        <v>4930</v>
      </c>
      <c r="H1528" t="s">
        <v>0</v>
      </c>
      <c r="I1528" t="s">
        <v>2251</v>
      </c>
      <c r="J1528" t="s">
        <v>2246</v>
      </c>
      <c r="L1528" t="s">
        <v>3</v>
      </c>
      <c r="M1528" t="s">
        <v>4</v>
      </c>
      <c r="N1528" s="3" t="str">
        <f t="shared" si="47"/>
        <v>F</v>
      </c>
      <c r="O1528" s="3" t="str">
        <f>IF(_xlfn.IFNA(MATCH(B1528,Table1[UID],0),"F")="F","F","T")</f>
        <v>T</v>
      </c>
    </row>
    <row r="1529" spans="2:15" x14ac:dyDescent="0.25">
      <c r="B1529" s="42" t="str">
        <f t="shared" si="48"/>
        <v>TTR_UHH/TEMPERATURE</v>
      </c>
      <c r="C1529" t="s">
        <v>4875</v>
      </c>
      <c r="D1529" t="s">
        <v>4876</v>
      </c>
      <c r="E1529" t="s">
        <v>4931</v>
      </c>
      <c r="F1529">
        <v>28</v>
      </c>
      <c r="G1529" t="s">
        <v>4932</v>
      </c>
      <c r="H1529" t="s">
        <v>0</v>
      </c>
      <c r="I1529" t="s">
        <v>2252</v>
      </c>
      <c r="J1529" t="s">
        <v>2246</v>
      </c>
      <c r="L1529" t="s">
        <v>3</v>
      </c>
      <c r="M1529" t="s">
        <v>4</v>
      </c>
      <c r="N1529" s="3" t="str">
        <f t="shared" si="47"/>
        <v>F</v>
      </c>
      <c r="O1529" s="3" t="str">
        <f>IF(_xlfn.IFNA(MATCH(B1529,Table1[UID],0),"F")="F","F","T")</f>
        <v>T</v>
      </c>
    </row>
    <row r="1530" spans="2:15" x14ac:dyDescent="0.25">
      <c r="B1530" s="42" t="str">
        <f t="shared" si="48"/>
        <v>TTU_UHH/TEMPERATURE</v>
      </c>
      <c r="C1530" t="s">
        <v>4875</v>
      </c>
      <c r="D1530" t="s">
        <v>4876</v>
      </c>
      <c r="E1530" t="s">
        <v>4933</v>
      </c>
      <c r="F1530">
        <v>29</v>
      </c>
      <c r="G1530" t="s">
        <v>4934</v>
      </c>
      <c r="H1530" t="s">
        <v>0</v>
      </c>
      <c r="I1530" t="s">
        <v>2253</v>
      </c>
      <c r="J1530" t="s">
        <v>2246</v>
      </c>
      <c r="L1530" t="s">
        <v>3</v>
      </c>
      <c r="M1530" t="s">
        <v>4</v>
      </c>
      <c r="N1530" s="3" t="str">
        <f t="shared" si="47"/>
        <v>F</v>
      </c>
      <c r="O1530" s="3" t="str">
        <f>IF(_xlfn.IFNA(MATCH(B1530,Table1[UID],0),"F")="F","F","T")</f>
        <v>T</v>
      </c>
    </row>
    <row r="1531" spans="2:15" x14ac:dyDescent="0.25">
      <c r="B1531" s="42" t="str">
        <f t="shared" si="48"/>
        <v>TWH_UHH/TEMPERATURE</v>
      </c>
      <c r="C1531" t="s">
        <v>4875</v>
      </c>
      <c r="D1531" t="s">
        <v>4876</v>
      </c>
      <c r="E1531" t="s">
        <v>4935</v>
      </c>
      <c r="F1531">
        <v>30</v>
      </c>
      <c r="G1531" t="s">
        <v>4936</v>
      </c>
      <c r="H1531" t="s">
        <v>0</v>
      </c>
      <c r="I1531" t="s">
        <v>2254</v>
      </c>
      <c r="J1531" t="s">
        <v>2246</v>
      </c>
      <c r="L1531" t="s">
        <v>3</v>
      </c>
      <c r="M1531" t="s">
        <v>4</v>
      </c>
      <c r="N1531" s="3" t="str">
        <f t="shared" si="47"/>
        <v>F</v>
      </c>
      <c r="O1531" s="3" t="str">
        <f>IF(_xlfn.IFNA(MATCH(B1531,Table1[UID],0),"F")="F","F","T")</f>
        <v>T</v>
      </c>
    </row>
    <row r="1532" spans="2:15" x14ac:dyDescent="0.25">
      <c r="B1532" s="42" t="str">
        <f t="shared" si="48"/>
        <v>TYU_UHH/TEMPERATURE</v>
      </c>
      <c r="C1532" t="s">
        <v>4875</v>
      </c>
      <c r="D1532" t="s">
        <v>4876</v>
      </c>
      <c r="E1532" t="s">
        <v>4937</v>
      </c>
      <c r="F1532">
        <v>31</v>
      </c>
      <c r="G1532" t="s">
        <v>4938</v>
      </c>
      <c r="H1532" t="s">
        <v>0</v>
      </c>
      <c r="I1532" t="s">
        <v>2255</v>
      </c>
      <c r="J1532" t="s">
        <v>2246</v>
      </c>
      <c r="L1532" t="s">
        <v>3</v>
      </c>
      <c r="M1532" t="s">
        <v>4</v>
      </c>
      <c r="N1532" s="3" t="str">
        <f t="shared" si="47"/>
        <v>F</v>
      </c>
      <c r="O1532" s="3" t="str">
        <f>IF(_xlfn.IFNA(MATCH(B1532,Table1[UID],0),"F")="F","F","T")</f>
        <v>T</v>
      </c>
    </row>
    <row r="1533" spans="2:15" x14ac:dyDescent="0.25">
      <c r="B1533" s="42" t="str">
        <f t="shared" si="48"/>
        <v>VPDFO_UHH/VPD</v>
      </c>
      <c r="C1533" t="s">
        <v>4875</v>
      </c>
      <c r="D1533" t="s">
        <v>4876</v>
      </c>
      <c r="E1533" t="s">
        <v>4939</v>
      </c>
      <c r="F1533">
        <v>32</v>
      </c>
      <c r="G1533" t="s">
        <v>4940</v>
      </c>
      <c r="H1533" t="s">
        <v>0</v>
      </c>
      <c r="I1533" t="s">
        <v>2256</v>
      </c>
      <c r="J1533" t="s">
        <v>2257</v>
      </c>
      <c r="L1533" t="s">
        <v>3</v>
      </c>
      <c r="M1533" t="s">
        <v>4</v>
      </c>
      <c r="N1533" s="3" t="str">
        <f t="shared" si="47"/>
        <v>F</v>
      </c>
      <c r="O1533" s="3" t="str">
        <f>IF(_xlfn.IFNA(MATCH(B1533,Table1[UID],0),"F")="F","F","T")</f>
        <v>T</v>
      </c>
    </row>
    <row r="1534" spans="2:15" x14ac:dyDescent="0.25">
      <c r="B1534" s="42" t="str">
        <f t="shared" si="48"/>
        <v>VPDME_UHH/VPD</v>
      </c>
      <c r="C1534" t="s">
        <v>4875</v>
      </c>
      <c r="D1534" t="s">
        <v>4876</v>
      </c>
      <c r="E1534" t="s">
        <v>4941</v>
      </c>
      <c r="F1534">
        <v>33</v>
      </c>
      <c r="G1534" t="s">
        <v>4942</v>
      </c>
      <c r="H1534" t="s">
        <v>0</v>
      </c>
      <c r="I1534" t="s">
        <v>2260</v>
      </c>
      <c r="J1534" t="s">
        <v>2257</v>
      </c>
      <c r="L1534" t="s">
        <v>3</v>
      </c>
      <c r="M1534" t="s">
        <v>4</v>
      </c>
      <c r="N1534" s="3" t="str">
        <f t="shared" si="47"/>
        <v>F</v>
      </c>
      <c r="O1534" s="3" t="str">
        <f>IF(_xlfn.IFNA(MATCH(B1534,Table1[UID],0),"F")="F","F","T")</f>
        <v>T</v>
      </c>
    </row>
    <row r="1535" spans="2:15" x14ac:dyDescent="0.25">
      <c r="B1535" s="42" t="str">
        <f t="shared" si="48"/>
        <v>VPDOR_UHH/VPD</v>
      </c>
      <c r="C1535" t="s">
        <v>4875</v>
      </c>
      <c r="D1535" t="s">
        <v>4876</v>
      </c>
      <c r="E1535" t="s">
        <v>4943</v>
      </c>
      <c r="F1535">
        <v>34</v>
      </c>
      <c r="G1535" t="s">
        <v>4944</v>
      </c>
      <c r="H1535" t="s">
        <v>0</v>
      </c>
      <c r="I1535" t="s">
        <v>2261</v>
      </c>
      <c r="J1535" t="s">
        <v>2257</v>
      </c>
      <c r="L1535" t="s">
        <v>3</v>
      </c>
      <c r="M1535" t="s">
        <v>4</v>
      </c>
      <c r="N1535" s="3" t="str">
        <f t="shared" si="47"/>
        <v>F</v>
      </c>
      <c r="O1535" s="3" t="str">
        <f>IF(_xlfn.IFNA(MATCH(B1535,Table1[UID],0),"F")="F","F","T")</f>
        <v>T</v>
      </c>
    </row>
    <row r="1536" spans="2:15" x14ac:dyDescent="0.25">
      <c r="B1536" s="42" t="str">
        <f t="shared" si="48"/>
        <v>VPDSH_UHH/VPD</v>
      </c>
      <c r="C1536" t="s">
        <v>4875</v>
      </c>
      <c r="D1536" t="s">
        <v>4876</v>
      </c>
      <c r="E1536" t="s">
        <v>4945</v>
      </c>
      <c r="F1536">
        <v>35</v>
      </c>
      <c r="G1536" t="s">
        <v>4946</v>
      </c>
      <c r="H1536" t="s">
        <v>0</v>
      </c>
      <c r="I1536" t="s">
        <v>2262</v>
      </c>
      <c r="J1536" t="s">
        <v>2257</v>
      </c>
      <c r="L1536" t="s">
        <v>3</v>
      </c>
      <c r="M1536" t="s">
        <v>4</v>
      </c>
      <c r="N1536" s="3" t="str">
        <f t="shared" si="47"/>
        <v>F</v>
      </c>
      <c r="O1536" s="3" t="str">
        <f>IF(_xlfn.IFNA(MATCH(B1536,Table1[UID],0),"F")="F","F","T")</f>
        <v>T</v>
      </c>
    </row>
    <row r="1537" spans="2:15" x14ac:dyDescent="0.25">
      <c r="B1537" s="42" t="str">
        <f t="shared" si="48"/>
        <v>VPDSJ_UHH/VPD</v>
      </c>
      <c r="C1537" t="s">
        <v>4875</v>
      </c>
      <c r="D1537" t="s">
        <v>4876</v>
      </c>
      <c r="E1537" t="s">
        <v>4947</v>
      </c>
      <c r="F1537">
        <v>36</v>
      </c>
      <c r="G1537" t="s">
        <v>4948</v>
      </c>
      <c r="H1537" t="s">
        <v>0</v>
      </c>
      <c r="I1537" t="s">
        <v>2263</v>
      </c>
      <c r="J1537" t="s">
        <v>2257</v>
      </c>
      <c r="L1537" t="s">
        <v>3</v>
      </c>
      <c r="M1537" t="s">
        <v>4</v>
      </c>
      <c r="N1537" s="3" t="str">
        <f t="shared" si="47"/>
        <v>F</v>
      </c>
      <c r="O1537" s="3" t="str">
        <f>IF(_xlfn.IFNA(MATCH(B1537,Table1[UID],0),"F")="F","F","T")</f>
        <v>T</v>
      </c>
    </row>
    <row r="1538" spans="2:15" x14ac:dyDescent="0.25">
      <c r="B1538" s="42" t="str">
        <f t="shared" si="48"/>
        <v>VPDST_UHH/VPD</v>
      </c>
      <c r="C1538" t="s">
        <v>4875</v>
      </c>
      <c r="D1538" t="s">
        <v>4876</v>
      </c>
      <c r="E1538" t="s">
        <v>4949</v>
      </c>
      <c r="F1538">
        <v>37</v>
      </c>
      <c r="G1538" t="s">
        <v>4950</v>
      </c>
      <c r="H1538" t="s">
        <v>0</v>
      </c>
      <c r="I1538" t="s">
        <v>2264</v>
      </c>
      <c r="J1538" t="s">
        <v>2257</v>
      </c>
      <c r="L1538" t="s">
        <v>3</v>
      </c>
      <c r="M1538" t="s">
        <v>4</v>
      </c>
      <c r="N1538" s="3" t="str">
        <f t="shared" si="47"/>
        <v>F</v>
      </c>
      <c r="O1538" s="3" t="str">
        <f>IF(_xlfn.IFNA(MATCH(B1538,Table1[UID],0),"F")="F","F","T")</f>
        <v>T</v>
      </c>
    </row>
    <row r="1539" spans="2:15" x14ac:dyDescent="0.25">
      <c r="B1539" s="42" t="str">
        <f t="shared" si="48"/>
        <v>VPDTR_UHH/VPD</v>
      </c>
      <c r="C1539" t="s">
        <v>4875</v>
      </c>
      <c r="D1539" t="s">
        <v>4876</v>
      </c>
      <c r="E1539" t="s">
        <v>4951</v>
      </c>
      <c r="F1539">
        <v>38</v>
      </c>
      <c r="G1539" t="s">
        <v>4952</v>
      </c>
      <c r="H1539" t="s">
        <v>0</v>
      </c>
      <c r="I1539" t="s">
        <v>2265</v>
      </c>
      <c r="J1539" t="s">
        <v>2257</v>
      </c>
      <c r="L1539" t="s">
        <v>3</v>
      </c>
      <c r="M1539" t="s">
        <v>4</v>
      </c>
      <c r="N1539" s="3" t="str">
        <f t="shared" ref="N1539:N1602" si="49">IF(COUNTIF($B$3:$B$1760,"="&amp;B1539)&gt;1,"T","F")</f>
        <v>F</v>
      </c>
      <c r="O1539" s="3" t="str">
        <f>IF(_xlfn.IFNA(MATCH(B1539,Table1[UID],0),"F")="F","F","T")</f>
        <v>T</v>
      </c>
    </row>
    <row r="1540" spans="2:15" x14ac:dyDescent="0.25">
      <c r="B1540" s="42" t="str">
        <f t="shared" si="48"/>
        <v>VPDTU_UHH/VPD</v>
      </c>
      <c r="C1540" t="s">
        <v>4875</v>
      </c>
      <c r="D1540" t="s">
        <v>4876</v>
      </c>
      <c r="E1540" t="s">
        <v>4953</v>
      </c>
      <c r="F1540">
        <v>39</v>
      </c>
      <c r="G1540" t="s">
        <v>4954</v>
      </c>
      <c r="H1540" t="s">
        <v>0</v>
      </c>
      <c r="I1540" t="s">
        <v>2266</v>
      </c>
      <c r="J1540" t="s">
        <v>2257</v>
      </c>
      <c r="L1540" t="s">
        <v>3</v>
      </c>
      <c r="M1540" t="s">
        <v>4</v>
      </c>
      <c r="N1540" s="3" t="str">
        <f t="shared" si="49"/>
        <v>F</v>
      </c>
      <c r="O1540" s="3" t="str">
        <f>IF(_xlfn.IFNA(MATCH(B1540,Table1[UID],0),"F")="F","F","T")</f>
        <v>T</v>
      </c>
    </row>
    <row r="1541" spans="2:15" x14ac:dyDescent="0.25">
      <c r="B1541" s="42" t="str">
        <f t="shared" si="48"/>
        <v>VPDWH_UHH/VPD</v>
      </c>
      <c r="C1541" t="s">
        <v>4875</v>
      </c>
      <c r="D1541" t="s">
        <v>4876</v>
      </c>
      <c r="E1541" t="s">
        <v>4955</v>
      </c>
      <c r="F1541">
        <v>40</v>
      </c>
      <c r="G1541" t="s">
        <v>4956</v>
      </c>
      <c r="H1541" t="s">
        <v>0</v>
      </c>
      <c r="I1541" t="s">
        <v>2267</v>
      </c>
      <c r="J1541" t="s">
        <v>2257</v>
      </c>
      <c r="L1541" t="s">
        <v>3</v>
      </c>
      <c r="M1541" t="s">
        <v>4</v>
      </c>
      <c r="N1541" s="3" t="str">
        <f t="shared" si="49"/>
        <v>F</v>
      </c>
      <c r="O1541" s="3" t="str">
        <f>IF(_xlfn.IFNA(MATCH(B1541,Table1[UID],0),"F")="F","F","T")</f>
        <v>T</v>
      </c>
    </row>
    <row r="1542" spans="2:15" x14ac:dyDescent="0.25">
      <c r="B1542" s="42" t="str">
        <f t="shared" si="48"/>
        <v>VPDYU_UHH/VPD</v>
      </c>
      <c r="C1542" t="s">
        <v>4875</v>
      </c>
      <c r="D1542" t="s">
        <v>4876</v>
      </c>
      <c r="E1542" t="s">
        <v>4957</v>
      </c>
      <c r="F1542">
        <v>41</v>
      </c>
      <c r="G1542" t="s">
        <v>4958</v>
      </c>
      <c r="H1542" t="s">
        <v>0</v>
      </c>
      <c r="I1542" t="s">
        <v>2268</v>
      </c>
      <c r="J1542" t="s">
        <v>2257</v>
      </c>
      <c r="L1542" t="s">
        <v>3</v>
      </c>
      <c r="M1542" t="s">
        <v>4</v>
      </c>
      <c r="N1542" s="3" t="str">
        <f t="shared" si="49"/>
        <v>F</v>
      </c>
      <c r="O1542" s="3" t="str">
        <f>IF(_xlfn.IFNA(MATCH(B1542,Table1[UID],0),"F")="F","F","T")</f>
        <v>T</v>
      </c>
    </row>
    <row r="1543" spans="2:15" x14ac:dyDescent="0.25">
      <c r="B1543" s="42" t="str">
        <f t="shared" si="48"/>
        <v>I_PTH070/INFLOW</v>
      </c>
      <c r="C1543" t="s">
        <v>4959</v>
      </c>
      <c r="D1543" t="s">
        <v>4960</v>
      </c>
      <c r="E1543" t="s">
        <v>4961</v>
      </c>
      <c r="F1543">
        <v>1</v>
      </c>
      <c r="G1543" t="s">
        <v>4962</v>
      </c>
      <c r="H1543" t="s">
        <v>0</v>
      </c>
      <c r="I1543" t="s">
        <v>1671</v>
      </c>
      <c r="J1543" t="s">
        <v>1380</v>
      </c>
      <c r="L1543" t="s">
        <v>3</v>
      </c>
      <c r="M1543" t="s">
        <v>4</v>
      </c>
      <c r="N1543" s="3" t="str">
        <f t="shared" si="49"/>
        <v>F</v>
      </c>
      <c r="O1543" s="3" t="str">
        <f>IF(_xlfn.IFNA(MATCH(B1543,Table1[UID],0),"F")="F","F","T")</f>
        <v>T</v>
      </c>
    </row>
    <row r="1544" spans="2:15" x14ac:dyDescent="0.25">
      <c r="B1544" s="42" t="str">
        <f t="shared" si="48"/>
        <v>I_SHSTA/INFLOW</v>
      </c>
      <c r="C1544" t="s">
        <v>4959</v>
      </c>
      <c r="D1544" t="s">
        <v>4960</v>
      </c>
      <c r="E1544" t="s">
        <v>4963</v>
      </c>
      <c r="F1544">
        <v>2</v>
      </c>
      <c r="G1544" t="s">
        <v>4964</v>
      </c>
      <c r="H1544" t="s">
        <v>0</v>
      </c>
      <c r="I1544" t="s">
        <v>1659</v>
      </c>
      <c r="J1544" t="s">
        <v>1380</v>
      </c>
      <c r="L1544" t="s">
        <v>3</v>
      </c>
      <c r="M1544" t="s">
        <v>4</v>
      </c>
      <c r="N1544" s="3" t="str">
        <f t="shared" si="49"/>
        <v>F</v>
      </c>
      <c r="O1544" s="3" t="str">
        <f>IF(_xlfn.IFNA(MATCH(B1544,Table1[UID],0),"F")="F","F","T")</f>
        <v>T</v>
      </c>
    </row>
    <row r="1545" spans="2:15" x14ac:dyDescent="0.25">
      <c r="B1545" s="42" t="str">
        <f t="shared" si="48"/>
        <v>I_WKYTN/INFLOW</v>
      </c>
      <c r="C1545" t="s">
        <v>4959</v>
      </c>
      <c r="D1545" t="s">
        <v>4960</v>
      </c>
      <c r="E1545" t="s">
        <v>4965</v>
      </c>
      <c r="F1545">
        <v>3</v>
      </c>
      <c r="G1545" t="s">
        <v>4966</v>
      </c>
      <c r="H1545" t="s">
        <v>0</v>
      </c>
      <c r="I1545" t="s">
        <v>1495</v>
      </c>
      <c r="J1545" t="s">
        <v>1380</v>
      </c>
      <c r="L1545" t="s">
        <v>3</v>
      </c>
      <c r="M1545" t="s">
        <v>4</v>
      </c>
      <c r="N1545" s="3" t="str">
        <f t="shared" si="49"/>
        <v>F</v>
      </c>
      <c r="O1545" s="3" t="str">
        <f>IF(_xlfn.IFNA(MATCH(B1545,Table1[UID],0),"F")="F","F","T")</f>
        <v>T</v>
      </c>
    </row>
    <row r="1546" spans="2:15" x14ac:dyDescent="0.25">
      <c r="B1546" s="42" t="str">
        <f t="shared" ref="B1546:B1609" si="50">_xlfn.CONCAT(I1546,"/",J1546)</f>
        <v>I_CLR011/INFLOW</v>
      </c>
      <c r="C1546" t="s">
        <v>4959</v>
      </c>
      <c r="D1546" t="s">
        <v>4960</v>
      </c>
      <c r="E1546" t="s">
        <v>4967</v>
      </c>
      <c r="F1546">
        <v>4</v>
      </c>
      <c r="G1546" t="s">
        <v>4968</v>
      </c>
      <c r="H1546" t="s">
        <v>0</v>
      </c>
      <c r="I1546" t="s">
        <v>1561</v>
      </c>
      <c r="J1546" t="s">
        <v>1380</v>
      </c>
      <c r="L1546" t="s">
        <v>3</v>
      </c>
      <c r="M1546" t="s">
        <v>4</v>
      </c>
      <c r="N1546" s="3" t="str">
        <f t="shared" si="49"/>
        <v>F</v>
      </c>
      <c r="O1546" s="3" t="str">
        <f>IF(_xlfn.IFNA(MATCH(B1546,Table1[UID],0),"F")="F","F","T")</f>
        <v>T</v>
      </c>
    </row>
    <row r="1547" spans="2:15" x14ac:dyDescent="0.25">
      <c r="B1547" s="42" t="str">
        <f t="shared" si="50"/>
        <v>I_CWD018/INFLOW</v>
      </c>
      <c r="C1547" t="s">
        <v>4959</v>
      </c>
      <c r="D1547" t="s">
        <v>4960</v>
      </c>
      <c r="E1547" t="s">
        <v>4969</v>
      </c>
      <c r="F1547">
        <v>5</v>
      </c>
      <c r="G1547" t="s">
        <v>4970</v>
      </c>
      <c r="H1547" t="s">
        <v>0</v>
      </c>
      <c r="I1547" t="s">
        <v>1783</v>
      </c>
      <c r="J1547" t="s">
        <v>1380</v>
      </c>
      <c r="L1547" t="s">
        <v>3</v>
      </c>
      <c r="M1547" t="s">
        <v>4</v>
      </c>
      <c r="N1547" s="3" t="str">
        <f t="shared" si="49"/>
        <v>F</v>
      </c>
      <c r="O1547" s="3" t="str">
        <f>IF(_xlfn.IFNA(MATCH(B1547,Table1[UID],0),"F")="F","F","T")</f>
        <v>T</v>
      </c>
    </row>
    <row r="1548" spans="2:15" x14ac:dyDescent="0.25">
      <c r="B1548" s="42" t="str">
        <f t="shared" si="50"/>
        <v>I_SCW008/INFLOW</v>
      </c>
      <c r="C1548" t="s">
        <v>4959</v>
      </c>
      <c r="D1548" t="s">
        <v>4960</v>
      </c>
      <c r="E1548" t="s">
        <v>4971</v>
      </c>
      <c r="F1548">
        <v>6</v>
      </c>
      <c r="G1548" t="s">
        <v>4972</v>
      </c>
      <c r="H1548" t="s">
        <v>0</v>
      </c>
      <c r="I1548" t="s">
        <v>1408</v>
      </c>
      <c r="J1548" t="s">
        <v>1380</v>
      </c>
      <c r="L1548" t="s">
        <v>3</v>
      </c>
      <c r="M1548" t="s">
        <v>4</v>
      </c>
      <c r="N1548" s="3" t="str">
        <f t="shared" si="49"/>
        <v>F</v>
      </c>
      <c r="O1548" s="3" t="str">
        <f>IF(_xlfn.IFNA(MATCH(B1548,Table1[UID],0),"F")="F","F","T")</f>
        <v>T</v>
      </c>
    </row>
    <row r="1549" spans="2:15" x14ac:dyDescent="0.25">
      <c r="B1549" s="42" t="str">
        <f t="shared" si="50"/>
        <v>I_COW014/INFLOW</v>
      </c>
      <c r="C1549" t="s">
        <v>4959</v>
      </c>
      <c r="D1549" t="s">
        <v>4960</v>
      </c>
      <c r="E1549" t="s">
        <v>4973</v>
      </c>
      <c r="F1549">
        <v>7</v>
      </c>
      <c r="G1549" t="s">
        <v>4974</v>
      </c>
      <c r="H1549" t="s">
        <v>0</v>
      </c>
      <c r="I1549" t="s">
        <v>1781</v>
      </c>
      <c r="J1549" t="s">
        <v>1380</v>
      </c>
      <c r="L1549" t="s">
        <v>3</v>
      </c>
      <c r="M1549" t="s">
        <v>4</v>
      </c>
      <c r="N1549" s="3" t="str">
        <f t="shared" si="49"/>
        <v>F</v>
      </c>
      <c r="O1549" s="3" t="str">
        <f>IF(_xlfn.IFNA(MATCH(B1549,Table1[UID],0),"F")="F","F","T")</f>
        <v>T</v>
      </c>
    </row>
    <row r="1550" spans="2:15" x14ac:dyDescent="0.25">
      <c r="B1550" s="42" t="str">
        <f t="shared" si="50"/>
        <v>I_BTL006/INFLOW</v>
      </c>
      <c r="C1550" t="s">
        <v>4959</v>
      </c>
      <c r="D1550" t="s">
        <v>4960</v>
      </c>
      <c r="E1550" t="s">
        <v>4975</v>
      </c>
      <c r="F1550">
        <v>8</v>
      </c>
      <c r="G1550" t="s">
        <v>4976</v>
      </c>
      <c r="H1550" t="s">
        <v>0</v>
      </c>
      <c r="I1550" t="s">
        <v>1817</v>
      </c>
      <c r="J1550" t="s">
        <v>1380</v>
      </c>
      <c r="L1550" t="s">
        <v>3</v>
      </c>
      <c r="M1550" t="s">
        <v>4</v>
      </c>
      <c r="N1550" s="3" t="str">
        <f t="shared" si="49"/>
        <v>F</v>
      </c>
      <c r="O1550" s="3" t="str">
        <f>IF(_xlfn.IFNA(MATCH(B1550,Table1[UID],0),"F")="F","F","T")</f>
        <v>T</v>
      </c>
    </row>
    <row r="1551" spans="2:15" x14ac:dyDescent="0.25">
      <c r="B1551" s="42" t="str">
        <f t="shared" si="50"/>
        <v>I_BCN010/INFLOW</v>
      </c>
      <c r="C1551" t="s">
        <v>4959</v>
      </c>
      <c r="D1551" t="s">
        <v>4960</v>
      </c>
      <c r="E1551" t="s">
        <v>4977</v>
      </c>
      <c r="F1551">
        <v>9</v>
      </c>
      <c r="G1551" t="s">
        <v>4978</v>
      </c>
      <c r="H1551" t="s">
        <v>0</v>
      </c>
      <c r="I1551" t="s">
        <v>1815</v>
      </c>
      <c r="J1551" t="s">
        <v>1380</v>
      </c>
      <c r="L1551" t="s">
        <v>3</v>
      </c>
      <c r="M1551" t="s">
        <v>4</v>
      </c>
      <c r="N1551" s="3" t="str">
        <f t="shared" si="49"/>
        <v>F</v>
      </c>
      <c r="O1551" s="3" t="str">
        <f>IF(_xlfn.IFNA(MATCH(B1551,Table1[UID],0),"F")="F","F","T")</f>
        <v>T</v>
      </c>
    </row>
    <row r="1552" spans="2:15" x14ac:dyDescent="0.25">
      <c r="B1552" s="42" t="str">
        <f t="shared" si="50"/>
        <v>I_ANTLP/INFLOW</v>
      </c>
      <c r="C1552" t="s">
        <v>4959</v>
      </c>
      <c r="D1552" t="s">
        <v>4960</v>
      </c>
      <c r="E1552" t="s">
        <v>4979</v>
      </c>
      <c r="F1552">
        <v>10</v>
      </c>
      <c r="G1552" t="s">
        <v>4980</v>
      </c>
      <c r="H1552" t="s">
        <v>0</v>
      </c>
      <c r="I1552" t="s">
        <v>1713</v>
      </c>
      <c r="J1552" t="s">
        <v>1380</v>
      </c>
      <c r="L1552" t="s">
        <v>3</v>
      </c>
      <c r="M1552" t="s">
        <v>4</v>
      </c>
      <c r="N1552" s="3" t="str">
        <f t="shared" si="49"/>
        <v>F</v>
      </c>
      <c r="O1552" s="3" t="str">
        <f>IF(_xlfn.IFNA(MATCH(B1552,Table1[UID],0),"F")="F","F","T")</f>
        <v>T</v>
      </c>
    </row>
    <row r="1553" spans="2:15" x14ac:dyDescent="0.25">
      <c r="B1553" s="42" t="str">
        <f t="shared" si="50"/>
        <v>I_BUCKS/INFLOW</v>
      </c>
      <c r="C1553" t="s">
        <v>4959</v>
      </c>
      <c r="D1553" t="s">
        <v>4960</v>
      </c>
      <c r="E1553" t="s">
        <v>4981</v>
      </c>
      <c r="F1553">
        <v>11</v>
      </c>
      <c r="G1553" t="s">
        <v>4982</v>
      </c>
      <c r="H1553" t="s">
        <v>0</v>
      </c>
      <c r="I1553" t="s">
        <v>1707</v>
      </c>
      <c r="J1553" t="s">
        <v>1380</v>
      </c>
      <c r="L1553" t="s">
        <v>3</v>
      </c>
      <c r="M1553" t="s">
        <v>4</v>
      </c>
      <c r="N1553" s="3" t="str">
        <f t="shared" si="49"/>
        <v>F</v>
      </c>
      <c r="O1553" s="3" t="str">
        <f>IF(_xlfn.IFNA(MATCH(B1553,Table1[UID],0),"F")="F","F","T")</f>
        <v>T</v>
      </c>
    </row>
    <row r="1554" spans="2:15" x14ac:dyDescent="0.25">
      <c r="B1554" s="42" t="str">
        <f t="shared" si="50"/>
        <v>I_DAVIS/INFLOW</v>
      </c>
      <c r="C1554" t="s">
        <v>4959</v>
      </c>
      <c r="D1554" t="s">
        <v>4960</v>
      </c>
      <c r="E1554" t="s">
        <v>4983</v>
      </c>
      <c r="F1554">
        <v>12</v>
      </c>
      <c r="G1554" t="s">
        <v>4984</v>
      </c>
      <c r="H1554" t="s">
        <v>0</v>
      </c>
      <c r="I1554" t="s">
        <v>1593</v>
      </c>
      <c r="J1554" t="s">
        <v>1380</v>
      </c>
      <c r="L1554" t="s">
        <v>3</v>
      </c>
      <c r="M1554" t="s">
        <v>4</v>
      </c>
      <c r="N1554" s="3" t="str">
        <f t="shared" si="49"/>
        <v>F</v>
      </c>
      <c r="O1554" s="3" t="str">
        <f>IF(_xlfn.IFNA(MATCH(B1554,Table1[UID],0),"F")="F","F","T")</f>
        <v>T</v>
      </c>
    </row>
    <row r="1555" spans="2:15" x14ac:dyDescent="0.25">
      <c r="B1555" s="42" t="str">
        <f t="shared" si="50"/>
        <v>I_EBF001/INFLOW</v>
      </c>
      <c r="C1555" t="s">
        <v>4959</v>
      </c>
      <c r="D1555" t="s">
        <v>4960</v>
      </c>
      <c r="E1555" t="s">
        <v>4985</v>
      </c>
      <c r="F1555">
        <v>13</v>
      </c>
      <c r="G1555" t="s">
        <v>4986</v>
      </c>
      <c r="H1555" t="s">
        <v>0</v>
      </c>
      <c r="I1555" t="s">
        <v>1720</v>
      </c>
      <c r="J1555" t="s">
        <v>1380</v>
      </c>
      <c r="L1555" t="s">
        <v>3</v>
      </c>
      <c r="M1555" t="s">
        <v>4</v>
      </c>
      <c r="N1555" s="3" t="str">
        <f t="shared" si="49"/>
        <v>F</v>
      </c>
      <c r="O1555" s="3" t="str">
        <f>IF(_xlfn.IFNA(MATCH(B1555,Table1[UID],0),"F")="F","F","T")</f>
        <v>T</v>
      </c>
    </row>
    <row r="1556" spans="2:15" x14ac:dyDescent="0.25">
      <c r="B1556" s="42" t="str">
        <f t="shared" si="50"/>
        <v>I_FRMAN/INFLOW</v>
      </c>
      <c r="C1556" t="s">
        <v>4959</v>
      </c>
      <c r="D1556" t="s">
        <v>4960</v>
      </c>
      <c r="E1556" t="s">
        <v>4987</v>
      </c>
      <c r="F1556">
        <v>14</v>
      </c>
      <c r="G1556" t="s">
        <v>4988</v>
      </c>
      <c r="H1556" t="s">
        <v>0</v>
      </c>
      <c r="I1556" t="s">
        <v>1689</v>
      </c>
      <c r="J1556" t="s">
        <v>1380</v>
      </c>
      <c r="L1556" t="s">
        <v>3</v>
      </c>
      <c r="M1556" t="s">
        <v>4</v>
      </c>
      <c r="N1556" s="3" t="str">
        <f t="shared" si="49"/>
        <v>F</v>
      </c>
      <c r="O1556" s="3" t="str">
        <f>IF(_xlfn.IFNA(MATCH(B1556,Table1[UID],0),"F")="F","F","T")</f>
        <v>T</v>
      </c>
    </row>
    <row r="1557" spans="2:15" x14ac:dyDescent="0.25">
      <c r="B1557" s="42" t="str">
        <f t="shared" si="50"/>
        <v>I_GZL009/INFLOW</v>
      </c>
      <c r="C1557" t="s">
        <v>4959</v>
      </c>
      <c r="D1557" t="s">
        <v>4960</v>
      </c>
      <c r="E1557" t="s">
        <v>4989</v>
      </c>
      <c r="F1557">
        <v>15</v>
      </c>
      <c r="G1557" t="s">
        <v>4990</v>
      </c>
      <c r="H1557" t="s">
        <v>0</v>
      </c>
      <c r="I1557" t="s">
        <v>1687</v>
      </c>
      <c r="J1557" t="s">
        <v>1380</v>
      </c>
      <c r="L1557" t="s">
        <v>3</v>
      </c>
      <c r="M1557" t="s">
        <v>4</v>
      </c>
      <c r="N1557" s="3" t="str">
        <f t="shared" si="49"/>
        <v>F</v>
      </c>
      <c r="O1557" s="3" t="str">
        <f>IF(_xlfn.IFNA(MATCH(B1557,Table1[UID],0),"F")="F","F","T")</f>
        <v>T</v>
      </c>
    </row>
    <row r="1558" spans="2:15" x14ac:dyDescent="0.25">
      <c r="B1558" s="42" t="str">
        <f t="shared" si="50"/>
        <v>I_LGRSV/INFLOW</v>
      </c>
      <c r="C1558" t="s">
        <v>4959</v>
      </c>
      <c r="D1558" t="s">
        <v>4960</v>
      </c>
      <c r="E1558" t="s">
        <v>4991</v>
      </c>
      <c r="F1558">
        <v>16</v>
      </c>
      <c r="G1558" t="s">
        <v>4992</v>
      </c>
      <c r="H1558" t="s">
        <v>0</v>
      </c>
      <c r="I1558" t="s">
        <v>1406</v>
      </c>
      <c r="J1558" t="s">
        <v>1380</v>
      </c>
      <c r="L1558" t="s">
        <v>3</v>
      </c>
      <c r="M1558" t="s">
        <v>4</v>
      </c>
      <c r="N1558" s="3" t="str">
        <f t="shared" si="49"/>
        <v>F</v>
      </c>
      <c r="O1558" s="3" t="str">
        <f>IF(_xlfn.IFNA(MATCH(B1558,Table1[UID],0),"F")="F","F","T")</f>
        <v>T</v>
      </c>
    </row>
    <row r="1559" spans="2:15" x14ac:dyDescent="0.25">
      <c r="B1559" s="42" t="str">
        <f t="shared" si="50"/>
        <v>I_MFF019/INFLOW</v>
      </c>
      <c r="C1559" t="s">
        <v>4959</v>
      </c>
      <c r="D1559" t="s">
        <v>4960</v>
      </c>
      <c r="E1559" t="s">
        <v>4993</v>
      </c>
      <c r="F1559">
        <v>17</v>
      </c>
      <c r="G1559" t="s">
        <v>4994</v>
      </c>
      <c r="H1559" t="s">
        <v>0</v>
      </c>
      <c r="I1559" t="s">
        <v>1507</v>
      </c>
      <c r="J1559" t="s">
        <v>1380</v>
      </c>
      <c r="L1559" t="s">
        <v>3</v>
      </c>
      <c r="M1559" t="s">
        <v>4</v>
      </c>
      <c r="N1559" s="3" t="str">
        <f t="shared" si="49"/>
        <v>F</v>
      </c>
      <c r="O1559" s="3" t="str">
        <f>IF(_xlfn.IFNA(MATCH(B1559,Table1[UID],0),"F")="F","F","T")</f>
        <v>T</v>
      </c>
    </row>
    <row r="1560" spans="2:15" x14ac:dyDescent="0.25">
      <c r="B1560" s="42" t="str">
        <f t="shared" si="50"/>
        <v>I_MFF087/INFLOW</v>
      </c>
      <c r="C1560" t="s">
        <v>4959</v>
      </c>
      <c r="D1560" t="s">
        <v>4960</v>
      </c>
      <c r="E1560" t="s">
        <v>4995</v>
      </c>
      <c r="F1560">
        <v>18</v>
      </c>
      <c r="G1560" t="s">
        <v>4996</v>
      </c>
      <c r="H1560" t="s">
        <v>0</v>
      </c>
      <c r="I1560" t="s">
        <v>1511</v>
      </c>
      <c r="J1560" t="s">
        <v>1380</v>
      </c>
      <c r="L1560" t="s">
        <v>3</v>
      </c>
      <c r="M1560" t="s">
        <v>4</v>
      </c>
      <c r="N1560" s="3" t="str">
        <f t="shared" si="49"/>
        <v>F</v>
      </c>
      <c r="O1560" s="3" t="str">
        <f>IF(_xlfn.IFNA(MATCH(B1560,Table1[UID],0),"F")="F","F","T")</f>
        <v>T</v>
      </c>
    </row>
    <row r="1561" spans="2:15" x14ac:dyDescent="0.25">
      <c r="B1561" s="42" t="str">
        <f t="shared" si="50"/>
        <v>I_RVPHB/INFLOW</v>
      </c>
      <c r="C1561" t="s">
        <v>4959</v>
      </c>
      <c r="D1561" t="s">
        <v>4960</v>
      </c>
      <c r="E1561" t="s">
        <v>4997</v>
      </c>
      <c r="F1561">
        <v>19</v>
      </c>
      <c r="G1561" t="s">
        <v>4998</v>
      </c>
      <c r="H1561" t="s">
        <v>0</v>
      </c>
      <c r="I1561" t="s">
        <v>1717</v>
      </c>
      <c r="J1561" t="s">
        <v>1380</v>
      </c>
      <c r="L1561" t="s">
        <v>3</v>
      </c>
      <c r="M1561" t="s">
        <v>4</v>
      </c>
      <c r="N1561" s="3" t="str">
        <f t="shared" si="49"/>
        <v>F</v>
      </c>
      <c r="O1561" s="3" t="str">
        <f>IF(_xlfn.IFNA(MATCH(B1561,Table1[UID],0),"F")="F","F","T")</f>
        <v>T</v>
      </c>
    </row>
    <row r="1562" spans="2:15" x14ac:dyDescent="0.25">
      <c r="B1562" s="42" t="str">
        <f t="shared" si="50"/>
        <v>I_SFF008/INFLOW</v>
      </c>
      <c r="C1562" t="s">
        <v>4959</v>
      </c>
      <c r="D1562" t="s">
        <v>4960</v>
      </c>
      <c r="E1562" t="s">
        <v>4999</v>
      </c>
      <c r="F1562">
        <v>20</v>
      </c>
      <c r="G1562" t="s">
        <v>5000</v>
      </c>
      <c r="H1562" t="s">
        <v>0</v>
      </c>
      <c r="I1562" t="s">
        <v>1575</v>
      </c>
      <c r="J1562" t="s">
        <v>1380</v>
      </c>
      <c r="L1562" t="s">
        <v>3</v>
      </c>
      <c r="M1562" t="s">
        <v>4</v>
      </c>
      <c r="N1562" s="3" t="str">
        <f t="shared" si="49"/>
        <v>F</v>
      </c>
      <c r="O1562" s="3" t="str">
        <f>IF(_xlfn.IFNA(MATCH(B1562,Table1[UID],0),"F")="F","F","T")</f>
        <v>T</v>
      </c>
    </row>
    <row r="1563" spans="2:15" x14ac:dyDescent="0.25">
      <c r="B1563" s="42" t="str">
        <f t="shared" si="50"/>
        <v>I_SFF011/INFLOW</v>
      </c>
      <c r="C1563" t="s">
        <v>4959</v>
      </c>
      <c r="D1563" t="s">
        <v>4960</v>
      </c>
      <c r="E1563" t="s">
        <v>5001</v>
      </c>
      <c r="F1563">
        <v>21</v>
      </c>
      <c r="G1563" t="s">
        <v>5002</v>
      </c>
      <c r="H1563" t="s">
        <v>0</v>
      </c>
      <c r="I1563" t="s">
        <v>1573</v>
      </c>
      <c r="J1563" t="s">
        <v>1380</v>
      </c>
      <c r="L1563" t="s">
        <v>3</v>
      </c>
      <c r="M1563" t="s">
        <v>4</v>
      </c>
      <c r="N1563" s="3" t="str">
        <f t="shared" si="49"/>
        <v>F</v>
      </c>
      <c r="O1563" s="3" t="str">
        <f>IF(_xlfn.IFNA(MATCH(B1563,Table1[UID],0),"F")="F","F","T")</f>
        <v>T</v>
      </c>
    </row>
    <row r="1564" spans="2:15" x14ac:dyDescent="0.25">
      <c r="B1564" s="42" t="str">
        <f t="shared" si="50"/>
        <v>I_SLYCK/INFLOW</v>
      </c>
      <c r="C1564" t="s">
        <v>4959</v>
      </c>
      <c r="D1564" t="s">
        <v>4960</v>
      </c>
      <c r="E1564" t="s">
        <v>5003</v>
      </c>
      <c r="F1564">
        <v>22</v>
      </c>
      <c r="G1564" t="s">
        <v>5004</v>
      </c>
      <c r="H1564" t="s">
        <v>0</v>
      </c>
      <c r="I1564" t="s">
        <v>1635</v>
      </c>
      <c r="J1564" t="s">
        <v>1380</v>
      </c>
      <c r="L1564" t="s">
        <v>3</v>
      </c>
      <c r="M1564" t="s">
        <v>4</v>
      </c>
      <c r="N1564" s="3" t="str">
        <f t="shared" si="49"/>
        <v>F</v>
      </c>
      <c r="O1564" s="3" t="str">
        <f>IF(_xlfn.IFNA(MATCH(B1564,Table1[UID],0),"F")="F","F","T")</f>
        <v>T</v>
      </c>
    </row>
    <row r="1565" spans="2:15" x14ac:dyDescent="0.25">
      <c r="B1565" s="42" t="str">
        <f t="shared" si="50"/>
        <v>I_WBF006/INFLOW</v>
      </c>
      <c r="C1565" t="s">
        <v>4959</v>
      </c>
      <c r="D1565" t="s">
        <v>4960</v>
      </c>
      <c r="E1565" t="s">
        <v>5005</v>
      </c>
      <c r="F1565">
        <v>23</v>
      </c>
      <c r="G1565" t="s">
        <v>5006</v>
      </c>
      <c r="H1565" t="s">
        <v>0</v>
      </c>
      <c r="I1565" t="s">
        <v>1565</v>
      </c>
      <c r="J1565" t="s">
        <v>1380</v>
      </c>
      <c r="L1565" t="s">
        <v>3</v>
      </c>
      <c r="M1565" t="s">
        <v>4</v>
      </c>
      <c r="N1565" s="3" t="str">
        <f t="shared" si="49"/>
        <v>F</v>
      </c>
      <c r="O1565" s="3" t="str">
        <f>IF(_xlfn.IFNA(MATCH(B1565,Table1[UID],0),"F")="F","F","T")</f>
        <v>T</v>
      </c>
    </row>
    <row r="1566" spans="2:15" x14ac:dyDescent="0.25">
      <c r="B1566" s="42" t="str">
        <f t="shared" si="50"/>
        <v>I_WBF015/INFLOW</v>
      </c>
      <c r="C1566" t="s">
        <v>4959</v>
      </c>
      <c r="D1566" t="s">
        <v>4960</v>
      </c>
      <c r="E1566" t="s">
        <v>5007</v>
      </c>
      <c r="F1566">
        <v>24</v>
      </c>
      <c r="G1566" t="s">
        <v>5008</v>
      </c>
      <c r="H1566" t="s">
        <v>0</v>
      </c>
      <c r="I1566" t="s">
        <v>1827</v>
      </c>
      <c r="J1566" t="s">
        <v>1380</v>
      </c>
      <c r="L1566" t="s">
        <v>3</v>
      </c>
      <c r="M1566" t="s">
        <v>4</v>
      </c>
      <c r="N1566" s="3" t="str">
        <f t="shared" si="49"/>
        <v>F</v>
      </c>
      <c r="O1566" s="3" t="str">
        <f>IF(_xlfn.IFNA(MATCH(B1566,Table1[UID],0),"F")="F","F","T")</f>
        <v>T</v>
      </c>
    </row>
    <row r="1567" spans="2:15" x14ac:dyDescent="0.25">
      <c r="B1567" s="42" t="str">
        <f t="shared" si="50"/>
        <v>I_WBF030/INFLOW</v>
      </c>
      <c r="C1567" t="s">
        <v>4959</v>
      </c>
      <c r="D1567" t="s">
        <v>4960</v>
      </c>
      <c r="E1567" t="s">
        <v>5009</v>
      </c>
      <c r="F1567">
        <v>25</v>
      </c>
      <c r="G1567" t="s">
        <v>5010</v>
      </c>
      <c r="H1567" t="s">
        <v>0</v>
      </c>
      <c r="I1567" t="s">
        <v>1719</v>
      </c>
      <c r="J1567" t="s">
        <v>1380</v>
      </c>
      <c r="L1567" t="s">
        <v>3</v>
      </c>
      <c r="M1567" t="s">
        <v>4</v>
      </c>
      <c r="N1567" s="3" t="str">
        <f t="shared" si="49"/>
        <v>F</v>
      </c>
      <c r="O1567" s="3" t="str">
        <f>IF(_xlfn.IFNA(MATCH(B1567,Table1[UID],0),"F")="F","F","T")</f>
        <v>T</v>
      </c>
    </row>
    <row r="1568" spans="2:15" x14ac:dyDescent="0.25">
      <c r="B1568" s="42" t="str">
        <f t="shared" si="50"/>
        <v>I_HON021/INFLOW</v>
      </c>
      <c r="C1568" t="s">
        <v>4959</v>
      </c>
      <c r="D1568" t="s">
        <v>4960</v>
      </c>
      <c r="E1568" t="s">
        <v>5011</v>
      </c>
      <c r="F1568">
        <v>26</v>
      </c>
      <c r="G1568" t="s">
        <v>5012</v>
      </c>
      <c r="H1568" t="s">
        <v>0</v>
      </c>
      <c r="I1568" t="s">
        <v>1740</v>
      </c>
      <c r="J1568" t="s">
        <v>1380</v>
      </c>
      <c r="L1568" t="s">
        <v>3</v>
      </c>
      <c r="M1568" t="s">
        <v>4</v>
      </c>
      <c r="N1568" s="3" t="str">
        <f t="shared" si="49"/>
        <v>F</v>
      </c>
      <c r="O1568" s="3" t="str">
        <f>IF(_xlfn.IFNA(MATCH(B1568,Table1[UID],0),"F")="F","F","T")</f>
        <v>T</v>
      </c>
    </row>
    <row r="1569" spans="2:15" x14ac:dyDescent="0.25">
      <c r="B1569" s="42" t="str">
        <f t="shared" si="50"/>
        <v>I_MERLC/INFLOW</v>
      </c>
      <c r="C1569" t="s">
        <v>4959</v>
      </c>
      <c r="D1569" t="s">
        <v>4960</v>
      </c>
      <c r="E1569" t="s">
        <v>5013</v>
      </c>
      <c r="F1569">
        <v>27</v>
      </c>
      <c r="G1569" t="s">
        <v>5014</v>
      </c>
      <c r="H1569" t="s">
        <v>0</v>
      </c>
      <c r="I1569" t="s">
        <v>1655</v>
      </c>
      <c r="J1569" t="s">
        <v>1380</v>
      </c>
      <c r="L1569" t="s">
        <v>3</v>
      </c>
      <c r="M1569" t="s">
        <v>4</v>
      </c>
      <c r="N1569" s="3" t="str">
        <f t="shared" si="49"/>
        <v>F</v>
      </c>
      <c r="O1569" s="3" t="str">
        <f>IF(_xlfn.IFNA(MATCH(B1569,Table1[UID],0),"F")="F","F","T")</f>
        <v>T</v>
      </c>
    </row>
    <row r="1570" spans="2:15" x14ac:dyDescent="0.25">
      <c r="B1570" s="42" t="str">
        <f t="shared" si="50"/>
        <v>I_OGN005/INFLOW</v>
      </c>
      <c r="C1570" t="s">
        <v>4959</v>
      </c>
      <c r="D1570" t="s">
        <v>4960</v>
      </c>
      <c r="E1570" t="s">
        <v>5015</v>
      </c>
      <c r="F1570">
        <v>28</v>
      </c>
      <c r="G1570" t="s">
        <v>5016</v>
      </c>
      <c r="H1570" t="s">
        <v>0</v>
      </c>
      <c r="I1570" t="s">
        <v>1476</v>
      </c>
      <c r="J1570" t="s">
        <v>1380</v>
      </c>
      <c r="L1570" t="s">
        <v>3</v>
      </c>
      <c r="M1570" t="s">
        <v>4</v>
      </c>
      <c r="N1570" s="3" t="str">
        <f t="shared" si="49"/>
        <v>F</v>
      </c>
      <c r="O1570" s="3" t="str">
        <f>IF(_xlfn.IFNA(MATCH(B1570,Table1[UID],0),"F")="F","F","T")</f>
        <v>T</v>
      </c>
    </row>
    <row r="1571" spans="2:15" x14ac:dyDescent="0.25">
      <c r="B1571" s="42" t="str">
        <f t="shared" si="50"/>
        <v>I_JKSMD/INFLOW</v>
      </c>
      <c r="C1571" t="s">
        <v>4959</v>
      </c>
      <c r="D1571" t="s">
        <v>4960</v>
      </c>
      <c r="E1571" t="s">
        <v>5017</v>
      </c>
      <c r="F1571">
        <v>29</v>
      </c>
      <c r="G1571" t="s">
        <v>5018</v>
      </c>
      <c r="H1571" t="s">
        <v>0</v>
      </c>
      <c r="I1571" t="s">
        <v>1679</v>
      </c>
      <c r="J1571" t="s">
        <v>1380</v>
      </c>
      <c r="L1571" t="s">
        <v>3</v>
      </c>
      <c r="M1571" t="s">
        <v>4</v>
      </c>
      <c r="N1571" s="3" t="str">
        <f t="shared" si="49"/>
        <v>F</v>
      </c>
      <c r="O1571" s="3" t="str">
        <f>IF(_xlfn.IFNA(MATCH(B1571,Table1[UID],0),"F")="F","F","T")</f>
        <v>T</v>
      </c>
    </row>
    <row r="1572" spans="2:15" x14ac:dyDescent="0.25">
      <c r="B1572" s="42" t="str">
        <f t="shared" si="50"/>
        <v>I_MFY013/INFLOW</v>
      </c>
      <c r="C1572" t="s">
        <v>4959</v>
      </c>
      <c r="D1572" t="s">
        <v>4960</v>
      </c>
      <c r="E1572" t="s">
        <v>5019</v>
      </c>
      <c r="F1572">
        <v>30</v>
      </c>
      <c r="G1572" t="s">
        <v>5020</v>
      </c>
      <c r="H1572" t="s">
        <v>0</v>
      </c>
      <c r="I1572" t="s">
        <v>1525</v>
      </c>
      <c r="J1572" t="s">
        <v>1380</v>
      </c>
      <c r="L1572" t="s">
        <v>3</v>
      </c>
      <c r="M1572" t="s">
        <v>4</v>
      </c>
      <c r="N1572" s="3" t="str">
        <f t="shared" si="49"/>
        <v>F</v>
      </c>
      <c r="O1572" s="3" t="str">
        <f>IF(_xlfn.IFNA(MATCH(B1572,Table1[UID],0),"F")="F","F","T")</f>
        <v>T</v>
      </c>
    </row>
    <row r="1573" spans="2:15" x14ac:dyDescent="0.25">
      <c r="B1573" s="42" t="str">
        <f t="shared" si="50"/>
        <v>I_FRNCH/INFLOW</v>
      </c>
      <c r="C1573" t="s">
        <v>4959</v>
      </c>
      <c r="D1573" t="s">
        <v>4960</v>
      </c>
      <c r="E1573" t="s">
        <v>5021</v>
      </c>
      <c r="F1573">
        <v>31</v>
      </c>
      <c r="G1573" t="s">
        <v>5022</v>
      </c>
      <c r="H1573" t="s">
        <v>0</v>
      </c>
      <c r="I1573" t="s">
        <v>1625</v>
      </c>
      <c r="J1573" t="s">
        <v>1380</v>
      </c>
      <c r="L1573" t="s">
        <v>3</v>
      </c>
      <c r="M1573" t="s">
        <v>4</v>
      </c>
      <c r="N1573" s="3" t="str">
        <f t="shared" si="49"/>
        <v>F</v>
      </c>
      <c r="O1573" s="3" t="str">
        <f>IF(_xlfn.IFNA(MATCH(B1573,Table1[UID],0),"F")="F","F","T")</f>
        <v>T</v>
      </c>
    </row>
    <row r="1574" spans="2:15" x14ac:dyDescent="0.25">
      <c r="B1574" s="42" t="str">
        <f t="shared" si="50"/>
        <v>I_BOWMN/INFLOW</v>
      </c>
      <c r="C1574" t="s">
        <v>4959</v>
      </c>
      <c r="D1574" t="s">
        <v>4960</v>
      </c>
      <c r="E1574" t="s">
        <v>5023</v>
      </c>
      <c r="F1574">
        <v>32</v>
      </c>
      <c r="G1574" t="s">
        <v>5024</v>
      </c>
      <c r="H1574" t="s">
        <v>0</v>
      </c>
      <c r="I1574" t="s">
        <v>1627</v>
      </c>
      <c r="J1574" t="s">
        <v>1380</v>
      </c>
      <c r="L1574" t="s">
        <v>3</v>
      </c>
      <c r="M1574" t="s">
        <v>4</v>
      </c>
      <c r="N1574" s="3" t="str">
        <f t="shared" si="49"/>
        <v>F</v>
      </c>
      <c r="O1574" s="3" t="str">
        <f>IF(_xlfn.IFNA(MATCH(B1574,Table1[UID],0),"F")="F","F","T")</f>
        <v>T</v>
      </c>
    </row>
    <row r="1575" spans="2:15" x14ac:dyDescent="0.25">
      <c r="B1575" s="42" t="str">
        <f t="shared" si="50"/>
        <v>I_LCBRF/INFLOW</v>
      </c>
      <c r="C1575" t="s">
        <v>4959</v>
      </c>
      <c r="D1575" t="s">
        <v>4960</v>
      </c>
      <c r="E1575" t="s">
        <v>5025</v>
      </c>
      <c r="F1575">
        <v>33</v>
      </c>
      <c r="G1575" t="s">
        <v>5026</v>
      </c>
      <c r="H1575" t="s">
        <v>0</v>
      </c>
      <c r="I1575" t="s">
        <v>1629</v>
      </c>
      <c r="J1575" t="s">
        <v>1380</v>
      </c>
      <c r="L1575" t="s">
        <v>3</v>
      </c>
      <c r="M1575" t="s">
        <v>4</v>
      </c>
      <c r="N1575" s="3" t="str">
        <f t="shared" si="49"/>
        <v>F</v>
      </c>
      <c r="O1575" s="3" t="str">
        <f>IF(_xlfn.IFNA(MATCH(B1575,Table1[UID],0),"F")="F","F","T")</f>
        <v>T</v>
      </c>
    </row>
    <row r="1576" spans="2:15" x14ac:dyDescent="0.25">
      <c r="B1576" s="42" t="str">
        <f t="shared" si="50"/>
        <v>I_SFY007/INFLOW</v>
      </c>
      <c r="C1576" t="s">
        <v>4959</v>
      </c>
      <c r="D1576" t="s">
        <v>4960</v>
      </c>
      <c r="E1576" t="s">
        <v>5027</v>
      </c>
      <c r="F1576">
        <v>34</v>
      </c>
      <c r="G1576" t="s">
        <v>5028</v>
      </c>
      <c r="H1576" t="s">
        <v>0</v>
      </c>
      <c r="I1576" t="s">
        <v>1527</v>
      </c>
      <c r="J1576" t="s">
        <v>1380</v>
      </c>
      <c r="L1576" t="s">
        <v>3</v>
      </c>
      <c r="M1576" t="s">
        <v>4</v>
      </c>
      <c r="N1576" s="3" t="str">
        <f t="shared" si="49"/>
        <v>F</v>
      </c>
      <c r="O1576" s="3" t="str">
        <f>IF(_xlfn.IFNA(MATCH(B1576,Table1[UID],0),"F")="F","F","T")</f>
        <v>T</v>
      </c>
    </row>
    <row r="1577" spans="2:15" x14ac:dyDescent="0.25">
      <c r="B1577" s="42" t="str">
        <f t="shared" si="50"/>
        <v>I_SLT009/INFLOW</v>
      </c>
      <c r="C1577" t="s">
        <v>4959</v>
      </c>
      <c r="D1577" t="s">
        <v>4960</v>
      </c>
      <c r="E1577" t="s">
        <v>5029</v>
      </c>
      <c r="F1577">
        <v>35</v>
      </c>
      <c r="G1577" t="s">
        <v>5030</v>
      </c>
      <c r="H1577" t="s">
        <v>0</v>
      </c>
      <c r="I1577" t="s">
        <v>1412</v>
      </c>
      <c r="J1577" t="s">
        <v>1380</v>
      </c>
      <c r="L1577" t="s">
        <v>3</v>
      </c>
      <c r="M1577" t="s">
        <v>4</v>
      </c>
      <c r="N1577" s="3" t="str">
        <f t="shared" si="49"/>
        <v>F</v>
      </c>
      <c r="O1577" s="3" t="str">
        <f>IF(_xlfn.IFNA(MATCH(B1577,Table1[UID],0),"F")="F","F","T")</f>
        <v>T</v>
      </c>
    </row>
    <row r="1578" spans="2:15" x14ac:dyDescent="0.25">
      <c r="B1578" s="42" t="str">
        <f t="shared" si="50"/>
        <v>I_NFY029/INFLOW</v>
      </c>
      <c r="C1578" t="s">
        <v>4959</v>
      </c>
      <c r="D1578" t="s">
        <v>4960</v>
      </c>
      <c r="E1578" t="s">
        <v>5031</v>
      </c>
      <c r="F1578">
        <v>36</v>
      </c>
      <c r="G1578" t="s">
        <v>5032</v>
      </c>
      <c r="H1578" t="s">
        <v>0</v>
      </c>
      <c r="I1578" t="s">
        <v>1478</v>
      </c>
      <c r="J1578" t="s">
        <v>1380</v>
      </c>
      <c r="L1578" t="s">
        <v>3</v>
      </c>
      <c r="M1578" t="s">
        <v>4</v>
      </c>
      <c r="N1578" s="3" t="str">
        <f t="shared" si="49"/>
        <v>F</v>
      </c>
      <c r="O1578" s="3" t="str">
        <f>IF(_xlfn.IFNA(MATCH(B1578,Table1[UID],0),"F")="F","F","T")</f>
        <v>T</v>
      </c>
    </row>
    <row r="1579" spans="2:15" x14ac:dyDescent="0.25">
      <c r="B1579" s="42" t="str">
        <f t="shared" si="50"/>
        <v>I_NBLDB/INFLOW</v>
      </c>
      <c r="C1579" t="s">
        <v>4959</v>
      </c>
      <c r="D1579" t="s">
        <v>4960</v>
      </c>
      <c r="E1579" t="s">
        <v>5033</v>
      </c>
      <c r="F1579">
        <v>37</v>
      </c>
      <c r="G1579" t="s">
        <v>5034</v>
      </c>
      <c r="H1579" t="s">
        <v>0</v>
      </c>
      <c r="I1579" t="s">
        <v>1579</v>
      </c>
      <c r="J1579" t="s">
        <v>1380</v>
      </c>
      <c r="L1579" t="s">
        <v>3</v>
      </c>
      <c r="M1579" t="s">
        <v>4</v>
      </c>
      <c r="N1579" s="3" t="str">
        <f t="shared" si="49"/>
        <v>F</v>
      </c>
      <c r="O1579" s="3" t="str">
        <f>IF(_xlfn.IFNA(MATCH(B1579,Table1[UID],0),"F")="F","F","T")</f>
        <v>T</v>
      </c>
    </row>
    <row r="1580" spans="2:15" x14ac:dyDescent="0.25">
      <c r="B1580" s="42" t="str">
        <f t="shared" si="50"/>
        <v>I_ENGLB/INFLOW</v>
      </c>
      <c r="C1580" t="s">
        <v>4959</v>
      </c>
      <c r="D1580" t="s">
        <v>4960</v>
      </c>
      <c r="E1580" t="s">
        <v>5035</v>
      </c>
      <c r="F1580">
        <v>38</v>
      </c>
      <c r="G1580" t="s">
        <v>5036</v>
      </c>
      <c r="H1580" t="s">
        <v>0</v>
      </c>
      <c r="I1580" t="s">
        <v>1591</v>
      </c>
      <c r="J1580" t="s">
        <v>1380</v>
      </c>
      <c r="L1580" t="s">
        <v>3</v>
      </c>
      <c r="M1580" t="s">
        <v>4</v>
      </c>
      <c r="N1580" s="3" t="str">
        <f t="shared" si="49"/>
        <v>F</v>
      </c>
      <c r="O1580" s="3" t="str">
        <f>IF(_xlfn.IFNA(MATCH(B1580,Table1[UID],0),"F")="F","F","T")</f>
        <v>T</v>
      </c>
    </row>
    <row r="1581" spans="2:15" x14ac:dyDescent="0.25">
      <c r="B1581" s="42" t="str">
        <f t="shared" si="50"/>
        <v>I_SFY048/INFLOW</v>
      </c>
      <c r="C1581" t="s">
        <v>4959</v>
      </c>
      <c r="D1581" t="s">
        <v>4960</v>
      </c>
      <c r="E1581" t="s">
        <v>5037</v>
      </c>
      <c r="F1581">
        <v>39</v>
      </c>
      <c r="G1581" t="s">
        <v>5038</v>
      </c>
      <c r="H1581" t="s">
        <v>0</v>
      </c>
      <c r="I1581" t="s">
        <v>1398</v>
      </c>
      <c r="J1581" t="s">
        <v>1380</v>
      </c>
      <c r="L1581" t="s">
        <v>3</v>
      </c>
      <c r="M1581" t="s">
        <v>4</v>
      </c>
      <c r="N1581" s="3" t="str">
        <f t="shared" si="49"/>
        <v>F</v>
      </c>
      <c r="O1581" s="3" t="str">
        <f>IF(_xlfn.IFNA(MATCH(B1581,Table1[UID],0),"F")="F","F","T")</f>
        <v>T</v>
      </c>
    </row>
    <row r="1582" spans="2:15" x14ac:dyDescent="0.25">
      <c r="B1582" s="42" t="str">
        <f t="shared" si="50"/>
        <v>I_SPLDG/INFLOW</v>
      </c>
      <c r="C1582" t="s">
        <v>4959</v>
      </c>
      <c r="D1582" t="s">
        <v>4960</v>
      </c>
      <c r="E1582" t="s">
        <v>5039</v>
      </c>
      <c r="F1582">
        <v>40</v>
      </c>
      <c r="G1582" t="s">
        <v>5040</v>
      </c>
      <c r="H1582" t="s">
        <v>0</v>
      </c>
      <c r="I1582" t="s">
        <v>1583</v>
      </c>
      <c r="J1582" t="s">
        <v>1380</v>
      </c>
      <c r="L1582" t="s">
        <v>3</v>
      </c>
      <c r="M1582" t="s">
        <v>4</v>
      </c>
      <c r="N1582" s="3" t="str">
        <f t="shared" si="49"/>
        <v>F</v>
      </c>
      <c r="O1582" s="3" t="str">
        <f>IF(_xlfn.IFNA(MATCH(B1582,Table1[UID],0),"F")="F","F","T")</f>
        <v>T</v>
      </c>
    </row>
    <row r="1583" spans="2:15" x14ac:dyDescent="0.25">
      <c r="B1583" s="42" t="str">
        <f t="shared" si="50"/>
        <v>I_FRDYC/INFLOW</v>
      </c>
      <c r="C1583" t="s">
        <v>4959</v>
      </c>
      <c r="D1583" t="s">
        <v>4960</v>
      </c>
      <c r="E1583" t="s">
        <v>5041</v>
      </c>
      <c r="F1583">
        <v>41</v>
      </c>
      <c r="G1583" t="s">
        <v>5042</v>
      </c>
      <c r="H1583" t="s">
        <v>0</v>
      </c>
      <c r="I1583" t="s">
        <v>1753</v>
      </c>
      <c r="J1583" t="s">
        <v>1380</v>
      </c>
      <c r="L1583" t="s">
        <v>3</v>
      </c>
      <c r="M1583" t="s">
        <v>4</v>
      </c>
      <c r="N1583" s="3" t="str">
        <f t="shared" si="49"/>
        <v>F</v>
      </c>
      <c r="O1583" s="3" t="str">
        <f>IF(_xlfn.IFNA(MATCH(B1583,Table1[UID],0),"F")="F","F","T")</f>
        <v>T</v>
      </c>
    </row>
    <row r="1584" spans="2:15" x14ac:dyDescent="0.25">
      <c r="B1584" s="42" t="str">
        <f t="shared" si="50"/>
        <v>I_SFD003/INFLOW</v>
      </c>
      <c r="C1584" t="s">
        <v>4959</v>
      </c>
      <c r="D1584" t="s">
        <v>4960</v>
      </c>
      <c r="E1584" t="s">
        <v>5043</v>
      </c>
      <c r="F1584">
        <v>42</v>
      </c>
      <c r="G1584" t="s">
        <v>5044</v>
      </c>
      <c r="H1584" t="s">
        <v>0</v>
      </c>
      <c r="I1584" t="s">
        <v>1529</v>
      </c>
      <c r="J1584" t="s">
        <v>1380</v>
      </c>
      <c r="L1584" t="s">
        <v>3</v>
      </c>
      <c r="M1584" t="s">
        <v>4</v>
      </c>
      <c r="N1584" s="3" t="str">
        <f t="shared" si="49"/>
        <v>F</v>
      </c>
      <c r="O1584" s="3" t="str">
        <f>IF(_xlfn.IFNA(MATCH(B1584,Table1[UID],0),"F")="F","F","T")</f>
        <v>T</v>
      </c>
    </row>
    <row r="1585" spans="2:15" x14ac:dyDescent="0.25">
      <c r="B1585" s="42" t="str">
        <f t="shared" si="50"/>
        <v>I_SCOTF/INFLOW</v>
      </c>
      <c r="C1585" t="s">
        <v>4959</v>
      </c>
      <c r="D1585" t="s">
        <v>4960</v>
      </c>
      <c r="E1585" t="s">
        <v>5045</v>
      </c>
      <c r="F1585">
        <v>43</v>
      </c>
      <c r="G1585" t="s">
        <v>5046</v>
      </c>
      <c r="H1585" t="s">
        <v>0</v>
      </c>
      <c r="I1585" t="s">
        <v>1537</v>
      </c>
      <c r="J1585" t="s">
        <v>1380</v>
      </c>
      <c r="L1585" t="s">
        <v>3</v>
      </c>
      <c r="M1585" t="s">
        <v>4</v>
      </c>
      <c r="N1585" s="3" t="str">
        <f t="shared" si="49"/>
        <v>F</v>
      </c>
      <c r="O1585" s="3" t="str">
        <f>IF(_xlfn.IFNA(MATCH(B1585,Table1[UID],0),"F")="F","F","T")</f>
        <v>T</v>
      </c>
    </row>
    <row r="1586" spans="2:15" x14ac:dyDescent="0.25">
      <c r="B1586" s="42" t="str">
        <f t="shared" si="50"/>
        <v>I_DER004/INFLOW</v>
      </c>
      <c r="C1586" t="s">
        <v>4959</v>
      </c>
      <c r="D1586" t="s">
        <v>4960</v>
      </c>
      <c r="E1586" t="s">
        <v>5047</v>
      </c>
      <c r="F1586">
        <v>44</v>
      </c>
      <c r="G1586" t="s">
        <v>5048</v>
      </c>
      <c r="H1586" t="s">
        <v>0</v>
      </c>
      <c r="I1586" t="s">
        <v>1559</v>
      </c>
      <c r="J1586" t="s">
        <v>1380</v>
      </c>
      <c r="L1586" t="s">
        <v>3</v>
      </c>
      <c r="M1586" t="s">
        <v>4</v>
      </c>
      <c r="N1586" s="3" t="str">
        <f t="shared" si="49"/>
        <v>F</v>
      </c>
      <c r="O1586" s="3" t="str">
        <f>IF(_xlfn.IFNA(MATCH(B1586,Table1[UID],0),"F")="F","F","T")</f>
        <v>T</v>
      </c>
    </row>
    <row r="1587" spans="2:15" x14ac:dyDescent="0.25">
      <c r="B1587" s="42" t="str">
        <f t="shared" si="50"/>
        <v>I_DER001/INFLOW</v>
      </c>
      <c r="C1587" t="s">
        <v>4959</v>
      </c>
      <c r="D1587" t="s">
        <v>4960</v>
      </c>
      <c r="E1587" t="s">
        <v>5049</v>
      </c>
      <c r="F1587">
        <v>45</v>
      </c>
      <c r="G1587" t="s">
        <v>5050</v>
      </c>
      <c r="H1587" t="s">
        <v>0</v>
      </c>
      <c r="I1587" t="s">
        <v>1557</v>
      </c>
      <c r="J1587" t="s">
        <v>1380</v>
      </c>
      <c r="L1587" t="s">
        <v>3</v>
      </c>
      <c r="M1587" t="s">
        <v>4</v>
      </c>
      <c r="N1587" s="3" t="str">
        <f t="shared" si="49"/>
        <v>F</v>
      </c>
      <c r="O1587" s="3" t="str">
        <f>IF(_xlfn.IFNA(MATCH(B1587,Table1[UID],0),"F")="F","F","T")</f>
        <v>T</v>
      </c>
    </row>
    <row r="1588" spans="2:15" x14ac:dyDescent="0.25">
      <c r="B1588" s="42" t="str">
        <f t="shared" si="50"/>
        <v>I_DHC021/INFLOW</v>
      </c>
      <c r="C1588" t="s">
        <v>4959</v>
      </c>
      <c r="D1588" t="s">
        <v>4960</v>
      </c>
      <c r="E1588" t="s">
        <v>5051</v>
      </c>
      <c r="F1588">
        <v>46</v>
      </c>
      <c r="G1588" t="s">
        <v>5052</v>
      </c>
      <c r="H1588" t="s">
        <v>0</v>
      </c>
      <c r="I1588" t="s">
        <v>1774</v>
      </c>
      <c r="J1588" t="s">
        <v>1380</v>
      </c>
      <c r="L1588" t="s">
        <v>3</v>
      </c>
      <c r="M1588" t="s">
        <v>4</v>
      </c>
      <c r="N1588" s="3" t="str">
        <f t="shared" si="49"/>
        <v>F</v>
      </c>
      <c r="O1588" s="3" t="str">
        <f>IF(_xlfn.IFNA(MATCH(B1588,Table1[UID],0),"F")="F","F","T")</f>
        <v>T</v>
      </c>
    </row>
    <row r="1589" spans="2:15" x14ac:dyDescent="0.25">
      <c r="B1589" s="42" t="str">
        <f t="shared" si="50"/>
        <v>I_BRR023/INFLOW</v>
      </c>
      <c r="C1589" t="s">
        <v>4959</v>
      </c>
      <c r="D1589" t="s">
        <v>4960</v>
      </c>
      <c r="E1589" t="s">
        <v>5053</v>
      </c>
      <c r="F1589">
        <v>47</v>
      </c>
      <c r="G1589" t="s">
        <v>5054</v>
      </c>
      <c r="H1589" t="s">
        <v>0</v>
      </c>
      <c r="I1589" t="s">
        <v>1440</v>
      </c>
      <c r="J1589" t="s">
        <v>1380</v>
      </c>
      <c r="L1589" t="s">
        <v>3</v>
      </c>
      <c r="M1589" t="s">
        <v>4</v>
      </c>
      <c r="N1589" s="3" t="str">
        <f t="shared" si="49"/>
        <v>F</v>
      </c>
      <c r="O1589" s="3" t="str">
        <f>IF(_xlfn.IFNA(MATCH(B1589,Table1[UID],0),"F")="F","F","T")</f>
        <v>T</v>
      </c>
    </row>
    <row r="1590" spans="2:15" x14ac:dyDescent="0.25">
      <c r="B1590" s="42" t="str">
        <f t="shared" si="50"/>
        <v>I_CMBIE/INFLOW</v>
      </c>
      <c r="C1590" t="s">
        <v>4959</v>
      </c>
      <c r="D1590" t="s">
        <v>4960</v>
      </c>
      <c r="E1590" t="s">
        <v>5055</v>
      </c>
      <c r="F1590">
        <v>48</v>
      </c>
      <c r="G1590" t="s">
        <v>5056</v>
      </c>
      <c r="H1590" t="s">
        <v>0</v>
      </c>
      <c r="I1590" t="s">
        <v>1585</v>
      </c>
      <c r="J1590" t="s">
        <v>1380</v>
      </c>
      <c r="L1590" t="s">
        <v>3</v>
      </c>
      <c r="M1590" t="s">
        <v>4</v>
      </c>
      <c r="N1590" s="3" t="str">
        <f t="shared" si="49"/>
        <v>F</v>
      </c>
      <c r="O1590" s="3" t="str">
        <f>IF(_xlfn.IFNA(MATCH(B1590,Table1[UID],0),"F")="F","F","T")</f>
        <v>T</v>
      </c>
    </row>
    <row r="1591" spans="2:15" x14ac:dyDescent="0.25">
      <c r="B1591" s="42" t="str">
        <f t="shared" si="50"/>
        <v>I_CMPFW/INFLOW</v>
      </c>
      <c r="C1591" t="s">
        <v>4959</v>
      </c>
      <c r="D1591" t="s">
        <v>4960</v>
      </c>
      <c r="E1591" t="s">
        <v>5057</v>
      </c>
      <c r="F1591">
        <v>49</v>
      </c>
      <c r="G1591" t="s">
        <v>5058</v>
      </c>
      <c r="H1591" t="s">
        <v>0</v>
      </c>
      <c r="I1591" t="s">
        <v>1597</v>
      </c>
      <c r="J1591" t="s">
        <v>1380</v>
      </c>
      <c r="L1591" t="s">
        <v>3</v>
      </c>
      <c r="M1591" t="s">
        <v>4</v>
      </c>
      <c r="N1591" s="3" t="str">
        <f t="shared" si="49"/>
        <v>F</v>
      </c>
      <c r="O1591" s="3" t="str">
        <f>IF(_xlfn.IFNA(MATCH(B1591,Table1[UID],0),"F")="F","F","T")</f>
        <v>T</v>
      </c>
    </row>
    <row r="1592" spans="2:15" x14ac:dyDescent="0.25">
      <c r="B1592" s="42" t="str">
        <f t="shared" si="50"/>
        <v>I_RLLNS/INFLOW</v>
      </c>
      <c r="C1592" t="s">
        <v>4959</v>
      </c>
      <c r="D1592" t="s">
        <v>4960</v>
      </c>
      <c r="E1592" t="s">
        <v>5059</v>
      </c>
      <c r="F1592">
        <v>50</v>
      </c>
      <c r="G1592" t="s">
        <v>5060</v>
      </c>
      <c r="H1592" t="s">
        <v>0</v>
      </c>
      <c r="I1592" t="s">
        <v>1430</v>
      </c>
      <c r="J1592" t="s">
        <v>1380</v>
      </c>
      <c r="L1592" t="s">
        <v>3</v>
      </c>
      <c r="M1592" t="s">
        <v>4</v>
      </c>
      <c r="N1592" s="3" t="str">
        <f t="shared" si="49"/>
        <v>F</v>
      </c>
      <c r="O1592" s="3" t="str">
        <f>IF(_xlfn.IFNA(MATCH(B1592,Table1[UID],0),"F")="F","F","T")</f>
        <v>T</v>
      </c>
    </row>
    <row r="1593" spans="2:15" x14ac:dyDescent="0.25">
      <c r="B1593" s="42" t="str">
        <f t="shared" si="50"/>
        <v>I_WLF013/INFLOW</v>
      </c>
      <c r="C1593" t="s">
        <v>4959</v>
      </c>
      <c r="D1593" t="s">
        <v>4960</v>
      </c>
      <c r="E1593" t="s">
        <v>5061</v>
      </c>
      <c r="F1593">
        <v>51</v>
      </c>
      <c r="G1593" t="s">
        <v>5062</v>
      </c>
      <c r="H1593" t="s">
        <v>0</v>
      </c>
      <c r="I1593" t="s">
        <v>1379</v>
      </c>
      <c r="J1593" t="s">
        <v>1380</v>
      </c>
      <c r="L1593" t="s">
        <v>3</v>
      </c>
      <c r="M1593" t="s">
        <v>4</v>
      </c>
      <c r="N1593" s="3" t="str">
        <f t="shared" si="49"/>
        <v>F</v>
      </c>
      <c r="O1593" s="3" t="str">
        <f>IF(_xlfn.IFNA(MATCH(B1593,Table1[UID],0),"F")="F","F","T")</f>
        <v>T</v>
      </c>
    </row>
    <row r="1594" spans="2:15" x14ac:dyDescent="0.25">
      <c r="B1594" s="42" t="str">
        <f t="shared" si="50"/>
        <v>I_CYN009/INFLOW</v>
      </c>
      <c r="C1594" t="s">
        <v>4959</v>
      </c>
      <c r="D1594" t="s">
        <v>4960</v>
      </c>
      <c r="E1594" t="s">
        <v>5063</v>
      </c>
      <c r="F1594">
        <v>52</v>
      </c>
      <c r="G1594" t="s">
        <v>5064</v>
      </c>
      <c r="H1594" t="s">
        <v>0</v>
      </c>
      <c r="I1594" t="s">
        <v>1797</v>
      </c>
      <c r="J1594" t="s">
        <v>1380</v>
      </c>
      <c r="L1594" t="s">
        <v>3</v>
      </c>
      <c r="M1594" t="s">
        <v>4</v>
      </c>
      <c r="N1594" s="3" t="str">
        <f t="shared" si="49"/>
        <v>F</v>
      </c>
      <c r="O1594" s="3" t="str">
        <f>IF(_xlfn.IFNA(MATCH(B1594,Table1[UID],0),"F")="F","F","T")</f>
        <v>T</v>
      </c>
    </row>
    <row r="1595" spans="2:15" x14ac:dyDescent="0.25">
      <c r="B1595" s="42" t="str">
        <f t="shared" si="50"/>
        <v>I_LKVLY/INFLOW</v>
      </c>
      <c r="C1595" t="s">
        <v>4959</v>
      </c>
      <c r="D1595" t="s">
        <v>4960</v>
      </c>
      <c r="E1595" t="s">
        <v>5065</v>
      </c>
      <c r="F1595">
        <v>53</v>
      </c>
      <c r="G1595" t="s">
        <v>5066</v>
      </c>
      <c r="H1595" t="s">
        <v>0</v>
      </c>
      <c r="I1595" t="s">
        <v>1657</v>
      </c>
      <c r="J1595" t="s">
        <v>1380</v>
      </c>
      <c r="L1595" t="s">
        <v>3</v>
      </c>
      <c r="M1595" t="s">
        <v>4</v>
      </c>
      <c r="N1595" s="3" t="str">
        <f t="shared" si="49"/>
        <v>F</v>
      </c>
      <c r="O1595" s="3" t="str">
        <f>IF(_xlfn.IFNA(MATCH(B1595,Table1[UID],0),"F")="F","F","T")</f>
        <v>T</v>
      </c>
    </row>
    <row r="1596" spans="2:15" x14ac:dyDescent="0.25">
      <c r="B1596" s="42" t="str">
        <f t="shared" si="50"/>
        <v>I_NFA022/INFLOW</v>
      </c>
      <c r="C1596" t="s">
        <v>4959</v>
      </c>
      <c r="D1596" t="s">
        <v>4960</v>
      </c>
      <c r="E1596" t="s">
        <v>5067</v>
      </c>
      <c r="F1596">
        <v>54</v>
      </c>
      <c r="G1596" t="s">
        <v>5068</v>
      </c>
      <c r="H1596" t="s">
        <v>0</v>
      </c>
      <c r="I1596" t="s">
        <v>1490</v>
      </c>
      <c r="J1596" t="s">
        <v>1380</v>
      </c>
      <c r="L1596" t="s">
        <v>3</v>
      </c>
      <c r="M1596" t="s">
        <v>4</v>
      </c>
      <c r="N1596" s="3" t="str">
        <f t="shared" si="49"/>
        <v>F</v>
      </c>
      <c r="O1596" s="3" t="str">
        <f>IF(_xlfn.IFNA(MATCH(B1596,Table1[UID],0),"F")="F","F","T")</f>
        <v>T</v>
      </c>
    </row>
    <row r="1597" spans="2:15" x14ac:dyDescent="0.25">
      <c r="B1597" s="42" t="str">
        <f t="shared" si="50"/>
        <v>I_NFA054/INFLOW</v>
      </c>
      <c r="C1597" t="s">
        <v>4959</v>
      </c>
      <c r="D1597" t="s">
        <v>4960</v>
      </c>
      <c r="E1597" t="s">
        <v>5069</v>
      </c>
      <c r="F1597">
        <v>55</v>
      </c>
      <c r="G1597" t="s">
        <v>5070</v>
      </c>
      <c r="H1597" t="s">
        <v>0</v>
      </c>
      <c r="I1597" t="s">
        <v>1492</v>
      </c>
      <c r="J1597" t="s">
        <v>1380</v>
      </c>
      <c r="L1597" t="s">
        <v>3</v>
      </c>
      <c r="M1597" t="s">
        <v>4</v>
      </c>
      <c r="N1597" s="3" t="str">
        <f t="shared" si="49"/>
        <v>F</v>
      </c>
      <c r="O1597" s="3" t="str">
        <f>IF(_xlfn.IFNA(MATCH(B1597,Table1[UID],0),"F")="F","F","T")</f>
        <v>T</v>
      </c>
    </row>
    <row r="1598" spans="2:15" x14ac:dyDescent="0.25">
      <c r="B1598" s="42" t="str">
        <f t="shared" si="50"/>
        <v>I_NNA013/INFLOW</v>
      </c>
      <c r="C1598" t="s">
        <v>4959</v>
      </c>
      <c r="D1598" t="s">
        <v>4960</v>
      </c>
      <c r="E1598" t="s">
        <v>5071</v>
      </c>
      <c r="F1598">
        <v>56</v>
      </c>
      <c r="G1598" t="s">
        <v>5072</v>
      </c>
      <c r="H1598" t="s">
        <v>0</v>
      </c>
      <c r="I1598" t="s">
        <v>1829</v>
      </c>
      <c r="J1598" t="s">
        <v>1380</v>
      </c>
      <c r="L1598" t="s">
        <v>3</v>
      </c>
      <c r="M1598" t="s">
        <v>4</v>
      </c>
      <c r="N1598" s="3" t="str">
        <f t="shared" si="49"/>
        <v>F</v>
      </c>
      <c r="O1598" s="3" t="str">
        <f>IF(_xlfn.IFNA(MATCH(B1598,Table1[UID],0),"F")="F","F","T")</f>
        <v>T</v>
      </c>
    </row>
    <row r="1599" spans="2:15" x14ac:dyDescent="0.25">
      <c r="B1599" s="42" t="str">
        <f t="shared" si="50"/>
        <v>I_NFA016/INFLOW</v>
      </c>
      <c r="C1599" t="s">
        <v>4959</v>
      </c>
      <c r="D1599" t="s">
        <v>4960</v>
      </c>
      <c r="E1599" t="s">
        <v>5073</v>
      </c>
      <c r="F1599">
        <v>57</v>
      </c>
      <c r="G1599" t="s">
        <v>5074</v>
      </c>
      <c r="H1599" t="s">
        <v>0</v>
      </c>
      <c r="I1599" t="s">
        <v>1541</v>
      </c>
      <c r="J1599" t="s">
        <v>1380</v>
      </c>
      <c r="L1599" t="s">
        <v>3</v>
      </c>
      <c r="M1599" t="s">
        <v>4</v>
      </c>
      <c r="N1599" s="3" t="str">
        <f t="shared" si="49"/>
        <v>F</v>
      </c>
      <c r="O1599" s="3" t="str">
        <f>IF(_xlfn.IFNA(MATCH(B1599,Table1[UID],0),"F")="F","F","T")</f>
        <v>T</v>
      </c>
    </row>
    <row r="1600" spans="2:15" x14ac:dyDescent="0.25">
      <c r="B1600" s="42" t="str">
        <f t="shared" si="50"/>
        <v>I_DCC010/INFLOW</v>
      </c>
      <c r="C1600" t="s">
        <v>4959</v>
      </c>
      <c r="D1600" t="s">
        <v>4960</v>
      </c>
      <c r="E1600" t="s">
        <v>5075</v>
      </c>
      <c r="F1600">
        <v>58</v>
      </c>
      <c r="G1600" t="s">
        <v>5076</v>
      </c>
      <c r="H1600" t="s">
        <v>0</v>
      </c>
      <c r="I1600" t="s">
        <v>1768</v>
      </c>
      <c r="J1600" t="s">
        <v>1380</v>
      </c>
      <c r="L1600" t="s">
        <v>3</v>
      </c>
      <c r="M1600" t="s">
        <v>4</v>
      </c>
      <c r="N1600" s="3" t="str">
        <f t="shared" si="49"/>
        <v>F</v>
      </c>
      <c r="O1600" s="3" t="str">
        <f>IF(_xlfn.IFNA(MATCH(B1600,Table1[UID],0),"F")="F","F","T")</f>
        <v>T</v>
      </c>
    </row>
    <row r="1601" spans="2:15" x14ac:dyDescent="0.25">
      <c r="B1601" s="42" t="str">
        <f t="shared" si="50"/>
        <v>I_FRMDW/INFLOW</v>
      </c>
      <c r="C1601" t="s">
        <v>4959</v>
      </c>
      <c r="D1601" t="s">
        <v>4960</v>
      </c>
      <c r="E1601" t="s">
        <v>5077</v>
      </c>
      <c r="F1601">
        <v>59</v>
      </c>
      <c r="G1601" t="s">
        <v>5078</v>
      </c>
      <c r="H1601" t="s">
        <v>0</v>
      </c>
      <c r="I1601" t="s">
        <v>1509</v>
      </c>
      <c r="J1601" t="s">
        <v>1380</v>
      </c>
      <c r="L1601" t="s">
        <v>3</v>
      </c>
      <c r="M1601" t="s">
        <v>4</v>
      </c>
      <c r="N1601" s="3" t="str">
        <f t="shared" si="49"/>
        <v>F</v>
      </c>
      <c r="O1601" s="3" t="str">
        <f>IF(_xlfn.IFNA(MATCH(B1601,Table1[UID],0),"F")="F","F","T")</f>
        <v>T</v>
      </c>
    </row>
    <row r="1602" spans="2:15" x14ac:dyDescent="0.25">
      <c r="B1602" s="42" t="str">
        <f t="shared" si="50"/>
        <v>I_GERLE/INFLOW</v>
      </c>
      <c r="C1602" t="s">
        <v>4959</v>
      </c>
      <c r="D1602" t="s">
        <v>4960</v>
      </c>
      <c r="E1602" t="s">
        <v>5079</v>
      </c>
      <c r="F1602">
        <v>60</v>
      </c>
      <c r="G1602" t="s">
        <v>5080</v>
      </c>
      <c r="H1602" t="s">
        <v>0</v>
      </c>
      <c r="I1602" t="s">
        <v>1555</v>
      </c>
      <c r="J1602" t="s">
        <v>1380</v>
      </c>
      <c r="L1602" t="s">
        <v>3</v>
      </c>
      <c r="M1602" t="s">
        <v>4</v>
      </c>
      <c r="N1602" s="3" t="str">
        <f t="shared" si="49"/>
        <v>F</v>
      </c>
      <c r="O1602" s="3" t="str">
        <f>IF(_xlfn.IFNA(MATCH(B1602,Table1[UID],0),"F")="F","F","T")</f>
        <v>T</v>
      </c>
    </row>
    <row r="1603" spans="2:15" x14ac:dyDescent="0.25">
      <c r="B1603" s="42" t="str">
        <f t="shared" si="50"/>
        <v>I_HHOLE/INFLOW</v>
      </c>
      <c r="C1603" t="s">
        <v>4959</v>
      </c>
      <c r="D1603" t="s">
        <v>4960</v>
      </c>
      <c r="E1603" t="s">
        <v>5081</v>
      </c>
      <c r="F1603">
        <v>61</v>
      </c>
      <c r="G1603" t="s">
        <v>5082</v>
      </c>
      <c r="H1603" t="s">
        <v>0</v>
      </c>
      <c r="I1603" t="s">
        <v>1553</v>
      </c>
      <c r="J1603" t="s">
        <v>1380</v>
      </c>
      <c r="L1603" t="s">
        <v>3</v>
      </c>
      <c r="M1603" t="s">
        <v>4</v>
      </c>
      <c r="N1603" s="3" t="str">
        <f t="shared" ref="N1603:N1666" si="51">IF(COUNTIF($B$3:$B$1760,"="&amp;B1603)&gt;1,"T","F")</f>
        <v>F</v>
      </c>
      <c r="O1603" s="3" t="str">
        <f>IF(_xlfn.IFNA(MATCH(B1603,Table1[UID],0),"F")="F","F","T")</f>
        <v>T</v>
      </c>
    </row>
    <row r="1604" spans="2:15" x14ac:dyDescent="0.25">
      <c r="B1604" s="42" t="str">
        <f t="shared" si="50"/>
        <v>I_LNG012/INFLOW</v>
      </c>
      <c r="C1604" t="s">
        <v>4959</v>
      </c>
      <c r="D1604" t="s">
        <v>4960</v>
      </c>
      <c r="E1604" t="s">
        <v>5083</v>
      </c>
      <c r="F1604">
        <v>62</v>
      </c>
      <c r="G1604" t="s">
        <v>5084</v>
      </c>
      <c r="H1604" t="s">
        <v>0</v>
      </c>
      <c r="I1604" t="s">
        <v>1523</v>
      </c>
      <c r="J1604" t="s">
        <v>1380</v>
      </c>
      <c r="L1604" t="s">
        <v>3</v>
      </c>
      <c r="M1604" t="s">
        <v>4</v>
      </c>
      <c r="N1604" s="3" t="str">
        <f t="shared" si="51"/>
        <v>F</v>
      </c>
      <c r="O1604" s="3" t="str">
        <f>IF(_xlfn.IFNA(MATCH(B1604,Table1[UID],0),"F")="F","F","T")</f>
        <v>T</v>
      </c>
    </row>
    <row r="1605" spans="2:15" x14ac:dyDescent="0.25">
      <c r="B1605" s="42" t="str">
        <f t="shared" si="50"/>
        <v>I_LOONL/INFLOW</v>
      </c>
      <c r="C1605" t="s">
        <v>4959</v>
      </c>
      <c r="D1605" t="s">
        <v>4960</v>
      </c>
      <c r="E1605" t="s">
        <v>5085</v>
      </c>
      <c r="F1605">
        <v>63</v>
      </c>
      <c r="G1605" t="s">
        <v>5086</v>
      </c>
      <c r="H1605" t="s">
        <v>0</v>
      </c>
      <c r="I1605" t="s">
        <v>1744</v>
      </c>
      <c r="J1605" t="s">
        <v>1380</v>
      </c>
      <c r="L1605" t="s">
        <v>3</v>
      </c>
      <c r="M1605" t="s">
        <v>4</v>
      </c>
      <c r="N1605" s="3" t="str">
        <f t="shared" si="51"/>
        <v>F</v>
      </c>
      <c r="O1605" s="3" t="str">
        <f>IF(_xlfn.IFNA(MATCH(B1605,Table1[UID],0),"F")="F","F","T")</f>
        <v>T</v>
      </c>
    </row>
    <row r="1606" spans="2:15" x14ac:dyDescent="0.25">
      <c r="B1606" s="42" t="str">
        <f t="shared" si="50"/>
        <v>I_LRB004/INFLOW</v>
      </c>
      <c r="C1606" t="s">
        <v>4959</v>
      </c>
      <c r="D1606" t="s">
        <v>4960</v>
      </c>
      <c r="E1606" t="s">
        <v>5087</v>
      </c>
      <c r="F1606">
        <v>64</v>
      </c>
      <c r="G1606" t="s">
        <v>5088</v>
      </c>
      <c r="H1606" t="s">
        <v>0</v>
      </c>
      <c r="I1606" t="s">
        <v>1611</v>
      </c>
      <c r="J1606" t="s">
        <v>1380</v>
      </c>
      <c r="L1606" t="s">
        <v>3</v>
      </c>
      <c r="M1606" t="s">
        <v>4</v>
      </c>
      <c r="N1606" s="3" t="str">
        <f t="shared" si="51"/>
        <v>F</v>
      </c>
      <c r="O1606" s="3" t="str">
        <f>IF(_xlfn.IFNA(MATCH(B1606,Table1[UID],0),"F")="F","F","T")</f>
        <v>T</v>
      </c>
    </row>
    <row r="1607" spans="2:15" x14ac:dyDescent="0.25">
      <c r="B1607" s="42" t="str">
        <f t="shared" si="50"/>
        <v>I_MFA001/INFLOW</v>
      </c>
      <c r="C1607" t="s">
        <v>4959</v>
      </c>
      <c r="D1607" t="s">
        <v>4960</v>
      </c>
      <c r="E1607" t="s">
        <v>5089</v>
      </c>
      <c r="F1607">
        <v>65</v>
      </c>
      <c r="G1607" t="s">
        <v>5090</v>
      </c>
      <c r="H1607" t="s">
        <v>0</v>
      </c>
      <c r="I1607" t="s">
        <v>1547</v>
      </c>
      <c r="J1607" t="s">
        <v>1380</v>
      </c>
      <c r="L1607" t="s">
        <v>3</v>
      </c>
      <c r="M1607" t="s">
        <v>4</v>
      </c>
      <c r="N1607" s="3" t="str">
        <f t="shared" si="51"/>
        <v>F</v>
      </c>
      <c r="O1607" s="3" t="str">
        <f>IF(_xlfn.IFNA(MATCH(B1607,Table1[UID],0),"F")="F","F","T")</f>
        <v>T</v>
      </c>
    </row>
    <row r="1608" spans="2:15" x14ac:dyDescent="0.25">
      <c r="B1608" s="42" t="str">
        <f t="shared" si="50"/>
        <v>I_MFA023/INFLOW</v>
      </c>
      <c r="C1608" t="s">
        <v>4959</v>
      </c>
      <c r="D1608" t="s">
        <v>4960</v>
      </c>
      <c r="E1608" t="s">
        <v>5091</v>
      </c>
      <c r="F1608">
        <v>66</v>
      </c>
      <c r="G1608" t="s">
        <v>5092</v>
      </c>
      <c r="H1608" t="s">
        <v>0</v>
      </c>
      <c r="I1608" t="s">
        <v>1545</v>
      </c>
      <c r="J1608" t="s">
        <v>1380</v>
      </c>
      <c r="L1608" t="s">
        <v>3</v>
      </c>
      <c r="M1608" t="s">
        <v>4</v>
      </c>
      <c r="N1608" s="3" t="str">
        <f t="shared" si="51"/>
        <v>F</v>
      </c>
      <c r="O1608" s="3" t="str">
        <f>IF(_xlfn.IFNA(MATCH(B1608,Table1[UID],0),"F")="F","F","T")</f>
        <v>T</v>
      </c>
    </row>
    <row r="1609" spans="2:15" x14ac:dyDescent="0.25">
      <c r="B1609" s="42" t="str">
        <f t="shared" si="50"/>
        <v>I_MFA025/INFLOW</v>
      </c>
      <c r="C1609" t="s">
        <v>4959</v>
      </c>
      <c r="D1609" t="s">
        <v>4960</v>
      </c>
      <c r="E1609" t="s">
        <v>5093</v>
      </c>
      <c r="F1609">
        <v>67</v>
      </c>
      <c r="G1609" t="s">
        <v>5094</v>
      </c>
      <c r="H1609" t="s">
        <v>0</v>
      </c>
      <c r="I1609" t="s">
        <v>1549</v>
      </c>
      <c r="J1609" t="s">
        <v>1380</v>
      </c>
      <c r="L1609" t="s">
        <v>3</v>
      </c>
      <c r="M1609" t="s">
        <v>4</v>
      </c>
      <c r="N1609" s="3" t="str">
        <f t="shared" si="51"/>
        <v>F</v>
      </c>
      <c r="O1609" s="3" t="str">
        <f>IF(_xlfn.IFNA(MATCH(B1609,Table1[UID],0),"F")="F","F","T")</f>
        <v>T</v>
      </c>
    </row>
    <row r="1610" spans="2:15" x14ac:dyDescent="0.25">
      <c r="B1610" s="42" t="str">
        <f t="shared" ref="B1610:B1673" si="52">_xlfn.CONCAT(I1610,"/",J1610)</f>
        <v>I_MFA036/INFLOW</v>
      </c>
      <c r="C1610" t="s">
        <v>4959</v>
      </c>
      <c r="D1610" t="s">
        <v>4960</v>
      </c>
      <c r="E1610" t="s">
        <v>5095</v>
      </c>
      <c r="F1610">
        <v>68</v>
      </c>
      <c r="G1610" t="s">
        <v>5096</v>
      </c>
      <c r="H1610" t="s">
        <v>0</v>
      </c>
      <c r="I1610" t="s">
        <v>1543</v>
      </c>
      <c r="J1610" t="s">
        <v>1380</v>
      </c>
      <c r="L1610" t="s">
        <v>3</v>
      </c>
      <c r="M1610" t="s">
        <v>4</v>
      </c>
      <c r="N1610" s="3" t="str">
        <f t="shared" si="51"/>
        <v>F</v>
      </c>
      <c r="O1610" s="3" t="str">
        <f>IF(_xlfn.IFNA(MATCH(B1610,Table1[UID],0),"F")="F","F","T")</f>
        <v>T</v>
      </c>
    </row>
    <row r="1611" spans="2:15" x14ac:dyDescent="0.25">
      <c r="B1611" s="42" t="str">
        <f t="shared" si="52"/>
        <v>I_NLC003/INFLOW</v>
      </c>
      <c r="C1611" t="s">
        <v>4959</v>
      </c>
      <c r="D1611" t="s">
        <v>4960</v>
      </c>
      <c r="E1611" t="s">
        <v>5097</v>
      </c>
      <c r="F1611">
        <v>69</v>
      </c>
      <c r="G1611" t="s">
        <v>5098</v>
      </c>
      <c r="H1611" t="s">
        <v>0</v>
      </c>
      <c r="I1611" t="s">
        <v>1488</v>
      </c>
      <c r="J1611" t="s">
        <v>1380</v>
      </c>
      <c r="L1611" t="s">
        <v>3</v>
      </c>
      <c r="M1611" t="s">
        <v>4</v>
      </c>
      <c r="N1611" s="3" t="str">
        <f t="shared" si="51"/>
        <v>F</v>
      </c>
      <c r="O1611" s="3" t="str">
        <f>IF(_xlfn.IFNA(MATCH(B1611,Table1[UID],0),"F")="F","F","T")</f>
        <v>T</v>
      </c>
    </row>
    <row r="1612" spans="2:15" x14ac:dyDescent="0.25">
      <c r="B1612" s="42" t="str">
        <f t="shared" si="52"/>
        <v>I_NMA003/INFLOW</v>
      </c>
      <c r="C1612" t="s">
        <v>4959</v>
      </c>
      <c r="D1612" t="s">
        <v>4960</v>
      </c>
      <c r="E1612" t="s">
        <v>5099</v>
      </c>
      <c r="F1612">
        <v>70</v>
      </c>
      <c r="G1612" t="s">
        <v>5100</v>
      </c>
      <c r="H1612" t="s">
        <v>0</v>
      </c>
      <c r="I1612" t="s">
        <v>1484</v>
      </c>
      <c r="J1612" t="s">
        <v>1380</v>
      </c>
      <c r="L1612" t="s">
        <v>3</v>
      </c>
      <c r="M1612" t="s">
        <v>4</v>
      </c>
      <c r="N1612" s="3" t="str">
        <f t="shared" si="51"/>
        <v>F</v>
      </c>
      <c r="O1612" s="3" t="str">
        <f>IF(_xlfn.IFNA(MATCH(B1612,Table1[UID],0),"F")="F","F","T")</f>
        <v>T</v>
      </c>
    </row>
    <row r="1613" spans="2:15" x14ac:dyDescent="0.25">
      <c r="B1613" s="42" t="str">
        <f t="shared" si="52"/>
        <v>I_PLC007/INFLOW</v>
      </c>
      <c r="C1613" t="s">
        <v>4959</v>
      </c>
      <c r="D1613" t="s">
        <v>4960</v>
      </c>
      <c r="E1613" t="s">
        <v>5101</v>
      </c>
      <c r="F1613">
        <v>71</v>
      </c>
      <c r="G1613" t="s">
        <v>5102</v>
      </c>
      <c r="H1613" t="s">
        <v>0</v>
      </c>
      <c r="I1613" t="s">
        <v>1468</v>
      </c>
      <c r="J1613" t="s">
        <v>1380</v>
      </c>
      <c r="L1613" t="s">
        <v>3</v>
      </c>
      <c r="M1613" t="s">
        <v>4</v>
      </c>
      <c r="N1613" s="3" t="str">
        <f t="shared" si="51"/>
        <v>F</v>
      </c>
      <c r="O1613" s="3" t="str">
        <f>IF(_xlfn.IFNA(MATCH(B1613,Table1[UID],0),"F")="F","F","T")</f>
        <v>T</v>
      </c>
    </row>
    <row r="1614" spans="2:15" x14ac:dyDescent="0.25">
      <c r="B1614" s="42" t="str">
        <f t="shared" si="52"/>
        <v>I_RUB002/INFLOW</v>
      </c>
      <c r="C1614" t="s">
        <v>4959</v>
      </c>
      <c r="D1614" t="s">
        <v>4960</v>
      </c>
      <c r="E1614" t="s">
        <v>5103</v>
      </c>
      <c r="F1614">
        <v>72</v>
      </c>
      <c r="G1614" t="s">
        <v>5104</v>
      </c>
      <c r="H1614" t="s">
        <v>0</v>
      </c>
      <c r="I1614" t="s">
        <v>1539</v>
      </c>
      <c r="J1614" t="s">
        <v>1380</v>
      </c>
      <c r="L1614" t="s">
        <v>3</v>
      </c>
      <c r="M1614" t="s">
        <v>4</v>
      </c>
      <c r="N1614" s="3" t="str">
        <f t="shared" si="51"/>
        <v>F</v>
      </c>
      <c r="O1614" s="3" t="str">
        <f>IF(_xlfn.IFNA(MATCH(B1614,Table1[UID],0),"F")="F","F","T")</f>
        <v>T</v>
      </c>
    </row>
    <row r="1615" spans="2:15" x14ac:dyDescent="0.25">
      <c r="B1615" s="42" t="str">
        <f t="shared" si="52"/>
        <v>I_RUB047/INFLOW</v>
      </c>
      <c r="C1615" t="s">
        <v>4959</v>
      </c>
      <c r="D1615" t="s">
        <v>4960</v>
      </c>
      <c r="E1615" t="s">
        <v>5105</v>
      </c>
      <c r="F1615">
        <v>73</v>
      </c>
      <c r="G1615" t="s">
        <v>5106</v>
      </c>
      <c r="H1615" t="s">
        <v>0</v>
      </c>
      <c r="I1615" t="s">
        <v>1643</v>
      </c>
      <c r="J1615" t="s">
        <v>1380</v>
      </c>
      <c r="L1615" t="s">
        <v>3</v>
      </c>
      <c r="M1615" t="s">
        <v>4</v>
      </c>
      <c r="N1615" s="3" t="str">
        <f t="shared" si="51"/>
        <v>F</v>
      </c>
      <c r="O1615" s="3" t="str">
        <f>IF(_xlfn.IFNA(MATCH(B1615,Table1[UID],0),"F")="F","F","T")</f>
        <v>T</v>
      </c>
    </row>
    <row r="1616" spans="2:15" x14ac:dyDescent="0.25">
      <c r="B1616" s="42" t="str">
        <f t="shared" si="52"/>
        <v>I_SFR006/INFLOW</v>
      </c>
      <c r="C1616" t="s">
        <v>4959</v>
      </c>
      <c r="D1616" t="s">
        <v>4960</v>
      </c>
      <c r="E1616" t="s">
        <v>5107</v>
      </c>
      <c r="F1616">
        <v>74</v>
      </c>
      <c r="G1616" t="s">
        <v>5108</v>
      </c>
      <c r="H1616" t="s">
        <v>0</v>
      </c>
      <c r="I1616" t="s">
        <v>1400</v>
      </c>
      <c r="J1616" t="s">
        <v>1380</v>
      </c>
      <c r="L1616" t="s">
        <v>3</v>
      </c>
      <c r="M1616" t="s">
        <v>4</v>
      </c>
      <c r="N1616" s="3" t="str">
        <f t="shared" si="51"/>
        <v>F</v>
      </c>
      <c r="O1616" s="3" t="str">
        <f>IF(_xlfn.IFNA(MATCH(B1616,Table1[UID],0),"F")="F","F","T")</f>
        <v>T</v>
      </c>
    </row>
    <row r="1617" spans="2:15" x14ac:dyDescent="0.25">
      <c r="B1617" s="42" t="str">
        <f t="shared" si="52"/>
        <v>I_SLC003/INFLOW</v>
      </c>
      <c r="C1617" t="s">
        <v>4959</v>
      </c>
      <c r="D1617" t="s">
        <v>4960</v>
      </c>
      <c r="E1617" t="s">
        <v>5109</v>
      </c>
      <c r="F1617">
        <v>75</v>
      </c>
      <c r="G1617" t="s">
        <v>5110</v>
      </c>
      <c r="H1617" t="s">
        <v>0</v>
      </c>
      <c r="I1617" t="s">
        <v>1404</v>
      </c>
      <c r="J1617" t="s">
        <v>1380</v>
      </c>
      <c r="L1617" t="s">
        <v>3</v>
      </c>
      <c r="M1617" t="s">
        <v>4</v>
      </c>
      <c r="N1617" s="3" t="str">
        <f t="shared" si="51"/>
        <v>F</v>
      </c>
      <c r="O1617" s="3" t="str">
        <f>IF(_xlfn.IFNA(MATCH(B1617,Table1[UID],0),"F")="F","F","T")</f>
        <v>T</v>
      </c>
    </row>
    <row r="1618" spans="2:15" x14ac:dyDescent="0.25">
      <c r="B1618" s="42" t="str">
        <f t="shared" si="52"/>
        <v>I_STMPY/INFLOW</v>
      </c>
      <c r="C1618" t="s">
        <v>4959</v>
      </c>
      <c r="D1618" t="s">
        <v>4960</v>
      </c>
      <c r="E1618" t="s">
        <v>5111</v>
      </c>
      <c r="F1618">
        <v>76</v>
      </c>
      <c r="G1618" t="s">
        <v>5112</v>
      </c>
      <c r="H1618" t="s">
        <v>0</v>
      </c>
      <c r="I1618" t="s">
        <v>1466</v>
      </c>
      <c r="J1618" t="s">
        <v>1380</v>
      </c>
      <c r="L1618" t="s">
        <v>3</v>
      </c>
      <c r="M1618" t="s">
        <v>4</v>
      </c>
      <c r="N1618" s="3" t="str">
        <f t="shared" si="51"/>
        <v>F</v>
      </c>
      <c r="O1618" s="3" t="str">
        <f>IF(_xlfn.IFNA(MATCH(B1618,Table1[UID],0),"F")="F","F","T")</f>
        <v>T</v>
      </c>
    </row>
    <row r="1619" spans="2:15" x14ac:dyDescent="0.25">
      <c r="B1619" s="42" t="str">
        <f t="shared" si="52"/>
        <v>I_ALD002/INFLOW</v>
      </c>
      <c r="C1619" t="s">
        <v>4959</v>
      </c>
      <c r="D1619" t="s">
        <v>4960</v>
      </c>
      <c r="E1619" t="s">
        <v>5113</v>
      </c>
      <c r="F1619">
        <v>77</v>
      </c>
      <c r="G1619" t="s">
        <v>5114</v>
      </c>
      <c r="H1619" t="s">
        <v>0</v>
      </c>
      <c r="I1619" t="s">
        <v>1823</v>
      </c>
      <c r="J1619" t="s">
        <v>1380</v>
      </c>
      <c r="L1619" t="s">
        <v>3</v>
      </c>
      <c r="M1619" t="s">
        <v>4</v>
      </c>
      <c r="N1619" s="3" t="str">
        <f t="shared" si="51"/>
        <v>F</v>
      </c>
      <c r="O1619" s="3" t="str">
        <f>IF(_xlfn.IFNA(MATCH(B1619,Table1[UID],0),"F")="F","F","T")</f>
        <v>T</v>
      </c>
    </row>
    <row r="1620" spans="2:15" x14ac:dyDescent="0.25">
      <c r="B1620" s="42" t="str">
        <f t="shared" si="52"/>
        <v>I_ALD004/INFLOW</v>
      </c>
      <c r="C1620" t="s">
        <v>4959</v>
      </c>
      <c r="D1620" t="s">
        <v>4960</v>
      </c>
      <c r="E1620" t="s">
        <v>5115</v>
      </c>
      <c r="F1620">
        <v>78</v>
      </c>
      <c r="G1620" t="s">
        <v>5116</v>
      </c>
      <c r="H1620" t="s">
        <v>0</v>
      </c>
      <c r="I1620" t="s">
        <v>1825</v>
      </c>
      <c r="J1620" t="s">
        <v>1380</v>
      </c>
      <c r="L1620" t="s">
        <v>3</v>
      </c>
      <c r="M1620" t="s">
        <v>4</v>
      </c>
      <c r="N1620" s="3" t="str">
        <f t="shared" si="51"/>
        <v>F</v>
      </c>
      <c r="O1620" s="3" t="str">
        <f>IF(_xlfn.IFNA(MATCH(B1620,Table1[UID],0),"F")="F","F","T")</f>
        <v>T</v>
      </c>
    </row>
    <row r="1621" spans="2:15" x14ac:dyDescent="0.25">
      <c r="B1621" s="42" t="str">
        <f t="shared" si="52"/>
        <v>I_ALOHA/INFLOW</v>
      </c>
      <c r="C1621" t="s">
        <v>4959</v>
      </c>
      <c r="D1621" t="s">
        <v>4960</v>
      </c>
      <c r="E1621" t="s">
        <v>5117</v>
      </c>
      <c r="F1621">
        <v>79</v>
      </c>
      <c r="G1621" t="s">
        <v>5118</v>
      </c>
      <c r="H1621" t="s">
        <v>0</v>
      </c>
      <c r="I1621" t="s">
        <v>1673</v>
      </c>
      <c r="J1621" t="s">
        <v>1380</v>
      </c>
      <c r="L1621" t="s">
        <v>3</v>
      </c>
      <c r="M1621" t="s">
        <v>4</v>
      </c>
      <c r="N1621" s="3" t="str">
        <f t="shared" si="51"/>
        <v>F</v>
      </c>
      <c r="O1621" s="3" t="str">
        <f>IF(_xlfn.IFNA(MATCH(B1621,Table1[UID],0),"F")="F","F","T")</f>
        <v>T</v>
      </c>
    </row>
    <row r="1622" spans="2:15" x14ac:dyDescent="0.25">
      <c r="B1622" s="42" t="str">
        <f t="shared" si="52"/>
        <v>I_BSH003/INFLOW</v>
      </c>
      <c r="C1622" t="s">
        <v>4959</v>
      </c>
      <c r="D1622" t="s">
        <v>4960</v>
      </c>
      <c r="E1622" t="s">
        <v>5119</v>
      </c>
      <c r="F1622">
        <v>80</v>
      </c>
      <c r="G1622" t="s">
        <v>5120</v>
      </c>
      <c r="H1622" t="s">
        <v>0</v>
      </c>
      <c r="I1622" t="s">
        <v>1807</v>
      </c>
      <c r="J1622" t="s">
        <v>1380</v>
      </c>
      <c r="L1622" t="s">
        <v>3</v>
      </c>
      <c r="M1622" t="s">
        <v>4</v>
      </c>
      <c r="N1622" s="3" t="str">
        <f t="shared" si="51"/>
        <v>F</v>
      </c>
      <c r="O1622" s="3" t="str">
        <f>IF(_xlfn.IFNA(MATCH(B1622,Table1[UID],0),"F")="F","F","T")</f>
        <v>T</v>
      </c>
    </row>
    <row r="1623" spans="2:15" x14ac:dyDescent="0.25">
      <c r="B1623" s="42" t="str">
        <f t="shared" si="52"/>
        <v>I_CAPLS/INFLOW</v>
      </c>
      <c r="C1623" t="s">
        <v>4959</v>
      </c>
      <c r="D1623" t="s">
        <v>4960</v>
      </c>
      <c r="E1623" t="s">
        <v>5121</v>
      </c>
      <c r="F1623">
        <v>81</v>
      </c>
      <c r="G1623" t="s">
        <v>5122</v>
      </c>
      <c r="H1623" t="s">
        <v>0</v>
      </c>
      <c r="I1623" t="s">
        <v>1703</v>
      </c>
      <c r="J1623" t="s">
        <v>1380</v>
      </c>
      <c r="L1623" t="s">
        <v>3</v>
      </c>
      <c r="M1623" t="s">
        <v>4</v>
      </c>
      <c r="N1623" s="3" t="str">
        <f t="shared" si="51"/>
        <v>F</v>
      </c>
      <c r="O1623" s="3" t="str">
        <f>IF(_xlfn.IFNA(MATCH(B1623,Table1[UID],0),"F")="F","F","T")</f>
        <v>T</v>
      </c>
    </row>
    <row r="1624" spans="2:15" x14ac:dyDescent="0.25">
      <c r="B1624" s="42" t="str">
        <f t="shared" si="52"/>
        <v>I_ICEHS/INFLOW</v>
      </c>
      <c r="C1624" t="s">
        <v>4959</v>
      </c>
      <c r="D1624" t="s">
        <v>4960</v>
      </c>
      <c r="E1624" t="s">
        <v>5123</v>
      </c>
      <c r="F1624">
        <v>82</v>
      </c>
      <c r="G1624" t="s">
        <v>5124</v>
      </c>
      <c r="H1624" t="s">
        <v>0</v>
      </c>
      <c r="I1624" t="s">
        <v>1683</v>
      </c>
      <c r="J1624" t="s">
        <v>1380</v>
      </c>
      <c r="L1624" t="s">
        <v>3</v>
      </c>
      <c r="M1624" t="s">
        <v>4</v>
      </c>
      <c r="N1624" s="3" t="str">
        <f t="shared" si="51"/>
        <v>F</v>
      </c>
      <c r="O1624" s="3" t="str">
        <f>IF(_xlfn.IFNA(MATCH(B1624,Table1[UID],0),"F")="F","F","T")</f>
        <v>T</v>
      </c>
    </row>
    <row r="1625" spans="2:15" x14ac:dyDescent="0.25">
      <c r="B1625" s="42" t="str">
        <f t="shared" si="52"/>
        <v>I_PLM001/INFLOW</v>
      </c>
      <c r="C1625" t="s">
        <v>4959</v>
      </c>
      <c r="D1625" t="s">
        <v>4960</v>
      </c>
      <c r="E1625" t="s">
        <v>5125</v>
      </c>
      <c r="F1625">
        <v>83</v>
      </c>
      <c r="G1625" t="s">
        <v>5126</v>
      </c>
      <c r="H1625" t="s">
        <v>0</v>
      </c>
      <c r="I1625" t="s">
        <v>1442</v>
      </c>
      <c r="J1625" t="s">
        <v>1380</v>
      </c>
      <c r="L1625" t="s">
        <v>3</v>
      </c>
      <c r="M1625" t="s">
        <v>4</v>
      </c>
      <c r="N1625" s="3" t="str">
        <f t="shared" si="51"/>
        <v>F</v>
      </c>
      <c r="O1625" s="3" t="str">
        <f>IF(_xlfn.IFNA(MATCH(B1625,Table1[UID],0),"F")="F","F","T")</f>
        <v>T</v>
      </c>
    </row>
    <row r="1626" spans="2:15" x14ac:dyDescent="0.25">
      <c r="B1626" s="42" t="str">
        <f t="shared" si="52"/>
        <v>I_PYR001/INFLOW</v>
      </c>
      <c r="C1626" t="s">
        <v>4959</v>
      </c>
      <c r="D1626" t="s">
        <v>4960</v>
      </c>
      <c r="E1626" t="s">
        <v>5127</v>
      </c>
      <c r="F1626">
        <v>84</v>
      </c>
      <c r="G1626" t="s">
        <v>5128</v>
      </c>
      <c r="H1626" t="s">
        <v>0</v>
      </c>
      <c r="I1626" t="s">
        <v>1438</v>
      </c>
      <c r="J1626" t="s">
        <v>1380</v>
      </c>
      <c r="L1626" t="s">
        <v>3</v>
      </c>
      <c r="M1626" t="s">
        <v>4</v>
      </c>
      <c r="N1626" s="3" t="str">
        <f t="shared" si="51"/>
        <v>F</v>
      </c>
      <c r="O1626" s="3" t="str">
        <f>IF(_xlfn.IFNA(MATCH(B1626,Table1[UID],0),"F")="F","F","T")</f>
        <v>T</v>
      </c>
    </row>
    <row r="1627" spans="2:15" x14ac:dyDescent="0.25">
      <c r="B1627" s="42" t="str">
        <f t="shared" si="52"/>
        <v>I_RCK001/INFLOW</v>
      </c>
      <c r="C1627" t="s">
        <v>4959</v>
      </c>
      <c r="D1627" t="s">
        <v>4960</v>
      </c>
      <c r="E1627" t="s">
        <v>5129</v>
      </c>
      <c r="F1627">
        <v>85</v>
      </c>
      <c r="G1627" t="s">
        <v>5130</v>
      </c>
      <c r="H1627" t="s">
        <v>0</v>
      </c>
      <c r="I1627" t="s">
        <v>1432</v>
      </c>
      <c r="J1627" t="s">
        <v>1380</v>
      </c>
      <c r="L1627" t="s">
        <v>3</v>
      </c>
      <c r="M1627" t="s">
        <v>4</v>
      </c>
      <c r="N1627" s="3" t="str">
        <f t="shared" si="51"/>
        <v>F</v>
      </c>
      <c r="O1627" s="3" t="str">
        <f>IF(_xlfn.IFNA(MATCH(B1627,Table1[UID],0),"F")="F","F","T")</f>
        <v>T</v>
      </c>
    </row>
    <row r="1628" spans="2:15" x14ac:dyDescent="0.25">
      <c r="B1628" s="42" t="str">
        <f t="shared" si="52"/>
        <v>I_SFA030/INFLOW</v>
      </c>
      <c r="C1628" t="s">
        <v>4959</v>
      </c>
      <c r="D1628" t="s">
        <v>4960</v>
      </c>
      <c r="E1628" t="s">
        <v>5131</v>
      </c>
      <c r="F1628">
        <v>86</v>
      </c>
      <c r="G1628" t="s">
        <v>5132</v>
      </c>
      <c r="H1628" t="s">
        <v>0</v>
      </c>
      <c r="I1628" t="s">
        <v>1531</v>
      </c>
      <c r="J1628" t="s">
        <v>1380</v>
      </c>
      <c r="L1628" t="s">
        <v>3</v>
      </c>
      <c r="M1628" t="s">
        <v>4</v>
      </c>
      <c r="N1628" s="3" t="str">
        <f t="shared" si="51"/>
        <v>F</v>
      </c>
      <c r="O1628" s="3" t="str">
        <f>IF(_xlfn.IFNA(MATCH(B1628,Table1[UID],0),"F")="F","F","T")</f>
        <v>T</v>
      </c>
    </row>
    <row r="1629" spans="2:15" x14ac:dyDescent="0.25">
      <c r="B1629" s="42" t="str">
        <f t="shared" si="52"/>
        <v>I_SFA040/INFLOW</v>
      </c>
      <c r="C1629" t="s">
        <v>4959</v>
      </c>
      <c r="D1629" t="s">
        <v>4960</v>
      </c>
      <c r="E1629" t="s">
        <v>5133</v>
      </c>
      <c r="F1629">
        <v>87</v>
      </c>
      <c r="G1629" t="s">
        <v>5134</v>
      </c>
      <c r="H1629" t="s">
        <v>0</v>
      </c>
      <c r="I1629" t="s">
        <v>1533</v>
      </c>
      <c r="J1629" t="s">
        <v>1380</v>
      </c>
      <c r="L1629" t="s">
        <v>3</v>
      </c>
      <c r="M1629" t="s">
        <v>4</v>
      </c>
      <c r="N1629" s="3" t="str">
        <f t="shared" si="51"/>
        <v>F</v>
      </c>
      <c r="O1629" s="3" t="str">
        <f>IF(_xlfn.IFNA(MATCH(B1629,Table1[UID],0),"F")="F","F","T")</f>
        <v>T</v>
      </c>
    </row>
    <row r="1630" spans="2:15" x14ac:dyDescent="0.25">
      <c r="B1630" s="42" t="str">
        <f t="shared" si="52"/>
        <v>I_SFA066/INFLOW</v>
      </c>
      <c r="C1630" t="s">
        <v>4959</v>
      </c>
      <c r="D1630" t="s">
        <v>4960</v>
      </c>
      <c r="E1630" t="s">
        <v>5135</v>
      </c>
      <c r="F1630">
        <v>88</v>
      </c>
      <c r="G1630" t="s">
        <v>5136</v>
      </c>
      <c r="H1630" t="s">
        <v>0</v>
      </c>
      <c r="I1630" t="s">
        <v>1410</v>
      </c>
      <c r="J1630" t="s">
        <v>1380</v>
      </c>
      <c r="L1630" t="s">
        <v>3</v>
      </c>
      <c r="M1630" t="s">
        <v>4</v>
      </c>
      <c r="N1630" s="3" t="str">
        <f t="shared" si="51"/>
        <v>F</v>
      </c>
      <c r="O1630" s="3" t="str">
        <f>IF(_xlfn.IFNA(MATCH(B1630,Table1[UID],0),"F")="F","F","T")</f>
        <v>T</v>
      </c>
    </row>
    <row r="1631" spans="2:15" x14ac:dyDescent="0.25">
      <c r="B1631" s="42" t="str">
        <f t="shared" si="52"/>
        <v>I_SFA076/INFLOW</v>
      </c>
      <c r="C1631" t="s">
        <v>4959</v>
      </c>
      <c r="D1631" t="s">
        <v>4960</v>
      </c>
      <c r="E1631" t="s">
        <v>5137</v>
      </c>
      <c r="F1631">
        <v>89</v>
      </c>
      <c r="G1631" t="s">
        <v>5138</v>
      </c>
      <c r="H1631" t="s">
        <v>0</v>
      </c>
      <c r="I1631" t="s">
        <v>1563</v>
      </c>
      <c r="J1631" t="s">
        <v>1380</v>
      </c>
      <c r="L1631" t="s">
        <v>3</v>
      </c>
      <c r="M1631" t="s">
        <v>4</v>
      </c>
      <c r="N1631" s="3" t="str">
        <f t="shared" si="51"/>
        <v>F</v>
      </c>
      <c r="O1631" s="3" t="str">
        <f>IF(_xlfn.IFNA(MATCH(B1631,Table1[UID],0),"F")="F","F","T")</f>
        <v>T</v>
      </c>
    </row>
    <row r="1632" spans="2:15" x14ac:dyDescent="0.25">
      <c r="B1632" s="42" t="str">
        <f t="shared" si="52"/>
        <v>I_SILVR/INFLOW</v>
      </c>
      <c r="C1632" t="s">
        <v>4959</v>
      </c>
      <c r="D1632" t="s">
        <v>4960</v>
      </c>
      <c r="E1632" t="s">
        <v>5139</v>
      </c>
      <c r="F1632">
        <v>90</v>
      </c>
      <c r="G1632" t="s">
        <v>5140</v>
      </c>
      <c r="H1632" t="s">
        <v>0</v>
      </c>
      <c r="I1632" t="s">
        <v>1637</v>
      </c>
      <c r="J1632" t="s">
        <v>1380</v>
      </c>
      <c r="L1632" t="s">
        <v>3</v>
      </c>
      <c r="M1632" t="s">
        <v>4</v>
      </c>
      <c r="N1632" s="3" t="str">
        <f t="shared" si="51"/>
        <v>F</v>
      </c>
      <c r="O1632" s="3" t="str">
        <f>IF(_xlfn.IFNA(MATCH(B1632,Table1[UID],0),"F")="F","F","T")</f>
        <v>T</v>
      </c>
    </row>
    <row r="1633" spans="2:15" x14ac:dyDescent="0.25">
      <c r="B1633" s="42" t="str">
        <f t="shared" si="52"/>
        <v>I_SLF009/INFLOW</v>
      </c>
      <c r="C1633" t="s">
        <v>4959</v>
      </c>
      <c r="D1633" t="s">
        <v>4960</v>
      </c>
      <c r="E1633" t="s">
        <v>5141</v>
      </c>
      <c r="F1633">
        <v>91</v>
      </c>
      <c r="G1633" t="s">
        <v>5142</v>
      </c>
      <c r="H1633" t="s">
        <v>0</v>
      </c>
      <c r="I1633" t="s">
        <v>1535</v>
      </c>
      <c r="J1633" t="s">
        <v>1380</v>
      </c>
      <c r="L1633" t="s">
        <v>3</v>
      </c>
      <c r="M1633" t="s">
        <v>4</v>
      </c>
      <c r="N1633" s="3" t="str">
        <f t="shared" si="51"/>
        <v>F</v>
      </c>
      <c r="O1633" s="3" t="str">
        <f>IF(_xlfn.IFNA(MATCH(B1633,Table1[UID],0),"F")="F","F","T")</f>
        <v>T</v>
      </c>
    </row>
    <row r="1634" spans="2:15" x14ac:dyDescent="0.25">
      <c r="B1634" s="42" t="str">
        <f t="shared" si="52"/>
        <v>I_SLV006/INFLOW</v>
      </c>
      <c r="C1634" t="s">
        <v>4959</v>
      </c>
      <c r="D1634" t="s">
        <v>4960</v>
      </c>
      <c r="E1634" t="s">
        <v>5143</v>
      </c>
      <c r="F1634">
        <v>92</v>
      </c>
      <c r="G1634" t="s">
        <v>5144</v>
      </c>
      <c r="H1634" t="s">
        <v>0</v>
      </c>
      <c r="I1634" t="s">
        <v>1599</v>
      </c>
      <c r="J1634" t="s">
        <v>1380</v>
      </c>
      <c r="L1634" t="s">
        <v>3</v>
      </c>
      <c r="M1634" t="s">
        <v>4</v>
      </c>
      <c r="N1634" s="3" t="str">
        <f t="shared" si="51"/>
        <v>F</v>
      </c>
      <c r="O1634" s="3" t="str">
        <f>IF(_xlfn.IFNA(MATCH(B1634,Table1[UID],0),"F")="F","F","T")</f>
        <v>T</v>
      </c>
    </row>
    <row r="1635" spans="2:15" x14ac:dyDescent="0.25">
      <c r="B1635" s="42" t="str">
        <f t="shared" si="52"/>
        <v>I_SLV015/INFLOW</v>
      </c>
      <c r="C1635" t="s">
        <v>4959</v>
      </c>
      <c r="D1635" t="s">
        <v>4960</v>
      </c>
      <c r="E1635" t="s">
        <v>5145</v>
      </c>
      <c r="F1635">
        <v>93</v>
      </c>
      <c r="G1635" t="s">
        <v>5146</v>
      </c>
      <c r="H1635" t="s">
        <v>0</v>
      </c>
      <c r="I1635" t="s">
        <v>1587</v>
      </c>
      <c r="J1635" t="s">
        <v>1380</v>
      </c>
      <c r="L1635" t="s">
        <v>3</v>
      </c>
      <c r="M1635" t="s">
        <v>4</v>
      </c>
      <c r="N1635" s="3" t="str">
        <f t="shared" si="51"/>
        <v>F</v>
      </c>
      <c r="O1635" s="3" t="str">
        <f>IF(_xlfn.IFNA(MATCH(B1635,Table1[UID],0),"F")="F","F","T")</f>
        <v>T</v>
      </c>
    </row>
    <row r="1636" spans="2:15" x14ac:dyDescent="0.25">
      <c r="B1636" s="42" t="str">
        <f t="shared" si="52"/>
        <v>I_UNVLY/INFLOW</v>
      </c>
      <c r="C1636" t="s">
        <v>4959</v>
      </c>
      <c r="D1636" t="s">
        <v>4960</v>
      </c>
      <c r="E1636" t="s">
        <v>5147</v>
      </c>
      <c r="F1636">
        <v>94</v>
      </c>
      <c r="G1636" t="s">
        <v>5148</v>
      </c>
      <c r="H1636" t="s">
        <v>0</v>
      </c>
      <c r="I1636" t="s">
        <v>1631</v>
      </c>
      <c r="J1636" t="s">
        <v>1380</v>
      </c>
      <c r="L1636" t="s">
        <v>3</v>
      </c>
      <c r="M1636" t="s">
        <v>4</v>
      </c>
      <c r="N1636" s="3" t="str">
        <f t="shared" si="51"/>
        <v>F</v>
      </c>
      <c r="O1636" s="3" t="str">
        <f>IF(_xlfn.IFNA(MATCH(B1636,Table1[UID],0),"F")="F","F","T")</f>
        <v>T</v>
      </c>
    </row>
    <row r="1637" spans="2:15" x14ac:dyDescent="0.25">
      <c r="B1637" s="42" t="str">
        <f t="shared" si="52"/>
        <v>I_FOLSM/INFLOW</v>
      </c>
      <c r="C1637" t="s">
        <v>4959</v>
      </c>
      <c r="D1637" t="s">
        <v>4960</v>
      </c>
      <c r="E1637" t="s">
        <v>5149</v>
      </c>
      <c r="F1637">
        <v>95</v>
      </c>
      <c r="G1637" t="s">
        <v>5150</v>
      </c>
      <c r="H1637" t="s">
        <v>0</v>
      </c>
      <c r="I1637" t="s">
        <v>1589</v>
      </c>
      <c r="J1637" t="s">
        <v>1380</v>
      </c>
      <c r="L1637" t="s">
        <v>3</v>
      </c>
      <c r="M1637" t="s">
        <v>4</v>
      </c>
      <c r="N1637" s="3" t="str">
        <f t="shared" si="51"/>
        <v>F</v>
      </c>
      <c r="O1637" s="3" t="str">
        <f>IF(_xlfn.IFNA(MATCH(B1637,Table1[UID],0),"F")="F","F","T")</f>
        <v>T</v>
      </c>
    </row>
    <row r="1638" spans="2:15" x14ac:dyDescent="0.25">
      <c r="B1638" s="42" t="str">
        <f t="shared" si="52"/>
        <v>I_WBR001/INFLOW</v>
      </c>
      <c r="C1638" t="s">
        <v>4959</v>
      </c>
      <c r="D1638" t="s">
        <v>4960</v>
      </c>
      <c r="E1638" t="s">
        <v>5151</v>
      </c>
      <c r="F1638">
        <v>96</v>
      </c>
      <c r="G1638" t="s">
        <v>5152</v>
      </c>
      <c r="H1638" t="s">
        <v>0</v>
      </c>
      <c r="I1638" t="s">
        <v>1384</v>
      </c>
      <c r="J1638" t="s">
        <v>1380</v>
      </c>
      <c r="L1638" t="s">
        <v>3</v>
      </c>
      <c r="M1638" t="s">
        <v>4</v>
      </c>
      <c r="N1638" s="3" t="str">
        <f t="shared" si="51"/>
        <v>F</v>
      </c>
      <c r="O1638" s="3" t="str">
        <f>IF(_xlfn.IFNA(MATCH(B1638,Table1[UID],0),"F")="F","F","T")</f>
        <v>T</v>
      </c>
    </row>
    <row r="1639" spans="2:15" x14ac:dyDescent="0.25">
      <c r="B1639" s="42" t="str">
        <f t="shared" si="52"/>
        <v>I_ECHOL/INFLOW</v>
      </c>
      <c r="C1639" t="s">
        <v>4959</v>
      </c>
      <c r="D1639" t="s">
        <v>4960</v>
      </c>
      <c r="E1639" t="s">
        <v>5153</v>
      </c>
      <c r="F1639">
        <v>97</v>
      </c>
      <c r="G1639" t="s">
        <v>5154</v>
      </c>
      <c r="H1639" t="s">
        <v>0</v>
      </c>
      <c r="I1639" t="s">
        <v>1693</v>
      </c>
      <c r="J1639" t="s">
        <v>1380</v>
      </c>
      <c r="L1639" t="s">
        <v>3</v>
      </c>
      <c r="M1639" t="s">
        <v>4</v>
      </c>
      <c r="N1639" s="3" t="str">
        <f t="shared" si="51"/>
        <v>F</v>
      </c>
      <c r="O1639" s="3" t="str">
        <f>IF(_xlfn.IFNA(MATCH(B1639,Table1[UID],0),"F")="F","F","T")</f>
        <v>T</v>
      </c>
    </row>
    <row r="1640" spans="2:15" x14ac:dyDescent="0.25">
      <c r="B1640" s="42" t="str">
        <f t="shared" si="52"/>
        <v>I_ANG017/INFLOW</v>
      </c>
      <c r="C1640" t="s">
        <v>4959</v>
      </c>
      <c r="D1640" t="s">
        <v>4960</v>
      </c>
      <c r="E1640" t="s">
        <v>5155</v>
      </c>
      <c r="F1640">
        <v>98</v>
      </c>
      <c r="G1640" t="s">
        <v>5156</v>
      </c>
      <c r="H1640" t="s">
        <v>0</v>
      </c>
      <c r="I1640" t="s">
        <v>1821</v>
      </c>
      <c r="J1640" t="s">
        <v>1380</v>
      </c>
      <c r="L1640" t="s">
        <v>3</v>
      </c>
      <c r="M1640" t="s">
        <v>4</v>
      </c>
      <c r="N1640" s="3" t="str">
        <f t="shared" si="51"/>
        <v>F</v>
      </c>
      <c r="O1640" s="3" t="str">
        <f>IF(_xlfn.IFNA(MATCH(B1640,Table1[UID],0),"F")="F","F","T")</f>
        <v>T</v>
      </c>
    </row>
    <row r="1641" spans="2:15" x14ac:dyDescent="0.25">
      <c r="B1641" s="42" t="str">
        <f t="shared" si="52"/>
        <v>I_BEARD/INFLOW</v>
      </c>
      <c r="C1641" t="s">
        <v>4959</v>
      </c>
      <c r="D1641" t="s">
        <v>4960</v>
      </c>
      <c r="E1641" t="s">
        <v>5157</v>
      </c>
      <c r="F1641">
        <v>99</v>
      </c>
      <c r="G1641" t="s">
        <v>5158</v>
      </c>
      <c r="H1641" t="s">
        <v>0</v>
      </c>
      <c r="I1641" t="s">
        <v>1709</v>
      </c>
      <c r="J1641" t="s">
        <v>1380</v>
      </c>
      <c r="L1641" t="s">
        <v>3</v>
      </c>
      <c r="M1641" t="s">
        <v>4</v>
      </c>
      <c r="N1641" s="3" t="str">
        <f t="shared" si="51"/>
        <v>F</v>
      </c>
      <c r="O1641" s="3" t="str">
        <f>IF(_xlfn.IFNA(MATCH(B1641,Table1[UID],0),"F")="F","F","T")</f>
        <v>T</v>
      </c>
    </row>
    <row r="1642" spans="2:15" x14ac:dyDescent="0.25">
      <c r="B1642" s="42" t="str">
        <f t="shared" si="52"/>
        <v>I_BVC007/INFLOW</v>
      </c>
      <c r="C1642" t="s">
        <v>4959</v>
      </c>
      <c r="D1642" t="s">
        <v>4960</v>
      </c>
      <c r="E1642" t="s">
        <v>5159</v>
      </c>
      <c r="F1642">
        <v>100</v>
      </c>
      <c r="G1642" t="s">
        <v>5160</v>
      </c>
      <c r="H1642" t="s">
        <v>0</v>
      </c>
      <c r="I1642" t="s">
        <v>1811</v>
      </c>
      <c r="J1642" t="s">
        <v>1380</v>
      </c>
      <c r="L1642" t="s">
        <v>3</v>
      </c>
      <c r="M1642" t="s">
        <v>4</v>
      </c>
      <c r="N1642" s="3" t="str">
        <f t="shared" si="51"/>
        <v>F</v>
      </c>
      <c r="O1642" s="3" t="str">
        <f>IF(_xlfn.IFNA(MATCH(B1642,Table1[UID],0),"F")="F","F","T")</f>
        <v>T</v>
      </c>
    </row>
    <row r="1643" spans="2:15" x14ac:dyDescent="0.25">
      <c r="B1643" s="42" t="str">
        <f t="shared" si="52"/>
        <v>I_CFS001/INFLOW</v>
      </c>
      <c r="C1643" t="s">
        <v>4959</v>
      </c>
      <c r="D1643" t="s">
        <v>4960</v>
      </c>
      <c r="E1643" t="s">
        <v>5161</v>
      </c>
      <c r="F1643">
        <v>101</v>
      </c>
      <c r="G1643" t="s">
        <v>5162</v>
      </c>
      <c r="H1643" t="s">
        <v>0</v>
      </c>
      <c r="I1643" t="s">
        <v>1793</v>
      </c>
      <c r="J1643" t="s">
        <v>1380</v>
      </c>
      <c r="L1643" t="s">
        <v>3</v>
      </c>
      <c r="M1643" t="s">
        <v>4</v>
      </c>
      <c r="N1643" s="3" t="str">
        <f t="shared" si="51"/>
        <v>F</v>
      </c>
      <c r="O1643" s="3" t="str">
        <f>IF(_xlfn.IFNA(MATCH(B1643,Table1[UID],0),"F")="F","F","T")</f>
        <v>T</v>
      </c>
    </row>
    <row r="1644" spans="2:15" x14ac:dyDescent="0.25">
      <c r="B1644" s="42" t="str">
        <f t="shared" si="52"/>
        <v>I_DONLL/INFLOW</v>
      </c>
      <c r="C1644" t="s">
        <v>4959</v>
      </c>
      <c r="D1644" t="s">
        <v>4960</v>
      </c>
      <c r="E1644" t="s">
        <v>5163</v>
      </c>
      <c r="F1644">
        <v>102</v>
      </c>
      <c r="G1644" t="s">
        <v>5164</v>
      </c>
      <c r="H1644" t="s">
        <v>0</v>
      </c>
      <c r="I1644" t="s">
        <v>1697</v>
      </c>
      <c r="J1644" t="s">
        <v>1380</v>
      </c>
      <c r="L1644" t="s">
        <v>3</v>
      </c>
      <c r="M1644" t="s">
        <v>4</v>
      </c>
      <c r="N1644" s="3" t="str">
        <f t="shared" si="51"/>
        <v>F</v>
      </c>
      <c r="O1644" s="3" t="str">
        <f>IF(_xlfn.IFNA(MATCH(B1644,Table1[UID],0),"F")="F","F","T")</f>
        <v>T</v>
      </c>
    </row>
    <row r="1645" spans="2:15" x14ac:dyDescent="0.25">
      <c r="B1645" s="42" t="str">
        <f t="shared" si="52"/>
        <v>I_LYONS/INFLOW</v>
      </c>
      <c r="C1645" t="s">
        <v>4959</v>
      </c>
      <c r="D1645" t="s">
        <v>4960</v>
      </c>
      <c r="E1645" t="s">
        <v>5165</v>
      </c>
      <c r="F1645">
        <v>103</v>
      </c>
      <c r="G1645" t="s">
        <v>5166</v>
      </c>
      <c r="H1645" t="s">
        <v>0</v>
      </c>
      <c r="I1645" t="s">
        <v>1416</v>
      </c>
      <c r="J1645" t="s">
        <v>1380</v>
      </c>
      <c r="L1645" t="s">
        <v>3</v>
      </c>
      <c r="M1645" t="s">
        <v>4</v>
      </c>
      <c r="N1645" s="3" t="str">
        <f t="shared" si="51"/>
        <v>F</v>
      </c>
      <c r="O1645" s="3" t="str">
        <f>IF(_xlfn.IFNA(MATCH(B1645,Table1[UID],0),"F")="F","F","T")</f>
        <v>T</v>
      </c>
    </row>
    <row r="1646" spans="2:15" x14ac:dyDescent="0.25">
      <c r="B1646" s="42" t="str">
        <f t="shared" si="52"/>
        <v>I_MFS013/INFLOW</v>
      </c>
      <c r="C1646" t="s">
        <v>4959</v>
      </c>
      <c r="D1646" t="s">
        <v>4960</v>
      </c>
      <c r="E1646" t="s">
        <v>5167</v>
      </c>
      <c r="F1646">
        <v>104</v>
      </c>
      <c r="G1646" t="s">
        <v>5168</v>
      </c>
      <c r="H1646" t="s">
        <v>0</v>
      </c>
      <c r="I1646" t="s">
        <v>1513</v>
      </c>
      <c r="J1646" t="s">
        <v>1380</v>
      </c>
      <c r="L1646" t="s">
        <v>3</v>
      </c>
      <c r="M1646" t="s">
        <v>4</v>
      </c>
      <c r="N1646" s="3" t="str">
        <f t="shared" si="51"/>
        <v>F</v>
      </c>
      <c r="O1646" s="3" t="str">
        <f>IF(_xlfn.IFNA(MATCH(B1646,Table1[UID],0),"F")="F","F","T")</f>
        <v>T</v>
      </c>
    </row>
    <row r="1647" spans="2:15" x14ac:dyDescent="0.25">
      <c r="B1647" s="42" t="str">
        <f t="shared" si="52"/>
        <v>I_MFS022/INFLOW</v>
      </c>
      <c r="C1647" t="s">
        <v>4959</v>
      </c>
      <c r="D1647" t="s">
        <v>4960</v>
      </c>
      <c r="E1647" t="s">
        <v>5169</v>
      </c>
      <c r="F1647">
        <v>105</v>
      </c>
      <c r="G1647" t="s">
        <v>5170</v>
      </c>
      <c r="H1647" t="s">
        <v>0</v>
      </c>
      <c r="I1647" t="s">
        <v>1653</v>
      </c>
      <c r="J1647" t="s">
        <v>1380</v>
      </c>
      <c r="L1647" t="s">
        <v>3</v>
      </c>
      <c r="M1647" t="s">
        <v>4</v>
      </c>
      <c r="N1647" s="3" t="str">
        <f t="shared" si="51"/>
        <v>F</v>
      </c>
      <c r="O1647" s="3" t="str">
        <f>IF(_xlfn.IFNA(MATCH(B1647,Table1[UID],0),"F")="F","F","T")</f>
        <v>T</v>
      </c>
    </row>
    <row r="1648" spans="2:15" x14ac:dyDescent="0.25">
      <c r="B1648" s="42" t="str">
        <f t="shared" si="52"/>
        <v>I_MFS047/INFLOW</v>
      </c>
      <c r="C1648" t="s">
        <v>4959</v>
      </c>
      <c r="D1648" t="s">
        <v>4960</v>
      </c>
      <c r="E1648" t="s">
        <v>5171</v>
      </c>
      <c r="F1648">
        <v>106</v>
      </c>
      <c r="G1648" t="s">
        <v>5172</v>
      </c>
      <c r="H1648" t="s">
        <v>0</v>
      </c>
      <c r="I1648" t="s">
        <v>1515</v>
      </c>
      <c r="J1648" t="s">
        <v>1380</v>
      </c>
      <c r="L1648" t="s">
        <v>3</v>
      </c>
      <c r="M1648" t="s">
        <v>4</v>
      </c>
      <c r="N1648" s="3" t="str">
        <f t="shared" si="51"/>
        <v>F</v>
      </c>
      <c r="O1648" s="3" t="str">
        <f>IF(_xlfn.IFNA(MATCH(B1648,Table1[UID],0),"F")="F","F","T")</f>
        <v>T</v>
      </c>
    </row>
    <row r="1649" spans="2:15" x14ac:dyDescent="0.25">
      <c r="B1649" s="42" t="str">
        <f t="shared" si="52"/>
        <v>I_MIL003/INFLOW</v>
      </c>
      <c r="C1649" t="s">
        <v>4959</v>
      </c>
      <c r="D1649" t="s">
        <v>4960</v>
      </c>
      <c r="E1649" t="s">
        <v>5173</v>
      </c>
      <c r="F1649">
        <v>107</v>
      </c>
      <c r="G1649" t="s">
        <v>5174</v>
      </c>
      <c r="H1649" t="s">
        <v>0</v>
      </c>
      <c r="I1649" t="s">
        <v>1501</v>
      </c>
      <c r="J1649" t="s">
        <v>1380</v>
      </c>
      <c r="L1649" t="s">
        <v>3</v>
      </c>
      <c r="M1649" t="s">
        <v>4</v>
      </c>
      <c r="N1649" s="3" t="str">
        <f t="shared" si="51"/>
        <v>F</v>
      </c>
      <c r="O1649" s="3" t="str">
        <f>IF(_xlfn.IFNA(MATCH(B1649,Table1[UID],0),"F")="F","F","T")</f>
        <v>T</v>
      </c>
    </row>
    <row r="1650" spans="2:15" x14ac:dyDescent="0.25">
      <c r="B1650" s="42" t="str">
        <f t="shared" si="52"/>
        <v>I_NFS005/INFLOW</v>
      </c>
      <c r="C1650" t="s">
        <v>4959</v>
      </c>
      <c r="D1650" t="s">
        <v>4960</v>
      </c>
      <c r="E1650" t="s">
        <v>5175</v>
      </c>
      <c r="F1650">
        <v>108</v>
      </c>
      <c r="G1650" t="s">
        <v>5176</v>
      </c>
      <c r="H1650" t="s">
        <v>0</v>
      </c>
      <c r="I1650" t="s">
        <v>1493</v>
      </c>
      <c r="J1650" t="s">
        <v>1380</v>
      </c>
      <c r="L1650" t="s">
        <v>3</v>
      </c>
      <c r="M1650" t="s">
        <v>4</v>
      </c>
      <c r="N1650" s="3" t="str">
        <f t="shared" si="51"/>
        <v>F</v>
      </c>
      <c r="O1650" s="3" t="str">
        <f>IF(_xlfn.IFNA(MATCH(B1650,Table1[UID],0),"F")="F","F","T")</f>
        <v>T</v>
      </c>
    </row>
    <row r="1651" spans="2:15" x14ac:dyDescent="0.25">
      <c r="B1651" s="42" t="str">
        <f t="shared" si="52"/>
        <v>I_NFS009/INFLOW</v>
      </c>
      <c r="C1651" t="s">
        <v>4959</v>
      </c>
      <c r="D1651" t="s">
        <v>4960</v>
      </c>
      <c r="E1651" t="s">
        <v>5177</v>
      </c>
      <c r="F1651">
        <v>109</v>
      </c>
      <c r="G1651" t="s">
        <v>5178</v>
      </c>
      <c r="H1651" t="s">
        <v>0</v>
      </c>
      <c r="I1651" t="s">
        <v>1480</v>
      </c>
      <c r="J1651" t="s">
        <v>1380</v>
      </c>
      <c r="L1651" t="s">
        <v>3</v>
      </c>
      <c r="M1651" t="s">
        <v>4</v>
      </c>
      <c r="N1651" s="3" t="str">
        <f t="shared" si="51"/>
        <v>F</v>
      </c>
      <c r="O1651" s="3" t="str">
        <f>IF(_xlfn.IFNA(MATCH(B1651,Table1[UID],0),"F")="F","F","T")</f>
        <v>T</v>
      </c>
    </row>
    <row r="1652" spans="2:15" x14ac:dyDescent="0.25">
      <c r="B1652" s="42" t="str">
        <f t="shared" si="52"/>
        <v>I_NFS033/INFLOW</v>
      </c>
      <c r="C1652" t="s">
        <v>4959</v>
      </c>
      <c r="D1652" t="s">
        <v>4960</v>
      </c>
      <c r="E1652" t="s">
        <v>5179</v>
      </c>
      <c r="F1652">
        <v>110</v>
      </c>
      <c r="G1652" t="s">
        <v>5180</v>
      </c>
      <c r="H1652" t="s">
        <v>0</v>
      </c>
      <c r="I1652" t="s">
        <v>1482</v>
      </c>
      <c r="J1652" t="s">
        <v>1380</v>
      </c>
      <c r="L1652" t="s">
        <v>3</v>
      </c>
      <c r="M1652" t="s">
        <v>4</v>
      </c>
      <c r="N1652" s="3" t="str">
        <f t="shared" si="51"/>
        <v>F</v>
      </c>
      <c r="O1652" s="3" t="str">
        <f>IF(_xlfn.IFNA(MATCH(B1652,Table1[UID],0),"F")="F","F","T")</f>
        <v>T</v>
      </c>
    </row>
    <row r="1653" spans="2:15" x14ac:dyDescent="0.25">
      <c r="B1653" s="42" t="str">
        <f t="shared" si="52"/>
        <v>I_PCRST/INFLOW</v>
      </c>
      <c r="C1653" t="s">
        <v>4959</v>
      </c>
      <c r="D1653" t="s">
        <v>4960</v>
      </c>
      <c r="E1653" t="s">
        <v>5181</v>
      </c>
      <c r="F1653">
        <v>111</v>
      </c>
      <c r="G1653" t="s">
        <v>5182</v>
      </c>
      <c r="H1653" t="s">
        <v>0</v>
      </c>
      <c r="I1653" t="s">
        <v>1414</v>
      </c>
      <c r="J1653" t="s">
        <v>1380</v>
      </c>
      <c r="L1653" t="s">
        <v>3</v>
      </c>
      <c r="M1653" t="s">
        <v>4</v>
      </c>
      <c r="N1653" s="3" t="str">
        <f t="shared" si="51"/>
        <v>F</v>
      </c>
      <c r="O1653" s="3" t="str">
        <f>IF(_xlfn.IFNA(MATCH(B1653,Table1[UID],0),"F")="F","F","T")</f>
        <v>T</v>
      </c>
    </row>
    <row r="1654" spans="2:15" x14ac:dyDescent="0.25">
      <c r="B1654" s="42" t="str">
        <f t="shared" si="52"/>
        <v>I_RLIEF/INFLOW</v>
      </c>
      <c r="C1654" t="s">
        <v>4959</v>
      </c>
      <c r="D1654" t="s">
        <v>4960</v>
      </c>
      <c r="E1654" t="s">
        <v>5183</v>
      </c>
      <c r="F1654">
        <v>112</v>
      </c>
      <c r="G1654" t="s">
        <v>5184</v>
      </c>
      <c r="H1654" t="s">
        <v>0</v>
      </c>
      <c r="I1654" t="s">
        <v>1434</v>
      </c>
      <c r="J1654" t="s">
        <v>1380</v>
      </c>
      <c r="L1654" t="s">
        <v>3</v>
      </c>
      <c r="M1654" t="s">
        <v>4</v>
      </c>
      <c r="N1654" s="3" t="str">
        <f t="shared" si="51"/>
        <v>F</v>
      </c>
      <c r="O1654" s="3" t="str">
        <f>IF(_xlfn.IFNA(MATCH(B1654,Table1[UID],0),"F")="F","F","T")</f>
        <v>T</v>
      </c>
    </row>
    <row r="1655" spans="2:15" x14ac:dyDescent="0.25">
      <c r="B1655" s="42" t="str">
        <f t="shared" si="52"/>
        <v>I_SFS030/INFLOW</v>
      </c>
      <c r="C1655" t="s">
        <v>4959</v>
      </c>
      <c r="D1655" t="s">
        <v>4960</v>
      </c>
      <c r="E1655" t="s">
        <v>5185</v>
      </c>
      <c r="F1655">
        <v>113</v>
      </c>
      <c r="G1655" t="s">
        <v>5186</v>
      </c>
      <c r="H1655" t="s">
        <v>0</v>
      </c>
      <c r="I1655" t="s">
        <v>1418</v>
      </c>
      <c r="J1655" t="s">
        <v>1380</v>
      </c>
      <c r="L1655" t="s">
        <v>3</v>
      </c>
      <c r="M1655" t="s">
        <v>4</v>
      </c>
      <c r="N1655" s="3" t="str">
        <f t="shared" si="51"/>
        <v>F</v>
      </c>
      <c r="O1655" s="3" t="str">
        <f>IF(_xlfn.IFNA(MATCH(B1655,Table1[UID],0),"F")="F","F","T")</f>
        <v>T</v>
      </c>
    </row>
    <row r="1656" spans="2:15" x14ac:dyDescent="0.25">
      <c r="B1656" s="42" t="str">
        <f t="shared" si="52"/>
        <v>I_SFS033/INFLOW</v>
      </c>
      <c r="C1656" t="s">
        <v>4959</v>
      </c>
      <c r="D1656" t="s">
        <v>4960</v>
      </c>
      <c r="E1656" t="s">
        <v>5187</v>
      </c>
      <c r="F1656">
        <v>114</v>
      </c>
      <c r="G1656" t="s">
        <v>5188</v>
      </c>
      <c r="H1656" t="s">
        <v>0</v>
      </c>
      <c r="I1656" t="s">
        <v>1420</v>
      </c>
      <c r="J1656" t="s">
        <v>1380</v>
      </c>
      <c r="L1656" t="s">
        <v>3</v>
      </c>
      <c r="M1656" t="s">
        <v>4</v>
      </c>
      <c r="N1656" s="3" t="str">
        <f t="shared" si="51"/>
        <v>F</v>
      </c>
      <c r="O1656" s="3" t="str">
        <f>IF(_xlfn.IFNA(MATCH(B1656,Table1[UID],0),"F")="F","F","T")</f>
        <v>T</v>
      </c>
    </row>
    <row r="1657" spans="2:15" x14ac:dyDescent="0.25">
      <c r="B1657" s="42" t="str">
        <f t="shared" si="52"/>
        <v>I_SPICE/INFLOW</v>
      </c>
      <c r="C1657" t="s">
        <v>4959</v>
      </c>
      <c r="D1657" t="s">
        <v>4960</v>
      </c>
      <c r="E1657" t="s">
        <v>5189</v>
      </c>
      <c r="F1657">
        <v>115</v>
      </c>
      <c r="G1657" t="s">
        <v>5190</v>
      </c>
      <c r="H1657" t="s">
        <v>0</v>
      </c>
      <c r="I1657" t="s">
        <v>1742</v>
      </c>
      <c r="J1657" t="s">
        <v>1380</v>
      </c>
      <c r="L1657" t="s">
        <v>3</v>
      </c>
      <c r="M1657" t="s">
        <v>4</v>
      </c>
      <c r="N1657" s="3" t="str">
        <f t="shared" si="51"/>
        <v>F</v>
      </c>
      <c r="O1657" s="3" t="str">
        <f>IF(_xlfn.IFNA(MATCH(B1657,Table1[UID],0),"F")="F","F","T")</f>
        <v>T</v>
      </c>
    </row>
    <row r="1658" spans="2:15" x14ac:dyDescent="0.25">
      <c r="B1658" s="42" t="str">
        <f t="shared" si="52"/>
        <v>I_STS072/INFLOW</v>
      </c>
      <c r="C1658" t="s">
        <v>4959</v>
      </c>
      <c r="D1658" t="s">
        <v>4960</v>
      </c>
      <c r="E1658" t="s">
        <v>5191</v>
      </c>
      <c r="F1658">
        <v>116</v>
      </c>
      <c r="G1658" t="s">
        <v>5192</v>
      </c>
      <c r="H1658" t="s">
        <v>0</v>
      </c>
      <c r="I1658" t="s">
        <v>1577</v>
      </c>
      <c r="J1658" t="s">
        <v>1380</v>
      </c>
      <c r="L1658" t="s">
        <v>3</v>
      </c>
      <c r="M1658" t="s">
        <v>4</v>
      </c>
      <c r="N1658" s="3" t="str">
        <f t="shared" si="51"/>
        <v>F</v>
      </c>
      <c r="O1658" s="3" t="str">
        <f>IF(_xlfn.IFNA(MATCH(B1658,Table1[UID],0),"F")="F","F","T")</f>
        <v>T</v>
      </c>
    </row>
    <row r="1659" spans="2:15" x14ac:dyDescent="0.25">
      <c r="B1659" s="42" t="str">
        <f t="shared" si="52"/>
        <v>I_TULOC/INFLOW</v>
      </c>
      <c r="C1659" t="s">
        <v>4959</v>
      </c>
      <c r="D1659" t="s">
        <v>4960</v>
      </c>
      <c r="E1659" t="s">
        <v>5193</v>
      </c>
      <c r="F1659">
        <v>117</v>
      </c>
      <c r="G1659" t="s">
        <v>5194</v>
      </c>
      <c r="H1659" t="s">
        <v>0</v>
      </c>
      <c r="I1659" t="s">
        <v>1571</v>
      </c>
      <c r="J1659" t="s">
        <v>1380</v>
      </c>
      <c r="L1659" t="s">
        <v>3</v>
      </c>
      <c r="M1659" t="s">
        <v>4</v>
      </c>
      <c r="N1659" s="3" t="str">
        <f t="shared" si="51"/>
        <v>F</v>
      </c>
      <c r="O1659" s="3" t="str">
        <f>IF(_xlfn.IFNA(MATCH(B1659,Table1[UID],0),"F")="F","F","T")</f>
        <v>T</v>
      </c>
    </row>
    <row r="1660" spans="2:15" x14ac:dyDescent="0.25">
      <c r="B1660" s="42" t="str">
        <f t="shared" si="52"/>
        <v>I_TUO054/INFLOW</v>
      </c>
      <c r="C1660" t="s">
        <v>4959</v>
      </c>
      <c r="D1660" t="s">
        <v>4960</v>
      </c>
      <c r="E1660" t="s">
        <v>5195</v>
      </c>
      <c r="F1660">
        <v>118</v>
      </c>
      <c r="G1660" t="s">
        <v>5196</v>
      </c>
      <c r="H1660" t="s">
        <v>0</v>
      </c>
      <c r="I1660" t="s">
        <v>1388</v>
      </c>
      <c r="J1660" t="s">
        <v>1380</v>
      </c>
      <c r="L1660" t="s">
        <v>3</v>
      </c>
      <c r="M1660" t="s">
        <v>4</v>
      </c>
      <c r="N1660" s="3" t="str">
        <f t="shared" si="51"/>
        <v>F</v>
      </c>
      <c r="O1660" s="3" t="str">
        <f>IF(_xlfn.IFNA(MATCH(B1660,Table1[UID],0),"F")="F","F","T")</f>
        <v>T</v>
      </c>
    </row>
    <row r="1661" spans="2:15" x14ac:dyDescent="0.25">
      <c r="B1661" s="42" t="str">
        <f t="shared" si="52"/>
        <v>I_PEDRO/INFLOW</v>
      </c>
      <c r="C1661" t="s">
        <v>4959</v>
      </c>
      <c r="D1661" t="s">
        <v>4960</v>
      </c>
      <c r="E1661" t="s">
        <v>5197</v>
      </c>
      <c r="F1661">
        <v>119</v>
      </c>
      <c r="G1661" t="s">
        <v>5198</v>
      </c>
      <c r="H1661" t="s">
        <v>0</v>
      </c>
      <c r="I1661" t="s">
        <v>1699</v>
      </c>
      <c r="J1661" t="s">
        <v>1380</v>
      </c>
      <c r="L1661" t="s">
        <v>3</v>
      </c>
      <c r="M1661" t="s">
        <v>4</v>
      </c>
      <c r="N1661" s="3" t="str">
        <f t="shared" si="51"/>
        <v>F</v>
      </c>
      <c r="O1661" s="3" t="str">
        <f>IF(_xlfn.IFNA(MATCH(B1661,Table1[UID],0),"F")="F","F","T")</f>
        <v>T</v>
      </c>
    </row>
    <row r="1662" spans="2:15" x14ac:dyDescent="0.25">
      <c r="B1662" s="42" t="str">
        <f t="shared" si="52"/>
        <v>I_ELENR/INFLOW</v>
      </c>
      <c r="C1662" t="s">
        <v>4959</v>
      </c>
      <c r="D1662" t="s">
        <v>4960</v>
      </c>
      <c r="E1662" t="s">
        <v>5199</v>
      </c>
      <c r="F1662">
        <v>120</v>
      </c>
      <c r="G1662" t="s">
        <v>5200</v>
      </c>
      <c r="H1662" t="s">
        <v>0</v>
      </c>
      <c r="I1662" t="s">
        <v>1667</v>
      </c>
      <c r="J1662" t="s">
        <v>1380</v>
      </c>
      <c r="L1662" t="s">
        <v>3</v>
      </c>
      <c r="M1662" t="s">
        <v>4</v>
      </c>
      <c r="N1662" s="3" t="str">
        <f t="shared" si="51"/>
        <v>F</v>
      </c>
      <c r="O1662" s="3" t="str">
        <f>IF(_xlfn.IFNA(MATCH(B1662,Table1[UID],0),"F")="F","F","T")</f>
        <v>T</v>
      </c>
    </row>
    <row r="1663" spans="2:15" x14ac:dyDescent="0.25">
      <c r="B1663" s="42" t="str">
        <f t="shared" si="52"/>
        <v>I_HTCHY/INFLOW</v>
      </c>
      <c r="C1663" t="s">
        <v>4959</v>
      </c>
      <c r="D1663" t="s">
        <v>4960</v>
      </c>
      <c r="E1663" t="s">
        <v>5201</v>
      </c>
      <c r="F1663">
        <v>121</v>
      </c>
      <c r="G1663" t="s">
        <v>5202</v>
      </c>
      <c r="H1663" t="s">
        <v>0</v>
      </c>
      <c r="I1663" t="s">
        <v>1685</v>
      </c>
      <c r="J1663" t="s">
        <v>1380</v>
      </c>
      <c r="L1663" t="s">
        <v>3</v>
      </c>
      <c r="M1663" t="s">
        <v>4</v>
      </c>
      <c r="N1663" s="3" t="str">
        <f t="shared" si="51"/>
        <v>F</v>
      </c>
      <c r="O1663" s="3" t="str">
        <f>IF(_xlfn.IFNA(MATCH(B1663,Table1[UID],0),"F")="F","F","T")</f>
        <v>T</v>
      </c>
    </row>
    <row r="1664" spans="2:15" x14ac:dyDescent="0.25">
      <c r="B1664" s="42" t="str">
        <f t="shared" si="52"/>
        <v>I_LLOYD/INFLOW</v>
      </c>
      <c r="C1664" t="s">
        <v>4959</v>
      </c>
      <c r="D1664" t="s">
        <v>4960</v>
      </c>
      <c r="E1664" t="s">
        <v>5203</v>
      </c>
      <c r="F1664">
        <v>122</v>
      </c>
      <c r="G1664" t="s">
        <v>5204</v>
      </c>
      <c r="H1664" t="s">
        <v>0</v>
      </c>
      <c r="I1664" t="s">
        <v>1663</v>
      </c>
      <c r="J1664" t="s">
        <v>1380</v>
      </c>
      <c r="L1664" t="s">
        <v>3</v>
      </c>
      <c r="M1664" t="s">
        <v>4</v>
      </c>
      <c r="N1664" s="3" t="str">
        <f t="shared" si="51"/>
        <v>F</v>
      </c>
      <c r="O1664" s="3" t="str">
        <f>IF(_xlfn.IFNA(MATCH(B1664,Table1[UID],0),"F")="F","F","T")</f>
        <v>T</v>
      </c>
    </row>
    <row r="1665" spans="2:15" x14ac:dyDescent="0.25">
      <c r="B1665" s="42" t="str">
        <f t="shared" si="52"/>
        <v>I_CHY006/INFLOW</v>
      </c>
      <c r="C1665" t="s">
        <v>4959</v>
      </c>
      <c r="D1665" t="s">
        <v>4960</v>
      </c>
      <c r="E1665" t="s">
        <v>5205</v>
      </c>
      <c r="F1665">
        <v>123</v>
      </c>
      <c r="G1665" t="s">
        <v>4805</v>
      </c>
      <c r="H1665" t="s">
        <v>0</v>
      </c>
      <c r="I1665" t="s">
        <v>1460</v>
      </c>
      <c r="J1665" t="s">
        <v>1380</v>
      </c>
      <c r="L1665" t="s">
        <v>3</v>
      </c>
      <c r="M1665" t="s">
        <v>4</v>
      </c>
      <c r="N1665" s="3" t="str">
        <f t="shared" si="51"/>
        <v>T</v>
      </c>
      <c r="O1665" s="3" t="str">
        <f>IF(_xlfn.IFNA(MATCH(B1665,Table1[UID],0),"F")="F","F","T")</f>
        <v>T</v>
      </c>
    </row>
    <row r="1666" spans="2:15" x14ac:dyDescent="0.25">
      <c r="B1666" s="42" t="str">
        <f t="shared" si="52"/>
        <v>I_CVY009/INFLOW</v>
      </c>
      <c r="C1666" t="s">
        <v>4959</v>
      </c>
      <c r="D1666" t="s">
        <v>4960</v>
      </c>
      <c r="E1666" t="s">
        <v>5206</v>
      </c>
      <c r="F1666">
        <v>124</v>
      </c>
      <c r="G1666" t="s">
        <v>4806</v>
      </c>
      <c r="H1666" t="s">
        <v>0</v>
      </c>
      <c r="I1666" t="s">
        <v>1458</v>
      </c>
      <c r="J1666" t="s">
        <v>1380</v>
      </c>
      <c r="L1666" t="s">
        <v>3</v>
      </c>
      <c r="M1666" t="s">
        <v>4</v>
      </c>
      <c r="N1666" s="3" t="str">
        <f t="shared" si="51"/>
        <v>T</v>
      </c>
      <c r="O1666" s="3" t="str">
        <f>IF(_xlfn.IFNA(MATCH(B1666,Table1[UID],0),"F")="F","F","T")</f>
        <v>T</v>
      </c>
    </row>
    <row r="1667" spans="2:15" x14ac:dyDescent="0.25">
      <c r="B1667" s="42" t="str">
        <f t="shared" si="52"/>
        <v>I_JWB001/INFLOW</v>
      </c>
      <c r="C1667" t="s">
        <v>4959</v>
      </c>
      <c r="D1667" t="s">
        <v>4960</v>
      </c>
      <c r="E1667" t="s">
        <v>5207</v>
      </c>
      <c r="F1667">
        <v>125</v>
      </c>
      <c r="G1667" t="s">
        <v>4807</v>
      </c>
      <c r="H1667" t="s">
        <v>0</v>
      </c>
      <c r="I1667" t="s">
        <v>1464</v>
      </c>
      <c r="J1667" t="s">
        <v>1380</v>
      </c>
      <c r="L1667" t="s">
        <v>3</v>
      </c>
      <c r="M1667" t="s">
        <v>4</v>
      </c>
      <c r="N1667" s="3" t="str">
        <f t="shared" ref="N1667:N1730" si="53">IF(COUNTIF($B$3:$B$1760,"="&amp;B1667)&gt;1,"T","F")</f>
        <v>T</v>
      </c>
      <c r="O1667" s="3" t="str">
        <f>IF(_xlfn.IFNA(MATCH(B1667,Table1[UID],0),"F")="F","F","T")</f>
        <v>T</v>
      </c>
    </row>
    <row r="1668" spans="2:15" x14ac:dyDescent="0.25">
      <c r="B1668" s="42" t="str">
        <f t="shared" si="52"/>
        <v>I_MFT000/INFLOW</v>
      </c>
      <c r="C1668" t="s">
        <v>4959</v>
      </c>
      <c r="D1668" t="s">
        <v>4960</v>
      </c>
      <c r="E1668" t="s">
        <v>5208</v>
      </c>
      <c r="F1668">
        <v>126</v>
      </c>
      <c r="G1668" t="s">
        <v>4808</v>
      </c>
      <c r="H1668" t="s">
        <v>0</v>
      </c>
      <c r="I1668" t="s">
        <v>1462</v>
      </c>
      <c r="J1668" t="s">
        <v>1380</v>
      </c>
      <c r="L1668" t="s">
        <v>3</v>
      </c>
      <c r="M1668" t="s">
        <v>4</v>
      </c>
      <c r="N1668" s="3" t="str">
        <f t="shared" si="53"/>
        <v>T</v>
      </c>
      <c r="O1668" s="3" t="str">
        <f>IF(_xlfn.IFNA(MATCH(B1668,Table1[UID],0),"F")="F","F","T")</f>
        <v>T</v>
      </c>
    </row>
    <row r="1669" spans="2:15" x14ac:dyDescent="0.25">
      <c r="B1669" s="42" t="str">
        <f t="shared" si="52"/>
        <v>I_NFT008/INFLOW</v>
      </c>
      <c r="C1669" t="s">
        <v>4959</v>
      </c>
      <c r="D1669" t="s">
        <v>4960</v>
      </c>
      <c r="E1669" t="s">
        <v>5209</v>
      </c>
      <c r="F1669">
        <v>127</v>
      </c>
      <c r="G1669" t="s">
        <v>4809</v>
      </c>
      <c r="H1669" t="s">
        <v>0</v>
      </c>
      <c r="I1669" t="s">
        <v>1452</v>
      </c>
      <c r="J1669" t="s">
        <v>1380</v>
      </c>
      <c r="L1669" t="s">
        <v>3</v>
      </c>
      <c r="M1669" t="s">
        <v>4</v>
      </c>
      <c r="N1669" s="3" t="str">
        <f t="shared" si="53"/>
        <v>T</v>
      </c>
      <c r="O1669" s="3" t="str">
        <f>IF(_xlfn.IFNA(MATCH(B1669,Table1[UID],0),"F")="F","F","T")</f>
        <v>T</v>
      </c>
    </row>
    <row r="1670" spans="2:15" x14ac:dyDescent="0.25">
      <c r="B1670" s="42" t="str">
        <f t="shared" si="52"/>
        <v>I_SFT003/INFLOW</v>
      </c>
      <c r="C1670" t="s">
        <v>4959</v>
      </c>
      <c r="D1670" t="s">
        <v>4960</v>
      </c>
      <c r="E1670" t="s">
        <v>5210</v>
      </c>
      <c r="F1670">
        <v>128</v>
      </c>
      <c r="G1670" t="s">
        <v>4810</v>
      </c>
      <c r="H1670" t="s">
        <v>0</v>
      </c>
      <c r="I1670" t="s">
        <v>1450</v>
      </c>
      <c r="J1670" t="s">
        <v>1380</v>
      </c>
      <c r="L1670" t="s">
        <v>3</v>
      </c>
      <c r="M1670" t="s">
        <v>4</v>
      </c>
      <c r="N1670" s="3" t="str">
        <f t="shared" si="53"/>
        <v>T</v>
      </c>
      <c r="O1670" s="3" t="str">
        <f>IF(_xlfn.IFNA(MATCH(B1670,Table1[UID],0),"F")="F","F","T")</f>
        <v>T</v>
      </c>
    </row>
    <row r="1671" spans="2:15" x14ac:dyDescent="0.25">
      <c r="B1671" s="42" t="str">
        <f t="shared" si="52"/>
        <v>I_TUO105/INFLOW</v>
      </c>
      <c r="C1671" t="s">
        <v>4959</v>
      </c>
      <c r="D1671" t="s">
        <v>4960</v>
      </c>
      <c r="E1671" t="s">
        <v>5211</v>
      </c>
      <c r="F1671">
        <v>129</v>
      </c>
      <c r="G1671" t="s">
        <v>4811</v>
      </c>
      <c r="H1671" t="s">
        <v>0</v>
      </c>
      <c r="I1671" t="s">
        <v>1444</v>
      </c>
      <c r="J1671" t="s">
        <v>1380</v>
      </c>
      <c r="L1671" t="s">
        <v>3</v>
      </c>
      <c r="M1671" t="s">
        <v>4</v>
      </c>
      <c r="N1671" s="3" t="str">
        <f t="shared" si="53"/>
        <v>T</v>
      </c>
      <c r="O1671" s="3" t="str">
        <f>IF(_xlfn.IFNA(MATCH(B1671,Table1[UID],0),"F")="F","F","T")</f>
        <v>T</v>
      </c>
    </row>
    <row r="1672" spans="2:15" x14ac:dyDescent="0.25">
      <c r="B1672" s="42" t="str">
        <f t="shared" si="52"/>
        <v>I_MCD055/INFLOW</v>
      </c>
      <c r="C1672" t="s">
        <v>4959</v>
      </c>
      <c r="D1672" t="s">
        <v>4960</v>
      </c>
      <c r="E1672" t="s">
        <v>5212</v>
      </c>
      <c r="F1672">
        <v>130</v>
      </c>
      <c r="G1672" t="s">
        <v>5213</v>
      </c>
      <c r="H1672" t="s">
        <v>0</v>
      </c>
      <c r="I1672" t="s">
        <v>1517</v>
      </c>
      <c r="J1672" t="s">
        <v>1380</v>
      </c>
      <c r="L1672" t="s">
        <v>3</v>
      </c>
      <c r="M1672" t="s">
        <v>4</v>
      </c>
      <c r="N1672" s="3" t="str">
        <f t="shared" si="53"/>
        <v>F</v>
      </c>
      <c r="O1672" s="3" t="str">
        <f>IF(_xlfn.IFNA(MATCH(B1672,Table1[UID],0),"F")="F","F","T")</f>
        <v>T</v>
      </c>
    </row>
    <row r="1673" spans="2:15" x14ac:dyDescent="0.25">
      <c r="B1673" s="42" t="str">
        <f t="shared" si="52"/>
        <v>I_MCLRE/INFLOW</v>
      </c>
      <c r="C1673" t="s">
        <v>4959</v>
      </c>
      <c r="D1673" t="s">
        <v>4960</v>
      </c>
      <c r="E1673" t="s">
        <v>5214</v>
      </c>
      <c r="F1673">
        <v>131</v>
      </c>
      <c r="G1673" t="s">
        <v>5215</v>
      </c>
      <c r="H1673" t="s">
        <v>0</v>
      </c>
      <c r="I1673" t="s">
        <v>1661</v>
      </c>
      <c r="J1673" t="s">
        <v>1380</v>
      </c>
      <c r="L1673" t="s">
        <v>3</v>
      </c>
      <c r="M1673" t="s">
        <v>4</v>
      </c>
      <c r="N1673" s="3" t="str">
        <f t="shared" si="53"/>
        <v>F</v>
      </c>
      <c r="O1673" s="3" t="str">
        <f>IF(_xlfn.IFNA(MATCH(B1673,Table1[UID],0),"F")="F","F","T")</f>
        <v>T</v>
      </c>
    </row>
    <row r="1674" spans="2:15" x14ac:dyDescent="0.25">
      <c r="B1674" s="42" t="str">
        <f t="shared" ref="B1674:B1737" si="54">_xlfn.CONCAT(I1674,"/",J1674)</f>
        <v>I_SJR265/INFLOW</v>
      </c>
      <c r="C1674" t="s">
        <v>4959</v>
      </c>
      <c r="D1674" t="s">
        <v>4960</v>
      </c>
      <c r="E1674" t="s">
        <v>5216</v>
      </c>
      <c r="F1674">
        <v>132</v>
      </c>
      <c r="G1674" t="s">
        <v>5217</v>
      </c>
      <c r="H1674" t="s">
        <v>0</v>
      </c>
      <c r="I1674" t="s">
        <v>1641</v>
      </c>
      <c r="J1674" t="s">
        <v>1380</v>
      </c>
      <c r="L1674" t="s">
        <v>3</v>
      </c>
      <c r="M1674" t="s">
        <v>4</v>
      </c>
      <c r="N1674" s="3" t="str">
        <f t="shared" si="53"/>
        <v>F</v>
      </c>
      <c r="O1674" s="3" t="str">
        <f>IF(_xlfn.IFNA(MATCH(B1674,Table1[UID],0),"F")="F","F","T")</f>
        <v>T</v>
      </c>
    </row>
    <row r="1675" spans="2:15" x14ac:dyDescent="0.25">
      <c r="B1675" s="42" t="str">
        <f t="shared" si="54"/>
        <v>I_BTC048/INFLOW</v>
      </c>
      <c r="C1675" t="s">
        <v>4959</v>
      </c>
      <c r="D1675" t="s">
        <v>4960</v>
      </c>
      <c r="E1675" t="s">
        <v>5218</v>
      </c>
      <c r="F1675">
        <v>133</v>
      </c>
      <c r="G1675" t="s">
        <v>5219</v>
      </c>
      <c r="H1675" t="s">
        <v>0</v>
      </c>
      <c r="I1675" t="s">
        <v>1805</v>
      </c>
      <c r="J1675" t="s">
        <v>1380</v>
      </c>
      <c r="L1675" t="s">
        <v>3</v>
      </c>
      <c r="M1675" t="s">
        <v>4</v>
      </c>
      <c r="N1675" s="3" t="str">
        <f t="shared" si="53"/>
        <v>F</v>
      </c>
      <c r="O1675" s="3" t="str">
        <f>IF(_xlfn.IFNA(MATCH(B1675,Table1[UID],0),"F")="F","F","T")</f>
        <v>T</v>
      </c>
    </row>
    <row r="1676" spans="2:15" x14ac:dyDescent="0.25">
      <c r="B1676" s="42" t="str">
        <f t="shared" si="54"/>
        <v>I_LCC038/INFLOW</v>
      </c>
      <c r="C1676" t="s">
        <v>4959</v>
      </c>
      <c r="D1676" t="s">
        <v>4960</v>
      </c>
      <c r="E1676" t="s">
        <v>5220</v>
      </c>
      <c r="F1676">
        <v>134</v>
      </c>
      <c r="G1676" t="s">
        <v>5221</v>
      </c>
      <c r="H1676" t="s">
        <v>0</v>
      </c>
      <c r="I1676" t="s">
        <v>1617</v>
      </c>
      <c r="J1676" t="s">
        <v>1380</v>
      </c>
      <c r="L1676" t="s">
        <v>3</v>
      </c>
      <c r="M1676" t="s">
        <v>4</v>
      </c>
      <c r="N1676" s="3" t="str">
        <f t="shared" si="53"/>
        <v>F</v>
      </c>
      <c r="O1676" s="3" t="str">
        <f>IF(_xlfn.IFNA(MATCH(B1676,Table1[UID],0),"F")="F","F","T")</f>
        <v>T</v>
      </c>
    </row>
    <row r="1677" spans="2:15" x14ac:dyDescent="0.25">
      <c r="B1677" s="42" t="str">
        <f t="shared" si="54"/>
        <v>I_LDC029/INFLOW</v>
      </c>
      <c r="C1677" t="s">
        <v>4959</v>
      </c>
      <c r="D1677" t="s">
        <v>4960</v>
      </c>
      <c r="E1677" t="s">
        <v>5222</v>
      </c>
      <c r="F1677">
        <v>135</v>
      </c>
      <c r="G1677" t="s">
        <v>5223</v>
      </c>
      <c r="H1677" t="s">
        <v>0</v>
      </c>
      <c r="I1677" t="s">
        <v>1615</v>
      </c>
      <c r="J1677" t="s">
        <v>1380</v>
      </c>
      <c r="L1677" t="s">
        <v>3</v>
      </c>
      <c r="M1677" t="s">
        <v>4</v>
      </c>
      <c r="N1677" s="3" t="str">
        <f t="shared" si="53"/>
        <v>F</v>
      </c>
      <c r="O1677" s="3" t="str">
        <f>IF(_xlfn.IFNA(MATCH(B1677,Table1[UID],0),"F")="F","F","T")</f>
        <v>T</v>
      </c>
    </row>
    <row r="1678" spans="2:15" x14ac:dyDescent="0.25">
      <c r="B1678" s="42" t="str">
        <f t="shared" si="54"/>
        <v>I_ANT011/INFLOW</v>
      </c>
      <c r="C1678" t="s">
        <v>4959</v>
      </c>
      <c r="D1678" t="s">
        <v>4960</v>
      </c>
      <c r="E1678" t="s">
        <v>5224</v>
      </c>
      <c r="F1678">
        <v>136</v>
      </c>
      <c r="G1678" t="s">
        <v>5225</v>
      </c>
      <c r="H1678" t="s">
        <v>0</v>
      </c>
      <c r="I1678" t="s">
        <v>1819</v>
      </c>
      <c r="J1678" t="s">
        <v>1380</v>
      </c>
      <c r="L1678" t="s">
        <v>3</v>
      </c>
      <c r="M1678" t="s">
        <v>4</v>
      </c>
      <c r="N1678" s="3" t="str">
        <f t="shared" si="53"/>
        <v>F</v>
      </c>
      <c r="O1678" s="3" t="str">
        <f>IF(_xlfn.IFNA(MATCH(B1678,Table1[UID],0),"F")="F","F","T")</f>
        <v>T</v>
      </c>
    </row>
    <row r="1679" spans="2:15" x14ac:dyDescent="0.25">
      <c r="B1679" s="42" t="str">
        <f t="shared" si="54"/>
        <v>I_BCC014/INFLOW</v>
      </c>
      <c r="C1679" t="s">
        <v>4959</v>
      </c>
      <c r="D1679" t="s">
        <v>4960</v>
      </c>
      <c r="E1679" t="s">
        <v>5226</v>
      </c>
      <c r="F1679">
        <v>137</v>
      </c>
      <c r="G1679" t="s">
        <v>5227</v>
      </c>
      <c r="H1679" t="s">
        <v>0</v>
      </c>
      <c r="I1679" t="s">
        <v>1809</v>
      </c>
      <c r="J1679" t="s">
        <v>1380</v>
      </c>
      <c r="L1679" t="s">
        <v>3</v>
      </c>
      <c r="M1679" t="s">
        <v>4</v>
      </c>
      <c r="N1679" s="3" t="str">
        <f t="shared" si="53"/>
        <v>F</v>
      </c>
      <c r="O1679" s="3" t="str">
        <f>IF(_xlfn.IFNA(MATCH(B1679,Table1[UID],0),"F")="F","F","T")</f>
        <v>T</v>
      </c>
    </row>
    <row r="1680" spans="2:15" x14ac:dyDescent="0.25">
      <c r="B1680" s="42" t="str">
        <f t="shared" si="54"/>
        <v>I_DRC012/INFLOW</v>
      </c>
      <c r="C1680" t="s">
        <v>4959</v>
      </c>
      <c r="D1680" t="s">
        <v>4960</v>
      </c>
      <c r="E1680" t="s">
        <v>5228</v>
      </c>
      <c r="F1680">
        <v>138</v>
      </c>
      <c r="G1680" t="s">
        <v>5229</v>
      </c>
      <c r="H1680" t="s">
        <v>0</v>
      </c>
      <c r="I1680" t="s">
        <v>1780</v>
      </c>
      <c r="J1680" t="s">
        <v>1380</v>
      </c>
      <c r="L1680" t="s">
        <v>3</v>
      </c>
      <c r="M1680" t="s">
        <v>4</v>
      </c>
      <c r="N1680" s="3" t="str">
        <f t="shared" si="53"/>
        <v>F</v>
      </c>
      <c r="O1680" s="3" t="str">
        <f>IF(_xlfn.IFNA(MATCH(B1680,Table1[UID],0),"F")="F","F","T")</f>
        <v>T</v>
      </c>
    </row>
    <row r="1681" spans="2:15" x14ac:dyDescent="0.25">
      <c r="B1681" s="42" t="str">
        <f t="shared" si="54"/>
        <v>I_MNS000/INFLOW</v>
      </c>
      <c r="C1681" t="s">
        <v>4959</v>
      </c>
      <c r="D1681" t="s">
        <v>4960</v>
      </c>
      <c r="E1681" t="s">
        <v>5230</v>
      </c>
      <c r="F1681">
        <v>139</v>
      </c>
      <c r="G1681" t="s">
        <v>5231</v>
      </c>
      <c r="H1681" t="s">
        <v>0</v>
      </c>
      <c r="I1681" t="s">
        <v>1499</v>
      </c>
      <c r="J1681" t="s">
        <v>1380</v>
      </c>
      <c r="L1681" t="s">
        <v>3</v>
      </c>
      <c r="M1681" t="s">
        <v>4</v>
      </c>
      <c r="N1681" s="3" t="str">
        <f t="shared" si="53"/>
        <v>F</v>
      </c>
      <c r="O1681" s="3" t="str">
        <f>IF(_xlfn.IFNA(MATCH(B1681,Table1[UID],0),"F")="F","F","T")</f>
        <v>T</v>
      </c>
    </row>
    <row r="1682" spans="2:15" x14ac:dyDescent="0.25">
      <c r="B1682" s="42" t="str">
        <f t="shared" si="54"/>
        <v>I_PYN001/INFLOW</v>
      </c>
      <c r="C1682" t="s">
        <v>4959</v>
      </c>
      <c r="D1682" t="s">
        <v>4960</v>
      </c>
      <c r="E1682" t="s">
        <v>5232</v>
      </c>
      <c r="F1682">
        <v>140</v>
      </c>
      <c r="G1682" t="s">
        <v>5233</v>
      </c>
      <c r="H1682" t="s">
        <v>0</v>
      </c>
      <c r="I1682" t="s">
        <v>1470</v>
      </c>
      <c r="J1682" t="s">
        <v>1380</v>
      </c>
      <c r="L1682" t="s">
        <v>3</v>
      </c>
      <c r="M1682" t="s">
        <v>4</v>
      </c>
      <c r="N1682" s="3" t="str">
        <f t="shared" si="53"/>
        <v>F</v>
      </c>
      <c r="O1682" s="3" t="str">
        <f>IF(_xlfn.IFNA(MATCH(B1682,Table1[UID],0),"F")="F","F","T")</f>
        <v>T</v>
      </c>
    </row>
    <row r="1683" spans="2:15" x14ac:dyDescent="0.25">
      <c r="B1683" s="42" t="str">
        <f t="shared" si="54"/>
        <v>I_TRNTY/INFLOW</v>
      </c>
      <c r="C1683" t="s">
        <v>4959</v>
      </c>
      <c r="D1683" t="s">
        <v>4960</v>
      </c>
      <c r="E1683" t="s">
        <v>5234</v>
      </c>
      <c r="F1683">
        <v>141</v>
      </c>
      <c r="G1683" t="s">
        <v>5235</v>
      </c>
      <c r="H1683" t="s">
        <v>0</v>
      </c>
      <c r="I1683" t="s">
        <v>1633</v>
      </c>
      <c r="J1683" t="s">
        <v>1380</v>
      </c>
      <c r="L1683" t="s">
        <v>3</v>
      </c>
      <c r="M1683" t="s">
        <v>4</v>
      </c>
      <c r="N1683" s="3" t="str">
        <f t="shared" si="53"/>
        <v>F</v>
      </c>
      <c r="O1683" s="3" t="str">
        <f>IF(_xlfn.IFNA(MATCH(B1683,Table1[UID],0),"F")="F","F","T")</f>
        <v>T</v>
      </c>
    </row>
    <row r="1684" spans="2:15" x14ac:dyDescent="0.25">
      <c r="B1684" s="42" t="str">
        <f t="shared" si="54"/>
        <v>I_LWSTN/INFLOW</v>
      </c>
      <c r="C1684" t="s">
        <v>4959</v>
      </c>
      <c r="D1684" t="s">
        <v>4960</v>
      </c>
      <c r="E1684" t="s">
        <v>5236</v>
      </c>
      <c r="F1684">
        <v>142</v>
      </c>
      <c r="G1684" t="s">
        <v>5237</v>
      </c>
      <c r="H1684" t="s">
        <v>0</v>
      </c>
      <c r="I1684" t="s">
        <v>1581</v>
      </c>
      <c r="J1684" t="s">
        <v>1380</v>
      </c>
      <c r="L1684" t="s">
        <v>3</v>
      </c>
      <c r="M1684" t="s">
        <v>4</v>
      </c>
      <c r="N1684" s="3" t="str">
        <f t="shared" si="53"/>
        <v>F</v>
      </c>
      <c r="O1684" s="3" t="str">
        <f>IF(_xlfn.IFNA(MATCH(B1684,Table1[UID],0),"F")="F","F","T")</f>
        <v>T</v>
      </c>
    </row>
    <row r="1685" spans="2:15" x14ac:dyDescent="0.25">
      <c r="B1685" s="42" t="str">
        <f t="shared" si="54"/>
        <v>I_ELD027/INFLOW</v>
      </c>
      <c r="C1685" t="s">
        <v>4959</v>
      </c>
      <c r="D1685" t="s">
        <v>4960</v>
      </c>
      <c r="E1685" t="s">
        <v>5238</v>
      </c>
      <c r="F1685">
        <v>143</v>
      </c>
      <c r="G1685" t="s">
        <v>5239</v>
      </c>
      <c r="H1685" t="s">
        <v>0</v>
      </c>
      <c r="I1685" t="s">
        <v>1764</v>
      </c>
      <c r="J1685" t="s">
        <v>1380</v>
      </c>
      <c r="L1685" t="s">
        <v>3</v>
      </c>
      <c r="M1685" t="s">
        <v>4</v>
      </c>
      <c r="N1685" s="3" t="str">
        <f t="shared" si="53"/>
        <v>F</v>
      </c>
      <c r="O1685" s="3" t="str">
        <f>IF(_xlfn.IFNA(MATCH(B1685,Table1[UID],0),"F")="F","F","T")</f>
        <v>T</v>
      </c>
    </row>
    <row r="1686" spans="2:15" x14ac:dyDescent="0.25">
      <c r="B1686" s="42" t="str">
        <f t="shared" si="54"/>
        <v>I_THM028/INFLOW</v>
      </c>
      <c r="C1686" t="s">
        <v>4959</v>
      </c>
      <c r="D1686" t="s">
        <v>4960</v>
      </c>
      <c r="E1686" t="s">
        <v>5240</v>
      </c>
      <c r="F1686">
        <v>144</v>
      </c>
      <c r="G1686" t="s">
        <v>5241</v>
      </c>
      <c r="H1686" t="s">
        <v>0</v>
      </c>
      <c r="I1686" t="s">
        <v>1392</v>
      </c>
      <c r="J1686" t="s">
        <v>1380</v>
      </c>
      <c r="L1686" t="s">
        <v>3</v>
      </c>
      <c r="M1686" t="s">
        <v>4</v>
      </c>
      <c r="N1686" s="3" t="str">
        <f t="shared" si="53"/>
        <v>F</v>
      </c>
      <c r="O1686" s="3" t="str">
        <f>IF(_xlfn.IFNA(MATCH(B1686,Table1[UID],0),"F")="F","F","T")</f>
        <v>T</v>
      </c>
    </row>
    <row r="1687" spans="2:15" x14ac:dyDescent="0.25">
      <c r="B1687" s="42" t="str">
        <f t="shared" si="54"/>
        <v>I_BLKBT/INFLOW</v>
      </c>
      <c r="C1687" t="s">
        <v>4959</v>
      </c>
      <c r="D1687" t="s">
        <v>4960</v>
      </c>
      <c r="E1687" t="s">
        <v>5242</v>
      </c>
      <c r="F1687">
        <v>145</v>
      </c>
      <c r="G1687" t="s">
        <v>5243</v>
      </c>
      <c r="H1687" t="s">
        <v>0</v>
      </c>
      <c r="I1687" t="s">
        <v>1605</v>
      </c>
      <c r="J1687" t="s">
        <v>1380</v>
      </c>
      <c r="L1687" t="s">
        <v>3</v>
      </c>
      <c r="M1687" t="s">
        <v>4</v>
      </c>
      <c r="N1687" s="3" t="str">
        <f t="shared" si="53"/>
        <v>F</v>
      </c>
      <c r="O1687" s="3" t="str">
        <f>IF(_xlfn.IFNA(MATCH(B1687,Table1[UID],0),"F")="F","F","T")</f>
        <v>T</v>
      </c>
    </row>
    <row r="1688" spans="2:15" x14ac:dyDescent="0.25">
      <c r="B1688" s="42" t="str">
        <f t="shared" si="54"/>
        <v>I_EPARK/INFLOW</v>
      </c>
      <c r="C1688" t="s">
        <v>4959</v>
      </c>
      <c r="D1688" t="s">
        <v>4960</v>
      </c>
      <c r="E1688" t="s">
        <v>5244</v>
      </c>
      <c r="F1688">
        <v>146</v>
      </c>
      <c r="G1688" t="s">
        <v>5245</v>
      </c>
      <c r="H1688" t="s">
        <v>0</v>
      </c>
      <c r="I1688" t="s">
        <v>1695</v>
      </c>
      <c r="J1688" t="s">
        <v>1380</v>
      </c>
      <c r="L1688" t="s">
        <v>3</v>
      </c>
      <c r="M1688" t="s">
        <v>4</v>
      </c>
      <c r="N1688" s="3" t="str">
        <f t="shared" si="53"/>
        <v>F</v>
      </c>
      <c r="O1688" s="3" t="str">
        <f>IF(_xlfn.IFNA(MATCH(B1688,Table1[UID],0),"F")="F","F","T")</f>
        <v>T</v>
      </c>
    </row>
    <row r="1689" spans="2:15" x14ac:dyDescent="0.25">
      <c r="B1689" s="42" t="str">
        <f t="shared" si="54"/>
        <v>I_SGRGE/INFLOW</v>
      </c>
      <c r="C1689" t="s">
        <v>4959</v>
      </c>
      <c r="D1689" t="s">
        <v>4960</v>
      </c>
      <c r="E1689" t="s">
        <v>5246</v>
      </c>
      <c r="F1689">
        <v>147</v>
      </c>
      <c r="G1689" t="s">
        <v>5247</v>
      </c>
      <c r="H1689" t="s">
        <v>0</v>
      </c>
      <c r="I1689" t="s">
        <v>1567</v>
      </c>
      <c r="J1689" t="s">
        <v>1380</v>
      </c>
      <c r="L1689" t="s">
        <v>3</v>
      </c>
      <c r="M1689" t="s">
        <v>4</v>
      </c>
      <c r="N1689" s="3" t="str">
        <f t="shared" si="53"/>
        <v>F</v>
      </c>
      <c r="O1689" s="3" t="str">
        <f>IF(_xlfn.IFNA(MATCH(B1689,Table1[UID],0),"F")="F","F","T")</f>
        <v>T</v>
      </c>
    </row>
    <row r="1690" spans="2:15" x14ac:dyDescent="0.25">
      <c r="B1690" s="42" t="str">
        <f t="shared" si="54"/>
        <v>I_BRC003/INFLOW</v>
      </c>
      <c r="C1690" t="s">
        <v>4959</v>
      </c>
      <c r="D1690" t="s">
        <v>4960</v>
      </c>
      <c r="E1690" t="s">
        <v>5248</v>
      </c>
      <c r="F1690">
        <v>148</v>
      </c>
      <c r="G1690" t="s">
        <v>5249</v>
      </c>
      <c r="H1690" t="s">
        <v>0</v>
      </c>
      <c r="I1690" t="s">
        <v>1813</v>
      </c>
      <c r="J1690" t="s">
        <v>1380</v>
      </c>
      <c r="L1690" t="s">
        <v>3</v>
      </c>
      <c r="M1690" t="s">
        <v>4</v>
      </c>
      <c r="N1690" s="3" t="str">
        <f t="shared" si="53"/>
        <v>F</v>
      </c>
      <c r="O1690" s="3" t="str">
        <f>IF(_xlfn.IFNA(MATCH(B1690,Table1[UID],0),"F")="F","F","T")</f>
        <v>T</v>
      </c>
    </row>
    <row r="1691" spans="2:15" x14ac:dyDescent="0.25">
      <c r="B1691" s="42" t="str">
        <f t="shared" si="54"/>
        <v>I_CCH053/INFLOW</v>
      </c>
      <c r="C1691" t="s">
        <v>4959</v>
      </c>
      <c r="D1691" t="s">
        <v>4960</v>
      </c>
      <c r="E1691" t="s">
        <v>5250</v>
      </c>
      <c r="F1691">
        <v>149</v>
      </c>
      <c r="G1691" t="s">
        <v>5251</v>
      </c>
      <c r="H1691" t="s">
        <v>0</v>
      </c>
      <c r="I1691" t="s">
        <v>1803</v>
      </c>
      <c r="J1691" t="s">
        <v>1380</v>
      </c>
      <c r="L1691" t="s">
        <v>3</v>
      </c>
      <c r="M1691" t="s">
        <v>4</v>
      </c>
      <c r="N1691" s="3" t="str">
        <f t="shared" si="53"/>
        <v>F</v>
      </c>
      <c r="O1691" s="3" t="str">
        <f>IF(_xlfn.IFNA(MATCH(B1691,Table1[UID],0),"F")="F","F","T")</f>
        <v>T</v>
      </c>
    </row>
    <row r="1692" spans="2:15" x14ac:dyDescent="0.25">
      <c r="B1692" s="42" t="str">
        <f t="shared" si="54"/>
        <v>I_CLRLK/INFLOW</v>
      </c>
      <c r="C1692" t="s">
        <v>4959</v>
      </c>
      <c r="D1692" t="s">
        <v>4960</v>
      </c>
      <c r="E1692" t="s">
        <v>5252</v>
      </c>
      <c r="F1692">
        <v>150</v>
      </c>
      <c r="G1692" t="s">
        <v>5253</v>
      </c>
      <c r="H1692" t="s">
        <v>0</v>
      </c>
      <c r="I1692" t="s">
        <v>1701</v>
      </c>
      <c r="J1692" t="s">
        <v>1380</v>
      </c>
      <c r="L1692" t="s">
        <v>3</v>
      </c>
      <c r="M1692" t="s">
        <v>4</v>
      </c>
      <c r="N1692" s="3" t="str">
        <f t="shared" si="53"/>
        <v>F</v>
      </c>
      <c r="O1692" s="3" t="str">
        <f>IF(_xlfn.IFNA(MATCH(B1692,Table1[UID],0),"F")="F","F","T")</f>
        <v>T</v>
      </c>
    </row>
    <row r="1693" spans="2:15" x14ac:dyDescent="0.25">
      <c r="B1693" s="42" t="str">
        <f t="shared" si="54"/>
        <v>I_INDVL/INFLOW</v>
      </c>
      <c r="C1693" t="s">
        <v>4959</v>
      </c>
      <c r="D1693" t="s">
        <v>4960</v>
      </c>
      <c r="E1693" t="s">
        <v>5254</v>
      </c>
      <c r="F1693">
        <v>151</v>
      </c>
      <c r="G1693" t="s">
        <v>5255</v>
      </c>
      <c r="H1693" t="s">
        <v>0</v>
      </c>
      <c r="I1693" t="s">
        <v>1681</v>
      </c>
      <c r="J1693" t="s">
        <v>1380</v>
      </c>
      <c r="L1693" t="s">
        <v>3</v>
      </c>
      <c r="M1693" t="s">
        <v>4</v>
      </c>
      <c r="N1693" s="3" t="str">
        <f t="shared" si="53"/>
        <v>F</v>
      </c>
      <c r="O1693" s="3" t="str">
        <f>IF(_xlfn.IFNA(MATCH(B1693,Table1[UID],0),"F")="F","F","T")</f>
        <v>T</v>
      </c>
    </row>
    <row r="1694" spans="2:15" x14ac:dyDescent="0.25">
      <c r="B1694" s="42" t="str">
        <f t="shared" si="54"/>
        <v>I_CMP001/INFLOW</v>
      </c>
      <c r="C1694" t="s">
        <v>4959</v>
      </c>
      <c r="D1694" t="s">
        <v>4960</v>
      </c>
      <c r="E1694" t="s">
        <v>5256</v>
      </c>
      <c r="F1694">
        <v>152</v>
      </c>
      <c r="G1694" t="s">
        <v>5257</v>
      </c>
      <c r="H1694" t="s">
        <v>0</v>
      </c>
      <c r="I1694" t="s">
        <v>1799</v>
      </c>
      <c r="J1694" t="s">
        <v>1380</v>
      </c>
      <c r="L1694" t="s">
        <v>3</v>
      </c>
      <c r="M1694" t="s">
        <v>4</v>
      </c>
      <c r="N1694" s="3" t="str">
        <f t="shared" si="53"/>
        <v>F</v>
      </c>
      <c r="O1694" s="3" t="str">
        <f>IF(_xlfn.IFNA(MATCH(B1694,Table1[UID],0),"F")="F","F","T")</f>
        <v>T</v>
      </c>
    </row>
    <row r="1695" spans="2:15" x14ac:dyDescent="0.25">
      <c r="B1695" s="42" t="str">
        <f t="shared" si="54"/>
        <v>I_CMP014/INFLOW</v>
      </c>
      <c r="C1695" t="s">
        <v>4959</v>
      </c>
      <c r="D1695" t="s">
        <v>4960</v>
      </c>
      <c r="E1695" t="s">
        <v>5258</v>
      </c>
      <c r="F1695">
        <v>153</v>
      </c>
      <c r="G1695" t="s">
        <v>5259</v>
      </c>
      <c r="H1695" t="s">
        <v>0</v>
      </c>
      <c r="I1695" t="s">
        <v>1801</v>
      </c>
      <c r="J1695" t="s">
        <v>1380</v>
      </c>
      <c r="L1695" t="s">
        <v>3</v>
      </c>
      <c r="M1695" t="s">
        <v>4</v>
      </c>
      <c r="N1695" s="3" t="str">
        <f t="shared" si="53"/>
        <v>F</v>
      </c>
      <c r="O1695" s="3" t="str">
        <f>IF(_xlfn.IFNA(MATCH(B1695,Table1[UID],0),"F")="F","F","T")</f>
        <v>T</v>
      </c>
    </row>
    <row r="1696" spans="2:15" x14ac:dyDescent="0.25">
      <c r="B1696" s="42" t="str">
        <f t="shared" si="54"/>
        <v>I_CSM035/INFLOW</v>
      </c>
      <c r="C1696" t="s">
        <v>4959</v>
      </c>
      <c r="D1696" t="s">
        <v>4960</v>
      </c>
      <c r="E1696" t="s">
        <v>5260</v>
      </c>
      <c r="F1696">
        <v>154</v>
      </c>
      <c r="G1696" t="s">
        <v>5261</v>
      </c>
      <c r="H1696" t="s">
        <v>0</v>
      </c>
      <c r="I1696" t="s">
        <v>1755</v>
      </c>
      <c r="J1696" t="s">
        <v>1380</v>
      </c>
      <c r="L1696" t="s">
        <v>3</v>
      </c>
      <c r="M1696" t="s">
        <v>4</v>
      </c>
      <c r="N1696" s="3" t="str">
        <f t="shared" si="53"/>
        <v>F</v>
      </c>
      <c r="O1696" s="3" t="str">
        <f>IF(_xlfn.IFNA(MATCH(B1696,Table1[UID],0),"F")="F","F","T")</f>
        <v>T</v>
      </c>
    </row>
    <row r="1697" spans="2:15" x14ac:dyDescent="0.25">
      <c r="B1697" s="42" t="str">
        <f t="shared" si="54"/>
        <v>I_DEE023/INFLOW</v>
      </c>
      <c r="C1697" t="s">
        <v>4959</v>
      </c>
      <c r="D1697" t="s">
        <v>4960</v>
      </c>
      <c r="E1697" t="s">
        <v>5262</v>
      </c>
      <c r="F1697">
        <v>155</v>
      </c>
      <c r="G1697" t="s">
        <v>5263</v>
      </c>
      <c r="H1697" t="s">
        <v>0</v>
      </c>
      <c r="I1697" t="s">
        <v>1778</v>
      </c>
      <c r="J1697" t="s">
        <v>1380</v>
      </c>
      <c r="L1697" t="s">
        <v>3</v>
      </c>
      <c r="M1697" t="s">
        <v>4</v>
      </c>
      <c r="N1697" s="3" t="str">
        <f t="shared" si="53"/>
        <v>F</v>
      </c>
      <c r="O1697" s="3" t="str">
        <f>IF(_xlfn.IFNA(MATCH(B1697,Table1[UID],0),"F")="F","F","T")</f>
        <v>T</v>
      </c>
    </row>
    <row r="1698" spans="2:15" x14ac:dyDescent="0.25">
      <c r="B1698" s="42" t="str">
        <f t="shared" si="54"/>
        <v>I_DSC035/INFLOW</v>
      </c>
      <c r="C1698" t="s">
        <v>4959</v>
      </c>
      <c r="D1698" t="s">
        <v>4960</v>
      </c>
      <c r="E1698" t="s">
        <v>5264</v>
      </c>
      <c r="F1698">
        <v>156</v>
      </c>
      <c r="G1698" t="s">
        <v>5265</v>
      </c>
      <c r="H1698" t="s">
        <v>0</v>
      </c>
      <c r="I1698" t="s">
        <v>1757</v>
      </c>
      <c r="J1698" t="s">
        <v>1380</v>
      </c>
      <c r="L1698" t="s">
        <v>3</v>
      </c>
      <c r="M1698" t="s">
        <v>4</v>
      </c>
      <c r="N1698" s="3" t="str">
        <f t="shared" si="53"/>
        <v>F</v>
      </c>
      <c r="O1698" s="3" t="str">
        <f>IF(_xlfn.IFNA(MATCH(B1698,Table1[UID],0),"F")="F","F","T")</f>
        <v>T</v>
      </c>
    </row>
    <row r="1699" spans="2:15" x14ac:dyDescent="0.25">
      <c r="B1699" s="42" t="str">
        <f t="shared" si="54"/>
        <v>I_JNKSN/INFLOW</v>
      </c>
      <c r="C1699" t="s">
        <v>4959</v>
      </c>
      <c r="D1699" t="s">
        <v>4960</v>
      </c>
      <c r="E1699" t="s">
        <v>5266</v>
      </c>
      <c r="F1699">
        <v>157</v>
      </c>
      <c r="G1699" t="s">
        <v>5267</v>
      </c>
      <c r="H1699" t="s">
        <v>0</v>
      </c>
      <c r="I1699" t="s">
        <v>1677</v>
      </c>
      <c r="J1699" t="s">
        <v>1380</v>
      </c>
      <c r="L1699" t="s">
        <v>3</v>
      </c>
      <c r="M1699" t="s">
        <v>4</v>
      </c>
      <c r="N1699" s="3" t="str">
        <f t="shared" si="53"/>
        <v>F</v>
      </c>
      <c r="O1699" s="3" t="str">
        <f>IF(_xlfn.IFNA(MATCH(B1699,Table1[UID],0),"F")="F","F","T")</f>
        <v>T</v>
      </c>
    </row>
    <row r="1700" spans="2:15" x14ac:dyDescent="0.25">
      <c r="B1700" s="42" t="str">
        <f t="shared" si="54"/>
        <v>I_CLV026/INFLOW</v>
      </c>
      <c r="C1700" t="s">
        <v>4959</v>
      </c>
      <c r="D1700" t="s">
        <v>4960</v>
      </c>
      <c r="E1700" t="s">
        <v>5268</v>
      </c>
      <c r="F1700">
        <v>158</v>
      </c>
      <c r="G1700" t="s">
        <v>5269</v>
      </c>
      <c r="H1700" t="s">
        <v>0</v>
      </c>
      <c r="I1700" t="s">
        <v>1603</v>
      </c>
      <c r="J1700" t="s">
        <v>1380</v>
      </c>
      <c r="L1700" t="s">
        <v>3</v>
      </c>
      <c r="M1700" t="s">
        <v>4</v>
      </c>
      <c r="N1700" s="3" t="str">
        <f t="shared" si="53"/>
        <v>F</v>
      </c>
      <c r="O1700" s="3" t="str">
        <f>IF(_xlfn.IFNA(MATCH(B1700,Table1[UID],0),"F")="F","F","T")</f>
        <v>T</v>
      </c>
    </row>
    <row r="1701" spans="2:15" x14ac:dyDescent="0.25">
      <c r="B1701" s="42" t="str">
        <f t="shared" si="54"/>
        <v>I_NHGAN/INFLOW</v>
      </c>
      <c r="C1701" t="s">
        <v>4959</v>
      </c>
      <c r="D1701" t="s">
        <v>4960</v>
      </c>
      <c r="E1701" t="s">
        <v>5270</v>
      </c>
      <c r="F1701">
        <v>159</v>
      </c>
      <c r="G1701" t="s">
        <v>5271</v>
      </c>
      <c r="H1701" t="s">
        <v>0</v>
      </c>
      <c r="I1701" t="s">
        <v>1647</v>
      </c>
      <c r="J1701" t="s">
        <v>1380</v>
      </c>
      <c r="L1701" t="s">
        <v>3</v>
      </c>
      <c r="M1701" t="s">
        <v>4</v>
      </c>
      <c r="N1701" s="3" t="str">
        <f t="shared" si="53"/>
        <v>F</v>
      </c>
      <c r="O1701" s="3" t="str">
        <f>IF(_xlfn.IFNA(MATCH(B1701,Table1[UID],0),"F")="F","F","T")</f>
        <v>T</v>
      </c>
    </row>
    <row r="1702" spans="2:15" x14ac:dyDescent="0.25">
      <c r="B1702" s="42" t="str">
        <f t="shared" si="54"/>
        <v>I_LJC022/INFLOW</v>
      </c>
      <c r="C1702" t="s">
        <v>4959</v>
      </c>
      <c r="D1702" t="s">
        <v>4960</v>
      </c>
      <c r="E1702" t="s">
        <v>5272</v>
      </c>
      <c r="F1702">
        <v>160</v>
      </c>
      <c r="G1702" t="s">
        <v>5273</v>
      </c>
      <c r="H1702" t="s">
        <v>0</v>
      </c>
      <c r="I1702" t="s">
        <v>1691</v>
      </c>
      <c r="J1702" t="s">
        <v>1380</v>
      </c>
      <c r="L1702" t="s">
        <v>3</v>
      </c>
      <c r="M1702" t="s">
        <v>4</v>
      </c>
      <c r="N1702" s="3" t="str">
        <f t="shared" si="53"/>
        <v>F</v>
      </c>
      <c r="O1702" s="3" t="str">
        <f>IF(_xlfn.IFNA(MATCH(B1702,Table1[UID],0),"F")="F","F","T")</f>
        <v>T</v>
      </c>
    </row>
    <row r="1703" spans="2:15" x14ac:dyDescent="0.25">
      <c r="B1703" s="42" t="str">
        <f t="shared" si="54"/>
        <v>I_AMADR/INFLOW</v>
      </c>
      <c r="C1703" t="s">
        <v>4959</v>
      </c>
      <c r="D1703" t="s">
        <v>4960</v>
      </c>
      <c r="E1703" t="s">
        <v>5274</v>
      </c>
      <c r="F1703">
        <v>161</v>
      </c>
      <c r="G1703" t="s">
        <v>5275</v>
      </c>
      <c r="H1703" t="s">
        <v>0</v>
      </c>
      <c r="I1703" t="s">
        <v>1715</v>
      </c>
      <c r="J1703" t="s">
        <v>1380</v>
      </c>
      <c r="L1703" t="s">
        <v>3</v>
      </c>
      <c r="M1703" t="s">
        <v>4</v>
      </c>
      <c r="N1703" s="3" t="str">
        <f t="shared" si="53"/>
        <v>F</v>
      </c>
      <c r="O1703" s="3" t="str">
        <f>IF(_xlfn.IFNA(MATCH(B1703,Table1[UID],0),"F")="F","F","T")</f>
        <v>T</v>
      </c>
    </row>
    <row r="1704" spans="2:15" x14ac:dyDescent="0.25">
      <c r="B1704" s="42" t="str">
        <f t="shared" si="54"/>
        <v>I_CMCHE/INFLOW</v>
      </c>
      <c r="C1704" t="s">
        <v>4959</v>
      </c>
      <c r="D1704" t="s">
        <v>4960</v>
      </c>
      <c r="E1704" t="s">
        <v>5276</v>
      </c>
      <c r="F1704">
        <v>162</v>
      </c>
      <c r="G1704" t="s">
        <v>5277</v>
      </c>
      <c r="H1704" t="s">
        <v>0</v>
      </c>
      <c r="I1704" t="s">
        <v>1601</v>
      </c>
      <c r="J1704" t="s">
        <v>1380</v>
      </c>
      <c r="L1704" t="s">
        <v>3</v>
      </c>
      <c r="M1704" t="s">
        <v>4</v>
      </c>
      <c r="N1704" s="3" t="str">
        <f t="shared" si="53"/>
        <v>F</v>
      </c>
      <c r="O1704" s="3" t="str">
        <f>IF(_xlfn.IFNA(MATCH(B1704,Table1[UID],0),"F")="F","F","T")</f>
        <v>T</v>
      </c>
    </row>
    <row r="1705" spans="2:15" x14ac:dyDescent="0.25">
      <c r="B1705" s="42" t="str">
        <f t="shared" si="54"/>
        <v>I_COL003/INFLOW</v>
      </c>
      <c r="C1705" t="s">
        <v>4959</v>
      </c>
      <c r="D1705" t="s">
        <v>4960</v>
      </c>
      <c r="E1705" t="s">
        <v>5278</v>
      </c>
      <c r="F1705">
        <v>163</v>
      </c>
      <c r="G1705" t="s">
        <v>5279</v>
      </c>
      <c r="H1705" t="s">
        <v>0</v>
      </c>
      <c r="I1705" t="s">
        <v>1785</v>
      </c>
      <c r="J1705" t="s">
        <v>1380</v>
      </c>
      <c r="L1705" t="s">
        <v>3</v>
      </c>
      <c r="M1705" t="s">
        <v>4</v>
      </c>
      <c r="N1705" s="3" t="str">
        <f t="shared" si="53"/>
        <v>F</v>
      </c>
      <c r="O1705" s="3" t="str">
        <f>IF(_xlfn.IFNA(MATCH(B1705,Table1[UID],0),"F")="F","F","T")</f>
        <v>T</v>
      </c>
    </row>
    <row r="1706" spans="2:15" x14ac:dyDescent="0.25">
      <c r="B1706" s="42" t="str">
        <f t="shared" si="54"/>
        <v>I_MFM008/INFLOW</v>
      </c>
      <c r="C1706" t="s">
        <v>4959</v>
      </c>
      <c r="D1706" t="s">
        <v>4960</v>
      </c>
      <c r="E1706" t="s">
        <v>5280</v>
      </c>
      <c r="F1706">
        <v>164</v>
      </c>
      <c r="G1706" t="s">
        <v>5281</v>
      </c>
      <c r="H1706" t="s">
        <v>0</v>
      </c>
      <c r="I1706" t="s">
        <v>1505</v>
      </c>
      <c r="J1706" t="s">
        <v>1380</v>
      </c>
      <c r="L1706" t="s">
        <v>3</v>
      </c>
      <c r="M1706" t="s">
        <v>4</v>
      </c>
      <c r="N1706" s="3" t="str">
        <f t="shared" si="53"/>
        <v>F</v>
      </c>
      <c r="O1706" s="3" t="str">
        <f>IF(_xlfn.IFNA(MATCH(B1706,Table1[UID],0),"F")="F","F","T")</f>
        <v>T</v>
      </c>
    </row>
    <row r="1707" spans="2:15" x14ac:dyDescent="0.25">
      <c r="B1707" s="42" t="str">
        <f t="shared" si="54"/>
        <v>I_MOK079/INFLOW</v>
      </c>
      <c r="C1707" t="s">
        <v>4959</v>
      </c>
      <c r="D1707" t="s">
        <v>4960</v>
      </c>
      <c r="E1707" t="s">
        <v>5282</v>
      </c>
      <c r="F1707">
        <v>165</v>
      </c>
      <c r="G1707" t="s">
        <v>5283</v>
      </c>
      <c r="H1707" t="s">
        <v>0</v>
      </c>
      <c r="I1707" t="s">
        <v>1497</v>
      </c>
      <c r="J1707" t="s">
        <v>1380</v>
      </c>
      <c r="L1707" t="s">
        <v>3</v>
      </c>
      <c r="M1707" t="s">
        <v>4</v>
      </c>
      <c r="N1707" s="3" t="str">
        <f t="shared" si="53"/>
        <v>F</v>
      </c>
      <c r="O1707" s="3" t="str">
        <f>IF(_xlfn.IFNA(MATCH(B1707,Table1[UID],0),"F")="F","F","T")</f>
        <v>T</v>
      </c>
    </row>
    <row r="1708" spans="2:15" x14ac:dyDescent="0.25">
      <c r="B1708" s="42" t="str">
        <f t="shared" si="54"/>
        <v>I_NFM010/INFLOW</v>
      </c>
      <c r="C1708" t="s">
        <v>4959</v>
      </c>
      <c r="D1708" t="s">
        <v>4960</v>
      </c>
      <c r="E1708" t="s">
        <v>5284</v>
      </c>
      <c r="F1708">
        <v>166</v>
      </c>
      <c r="G1708" t="s">
        <v>5285</v>
      </c>
      <c r="H1708" t="s">
        <v>0</v>
      </c>
      <c r="I1708" t="s">
        <v>1486</v>
      </c>
      <c r="J1708" t="s">
        <v>1380</v>
      </c>
      <c r="L1708" t="s">
        <v>3</v>
      </c>
      <c r="M1708" t="s">
        <v>4</v>
      </c>
      <c r="N1708" s="3" t="str">
        <f t="shared" si="53"/>
        <v>F</v>
      </c>
      <c r="O1708" s="3" t="str">
        <f>IF(_xlfn.IFNA(MATCH(B1708,Table1[UID],0),"F")="F","F","T")</f>
        <v>T</v>
      </c>
    </row>
    <row r="1709" spans="2:15" x14ac:dyDescent="0.25">
      <c r="B1709" s="42" t="str">
        <f t="shared" si="54"/>
        <v>I_PARDE/INFLOW</v>
      </c>
      <c r="C1709" t="s">
        <v>4959</v>
      </c>
      <c r="D1709" t="s">
        <v>4960</v>
      </c>
      <c r="E1709" t="s">
        <v>5286</v>
      </c>
      <c r="F1709">
        <v>167</v>
      </c>
      <c r="G1709" t="s">
        <v>5287</v>
      </c>
      <c r="H1709" t="s">
        <v>0</v>
      </c>
      <c r="I1709" t="s">
        <v>1724</v>
      </c>
      <c r="J1709" t="s">
        <v>1380</v>
      </c>
      <c r="L1709" t="s">
        <v>3</v>
      </c>
      <c r="M1709" t="s">
        <v>4</v>
      </c>
      <c r="N1709" s="3" t="str">
        <f t="shared" si="53"/>
        <v>F</v>
      </c>
      <c r="O1709" s="3" t="str">
        <f>IF(_xlfn.IFNA(MATCH(B1709,Table1[UID],0),"F")="F","F","T")</f>
        <v>T</v>
      </c>
    </row>
    <row r="1710" spans="2:15" x14ac:dyDescent="0.25">
      <c r="B1710" s="42" t="str">
        <f t="shared" si="54"/>
        <v>I_SFM005/INFLOW</v>
      </c>
      <c r="C1710" t="s">
        <v>4959</v>
      </c>
      <c r="D1710" t="s">
        <v>4960</v>
      </c>
      <c r="E1710" t="s">
        <v>5288</v>
      </c>
      <c r="F1710">
        <v>168</v>
      </c>
      <c r="G1710" t="s">
        <v>5289</v>
      </c>
      <c r="H1710" t="s">
        <v>0</v>
      </c>
      <c r="I1710" t="s">
        <v>1402</v>
      </c>
      <c r="J1710" t="s">
        <v>1380</v>
      </c>
      <c r="L1710" t="s">
        <v>3</v>
      </c>
      <c r="M1710" t="s">
        <v>4</v>
      </c>
      <c r="N1710" s="3" t="str">
        <f t="shared" si="53"/>
        <v>F</v>
      </c>
      <c r="O1710" s="3" t="str">
        <f>IF(_xlfn.IFNA(MATCH(B1710,Table1[UID],0),"F")="F","F","T")</f>
        <v>T</v>
      </c>
    </row>
    <row r="1711" spans="2:15" x14ac:dyDescent="0.25">
      <c r="B1711" s="42" t="str">
        <f t="shared" si="54"/>
        <v>I_SLTSP/INFLOW</v>
      </c>
      <c r="C1711" t="s">
        <v>4959</v>
      </c>
      <c r="D1711" t="s">
        <v>4960</v>
      </c>
      <c r="E1711" t="s">
        <v>5290</v>
      </c>
      <c r="F1711">
        <v>169</v>
      </c>
      <c r="G1711" t="s">
        <v>5291</v>
      </c>
      <c r="H1711" t="s">
        <v>0</v>
      </c>
      <c r="I1711" t="s">
        <v>1426</v>
      </c>
      <c r="J1711" t="s">
        <v>1380</v>
      </c>
      <c r="L1711" t="s">
        <v>3</v>
      </c>
      <c r="M1711" t="s">
        <v>4</v>
      </c>
      <c r="N1711" s="3" t="str">
        <f t="shared" si="53"/>
        <v>F</v>
      </c>
      <c r="O1711" s="3" t="str">
        <f>IF(_xlfn.IFNA(MATCH(B1711,Table1[UID],0),"F")="F","F","T")</f>
        <v>T</v>
      </c>
    </row>
    <row r="1712" spans="2:15" x14ac:dyDescent="0.25">
      <c r="B1712" s="42" t="str">
        <f t="shared" si="54"/>
        <v>I_TGC003/INFLOW</v>
      </c>
      <c r="C1712" t="s">
        <v>4959</v>
      </c>
      <c r="D1712" t="s">
        <v>4960</v>
      </c>
      <c r="E1712" t="s">
        <v>5292</v>
      </c>
      <c r="F1712">
        <v>170</v>
      </c>
      <c r="G1712" t="s">
        <v>5293</v>
      </c>
      <c r="H1712" t="s">
        <v>0</v>
      </c>
      <c r="I1712" t="s">
        <v>1390</v>
      </c>
      <c r="J1712" t="s">
        <v>1380</v>
      </c>
      <c r="L1712" t="s">
        <v>3</v>
      </c>
      <c r="M1712" t="s">
        <v>4</v>
      </c>
      <c r="N1712" s="3" t="str">
        <f t="shared" si="53"/>
        <v>F</v>
      </c>
      <c r="O1712" s="3" t="str">
        <f>IF(_xlfn.IFNA(MATCH(B1712,Table1[UID],0),"F")="F","F","T")</f>
        <v>T</v>
      </c>
    </row>
    <row r="1713" spans="2:15" x14ac:dyDescent="0.25">
      <c r="B1713" s="42" t="str">
        <f t="shared" si="54"/>
        <v>I_UBEAR/INFLOW</v>
      </c>
      <c r="C1713" t="s">
        <v>4959</v>
      </c>
      <c r="D1713" t="s">
        <v>4960</v>
      </c>
      <c r="E1713" t="s">
        <v>5294</v>
      </c>
      <c r="F1713">
        <v>171</v>
      </c>
      <c r="G1713" t="s">
        <v>5295</v>
      </c>
      <c r="H1713" t="s">
        <v>0</v>
      </c>
      <c r="I1713" t="s">
        <v>1386</v>
      </c>
      <c r="J1713" t="s">
        <v>1380</v>
      </c>
      <c r="L1713" t="s">
        <v>3</v>
      </c>
      <c r="M1713" t="s">
        <v>4</v>
      </c>
      <c r="N1713" s="3" t="str">
        <f t="shared" si="53"/>
        <v>F</v>
      </c>
      <c r="O1713" s="3" t="str">
        <f>IF(_xlfn.IFNA(MATCH(B1713,Table1[UID],0),"F")="F","F","T")</f>
        <v>T</v>
      </c>
    </row>
    <row r="1714" spans="2:15" x14ac:dyDescent="0.25">
      <c r="B1714" s="42" t="str">
        <f t="shared" si="54"/>
        <v>I_BCK040/INFLOW</v>
      </c>
      <c r="C1714" t="s">
        <v>4959</v>
      </c>
      <c r="D1714" t="s">
        <v>4960</v>
      </c>
      <c r="E1714" t="s">
        <v>5296</v>
      </c>
      <c r="F1714">
        <v>172</v>
      </c>
      <c r="G1714" t="s">
        <v>5297</v>
      </c>
      <c r="H1714" t="s">
        <v>0</v>
      </c>
      <c r="I1714" t="s">
        <v>1711</v>
      </c>
      <c r="J1714" t="s">
        <v>1380</v>
      </c>
      <c r="L1714" t="s">
        <v>3</v>
      </c>
      <c r="M1714" t="s">
        <v>4</v>
      </c>
      <c r="N1714" s="3" t="str">
        <f t="shared" si="53"/>
        <v>F</v>
      </c>
      <c r="O1714" s="3" t="str">
        <f>IF(_xlfn.IFNA(MATCH(B1714,Table1[UID],0),"F")="F","F","T")</f>
        <v>T</v>
      </c>
    </row>
    <row r="1715" spans="2:15" x14ac:dyDescent="0.25">
      <c r="B1715" s="42" t="str">
        <f t="shared" si="54"/>
        <v>I_BUR005/INFLOW</v>
      </c>
      <c r="C1715" t="s">
        <v>4959</v>
      </c>
      <c r="D1715" t="s">
        <v>4960</v>
      </c>
      <c r="E1715" t="s">
        <v>5298</v>
      </c>
      <c r="F1715">
        <v>173</v>
      </c>
      <c r="G1715" t="s">
        <v>5299</v>
      </c>
      <c r="H1715" t="s">
        <v>0</v>
      </c>
      <c r="I1715" t="s">
        <v>1734</v>
      </c>
      <c r="J1715" t="s">
        <v>1380</v>
      </c>
      <c r="L1715" t="s">
        <v>3</v>
      </c>
      <c r="M1715" t="s">
        <v>4</v>
      </c>
      <c r="N1715" s="3" t="str">
        <f t="shared" si="53"/>
        <v>F</v>
      </c>
      <c r="O1715" s="3" t="str">
        <f>IF(_xlfn.IFNA(MATCH(B1715,Table1[UID],0),"F")="F","F","T")</f>
        <v>T</v>
      </c>
    </row>
    <row r="1716" spans="2:15" x14ac:dyDescent="0.25">
      <c r="B1716" s="42" t="str">
        <f t="shared" si="54"/>
        <v>I_CHW031/INFLOW</v>
      </c>
      <c r="C1716" t="s">
        <v>4959</v>
      </c>
      <c r="D1716" t="s">
        <v>4960</v>
      </c>
      <c r="E1716" t="s">
        <v>5300</v>
      </c>
      <c r="F1716">
        <v>174</v>
      </c>
      <c r="G1716" t="s">
        <v>5301</v>
      </c>
      <c r="H1716" t="s">
        <v>0</v>
      </c>
      <c r="I1716" t="s">
        <v>1595</v>
      </c>
      <c r="J1716" t="s">
        <v>1380</v>
      </c>
      <c r="L1716" t="s">
        <v>3</v>
      </c>
      <c r="M1716" t="s">
        <v>4</v>
      </c>
      <c r="N1716" s="3" t="str">
        <f t="shared" si="53"/>
        <v>F</v>
      </c>
      <c r="O1716" s="3" t="str">
        <f>IF(_xlfn.IFNA(MATCH(B1716,Table1[UID],0),"F")="F","F","T")</f>
        <v>T</v>
      </c>
    </row>
    <row r="1717" spans="2:15" x14ac:dyDescent="0.25">
      <c r="B1717" s="42" t="str">
        <f t="shared" si="54"/>
        <v>I_COT033/INFLOW</v>
      </c>
      <c r="C1717" t="s">
        <v>4959</v>
      </c>
      <c r="D1717" t="s">
        <v>4960</v>
      </c>
      <c r="E1717" t="s">
        <v>5302</v>
      </c>
      <c r="F1717">
        <v>175</v>
      </c>
      <c r="G1717" t="s">
        <v>5303</v>
      </c>
      <c r="H1717" t="s">
        <v>0</v>
      </c>
      <c r="I1717" t="s">
        <v>1732</v>
      </c>
      <c r="J1717" t="s">
        <v>1380</v>
      </c>
      <c r="L1717" t="s">
        <v>3</v>
      </c>
      <c r="M1717" t="s">
        <v>4</v>
      </c>
      <c r="N1717" s="3" t="str">
        <f t="shared" si="53"/>
        <v>F</v>
      </c>
      <c r="O1717" s="3" t="str">
        <f>IF(_xlfn.IFNA(MATCH(B1717,Table1[UID],0),"F")="F","F","T")</f>
        <v>T</v>
      </c>
    </row>
    <row r="1718" spans="2:15" x14ac:dyDescent="0.25">
      <c r="B1718" s="42" t="str">
        <f t="shared" si="54"/>
        <v>I_ESTMN/INFLOW</v>
      </c>
      <c r="C1718" t="s">
        <v>4959</v>
      </c>
      <c r="D1718" t="s">
        <v>4960</v>
      </c>
      <c r="E1718" t="s">
        <v>5304</v>
      </c>
      <c r="F1718">
        <v>176</v>
      </c>
      <c r="G1718" t="s">
        <v>5305</v>
      </c>
      <c r="H1718" t="s">
        <v>0</v>
      </c>
      <c r="I1718" t="s">
        <v>1669</v>
      </c>
      <c r="J1718" t="s">
        <v>1380</v>
      </c>
      <c r="L1718" t="s">
        <v>3</v>
      </c>
      <c r="M1718" t="s">
        <v>4</v>
      </c>
      <c r="N1718" s="3" t="str">
        <f t="shared" si="53"/>
        <v>F</v>
      </c>
      <c r="O1718" s="3" t="str">
        <f>IF(_xlfn.IFNA(MATCH(B1718,Table1[UID],0),"F")="F","F","T")</f>
        <v>T</v>
      </c>
    </row>
    <row r="1719" spans="2:15" x14ac:dyDescent="0.25">
      <c r="B1719" s="42" t="str">
        <f t="shared" si="54"/>
        <v>I_FRS046/INFLOW</v>
      </c>
      <c r="C1719" t="s">
        <v>4959</v>
      </c>
      <c r="D1719" t="s">
        <v>4960</v>
      </c>
      <c r="E1719" t="s">
        <v>5306</v>
      </c>
      <c r="F1719">
        <v>177</v>
      </c>
      <c r="G1719" t="s">
        <v>5307</v>
      </c>
      <c r="H1719" t="s">
        <v>0</v>
      </c>
      <c r="I1719" t="s">
        <v>1609</v>
      </c>
      <c r="J1719" t="s">
        <v>1380</v>
      </c>
      <c r="L1719" t="s">
        <v>3</v>
      </c>
      <c r="M1719" t="s">
        <v>4</v>
      </c>
      <c r="N1719" s="3" t="str">
        <f t="shared" si="53"/>
        <v>F</v>
      </c>
      <c r="O1719" s="3" t="str">
        <f>IF(_xlfn.IFNA(MATCH(B1719,Table1[UID],0),"F")="F","F","T")</f>
        <v>T</v>
      </c>
    </row>
    <row r="1720" spans="2:15" x14ac:dyDescent="0.25">
      <c r="B1720" s="42" t="str">
        <f t="shared" si="54"/>
        <v>I_HNSLY/INFLOW</v>
      </c>
      <c r="C1720" t="s">
        <v>4959</v>
      </c>
      <c r="D1720" t="s">
        <v>4960</v>
      </c>
      <c r="E1720" t="s">
        <v>5308</v>
      </c>
      <c r="F1720">
        <v>178</v>
      </c>
      <c r="G1720" t="s">
        <v>5309</v>
      </c>
      <c r="H1720" t="s">
        <v>0</v>
      </c>
      <c r="I1720" t="s">
        <v>1665</v>
      </c>
      <c r="J1720" t="s">
        <v>1380</v>
      </c>
      <c r="L1720" t="s">
        <v>3</v>
      </c>
      <c r="M1720" t="s">
        <v>4</v>
      </c>
      <c r="N1720" s="3" t="str">
        <f t="shared" si="53"/>
        <v>F</v>
      </c>
      <c r="O1720" s="3" t="str">
        <f>IF(_xlfn.IFNA(MATCH(B1720,Table1[UID],0),"F")="F","F","T")</f>
        <v>T</v>
      </c>
    </row>
    <row r="1721" spans="2:15" x14ac:dyDescent="0.25">
      <c r="B1721" s="42" t="str">
        <f t="shared" si="54"/>
        <v>I_MPS038/INFLOW</v>
      </c>
      <c r="C1721" t="s">
        <v>4959</v>
      </c>
      <c r="D1721" t="s">
        <v>4960</v>
      </c>
      <c r="E1721" t="s">
        <v>5310</v>
      </c>
      <c r="F1721">
        <v>179</v>
      </c>
      <c r="G1721" t="s">
        <v>5311</v>
      </c>
      <c r="H1721" t="s">
        <v>0</v>
      </c>
      <c r="I1721" t="s">
        <v>1726</v>
      </c>
      <c r="J1721" t="s">
        <v>1380</v>
      </c>
      <c r="L1721" t="s">
        <v>3</v>
      </c>
      <c r="M1721" t="s">
        <v>4</v>
      </c>
      <c r="N1721" s="3" t="str">
        <f t="shared" si="53"/>
        <v>F</v>
      </c>
      <c r="O1721" s="3" t="str">
        <f>IF(_xlfn.IFNA(MATCH(B1721,Table1[UID],0),"F")="F","F","T")</f>
        <v>T</v>
      </c>
    </row>
    <row r="1722" spans="2:15" x14ac:dyDescent="0.25">
      <c r="B1722" s="42" t="str">
        <f t="shared" si="54"/>
        <v>I_OWN040/INFLOW</v>
      </c>
      <c r="C1722" t="s">
        <v>4959</v>
      </c>
      <c r="D1722" t="s">
        <v>4960</v>
      </c>
      <c r="E1722" t="s">
        <v>5312</v>
      </c>
      <c r="F1722">
        <v>180</v>
      </c>
      <c r="G1722" t="s">
        <v>5313</v>
      </c>
      <c r="H1722" t="s">
        <v>0</v>
      </c>
      <c r="I1722" t="s">
        <v>1722</v>
      </c>
      <c r="J1722" t="s">
        <v>1380</v>
      </c>
      <c r="L1722" t="s">
        <v>3</v>
      </c>
      <c r="M1722" t="s">
        <v>4</v>
      </c>
      <c r="N1722" s="3" t="str">
        <f t="shared" si="53"/>
        <v>F</v>
      </c>
      <c r="O1722" s="3" t="str">
        <f>IF(_xlfn.IFNA(MATCH(B1722,Table1[UID],0),"F")="F","F","T")</f>
        <v>T</v>
      </c>
    </row>
    <row r="1723" spans="2:15" x14ac:dyDescent="0.25">
      <c r="B1723" s="42" t="str">
        <f t="shared" si="54"/>
        <v>I_SJR258/INFLOW</v>
      </c>
      <c r="C1723" t="s">
        <v>4959</v>
      </c>
      <c r="D1723" t="s">
        <v>4960</v>
      </c>
      <c r="E1723" t="s">
        <v>5314</v>
      </c>
      <c r="F1723">
        <v>181</v>
      </c>
      <c r="G1723" t="s">
        <v>5315</v>
      </c>
      <c r="H1723" t="s">
        <v>0</v>
      </c>
      <c r="I1723" t="s">
        <v>1728</v>
      </c>
      <c r="J1723" t="s">
        <v>1380</v>
      </c>
      <c r="L1723" t="s">
        <v>3</v>
      </c>
      <c r="M1723" t="s">
        <v>4</v>
      </c>
      <c r="N1723" s="3" t="str">
        <f t="shared" si="53"/>
        <v>F</v>
      </c>
      <c r="O1723" s="3" t="str">
        <f>IF(_xlfn.IFNA(MATCH(B1723,Table1[UID],0),"F")="F","F","T")</f>
        <v>T</v>
      </c>
    </row>
    <row r="1724" spans="2:15" x14ac:dyDescent="0.25">
      <c r="B1724" s="42" t="str">
        <f t="shared" si="54"/>
        <v>I_DBC024/INFLOW</v>
      </c>
      <c r="C1724" t="s">
        <v>4959</v>
      </c>
      <c r="D1724" t="s">
        <v>4960</v>
      </c>
      <c r="E1724" t="s">
        <v>5316</v>
      </c>
      <c r="F1724">
        <v>182</v>
      </c>
      <c r="G1724" t="s">
        <v>5317</v>
      </c>
      <c r="H1724" t="s">
        <v>0</v>
      </c>
      <c r="I1724" t="s">
        <v>1736</v>
      </c>
      <c r="J1724" t="s">
        <v>1380</v>
      </c>
      <c r="L1724" t="s">
        <v>3</v>
      </c>
      <c r="M1724" t="s">
        <v>4</v>
      </c>
      <c r="N1724" s="3" t="str">
        <f t="shared" si="53"/>
        <v>F</v>
      </c>
      <c r="O1724" s="3" t="str">
        <f>IF(_xlfn.IFNA(MATCH(B1724,Table1[UID],0),"F")="F","F","T")</f>
        <v>T</v>
      </c>
    </row>
    <row r="1725" spans="2:15" x14ac:dyDescent="0.25">
      <c r="B1725" s="42" t="str">
        <f t="shared" si="54"/>
        <v>I_DCM027/INFLOW</v>
      </c>
      <c r="C1725" t="s">
        <v>4959</v>
      </c>
      <c r="D1725" t="s">
        <v>4960</v>
      </c>
      <c r="E1725" t="s">
        <v>5318</v>
      </c>
      <c r="F1725">
        <v>183</v>
      </c>
      <c r="G1725" t="s">
        <v>5319</v>
      </c>
      <c r="H1725" t="s">
        <v>0</v>
      </c>
      <c r="I1725" t="s">
        <v>1770</v>
      </c>
      <c r="J1725" t="s">
        <v>1380</v>
      </c>
      <c r="L1725" t="s">
        <v>3</v>
      </c>
      <c r="M1725" t="s">
        <v>4</v>
      </c>
      <c r="N1725" s="3" t="str">
        <f t="shared" si="53"/>
        <v>F</v>
      </c>
      <c r="O1725" s="3" t="str">
        <f>IF(_xlfn.IFNA(MATCH(B1725,Table1[UID],0),"F")="F","F","T")</f>
        <v>T</v>
      </c>
    </row>
    <row r="1726" spans="2:15" x14ac:dyDescent="0.25">
      <c r="B1726" s="42" t="str">
        <f t="shared" si="54"/>
        <v>I_DED044/INFLOW</v>
      </c>
      <c r="C1726" t="s">
        <v>4959</v>
      </c>
      <c r="D1726" t="s">
        <v>4960</v>
      </c>
      <c r="E1726" t="s">
        <v>5320</v>
      </c>
      <c r="F1726">
        <v>184</v>
      </c>
      <c r="G1726" t="s">
        <v>5321</v>
      </c>
      <c r="H1726" t="s">
        <v>0</v>
      </c>
      <c r="I1726" t="s">
        <v>1730</v>
      </c>
      <c r="J1726" t="s">
        <v>1380</v>
      </c>
      <c r="L1726" t="s">
        <v>3</v>
      </c>
      <c r="M1726" t="s">
        <v>4</v>
      </c>
      <c r="N1726" s="3" t="str">
        <f t="shared" si="53"/>
        <v>F</v>
      </c>
      <c r="O1726" s="3" t="str">
        <f>IF(_xlfn.IFNA(MATCH(B1726,Table1[UID],0),"F")="F","F","T")</f>
        <v>T</v>
      </c>
    </row>
    <row r="1727" spans="2:15" x14ac:dyDescent="0.25">
      <c r="B1727" s="42" t="str">
        <f t="shared" si="54"/>
        <v>I_DCT050/INFLOW</v>
      </c>
      <c r="C1727" t="s">
        <v>4959</v>
      </c>
      <c r="D1727" t="s">
        <v>4960</v>
      </c>
      <c r="E1727" t="s">
        <v>5322</v>
      </c>
      <c r="F1727">
        <v>185</v>
      </c>
      <c r="G1727" t="s">
        <v>5323</v>
      </c>
      <c r="H1727" t="s">
        <v>0</v>
      </c>
      <c r="I1727" t="s">
        <v>1772</v>
      </c>
      <c r="J1727" t="s">
        <v>1380</v>
      </c>
      <c r="L1727" t="s">
        <v>3</v>
      </c>
      <c r="M1727" t="s">
        <v>4</v>
      </c>
      <c r="N1727" s="3" t="str">
        <f t="shared" si="53"/>
        <v>F</v>
      </c>
      <c r="O1727" s="3" t="str">
        <f>IF(_xlfn.IFNA(MATCH(B1727,Table1[UID],0),"F")="F","F","T")</f>
        <v>T</v>
      </c>
    </row>
    <row r="1728" spans="2:15" x14ac:dyDescent="0.25">
      <c r="B1728" s="42" t="str">
        <f t="shared" si="54"/>
        <v>I_MLC006/INFLOW</v>
      </c>
      <c r="C1728" t="s">
        <v>4959</v>
      </c>
      <c r="D1728" t="s">
        <v>4960</v>
      </c>
      <c r="E1728" t="s">
        <v>5324</v>
      </c>
      <c r="F1728">
        <v>186</v>
      </c>
      <c r="G1728" t="s">
        <v>5325</v>
      </c>
      <c r="H1728" t="s">
        <v>0</v>
      </c>
      <c r="I1728" t="s">
        <v>1503</v>
      </c>
      <c r="J1728" t="s">
        <v>1380</v>
      </c>
      <c r="L1728" t="s">
        <v>3</v>
      </c>
      <c r="M1728" t="s">
        <v>4</v>
      </c>
      <c r="N1728" s="3" t="str">
        <f t="shared" si="53"/>
        <v>F</v>
      </c>
      <c r="O1728" s="3" t="str">
        <f>IF(_xlfn.IFNA(MATCH(B1728,Table1[UID],0),"F")="F","F","T")</f>
        <v>T</v>
      </c>
    </row>
    <row r="1729" spans="2:15" x14ac:dyDescent="0.25">
      <c r="B1729" s="42" t="str">
        <f t="shared" si="54"/>
        <v>I_STS059/INFLOW</v>
      </c>
      <c r="C1729" t="s">
        <v>4959</v>
      </c>
      <c r="D1729" t="s">
        <v>4960</v>
      </c>
      <c r="E1729" t="s">
        <v>5326</v>
      </c>
      <c r="F1729">
        <v>187</v>
      </c>
      <c r="G1729" t="s">
        <v>5327</v>
      </c>
      <c r="H1729" t="s">
        <v>0</v>
      </c>
      <c r="I1729" t="s">
        <v>1569</v>
      </c>
      <c r="J1729" t="s">
        <v>1380</v>
      </c>
      <c r="L1729" t="s">
        <v>3</v>
      </c>
      <c r="M1729" t="s">
        <v>4</v>
      </c>
      <c r="N1729" s="3" t="str">
        <f t="shared" si="53"/>
        <v>F</v>
      </c>
      <c r="O1729" s="3" t="str">
        <f>IF(_xlfn.IFNA(MATCH(B1729,Table1[UID],0),"F")="F","F","T")</f>
        <v>T</v>
      </c>
    </row>
    <row r="1730" spans="2:15" x14ac:dyDescent="0.25">
      <c r="B1730" s="42" t="str">
        <f t="shared" si="54"/>
        <v>I_MSH015/INFLOW</v>
      </c>
      <c r="C1730" t="s">
        <v>4959</v>
      </c>
      <c r="D1730" t="s">
        <v>4960</v>
      </c>
      <c r="E1730" t="s">
        <v>5328</v>
      </c>
      <c r="F1730">
        <v>188</v>
      </c>
      <c r="G1730" t="s">
        <v>5329</v>
      </c>
      <c r="H1730" t="s">
        <v>0</v>
      </c>
      <c r="I1730" t="s">
        <v>1519</v>
      </c>
      <c r="J1730" t="s">
        <v>1380</v>
      </c>
      <c r="L1730" t="s">
        <v>3</v>
      </c>
      <c r="M1730" t="s">
        <v>4</v>
      </c>
      <c r="N1730" s="3" t="str">
        <f t="shared" si="53"/>
        <v>F</v>
      </c>
      <c r="O1730" s="3" t="str">
        <f>IF(_xlfn.IFNA(MATCH(B1730,Table1[UID],0),"F")="F","F","T")</f>
        <v>T</v>
      </c>
    </row>
    <row r="1731" spans="2:15" x14ac:dyDescent="0.25">
      <c r="B1731" s="42" t="str">
        <f t="shared" si="54"/>
        <v>I_LOSVQ/INFLOW</v>
      </c>
      <c r="C1731" t="s">
        <v>4959</v>
      </c>
      <c r="D1731" t="s">
        <v>4960</v>
      </c>
      <c r="E1731" t="s">
        <v>5330</v>
      </c>
      <c r="F1731">
        <v>189</v>
      </c>
      <c r="G1731" t="s">
        <v>5331</v>
      </c>
      <c r="H1731" t="s">
        <v>0</v>
      </c>
      <c r="I1731" t="s">
        <v>1624</v>
      </c>
      <c r="J1731" t="s">
        <v>1380</v>
      </c>
      <c r="L1731" t="s">
        <v>3</v>
      </c>
      <c r="M1731" t="s">
        <v>4</v>
      </c>
      <c r="N1731" s="3" t="str">
        <f t="shared" ref="N1731:N1760" si="55">IF(COUNTIF($B$3:$B$1760,"="&amp;B1731)&gt;1,"T","F")</f>
        <v>F</v>
      </c>
      <c r="O1731" s="3" t="str">
        <f>IF(_xlfn.IFNA(MATCH(B1731,Table1[UID],0),"F")="F","F","T")</f>
        <v>T</v>
      </c>
    </row>
    <row r="1732" spans="2:15" x14ac:dyDescent="0.25">
      <c r="B1732" s="42" t="str">
        <f t="shared" si="54"/>
        <v>I_CHC000/INFLOW</v>
      </c>
      <c r="C1732" t="s">
        <v>4959</v>
      </c>
      <c r="D1732" t="s">
        <v>4960</v>
      </c>
      <c r="E1732" t="s">
        <v>5332</v>
      </c>
      <c r="F1732">
        <v>190</v>
      </c>
      <c r="G1732" t="s">
        <v>5333</v>
      </c>
      <c r="H1732" t="s">
        <v>0</v>
      </c>
      <c r="I1732" t="s">
        <v>1645</v>
      </c>
      <c r="J1732" t="s">
        <v>1380</v>
      </c>
      <c r="L1732" t="s">
        <v>3</v>
      </c>
      <c r="M1732" t="s">
        <v>4</v>
      </c>
      <c r="N1732" s="3" t="str">
        <f t="shared" si="55"/>
        <v>F</v>
      </c>
      <c r="O1732" s="3" t="str">
        <f>IF(_xlfn.IFNA(MATCH(B1732,Table1[UID],0),"F")="F","F","T")</f>
        <v>T</v>
      </c>
    </row>
    <row r="1733" spans="2:15" x14ac:dyDescent="0.25">
      <c r="B1733" s="42" t="str">
        <f t="shared" si="54"/>
        <v>I_ING008/INFLOW</v>
      </c>
      <c r="C1733" t="s">
        <v>4959</v>
      </c>
      <c r="D1733" t="s">
        <v>4960</v>
      </c>
      <c r="E1733" t="s">
        <v>5334</v>
      </c>
      <c r="F1733">
        <v>191</v>
      </c>
      <c r="G1733" t="s">
        <v>5335</v>
      </c>
      <c r="H1733" t="s">
        <v>0</v>
      </c>
      <c r="I1733" t="s">
        <v>1619</v>
      </c>
      <c r="J1733" t="s">
        <v>1380</v>
      </c>
      <c r="L1733" t="s">
        <v>3</v>
      </c>
      <c r="M1733" t="s">
        <v>4</v>
      </c>
      <c r="N1733" s="3" t="str">
        <f t="shared" si="55"/>
        <v>F</v>
      </c>
      <c r="O1733" s="3" t="str">
        <f>IF(_xlfn.IFNA(MATCH(B1733,Table1[UID],0),"F")="F","F","T")</f>
        <v>T</v>
      </c>
    </row>
    <row r="1734" spans="2:15" x14ac:dyDescent="0.25">
      <c r="B1734" s="42" t="str">
        <f t="shared" si="54"/>
        <v>I_DPC008/INFLOW</v>
      </c>
      <c r="C1734" t="s">
        <v>4959</v>
      </c>
      <c r="D1734" t="s">
        <v>4960</v>
      </c>
      <c r="E1734" t="s">
        <v>5336</v>
      </c>
      <c r="F1734">
        <v>192</v>
      </c>
      <c r="G1734" t="s">
        <v>5337</v>
      </c>
      <c r="H1734" t="s">
        <v>0</v>
      </c>
      <c r="I1734" t="s">
        <v>1776</v>
      </c>
      <c r="J1734" t="s">
        <v>1380</v>
      </c>
      <c r="L1734" t="s">
        <v>3</v>
      </c>
      <c r="M1734" t="s">
        <v>4</v>
      </c>
      <c r="N1734" s="3" t="str">
        <f t="shared" si="55"/>
        <v>F</v>
      </c>
      <c r="O1734" s="3" t="str">
        <f>IF(_xlfn.IFNA(MATCH(B1734,Table1[UID],0),"F")="F","F","T")</f>
        <v>T</v>
      </c>
    </row>
    <row r="1735" spans="2:15" x14ac:dyDescent="0.25">
      <c r="B1735" s="42" t="str">
        <f t="shared" si="54"/>
        <v>I_SLO007/INFLOW</v>
      </c>
      <c r="C1735" t="s">
        <v>4959</v>
      </c>
      <c r="D1735" t="s">
        <v>4960</v>
      </c>
      <c r="E1735" t="s">
        <v>5338</v>
      </c>
      <c r="F1735">
        <v>193</v>
      </c>
      <c r="G1735" t="s">
        <v>5339</v>
      </c>
      <c r="H1735" t="s">
        <v>0</v>
      </c>
      <c r="I1735" t="s">
        <v>1428</v>
      </c>
      <c r="J1735" t="s">
        <v>1380</v>
      </c>
      <c r="L1735" t="s">
        <v>3</v>
      </c>
      <c r="M1735" t="s">
        <v>4</v>
      </c>
      <c r="N1735" s="3" t="str">
        <f t="shared" si="55"/>
        <v>F</v>
      </c>
      <c r="O1735" s="3" t="str">
        <f>IF(_xlfn.IFNA(MATCH(B1735,Table1[UID],0),"F")="F","F","T")</f>
        <v>T</v>
      </c>
    </row>
    <row r="1736" spans="2:15" x14ac:dyDescent="0.25">
      <c r="B1736" s="42" t="str">
        <f t="shared" si="54"/>
        <v>I_ORT014/INFLOW</v>
      </c>
      <c r="C1736" t="s">
        <v>4959</v>
      </c>
      <c r="D1736" t="s">
        <v>4960</v>
      </c>
      <c r="E1736" t="s">
        <v>5340</v>
      </c>
      <c r="F1736">
        <v>194</v>
      </c>
      <c r="G1736" t="s">
        <v>5341</v>
      </c>
      <c r="H1736" t="s">
        <v>0</v>
      </c>
      <c r="I1736" t="s">
        <v>1474</v>
      </c>
      <c r="J1736" t="s">
        <v>1380</v>
      </c>
      <c r="L1736" t="s">
        <v>3</v>
      </c>
      <c r="M1736" t="s">
        <v>4</v>
      </c>
      <c r="N1736" s="3" t="str">
        <f t="shared" si="55"/>
        <v>F</v>
      </c>
      <c r="O1736" s="3" t="str">
        <f>IF(_xlfn.IFNA(MATCH(B1736,Table1[UID],0),"F")="F","F","T")</f>
        <v>T</v>
      </c>
    </row>
    <row r="1737" spans="2:15" x14ac:dyDescent="0.25">
      <c r="B1737" s="42" t="str">
        <f t="shared" si="54"/>
        <v>I_GRZ012/INFLOW</v>
      </c>
      <c r="C1737" t="s">
        <v>4959</v>
      </c>
      <c r="D1737" t="s">
        <v>4960</v>
      </c>
      <c r="E1737" t="s">
        <v>5342</v>
      </c>
      <c r="F1737">
        <v>195</v>
      </c>
      <c r="G1737" t="s">
        <v>5343</v>
      </c>
      <c r="H1737" t="s">
        <v>0</v>
      </c>
      <c r="I1737" t="s">
        <v>1746</v>
      </c>
      <c r="J1737" t="s">
        <v>1380</v>
      </c>
      <c r="L1737" t="s">
        <v>3</v>
      </c>
      <c r="M1737" t="s">
        <v>4</v>
      </c>
      <c r="N1737" s="3" t="str">
        <f t="shared" si="55"/>
        <v>F</v>
      </c>
      <c r="O1737" s="3" t="str">
        <f>IF(_xlfn.IFNA(MATCH(B1737,Table1[UID],0),"F")="F","F","T")</f>
        <v>T</v>
      </c>
    </row>
    <row r="1738" spans="2:15" x14ac:dyDescent="0.25">
      <c r="B1738" s="42" t="str">
        <f t="shared" ref="B1738:B1760" si="56">_xlfn.CONCAT(I1738,"/",J1738)</f>
        <v>I_QNT005/INFLOW</v>
      </c>
      <c r="C1738" t="s">
        <v>4959</v>
      </c>
      <c r="D1738" t="s">
        <v>4960</v>
      </c>
      <c r="E1738" t="s">
        <v>5344</v>
      </c>
      <c r="F1738">
        <v>196</v>
      </c>
      <c r="G1738" t="s">
        <v>5345</v>
      </c>
      <c r="H1738" t="s">
        <v>0</v>
      </c>
      <c r="I1738" t="s">
        <v>1436</v>
      </c>
      <c r="J1738" t="s">
        <v>1380</v>
      </c>
      <c r="L1738" t="s">
        <v>3</v>
      </c>
      <c r="M1738" t="s">
        <v>4</v>
      </c>
      <c r="N1738" s="3" t="str">
        <f t="shared" si="55"/>
        <v>F</v>
      </c>
      <c r="O1738" s="3" t="str">
        <f>IF(_xlfn.IFNA(MATCH(B1738,Table1[UID],0),"F")="F","F","T")</f>
        <v>T</v>
      </c>
    </row>
    <row r="1739" spans="2:15" x14ac:dyDescent="0.25">
      <c r="B1739" s="42" t="str">
        <f t="shared" si="56"/>
        <v>I_SLUIS/INFLOW</v>
      </c>
      <c r="C1739" t="s">
        <v>4959</v>
      </c>
      <c r="D1739" t="s">
        <v>4960</v>
      </c>
      <c r="E1739" t="s">
        <v>5346</v>
      </c>
      <c r="F1739">
        <v>197</v>
      </c>
      <c r="G1739" t="s">
        <v>5347</v>
      </c>
      <c r="H1739" t="s">
        <v>0</v>
      </c>
      <c r="I1739" t="s">
        <v>1639</v>
      </c>
      <c r="J1739" t="s">
        <v>1380</v>
      </c>
      <c r="L1739" t="s">
        <v>3</v>
      </c>
      <c r="M1739" t="s">
        <v>4</v>
      </c>
      <c r="N1739" s="3" t="str">
        <f t="shared" si="55"/>
        <v>F</v>
      </c>
      <c r="O1739" s="3" t="str">
        <f>IF(_xlfn.IFNA(MATCH(B1739,Table1[UID],0),"F")="F","F","T")</f>
        <v>T</v>
      </c>
    </row>
    <row r="1740" spans="2:15" x14ac:dyDescent="0.25">
      <c r="B1740" s="42" t="str">
        <f t="shared" si="56"/>
        <v>I_BANOS/INFLOW</v>
      </c>
      <c r="C1740" t="s">
        <v>4959</v>
      </c>
      <c r="D1740" t="s">
        <v>4960</v>
      </c>
      <c r="E1740" t="s">
        <v>5348</v>
      </c>
      <c r="F1740">
        <v>198</v>
      </c>
      <c r="G1740" t="s">
        <v>5349</v>
      </c>
      <c r="H1740" t="s">
        <v>0</v>
      </c>
      <c r="I1740" t="s">
        <v>1521</v>
      </c>
      <c r="J1740" t="s">
        <v>1380</v>
      </c>
      <c r="L1740" t="s">
        <v>3</v>
      </c>
      <c r="M1740" t="s">
        <v>4</v>
      </c>
      <c r="N1740" s="3" t="str">
        <f t="shared" si="55"/>
        <v>F</v>
      </c>
      <c r="O1740" s="3" t="str">
        <f>IF(_xlfn.IFNA(MATCH(B1740,Table1[UID],0),"F")="F","F","T")</f>
        <v>T</v>
      </c>
    </row>
    <row r="1741" spans="2:15" x14ac:dyDescent="0.25">
      <c r="B1741" s="42" t="str">
        <f t="shared" si="56"/>
        <v>I_ORG000/INFLOW</v>
      </c>
      <c r="C1741" t="s">
        <v>4959</v>
      </c>
      <c r="D1741" t="s">
        <v>4960</v>
      </c>
      <c r="E1741" t="s">
        <v>5350</v>
      </c>
      <c r="F1741">
        <v>199</v>
      </c>
      <c r="G1741" t="s">
        <v>5351</v>
      </c>
      <c r="H1741" t="s">
        <v>0</v>
      </c>
      <c r="I1741" t="s">
        <v>1472</v>
      </c>
      <c r="J1741" t="s">
        <v>1380</v>
      </c>
      <c r="L1741" t="s">
        <v>3</v>
      </c>
      <c r="M1741" t="s">
        <v>4</v>
      </c>
      <c r="N1741" s="3" t="str">
        <f t="shared" si="55"/>
        <v>F</v>
      </c>
      <c r="O1741" s="3" t="str">
        <f>IF(_xlfn.IFNA(MATCH(B1741,Table1[UID],0),"F")="F","F","T")</f>
        <v>T</v>
      </c>
    </row>
    <row r="1742" spans="2:15" x14ac:dyDescent="0.25">
      <c r="B1742" s="42" t="str">
        <f t="shared" si="56"/>
        <v>I_LPC007/INFLOW</v>
      </c>
      <c r="C1742" t="s">
        <v>4959</v>
      </c>
      <c r="D1742" t="s">
        <v>4960</v>
      </c>
      <c r="E1742" t="s">
        <v>5352</v>
      </c>
      <c r="F1742">
        <v>200</v>
      </c>
      <c r="G1742" t="s">
        <v>5353</v>
      </c>
      <c r="H1742" t="s">
        <v>0</v>
      </c>
      <c r="I1742" t="s">
        <v>1613</v>
      </c>
      <c r="J1742" t="s">
        <v>1380</v>
      </c>
      <c r="L1742" t="s">
        <v>3</v>
      </c>
      <c r="M1742" t="s">
        <v>4</v>
      </c>
      <c r="N1742" s="3" t="str">
        <f t="shared" si="55"/>
        <v>F</v>
      </c>
      <c r="O1742" s="3" t="str">
        <f>IF(_xlfn.IFNA(MATCH(B1742,Table1[UID],0),"F")="F","F","T")</f>
        <v>T</v>
      </c>
    </row>
    <row r="1743" spans="2:15" x14ac:dyDescent="0.25">
      <c r="B1743" s="42" t="str">
        <f t="shared" si="56"/>
        <v>I_CAP000/INFLOW</v>
      </c>
      <c r="C1743" t="s">
        <v>4959</v>
      </c>
      <c r="D1743" t="s">
        <v>4960</v>
      </c>
      <c r="E1743" t="s">
        <v>5354</v>
      </c>
      <c r="F1743">
        <v>201</v>
      </c>
      <c r="G1743" t="s">
        <v>5355</v>
      </c>
      <c r="H1743" t="s">
        <v>0</v>
      </c>
      <c r="I1743" t="s">
        <v>1795</v>
      </c>
      <c r="J1743" t="s">
        <v>1380</v>
      </c>
      <c r="L1743" t="s">
        <v>3</v>
      </c>
      <c r="M1743" t="s">
        <v>4</v>
      </c>
      <c r="N1743" s="3" t="str">
        <f t="shared" si="55"/>
        <v>F</v>
      </c>
      <c r="O1743" s="3" t="str">
        <f>IF(_xlfn.IFNA(MATCH(B1743,Table1[UID],0),"F")="F","F","T")</f>
        <v>T</v>
      </c>
    </row>
    <row r="1744" spans="2:15" x14ac:dyDescent="0.25">
      <c r="B1744" s="42" t="str">
        <f t="shared" si="56"/>
        <v>I_MLRTN_IMP/INFLOW</v>
      </c>
      <c r="C1744" t="s">
        <v>4959</v>
      </c>
      <c r="D1744" t="s">
        <v>4960</v>
      </c>
      <c r="E1744" t="s">
        <v>4871</v>
      </c>
      <c r="F1744">
        <v>202</v>
      </c>
      <c r="G1744" t="s">
        <v>4872</v>
      </c>
      <c r="H1744" t="s">
        <v>0</v>
      </c>
      <c r="I1744" t="s">
        <v>2294</v>
      </c>
      <c r="J1744" t="s">
        <v>1380</v>
      </c>
      <c r="L1744" t="s">
        <v>3</v>
      </c>
      <c r="M1744" t="s">
        <v>4</v>
      </c>
      <c r="N1744" s="3" t="str">
        <f t="shared" si="55"/>
        <v>T</v>
      </c>
      <c r="O1744" s="3" t="str">
        <f>IF(_xlfn.IFNA(MATCH(B1744,Table1[UID],0),"F")="F","F","T")</f>
        <v>T</v>
      </c>
    </row>
    <row r="1745" spans="2:15" x14ac:dyDescent="0.25">
      <c r="B1745" s="42" t="str">
        <f t="shared" si="56"/>
        <v>UNIMP_SHAS/FLOW-UNIMPAIRED</v>
      </c>
      <c r="C1745" t="s">
        <v>4959</v>
      </c>
      <c r="D1745" t="s">
        <v>4960</v>
      </c>
      <c r="E1745" t="s">
        <v>5356</v>
      </c>
      <c r="F1745">
        <v>203</v>
      </c>
      <c r="G1745" t="s">
        <v>4903</v>
      </c>
      <c r="H1745" t="s">
        <v>0</v>
      </c>
      <c r="I1745" t="s">
        <v>1141</v>
      </c>
      <c r="J1745" t="s">
        <v>1137</v>
      </c>
      <c r="L1745" t="s">
        <v>3</v>
      </c>
      <c r="M1745" t="s">
        <v>4</v>
      </c>
      <c r="N1745" s="3" t="str">
        <f t="shared" si="55"/>
        <v>F</v>
      </c>
      <c r="O1745" s="3" t="str">
        <f>IF(_xlfn.IFNA(MATCH(B1745,Table1[UID],0),"F")="F","F","T")</f>
        <v>T</v>
      </c>
    </row>
    <row r="1746" spans="2:15" x14ac:dyDescent="0.25">
      <c r="B1746" s="42" t="str">
        <f t="shared" si="56"/>
        <v>UNIMP_OROV/FLOW-UNIMPAIRED</v>
      </c>
      <c r="C1746" t="s">
        <v>4959</v>
      </c>
      <c r="D1746" t="s">
        <v>4960</v>
      </c>
      <c r="E1746" t="s">
        <v>5357</v>
      </c>
      <c r="F1746">
        <v>204</v>
      </c>
      <c r="G1746" t="s">
        <v>4901</v>
      </c>
      <c r="H1746" t="s">
        <v>0</v>
      </c>
      <c r="I1746" t="s">
        <v>1140</v>
      </c>
      <c r="J1746" t="s">
        <v>1137</v>
      </c>
      <c r="L1746" t="s">
        <v>3</v>
      </c>
      <c r="M1746" t="s">
        <v>4</v>
      </c>
      <c r="N1746" s="3" t="str">
        <f t="shared" si="55"/>
        <v>F</v>
      </c>
      <c r="O1746" s="3" t="str">
        <f>IF(_xlfn.IFNA(MATCH(B1746,Table1[UID],0),"F")="F","F","T")</f>
        <v>T</v>
      </c>
    </row>
    <row r="1747" spans="2:15" x14ac:dyDescent="0.25">
      <c r="B1747" s="42" t="str">
        <f t="shared" si="56"/>
        <v>UNIMP_YUBA/FLOW-UNIMPAIRED</v>
      </c>
      <c r="C1747" t="s">
        <v>4959</v>
      </c>
      <c r="D1747" t="s">
        <v>4960</v>
      </c>
      <c r="E1747" t="s">
        <v>5358</v>
      </c>
      <c r="F1747">
        <v>205</v>
      </c>
      <c r="G1747" t="s">
        <v>4917</v>
      </c>
      <c r="H1747" t="s">
        <v>0</v>
      </c>
      <c r="I1747" t="s">
        <v>1147</v>
      </c>
      <c r="J1747" t="s">
        <v>1137</v>
      </c>
      <c r="L1747" t="s">
        <v>3</v>
      </c>
      <c r="M1747" t="s">
        <v>4</v>
      </c>
      <c r="N1747" s="3" t="str">
        <f t="shared" si="55"/>
        <v>F</v>
      </c>
      <c r="O1747" s="3" t="str">
        <f>IF(_xlfn.IFNA(MATCH(B1747,Table1[UID],0),"F")="F","F","T")</f>
        <v>T</v>
      </c>
    </row>
    <row r="1748" spans="2:15" x14ac:dyDescent="0.25">
      <c r="B1748" s="42" t="str">
        <f t="shared" si="56"/>
        <v>UNIMP_FOLS/FLOW-UNIMPAIRED</v>
      </c>
      <c r="C1748" t="s">
        <v>4959</v>
      </c>
      <c r="D1748" t="s">
        <v>4960</v>
      </c>
      <c r="E1748" t="s">
        <v>5359</v>
      </c>
      <c r="F1748">
        <v>206</v>
      </c>
      <c r="G1748" t="s">
        <v>4897</v>
      </c>
      <c r="H1748" t="s">
        <v>0</v>
      </c>
      <c r="I1748" t="s">
        <v>1136</v>
      </c>
      <c r="J1748" t="s">
        <v>1137</v>
      </c>
      <c r="L1748" t="s">
        <v>3</v>
      </c>
      <c r="M1748" t="s">
        <v>4</v>
      </c>
      <c r="N1748" s="3" t="str">
        <f t="shared" si="55"/>
        <v>F</v>
      </c>
      <c r="O1748" s="3" t="str">
        <f>IF(_xlfn.IFNA(MATCH(B1748,Table1[UID],0),"F")="F","F","T")</f>
        <v>T</v>
      </c>
    </row>
    <row r="1749" spans="2:15" x14ac:dyDescent="0.25">
      <c r="B1749" s="42" t="str">
        <f t="shared" si="56"/>
        <v>UNIMP_ST/FLOW-UNIMPAIRED</v>
      </c>
      <c r="C1749" t="s">
        <v>4959</v>
      </c>
      <c r="D1749" t="s">
        <v>4960</v>
      </c>
      <c r="E1749" t="s">
        <v>5360</v>
      </c>
      <c r="F1749">
        <v>207</v>
      </c>
      <c r="G1749" t="s">
        <v>4909</v>
      </c>
      <c r="H1749" t="s">
        <v>0</v>
      </c>
      <c r="I1749" t="s">
        <v>1144</v>
      </c>
      <c r="J1749" t="s">
        <v>1137</v>
      </c>
      <c r="L1749" t="s">
        <v>3</v>
      </c>
      <c r="M1749" t="s">
        <v>4</v>
      </c>
      <c r="N1749" s="3" t="str">
        <f t="shared" si="55"/>
        <v>F</v>
      </c>
      <c r="O1749" s="3" t="str">
        <f>IF(_xlfn.IFNA(MATCH(B1749,Table1[UID],0),"F")="F","F","T")</f>
        <v>T</v>
      </c>
    </row>
    <row r="1750" spans="2:15" x14ac:dyDescent="0.25">
      <c r="B1750" s="42" t="str">
        <f t="shared" si="56"/>
        <v>UNIMP_TU/FLOW-UNIMPAIRED</v>
      </c>
      <c r="C1750" t="s">
        <v>4959</v>
      </c>
      <c r="D1750" t="s">
        <v>4960</v>
      </c>
      <c r="E1750" t="s">
        <v>5361</v>
      </c>
      <c r="F1750">
        <v>208</v>
      </c>
      <c r="G1750" t="s">
        <v>4913</v>
      </c>
      <c r="H1750" t="s">
        <v>0</v>
      </c>
      <c r="I1750" t="s">
        <v>1146</v>
      </c>
      <c r="J1750" t="s">
        <v>1137</v>
      </c>
      <c r="L1750" t="s">
        <v>3</v>
      </c>
      <c r="M1750" t="s">
        <v>4</v>
      </c>
      <c r="N1750" s="3" t="str">
        <f t="shared" si="55"/>
        <v>F</v>
      </c>
      <c r="O1750" s="3" t="str">
        <f>IF(_xlfn.IFNA(MATCH(B1750,Table1[UID],0),"F")="F","F","T")</f>
        <v>T</v>
      </c>
    </row>
    <row r="1751" spans="2:15" x14ac:dyDescent="0.25">
      <c r="B1751" s="42" t="str">
        <f t="shared" si="56"/>
        <v>UNIMP_ME/FLOW-UNIMPAIRED</v>
      </c>
      <c r="C1751" t="s">
        <v>4959</v>
      </c>
      <c r="D1751" t="s">
        <v>4960</v>
      </c>
      <c r="E1751" t="s">
        <v>5362</v>
      </c>
      <c r="F1751">
        <v>209</v>
      </c>
      <c r="G1751" t="s">
        <v>4899</v>
      </c>
      <c r="H1751" t="s">
        <v>0</v>
      </c>
      <c r="I1751" t="s">
        <v>1139</v>
      </c>
      <c r="J1751" t="s">
        <v>1137</v>
      </c>
      <c r="L1751" t="s">
        <v>3</v>
      </c>
      <c r="M1751" t="s">
        <v>4</v>
      </c>
      <c r="N1751" s="3" t="str">
        <f t="shared" si="55"/>
        <v>F</v>
      </c>
      <c r="O1751" s="3" t="str">
        <f>IF(_xlfn.IFNA(MATCH(B1751,Table1[UID],0),"F")="F","F","T")</f>
        <v>T</v>
      </c>
    </row>
    <row r="1752" spans="2:15" x14ac:dyDescent="0.25">
      <c r="B1752" s="42" t="str">
        <f t="shared" si="56"/>
        <v>UNIMP_SJ/FLOW-UNIMPAIRED</v>
      </c>
      <c r="C1752" t="s">
        <v>4959</v>
      </c>
      <c r="D1752" t="s">
        <v>4960</v>
      </c>
      <c r="E1752" t="s">
        <v>5363</v>
      </c>
      <c r="F1752">
        <v>210</v>
      </c>
      <c r="G1752" t="s">
        <v>4905</v>
      </c>
      <c r="H1752" t="s">
        <v>0</v>
      </c>
      <c r="I1752" t="s">
        <v>1142</v>
      </c>
      <c r="J1752" t="s">
        <v>1137</v>
      </c>
      <c r="L1752" t="s">
        <v>3</v>
      </c>
      <c r="M1752" t="s">
        <v>4</v>
      </c>
      <c r="N1752" s="3" t="str">
        <f t="shared" si="55"/>
        <v>F</v>
      </c>
      <c r="O1752" s="3" t="str">
        <f>IF(_xlfn.IFNA(MATCH(B1752,Table1[UID],0),"F")="F","F","T")</f>
        <v>T</v>
      </c>
    </row>
    <row r="1753" spans="2:15" x14ac:dyDescent="0.25">
      <c r="B1753" s="42" t="str">
        <f t="shared" si="56"/>
        <v>UNIMP_TRIN/FLOW-UNIMPAIRED</v>
      </c>
      <c r="C1753" t="s">
        <v>4959</v>
      </c>
      <c r="D1753" t="s">
        <v>4960</v>
      </c>
      <c r="E1753" t="s">
        <v>5364</v>
      </c>
      <c r="F1753">
        <v>211</v>
      </c>
      <c r="G1753" t="s">
        <v>4911</v>
      </c>
      <c r="H1753" t="s">
        <v>0</v>
      </c>
      <c r="I1753" t="s">
        <v>1145</v>
      </c>
      <c r="J1753" t="s">
        <v>1137</v>
      </c>
      <c r="L1753" t="s">
        <v>3</v>
      </c>
      <c r="M1753" t="s">
        <v>4</v>
      </c>
      <c r="N1753" s="3" t="str">
        <f t="shared" si="55"/>
        <v>F</v>
      </c>
      <c r="O1753" s="3" t="str">
        <f>IF(_xlfn.IFNA(MATCH(B1753,Table1[UID],0),"F")="F","F","T")</f>
        <v>T</v>
      </c>
    </row>
    <row r="1754" spans="2:15" x14ac:dyDescent="0.25">
      <c r="B1754" s="42" t="str">
        <f t="shared" si="56"/>
        <v>UNIMP_SRBB/FLOW-UNIMPAIRED</v>
      </c>
      <c r="C1754" t="s">
        <v>4959</v>
      </c>
      <c r="D1754" t="s">
        <v>4960</v>
      </c>
      <c r="E1754" t="s">
        <v>5365</v>
      </c>
      <c r="F1754">
        <v>212</v>
      </c>
      <c r="G1754" t="s">
        <v>4907</v>
      </c>
      <c r="H1754" t="s">
        <v>0</v>
      </c>
      <c r="I1754" t="s">
        <v>1143</v>
      </c>
      <c r="J1754" t="s">
        <v>1137</v>
      </c>
      <c r="L1754" t="s">
        <v>3</v>
      </c>
      <c r="M1754" t="s">
        <v>4</v>
      </c>
      <c r="N1754" s="3" t="str">
        <f t="shared" si="55"/>
        <v>F</v>
      </c>
      <c r="O1754" s="3" t="str">
        <f>IF(_xlfn.IFNA(MATCH(B1754,Table1[UID],0),"F")="F","F","T")</f>
        <v>T</v>
      </c>
    </row>
    <row r="1755" spans="2:15" x14ac:dyDescent="0.25">
      <c r="B1755" s="42" t="str">
        <f t="shared" si="56"/>
        <v>UNIMP_WH/FLOW-UNIMPAIRED</v>
      </c>
      <c r="C1755" t="s">
        <v>4959</v>
      </c>
      <c r="D1755" t="s">
        <v>4960</v>
      </c>
      <c r="E1755" t="s">
        <v>5366</v>
      </c>
      <c r="F1755">
        <v>213</v>
      </c>
      <c r="G1755" t="s">
        <v>4915</v>
      </c>
      <c r="H1755" t="s">
        <v>0</v>
      </c>
      <c r="I1755" t="s">
        <v>2304</v>
      </c>
      <c r="J1755" t="s">
        <v>1137</v>
      </c>
      <c r="L1755" t="s">
        <v>3</v>
      </c>
      <c r="M1755" t="s">
        <v>4</v>
      </c>
      <c r="N1755" s="3" t="str">
        <f t="shared" si="55"/>
        <v>F</v>
      </c>
      <c r="O1755" s="3" t="str">
        <f>IF(_xlfn.IFNA(MATCH(B1755,Table1[UID],0),"F")="F","F","T")</f>
        <v>T</v>
      </c>
    </row>
    <row r="1756" spans="2:15" x14ac:dyDescent="0.25">
      <c r="B1756" s="42" t="str">
        <f t="shared" si="56"/>
        <v>I_ALMNR/INFLOW</v>
      </c>
      <c r="C1756" t="s">
        <v>4959</v>
      </c>
      <c r="D1756" t="s">
        <v>4960</v>
      </c>
      <c r="E1756" t="s">
        <v>5367</v>
      </c>
      <c r="F1756">
        <v>214</v>
      </c>
      <c r="G1756" t="s">
        <v>5368</v>
      </c>
      <c r="H1756" t="s">
        <v>0</v>
      </c>
      <c r="I1756" t="s">
        <v>1675</v>
      </c>
      <c r="J1756" t="s">
        <v>1380</v>
      </c>
      <c r="L1756" t="s">
        <v>3</v>
      </c>
      <c r="M1756" t="s">
        <v>4</v>
      </c>
      <c r="N1756" s="3" t="str">
        <f t="shared" si="55"/>
        <v>F</v>
      </c>
      <c r="O1756" s="3" t="str">
        <f>IF(_xlfn.IFNA(MATCH(B1756,Table1[UID],0),"F")="F","F","T")</f>
        <v>T</v>
      </c>
    </row>
    <row r="1757" spans="2:15" x14ac:dyDescent="0.25">
      <c r="B1757" s="42" t="str">
        <f t="shared" si="56"/>
        <v>I_BTVLY/INFLOW</v>
      </c>
      <c r="C1757" t="s">
        <v>4959</v>
      </c>
      <c r="D1757" t="s">
        <v>4960</v>
      </c>
      <c r="E1757" t="s">
        <v>5369</v>
      </c>
      <c r="F1757">
        <v>215</v>
      </c>
      <c r="G1757" t="s">
        <v>5370</v>
      </c>
      <c r="H1757" t="s">
        <v>0</v>
      </c>
      <c r="I1757" t="s">
        <v>1705</v>
      </c>
      <c r="J1757" t="s">
        <v>1380</v>
      </c>
      <c r="L1757" t="s">
        <v>3</v>
      </c>
      <c r="M1757" t="s">
        <v>4</v>
      </c>
      <c r="N1757" s="3" t="str">
        <f t="shared" si="55"/>
        <v>F</v>
      </c>
      <c r="O1757" s="3" t="str">
        <f>IF(_xlfn.IFNA(MATCH(B1757,Table1[UID],0),"F")="F","F","T")</f>
        <v>T</v>
      </c>
    </row>
    <row r="1758" spans="2:15" x14ac:dyDescent="0.25">
      <c r="B1758" s="42" t="str">
        <f t="shared" si="56"/>
        <v>I_MTMDW/INFLOW</v>
      </c>
      <c r="C1758" t="s">
        <v>4959</v>
      </c>
      <c r="D1758" t="s">
        <v>4960</v>
      </c>
      <c r="E1758" t="s">
        <v>5371</v>
      </c>
      <c r="F1758">
        <v>216</v>
      </c>
      <c r="G1758" t="s">
        <v>5372</v>
      </c>
      <c r="H1758" t="s">
        <v>0</v>
      </c>
      <c r="I1758" t="s">
        <v>1649</v>
      </c>
      <c r="J1758" t="s">
        <v>1380</v>
      </c>
      <c r="L1758" t="s">
        <v>3</v>
      </c>
      <c r="M1758" t="s">
        <v>4</v>
      </c>
      <c r="N1758" s="3" t="str">
        <f t="shared" si="55"/>
        <v>F</v>
      </c>
      <c r="O1758" s="3" t="str">
        <f>IF(_xlfn.IFNA(MATCH(B1758,Table1[UID],0),"F")="F","F","T")</f>
        <v>T</v>
      </c>
    </row>
    <row r="1759" spans="2:15" x14ac:dyDescent="0.25">
      <c r="B1759" s="42" t="str">
        <f t="shared" si="56"/>
        <v>I_NFF029/INFLOW</v>
      </c>
      <c r="C1759" t="s">
        <v>4959</v>
      </c>
      <c r="D1759" t="s">
        <v>4960</v>
      </c>
      <c r="E1759" t="s">
        <v>5373</v>
      </c>
      <c r="F1759">
        <v>217</v>
      </c>
      <c r="G1759" t="s">
        <v>5374</v>
      </c>
      <c r="H1759" t="s">
        <v>0</v>
      </c>
      <c r="I1759" t="s">
        <v>1607</v>
      </c>
      <c r="J1759" t="s">
        <v>1380</v>
      </c>
      <c r="L1759" t="s">
        <v>3</v>
      </c>
      <c r="M1759" t="s">
        <v>4</v>
      </c>
      <c r="N1759" s="3" t="str">
        <f t="shared" si="55"/>
        <v>F</v>
      </c>
      <c r="O1759" s="3" t="str">
        <f>IF(_xlfn.IFNA(MATCH(B1759,Table1[UID],0),"F")="F","F","T")</f>
        <v>T</v>
      </c>
    </row>
    <row r="1760" spans="2:15" x14ac:dyDescent="0.25">
      <c r="B1760" s="42" t="str">
        <f t="shared" si="56"/>
        <v>I_OROVL/INFLOW</v>
      </c>
      <c r="C1760" t="s">
        <v>4959</v>
      </c>
      <c r="D1760" t="s">
        <v>4960</v>
      </c>
      <c r="E1760" t="s">
        <v>5375</v>
      </c>
      <c r="F1760">
        <v>218</v>
      </c>
      <c r="G1760" t="s">
        <v>5376</v>
      </c>
      <c r="H1760" t="s">
        <v>0</v>
      </c>
      <c r="I1760" t="s">
        <v>1551</v>
      </c>
      <c r="J1760" t="s">
        <v>1380</v>
      </c>
      <c r="L1760" t="s">
        <v>3</v>
      </c>
      <c r="M1760" t="s">
        <v>4</v>
      </c>
      <c r="N1760" s="3" t="str">
        <f t="shared" si="55"/>
        <v>F</v>
      </c>
      <c r="O1760" s="3" t="str">
        <f>IF(_xlfn.IFNA(MATCH(B1760,Table1[UID],0),"F")="F","F","T")</f>
        <v>T</v>
      </c>
    </row>
  </sheetData>
  <conditionalFormatting sqref="N3:N1760">
    <cfRule type="cellIs" dxfId="1" priority="1" operator="equal">
      <formula>"T"</formula>
    </cfRule>
  </conditionalFormatting>
  <conditionalFormatting sqref="O3:O1760">
    <cfRule type="cellIs" dxfId="0" priority="2" operator="equal">
      <formula>"F"</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OrigInvent2023LTO</vt:lpstr>
      <vt:lpstr>MASTER</vt:lpstr>
      <vt:lpstr>SummaryCounts</vt:lpstr>
      <vt:lpstr>CS3SVComposerConfig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Arnold, Wyatt@DWR</dc:creator>
  <cp:keywords/>
  <dc:description/>
  <cp:lastModifiedBy>Arnold, Wyatt@DWR</cp:lastModifiedBy>
  <cp:revision/>
  <dcterms:created xsi:type="dcterms:W3CDTF">2015-06-05T18:17:20Z</dcterms:created>
  <dcterms:modified xsi:type="dcterms:W3CDTF">2026-03-14T02:12:19Z</dcterms:modified>
  <cp:category/>
  <cp:contentStatus/>
</cp:coreProperties>
</file>